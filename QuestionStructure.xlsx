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D:\English\DECO13\Question structure\"/>
    </mc:Choice>
  </mc:AlternateContent>
  <xr:revisionPtr revIDLastSave="0" documentId="13_ncr:1_{600665B6-FB6F-460C-98B6-B562D29530F4}" xr6:coauthVersionLast="47" xr6:coauthVersionMax="47" xr10:uidLastSave="{00000000-0000-0000-0000-000000000000}"/>
  <bookViews>
    <workbookView xWindow="-108" yWindow="-108" windowWidth="23256" windowHeight="12456" tabRatio="1000" activeTab="1" xr2:uid="{719E5D2F-C632-4960-9266-638D7C9B24E2}"/>
  </bookViews>
  <sheets>
    <sheet name="Question structure" sheetId="14" r:id="rId1"/>
    <sheet name="Viet" sheetId="5" r:id="rId2"/>
    <sheet name="Sum" sheetId="6" r:id="rId3"/>
    <sheet name="Ramdom" sheetId="2" r:id="rId4"/>
    <sheet name="0-82" sheetId="7" r:id="rId5"/>
    <sheet name="83-100" sheetId="15" r:id="rId6"/>
    <sheet name="100-128" sheetId="16" r:id="rId7"/>
  </sheets>
  <definedNames>
    <definedName name="_xlnm._FilterDatabase" localSheetId="4" hidden="1">'0-82'!$A$1:$I$1</definedName>
    <definedName name="_xlnm._FilterDatabase" localSheetId="5" hidden="1">'83-100'!$A$1:$B$1</definedName>
    <definedName name="_xlnm._FilterDatabase" localSheetId="0" hidden="1">'Question structure'!$A$3:$J$634</definedName>
    <definedName name="_xlnm._FilterDatabase" localSheetId="3" hidden="1">Ramdom!$B$3:$F$295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5" l="1"/>
  <c r="C9" i="5" s="1"/>
  <c r="D8" i="5"/>
  <c r="C8" i="5" s="1"/>
  <c r="D7" i="5"/>
  <c r="C7" i="5" s="1"/>
  <c r="H168" i="14"/>
  <c r="G168" i="14" s="1"/>
  <c r="H634" i="14"/>
  <c r="G634" i="14" s="1"/>
  <c r="D634" i="14"/>
  <c r="H633" i="14"/>
  <c r="G633" i="14" s="1"/>
  <c r="D633" i="14"/>
  <c r="H632" i="14"/>
  <c r="G632" i="14" s="1"/>
  <c r="D632" i="14"/>
  <c r="H631" i="14"/>
  <c r="G631" i="14" s="1"/>
  <c r="D631" i="14"/>
  <c r="H630" i="14"/>
  <c r="G630" i="14" s="1"/>
  <c r="D630" i="14"/>
  <c r="H629" i="14"/>
  <c r="G629" i="14" s="1"/>
  <c r="D629" i="14"/>
  <c r="H628" i="14"/>
  <c r="G628" i="14" s="1"/>
  <c r="D628" i="14"/>
  <c r="H627" i="14"/>
  <c r="G627" i="14" s="1"/>
  <c r="D627" i="14"/>
  <c r="H626" i="14"/>
  <c r="G626" i="14" s="1"/>
  <c r="D626" i="14"/>
  <c r="H625" i="14"/>
  <c r="G625" i="14" s="1"/>
  <c r="D625" i="14"/>
  <c r="H624" i="14"/>
  <c r="G624" i="14" s="1"/>
  <c r="D624" i="14"/>
  <c r="H623" i="14"/>
  <c r="G623" i="14" s="1"/>
  <c r="D623" i="14"/>
  <c r="H622" i="14"/>
  <c r="G622" i="14" s="1"/>
  <c r="D622" i="14"/>
  <c r="H621" i="14"/>
  <c r="G621" i="14" s="1"/>
  <c r="D621" i="14"/>
  <c r="H620" i="14"/>
  <c r="G620" i="14" s="1"/>
  <c r="D620" i="14"/>
  <c r="H619" i="14"/>
  <c r="G619" i="14" s="1"/>
  <c r="D619" i="14"/>
  <c r="H618" i="14"/>
  <c r="G618" i="14" s="1"/>
  <c r="D618" i="14"/>
  <c r="H617" i="14"/>
  <c r="G617" i="14" s="1"/>
  <c r="D617" i="14"/>
  <c r="H616" i="14"/>
  <c r="G616" i="14" s="1"/>
  <c r="D616" i="14"/>
  <c r="H615" i="14"/>
  <c r="G615" i="14" s="1"/>
  <c r="D615" i="14"/>
  <c r="H614" i="14"/>
  <c r="G614" i="14" s="1"/>
  <c r="D614" i="14"/>
  <c r="H613" i="14"/>
  <c r="G613" i="14" s="1"/>
  <c r="D613" i="14"/>
  <c r="H612" i="14"/>
  <c r="G612" i="14" s="1"/>
  <c r="D612" i="14"/>
  <c r="H611" i="14"/>
  <c r="G611" i="14" s="1"/>
  <c r="D611" i="14"/>
  <c r="H610" i="14"/>
  <c r="G610" i="14" s="1"/>
  <c r="D610" i="14"/>
  <c r="H609" i="14"/>
  <c r="G609" i="14" s="1"/>
  <c r="D609" i="14"/>
  <c r="H608" i="14"/>
  <c r="G608" i="14" s="1"/>
  <c r="D608" i="14"/>
  <c r="H607" i="14"/>
  <c r="G607" i="14" s="1"/>
  <c r="D607" i="14"/>
  <c r="H606" i="14"/>
  <c r="G606" i="14" s="1"/>
  <c r="D606" i="14"/>
  <c r="H605" i="14"/>
  <c r="G605" i="14" s="1"/>
  <c r="D605" i="14"/>
  <c r="H604" i="14"/>
  <c r="G604" i="14" s="1"/>
  <c r="D604" i="14"/>
  <c r="H603" i="14"/>
  <c r="G603" i="14" s="1"/>
  <c r="D603" i="14"/>
  <c r="H602" i="14"/>
  <c r="G602" i="14" s="1"/>
  <c r="D602" i="14"/>
  <c r="H601" i="14"/>
  <c r="G601" i="14" s="1"/>
  <c r="D601" i="14"/>
  <c r="H600" i="14"/>
  <c r="G600" i="14" s="1"/>
  <c r="D600" i="14"/>
  <c r="H599" i="14"/>
  <c r="G599" i="14" s="1"/>
  <c r="D599" i="14"/>
  <c r="H598" i="14"/>
  <c r="G598" i="14" s="1"/>
  <c r="D598" i="14"/>
  <c r="H597" i="14"/>
  <c r="G597" i="14" s="1"/>
  <c r="D597" i="14"/>
  <c r="H596" i="14"/>
  <c r="G596" i="14" s="1"/>
  <c r="D596" i="14"/>
  <c r="H595" i="14"/>
  <c r="G595" i="14" s="1"/>
  <c r="D595" i="14"/>
  <c r="H594" i="14"/>
  <c r="G594" i="14" s="1"/>
  <c r="D594" i="14"/>
  <c r="H593" i="14"/>
  <c r="G593" i="14" s="1"/>
  <c r="D593" i="14"/>
  <c r="H592" i="14"/>
  <c r="G592" i="14" s="1"/>
  <c r="D592" i="14"/>
  <c r="H591" i="14"/>
  <c r="G591" i="14" s="1"/>
  <c r="D591" i="14"/>
  <c r="H590" i="14"/>
  <c r="G590" i="14" s="1"/>
  <c r="D590" i="14"/>
  <c r="H589" i="14"/>
  <c r="G589" i="14" s="1"/>
  <c r="D589" i="14"/>
  <c r="H588" i="14"/>
  <c r="G588" i="14" s="1"/>
  <c r="D588" i="14"/>
  <c r="H587" i="14"/>
  <c r="G587" i="14" s="1"/>
  <c r="D587" i="14"/>
  <c r="H586" i="14"/>
  <c r="G586" i="14" s="1"/>
  <c r="D586" i="14"/>
  <c r="H585" i="14"/>
  <c r="G585" i="14" s="1"/>
  <c r="D585" i="14"/>
  <c r="H584" i="14"/>
  <c r="G584" i="14" s="1"/>
  <c r="D584" i="14"/>
  <c r="H583" i="14"/>
  <c r="G583" i="14" s="1"/>
  <c r="D583" i="14"/>
  <c r="H582" i="14"/>
  <c r="G582" i="14" s="1"/>
  <c r="D582" i="14"/>
  <c r="H581" i="14"/>
  <c r="G581" i="14" s="1"/>
  <c r="D581" i="14"/>
  <c r="H580" i="14"/>
  <c r="G580" i="14" s="1"/>
  <c r="D580" i="14"/>
  <c r="H579" i="14"/>
  <c r="G579" i="14" s="1"/>
  <c r="D579" i="14"/>
  <c r="H578" i="14"/>
  <c r="G578" i="14" s="1"/>
  <c r="D578" i="14"/>
  <c r="H577" i="14"/>
  <c r="G577" i="14" s="1"/>
  <c r="D577" i="14"/>
  <c r="H576" i="14"/>
  <c r="G576" i="14" s="1"/>
  <c r="D576" i="14"/>
  <c r="H575" i="14"/>
  <c r="G575" i="14" s="1"/>
  <c r="D575" i="14"/>
  <c r="H574" i="14"/>
  <c r="G574" i="14" s="1"/>
  <c r="D574" i="14"/>
  <c r="H573" i="14"/>
  <c r="G573" i="14" s="1"/>
  <c r="D573" i="14"/>
  <c r="H572" i="14"/>
  <c r="G572" i="14" s="1"/>
  <c r="D572" i="14"/>
  <c r="H571" i="14"/>
  <c r="G571" i="14" s="1"/>
  <c r="D571" i="14"/>
  <c r="H570" i="14"/>
  <c r="G570" i="14" s="1"/>
  <c r="D570" i="14"/>
  <c r="H569" i="14"/>
  <c r="G569" i="14" s="1"/>
  <c r="D569" i="14"/>
  <c r="H568" i="14"/>
  <c r="G568" i="14" s="1"/>
  <c r="D568" i="14"/>
  <c r="H567" i="14"/>
  <c r="G567" i="14" s="1"/>
  <c r="D567" i="14"/>
  <c r="H566" i="14"/>
  <c r="G566" i="14" s="1"/>
  <c r="D566" i="14"/>
  <c r="H565" i="14"/>
  <c r="G565" i="14" s="1"/>
  <c r="D565" i="14"/>
  <c r="H564" i="14"/>
  <c r="G564" i="14" s="1"/>
  <c r="D564" i="14"/>
  <c r="H563" i="14"/>
  <c r="G563" i="14" s="1"/>
  <c r="D563" i="14"/>
  <c r="H562" i="14"/>
  <c r="G562" i="14" s="1"/>
  <c r="D562" i="14"/>
  <c r="H561" i="14"/>
  <c r="G561" i="14" s="1"/>
  <c r="D561" i="14"/>
  <c r="H560" i="14"/>
  <c r="G560" i="14" s="1"/>
  <c r="D560" i="14"/>
  <c r="H559" i="14"/>
  <c r="G559" i="14" s="1"/>
  <c r="D559" i="14"/>
  <c r="H558" i="14"/>
  <c r="G558" i="14" s="1"/>
  <c r="D558" i="14"/>
  <c r="H557" i="14"/>
  <c r="G557" i="14" s="1"/>
  <c r="D557" i="14"/>
  <c r="H556" i="14"/>
  <c r="G556" i="14" s="1"/>
  <c r="D556" i="14"/>
  <c r="H555" i="14"/>
  <c r="G555" i="14" s="1"/>
  <c r="D555" i="14"/>
  <c r="H554" i="14"/>
  <c r="G554" i="14" s="1"/>
  <c r="D554" i="14"/>
  <c r="H553" i="14"/>
  <c r="G553" i="14" s="1"/>
  <c r="D553" i="14"/>
  <c r="H552" i="14"/>
  <c r="G552" i="14" s="1"/>
  <c r="D552" i="14"/>
  <c r="H551" i="14"/>
  <c r="G551" i="14" s="1"/>
  <c r="D551" i="14"/>
  <c r="H550" i="14"/>
  <c r="G550" i="14" s="1"/>
  <c r="D550" i="14"/>
  <c r="H549" i="14"/>
  <c r="G549" i="14" s="1"/>
  <c r="D549" i="14"/>
  <c r="H548" i="14"/>
  <c r="G548" i="14" s="1"/>
  <c r="D548" i="14"/>
  <c r="H547" i="14"/>
  <c r="G547" i="14" s="1"/>
  <c r="D547" i="14"/>
  <c r="H546" i="14"/>
  <c r="G546" i="14" s="1"/>
  <c r="D546" i="14"/>
  <c r="H545" i="14"/>
  <c r="G545" i="14" s="1"/>
  <c r="D545" i="14"/>
  <c r="H544" i="14"/>
  <c r="G544" i="14" s="1"/>
  <c r="D544" i="14"/>
  <c r="H543" i="14"/>
  <c r="G543" i="14" s="1"/>
  <c r="D543" i="14"/>
  <c r="H542" i="14"/>
  <c r="G542" i="14" s="1"/>
  <c r="D542" i="14"/>
  <c r="H541" i="14"/>
  <c r="G541" i="14" s="1"/>
  <c r="D541" i="14"/>
  <c r="H540" i="14"/>
  <c r="G540" i="14" s="1"/>
  <c r="D540" i="14"/>
  <c r="H539" i="14"/>
  <c r="G539" i="14" s="1"/>
  <c r="D539" i="14"/>
  <c r="H538" i="14"/>
  <c r="G538" i="14" s="1"/>
  <c r="D538" i="14"/>
  <c r="H537" i="14"/>
  <c r="G537" i="14" s="1"/>
  <c r="D537" i="14"/>
  <c r="H536" i="14"/>
  <c r="G536" i="14" s="1"/>
  <c r="D536" i="14"/>
  <c r="H535" i="14"/>
  <c r="G535" i="14" s="1"/>
  <c r="D535" i="14"/>
  <c r="H534" i="14"/>
  <c r="G534" i="14" s="1"/>
  <c r="D534" i="14"/>
  <c r="H533" i="14"/>
  <c r="G533" i="14" s="1"/>
  <c r="D533" i="14"/>
  <c r="H532" i="14"/>
  <c r="G532" i="14" s="1"/>
  <c r="D532" i="14"/>
  <c r="H531" i="14"/>
  <c r="G531" i="14" s="1"/>
  <c r="D531" i="14"/>
  <c r="H530" i="14"/>
  <c r="G530" i="14" s="1"/>
  <c r="D530" i="14"/>
  <c r="H529" i="14"/>
  <c r="G529" i="14" s="1"/>
  <c r="D529" i="14"/>
  <c r="H528" i="14"/>
  <c r="G528" i="14" s="1"/>
  <c r="D528" i="14"/>
  <c r="H527" i="14"/>
  <c r="G527" i="14" s="1"/>
  <c r="D527" i="14"/>
  <c r="H526" i="14"/>
  <c r="G526" i="14" s="1"/>
  <c r="D526" i="14"/>
  <c r="H525" i="14"/>
  <c r="G525" i="14" s="1"/>
  <c r="D525" i="14"/>
  <c r="H524" i="14"/>
  <c r="G524" i="14" s="1"/>
  <c r="D524" i="14"/>
  <c r="H523" i="14"/>
  <c r="G523" i="14" s="1"/>
  <c r="D523" i="14"/>
  <c r="H522" i="14"/>
  <c r="G522" i="14" s="1"/>
  <c r="D522" i="14"/>
  <c r="H521" i="14"/>
  <c r="G521" i="14" s="1"/>
  <c r="D521" i="14"/>
  <c r="H520" i="14"/>
  <c r="G520" i="14" s="1"/>
  <c r="D520" i="14"/>
  <c r="H519" i="14"/>
  <c r="G519" i="14" s="1"/>
  <c r="D519" i="14"/>
  <c r="H518" i="14"/>
  <c r="G518" i="14" s="1"/>
  <c r="D518" i="14"/>
  <c r="H517" i="14"/>
  <c r="G517" i="14" s="1"/>
  <c r="D517" i="14"/>
  <c r="H516" i="14"/>
  <c r="G516" i="14" s="1"/>
  <c r="D516" i="14"/>
  <c r="H515" i="14"/>
  <c r="G515" i="14" s="1"/>
  <c r="D515" i="14"/>
  <c r="H514" i="14"/>
  <c r="G514" i="14" s="1"/>
  <c r="D514" i="14"/>
  <c r="H513" i="14"/>
  <c r="G513" i="14" s="1"/>
  <c r="D513" i="14"/>
  <c r="H512" i="14"/>
  <c r="G512" i="14" s="1"/>
  <c r="D512" i="14"/>
  <c r="H511" i="14"/>
  <c r="G511" i="14" s="1"/>
  <c r="D511" i="14"/>
  <c r="H510" i="14"/>
  <c r="G510" i="14" s="1"/>
  <c r="D510" i="14"/>
  <c r="H509" i="14"/>
  <c r="G509" i="14" s="1"/>
  <c r="D509" i="14"/>
  <c r="H508" i="14"/>
  <c r="G508" i="14" s="1"/>
  <c r="D508" i="14"/>
  <c r="H507" i="14"/>
  <c r="G507" i="14" s="1"/>
  <c r="D507" i="14"/>
  <c r="H506" i="14"/>
  <c r="G506" i="14" s="1"/>
  <c r="D506" i="14"/>
  <c r="H505" i="14"/>
  <c r="G505" i="14" s="1"/>
  <c r="D505" i="14"/>
  <c r="H504" i="14"/>
  <c r="G504" i="14" s="1"/>
  <c r="D504" i="14"/>
  <c r="H503" i="14"/>
  <c r="G503" i="14" s="1"/>
  <c r="D503" i="14"/>
  <c r="H502" i="14"/>
  <c r="G502" i="14" s="1"/>
  <c r="D502" i="14"/>
  <c r="H501" i="14"/>
  <c r="G501" i="14" s="1"/>
  <c r="D501" i="14"/>
  <c r="H500" i="14"/>
  <c r="G500" i="14" s="1"/>
  <c r="D500" i="14"/>
  <c r="H499" i="14"/>
  <c r="G499" i="14" s="1"/>
  <c r="D499" i="14"/>
  <c r="H498" i="14"/>
  <c r="G498" i="14" s="1"/>
  <c r="D498" i="14"/>
  <c r="H497" i="14"/>
  <c r="G497" i="14" s="1"/>
  <c r="D497" i="14"/>
  <c r="H496" i="14"/>
  <c r="G496" i="14" s="1"/>
  <c r="D496" i="14"/>
  <c r="H495" i="14"/>
  <c r="G495" i="14" s="1"/>
  <c r="D495" i="14"/>
  <c r="H494" i="14"/>
  <c r="G494" i="14" s="1"/>
  <c r="D494" i="14"/>
  <c r="H493" i="14"/>
  <c r="G493" i="14" s="1"/>
  <c r="D493" i="14"/>
  <c r="H492" i="14"/>
  <c r="G492" i="14" s="1"/>
  <c r="D492" i="14"/>
  <c r="H491" i="14"/>
  <c r="G491" i="14" s="1"/>
  <c r="D491" i="14"/>
  <c r="H490" i="14"/>
  <c r="G490" i="14" s="1"/>
  <c r="D490" i="14"/>
  <c r="H489" i="14"/>
  <c r="G489" i="14" s="1"/>
  <c r="D489" i="14"/>
  <c r="H488" i="14"/>
  <c r="G488" i="14" s="1"/>
  <c r="D488" i="14"/>
  <c r="H487" i="14"/>
  <c r="G487" i="14" s="1"/>
  <c r="D487" i="14"/>
  <c r="H486" i="14"/>
  <c r="G486" i="14" s="1"/>
  <c r="D486" i="14"/>
  <c r="H485" i="14"/>
  <c r="G485" i="14" s="1"/>
  <c r="D485" i="14"/>
  <c r="H484" i="14"/>
  <c r="G484" i="14" s="1"/>
  <c r="D484" i="14"/>
  <c r="H483" i="14"/>
  <c r="G483" i="14" s="1"/>
  <c r="D483" i="14"/>
  <c r="H482" i="14"/>
  <c r="G482" i="14" s="1"/>
  <c r="D482" i="14"/>
  <c r="H481" i="14"/>
  <c r="G481" i="14" s="1"/>
  <c r="D481" i="14"/>
  <c r="H480" i="14"/>
  <c r="G480" i="14" s="1"/>
  <c r="D480" i="14"/>
  <c r="H479" i="14"/>
  <c r="G479" i="14" s="1"/>
  <c r="D479" i="14"/>
  <c r="H478" i="14"/>
  <c r="G478" i="14" s="1"/>
  <c r="D478" i="14"/>
  <c r="H477" i="14"/>
  <c r="G477" i="14" s="1"/>
  <c r="D477" i="14"/>
  <c r="H476" i="14"/>
  <c r="G476" i="14" s="1"/>
  <c r="D476" i="14"/>
  <c r="H475" i="14"/>
  <c r="G475" i="14" s="1"/>
  <c r="D475" i="14"/>
  <c r="H474" i="14"/>
  <c r="G474" i="14" s="1"/>
  <c r="D474" i="14"/>
  <c r="H473" i="14"/>
  <c r="G473" i="14" s="1"/>
  <c r="D473" i="14"/>
  <c r="H472" i="14"/>
  <c r="G472" i="14" s="1"/>
  <c r="D472" i="14"/>
  <c r="H471" i="14"/>
  <c r="G471" i="14" s="1"/>
  <c r="D471" i="14"/>
  <c r="H470" i="14"/>
  <c r="G470" i="14" s="1"/>
  <c r="D470" i="14"/>
  <c r="H469" i="14"/>
  <c r="G469" i="14" s="1"/>
  <c r="D469" i="14"/>
  <c r="H468" i="14"/>
  <c r="G468" i="14" s="1"/>
  <c r="D468" i="14"/>
  <c r="H467" i="14"/>
  <c r="G467" i="14" s="1"/>
  <c r="D467" i="14"/>
  <c r="H466" i="14"/>
  <c r="G466" i="14" s="1"/>
  <c r="D466" i="14"/>
  <c r="H465" i="14"/>
  <c r="G465" i="14" s="1"/>
  <c r="D465" i="14"/>
  <c r="H464" i="14"/>
  <c r="G464" i="14" s="1"/>
  <c r="D464" i="14"/>
  <c r="H463" i="14"/>
  <c r="G463" i="14" s="1"/>
  <c r="D463" i="14"/>
  <c r="H462" i="14"/>
  <c r="G462" i="14" s="1"/>
  <c r="D462" i="14"/>
  <c r="H461" i="14"/>
  <c r="G461" i="14" s="1"/>
  <c r="D461" i="14"/>
  <c r="H460" i="14"/>
  <c r="G460" i="14" s="1"/>
  <c r="D460" i="14"/>
  <c r="H459" i="14"/>
  <c r="G459" i="14" s="1"/>
  <c r="D459" i="14"/>
  <c r="H458" i="14"/>
  <c r="G458" i="14" s="1"/>
  <c r="D458" i="14"/>
  <c r="H457" i="14"/>
  <c r="G457" i="14" s="1"/>
  <c r="D457" i="14"/>
  <c r="H456" i="14"/>
  <c r="G456" i="14" s="1"/>
  <c r="D456" i="14"/>
  <c r="H455" i="14"/>
  <c r="G455" i="14" s="1"/>
  <c r="D455" i="14"/>
  <c r="H454" i="14"/>
  <c r="G454" i="14" s="1"/>
  <c r="D454" i="14"/>
  <c r="H453" i="14"/>
  <c r="G453" i="14" s="1"/>
  <c r="D453" i="14"/>
  <c r="H452" i="14"/>
  <c r="G452" i="14" s="1"/>
  <c r="D452" i="14"/>
  <c r="H451" i="14"/>
  <c r="G451" i="14" s="1"/>
  <c r="D451" i="14"/>
  <c r="H450" i="14"/>
  <c r="G450" i="14" s="1"/>
  <c r="D450" i="14"/>
  <c r="H449" i="14"/>
  <c r="G449" i="14" s="1"/>
  <c r="D449" i="14"/>
  <c r="H448" i="14"/>
  <c r="G448" i="14" s="1"/>
  <c r="D448" i="14"/>
  <c r="H447" i="14"/>
  <c r="G447" i="14" s="1"/>
  <c r="D447" i="14"/>
  <c r="H446" i="14"/>
  <c r="G446" i="14" s="1"/>
  <c r="D446" i="14"/>
  <c r="H445" i="14"/>
  <c r="G445" i="14" s="1"/>
  <c r="D445" i="14"/>
  <c r="H444" i="14"/>
  <c r="G444" i="14" s="1"/>
  <c r="D444" i="14"/>
  <c r="H443" i="14"/>
  <c r="G443" i="14" s="1"/>
  <c r="D443" i="14"/>
  <c r="H442" i="14"/>
  <c r="G442" i="14" s="1"/>
  <c r="D442" i="14"/>
  <c r="H441" i="14"/>
  <c r="G441" i="14" s="1"/>
  <c r="D441" i="14"/>
  <c r="H440" i="14"/>
  <c r="G440" i="14" s="1"/>
  <c r="D440" i="14"/>
  <c r="H439" i="14"/>
  <c r="G439" i="14" s="1"/>
  <c r="D439" i="14"/>
  <c r="H438" i="14"/>
  <c r="G438" i="14" s="1"/>
  <c r="D438" i="14"/>
  <c r="H437" i="14"/>
  <c r="G437" i="14" s="1"/>
  <c r="D437" i="14"/>
  <c r="H436" i="14"/>
  <c r="G436" i="14" s="1"/>
  <c r="D436" i="14"/>
  <c r="H435" i="14"/>
  <c r="G435" i="14" s="1"/>
  <c r="D435" i="14"/>
  <c r="H434" i="14"/>
  <c r="G434" i="14" s="1"/>
  <c r="D434" i="14"/>
  <c r="H433" i="14"/>
  <c r="G433" i="14" s="1"/>
  <c r="D433" i="14"/>
  <c r="H432" i="14"/>
  <c r="G432" i="14" s="1"/>
  <c r="D432" i="14"/>
  <c r="H431" i="14"/>
  <c r="G431" i="14" s="1"/>
  <c r="D431" i="14"/>
  <c r="H430" i="14"/>
  <c r="G430" i="14" s="1"/>
  <c r="D430" i="14"/>
  <c r="H429" i="14"/>
  <c r="G429" i="14" s="1"/>
  <c r="D429" i="14"/>
  <c r="H428" i="14"/>
  <c r="G428" i="14" s="1"/>
  <c r="D428" i="14"/>
  <c r="H427" i="14"/>
  <c r="G427" i="14" s="1"/>
  <c r="D427" i="14"/>
  <c r="H426" i="14"/>
  <c r="G426" i="14" s="1"/>
  <c r="D426" i="14"/>
  <c r="H425" i="14"/>
  <c r="G425" i="14" s="1"/>
  <c r="D425" i="14"/>
  <c r="H424" i="14"/>
  <c r="G424" i="14" s="1"/>
  <c r="D424" i="14"/>
  <c r="H423" i="14"/>
  <c r="G423" i="14" s="1"/>
  <c r="D423" i="14"/>
  <c r="H422" i="14"/>
  <c r="G422" i="14" s="1"/>
  <c r="D422" i="14"/>
  <c r="H421" i="14"/>
  <c r="G421" i="14" s="1"/>
  <c r="D421" i="14"/>
  <c r="H420" i="14"/>
  <c r="G420" i="14" s="1"/>
  <c r="D420" i="14"/>
  <c r="H419" i="14"/>
  <c r="G419" i="14" s="1"/>
  <c r="D419" i="14"/>
  <c r="H418" i="14"/>
  <c r="G418" i="14" s="1"/>
  <c r="D418" i="14"/>
  <c r="H417" i="14"/>
  <c r="G417" i="14" s="1"/>
  <c r="D417" i="14"/>
  <c r="H416" i="14"/>
  <c r="G416" i="14" s="1"/>
  <c r="D416" i="14"/>
  <c r="H415" i="14"/>
  <c r="G415" i="14" s="1"/>
  <c r="D415" i="14"/>
  <c r="H414" i="14"/>
  <c r="G414" i="14" s="1"/>
  <c r="D414" i="14"/>
  <c r="H413" i="14"/>
  <c r="G413" i="14" s="1"/>
  <c r="D413" i="14"/>
  <c r="H412" i="14"/>
  <c r="G412" i="14" s="1"/>
  <c r="D412" i="14"/>
  <c r="H411" i="14"/>
  <c r="G411" i="14" s="1"/>
  <c r="D411" i="14"/>
  <c r="H410" i="14"/>
  <c r="G410" i="14" s="1"/>
  <c r="D410" i="14"/>
  <c r="H409" i="14"/>
  <c r="G409" i="14" s="1"/>
  <c r="D409" i="14"/>
  <c r="H408" i="14"/>
  <c r="G408" i="14" s="1"/>
  <c r="D408" i="14"/>
  <c r="H407" i="14"/>
  <c r="G407" i="14" s="1"/>
  <c r="D407" i="14"/>
  <c r="H406" i="14"/>
  <c r="G406" i="14" s="1"/>
  <c r="D406" i="14"/>
  <c r="H405" i="14"/>
  <c r="G405" i="14" s="1"/>
  <c r="D405" i="14"/>
  <c r="H404" i="14"/>
  <c r="G404" i="14" s="1"/>
  <c r="D404" i="14"/>
  <c r="H403" i="14"/>
  <c r="G403" i="14" s="1"/>
  <c r="D403" i="14"/>
  <c r="H402" i="14"/>
  <c r="G402" i="14" s="1"/>
  <c r="D402" i="14"/>
  <c r="H401" i="14"/>
  <c r="G401" i="14" s="1"/>
  <c r="D401" i="14"/>
  <c r="H400" i="14"/>
  <c r="G400" i="14" s="1"/>
  <c r="D400" i="14"/>
  <c r="H399" i="14"/>
  <c r="G399" i="14" s="1"/>
  <c r="D399" i="14"/>
  <c r="H398" i="14"/>
  <c r="G398" i="14" s="1"/>
  <c r="D398" i="14"/>
  <c r="H397" i="14"/>
  <c r="G397" i="14" s="1"/>
  <c r="D397" i="14"/>
  <c r="H396" i="14"/>
  <c r="G396" i="14" s="1"/>
  <c r="D396" i="14"/>
  <c r="H395" i="14"/>
  <c r="G395" i="14" s="1"/>
  <c r="D395" i="14"/>
  <c r="H394" i="14"/>
  <c r="G394" i="14" s="1"/>
  <c r="D394" i="14"/>
  <c r="H393" i="14"/>
  <c r="G393" i="14" s="1"/>
  <c r="D393" i="14"/>
  <c r="H392" i="14"/>
  <c r="G392" i="14" s="1"/>
  <c r="D392" i="14"/>
  <c r="H391" i="14"/>
  <c r="G391" i="14" s="1"/>
  <c r="D391" i="14"/>
  <c r="H390" i="14"/>
  <c r="G390" i="14" s="1"/>
  <c r="D390" i="14"/>
  <c r="H389" i="14"/>
  <c r="G389" i="14" s="1"/>
  <c r="D389" i="14"/>
  <c r="H388" i="14"/>
  <c r="G388" i="14" s="1"/>
  <c r="D388" i="14"/>
  <c r="H387" i="14"/>
  <c r="G387" i="14" s="1"/>
  <c r="D387" i="14"/>
  <c r="H386" i="14"/>
  <c r="G386" i="14" s="1"/>
  <c r="D386" i="14"/>
  <c r="H385" i="14"/>
  <c r="G385" i="14" s="1"/>
  <c r="D385" i="14"/>
  <c r="H384" i="14"/>
  <c r="G384" i="14" s="1"/>
  <c r="D384" i="14"/>
  <c r="H383" i="14"/>
  <c r="G383" i="14" s="1"/>
  <c r="D383" i="14"/>
  <c r="H382" i="14"/>
  <c r="G382" i="14" s="1"/>
  <c r="D382" i="14"/>
  <c r="H381" i="14"/>
  <c r="G381" i="14" s="1"/>
  <c r="D381" i="14"/>
  <c r="H380" i="14"/>
  <c r="G380" i="14" s="1"/>
  <c r="D380" i="14"/>
  <c r="H379" i="14"/>
  <c r="G379" i="14" s="1"/>
  <c r="D379" i="14"/>
  <c r="H378" i="14"/>
  <c r="G378" i="14" s="1"/>
  <c r="D378" i="14"/>
  <c r="H377" i="14"/>
  <c r="G377" i="14" s="1"/>
  <c r="D377" i="14"/>
  <c r="H376" i="14"/>
  <c r="G376" i="14" s="1"/>
  <c r="D376" i="14"/>
  <c r="H375" i="14"/>
  <c r="G375" i="14" s="1"/>
  <c r="D375" i="14"/>
  <c r="H374" i="14"/>
  <c r="G374" i="14" s="1"/>
  <c r="D374" i="14"/>
  <c r="H373" i="14"/>
  <c r="G373" i="14" s="1"/>
  <c r="D373" i="14"/>
  <c r="H372" i="14"/>
  <c r="G372" i="14" s="1"/>
  <c r="D372" i="14"/>
  <c r="H371" i="14"/>
  <c r="G371" i="14" s="1"/>
  <c r="D371" i="14"/>
  <c r="H370" i="14"/>
  <c r="G370" i="14" s="1"/>
  <c r="D370" i="14"/>
  <c r="H369" i="14"/>
  <c r="G369" i="14" s="1"/>
  <c r="D369" i="14"/>
  <c r="H368" i="14"/>
  <c r="G368" i="14" s="1"/>
  <c r="D368" i="14"/>
  <c r="H367" i="14"/>
  <c r="G367" i="14" s="1"/>
  <c r="D367" i="14"/>
  <c r="H366" i="14"/>
  <c r="G366" i="14" s="1"/>
  <c r="D366" i="14"/>
  <c r="H365" i="14"/>
  <c r="G365" i="14" s="1"/>
  <c r="D365" i="14"/>
  <c r="H364" i="14"/>
  <c r="G364" i="14" s="1"/>
  <c r="D364" i="14"/>
  <c r="H363" i="14"/>
  <c r="G363" i="14" s="1"/>
  <c r="D363" i="14"/>
  <c r="H362" i="14"/>
  <c r="G362" i="14" s="1"/>
  <c r="D362" i="14"/>
  <c r="H361" i="14"/>
  <c r="G361" i="14" s="1"/>
  <c r="D361" i="14"/>
  <c r="H360" i="14"/>
  <c r="G360" i="14" s="1"/>
  <c r="D360" i="14"/>
  <c r="H359" i="14"/>
  <c r="G359" i="14" s="1"/>
  <c r="D359" i="14"/>
  <c r="H358" i="14"/>
  <c r="G358" i="14" s="1"/>
  <c r="D358" i="14"/>
  <c r="H357" i="14"/>
  <c r="G357" i="14" s="1"/>
  <c r="D357" i="14"/>
  <c r="H356" i="14"/>
  <c r="G356" i="14" s="1"/>
  <c r="D356" i="14"/>
  <c r="H355" i="14"/>
  <c r="G355" i="14" s="1"/>
  <c r="D355" i="14"/>
  <c r="H354" i="14"/>
  <c r="G354" i="14" s="1"/>
  <c r="D354" i="14"/>
  <c r="H353" i="14"/>
  <c r="G353" i="14" s="1"/>
  <c r="D353" i="14"/>
  <c r="H352" i="14"/>
  <c r="G352" i="14" s="1"/>
  <c r="D352" i="14"/>
  <c r="H351" i="14"/>
  <c r="G351" i="14" s="1"/>
  <c r="D351" i="14"/>
  <c r="H350" i="14"/>
  <c r="G350" i="14" s="1"/>
  <c r="D350" i="14"/>
  <c r="H349" i="14"/>
  <c r="G349" i="14" s="1"/>
  <c r="D349" i="14"/>
  <c r="H348" i="14"/>
  <c r="G348" i="14" s="1"/>
  <c r="D348" i="14"/>
  <c r="H347" i="14"/>
  <c r="G347" i="14" s="1"/>
  <c r="D347" i="14"/>
  <c r="H346" i="14"/>
  <c r="G346" i="14" s="1"/>
  <c r="D346" i="14"/>
  <c r="H345" i="14"/>
  <c r="G345" i="14" s="1"/>
  <c r="D345" i="14"/>
  <c r="H344" i="14"/>
  <c r="G344" i="14" s="1"/>
  <c r="D344" i="14"/>
  <c r="H343" i="14"/>
  <c r="G343" i="14" s="1"/>
  <c r="D343" i="14"/>
  <c r="H342" i="14"/>
  <c r="G342" i="14" s="1"/>
  <c r="D342" i="14"/>
  <c r="H341" i="14"/>
  <c r="G341" i="14" s="1"/>
  <c r="D341" i="14"/>
  <c r="H340" i="14"/>
  <c r="G340" i="14" s="1"/>
  <c r="D340" i="14"/>
  <c r="H339" i="14"/>
  <c r="G339" i="14" s="1"/>
  <c r="D339" i="14"/>
  <c r="H338" i="14"/>
  <c r="G338" i="14" s="1"/>
  <c r="D338" i="14"/>
  <c r="H337" i="14"/>
  <c r="G337" i="14" s="1"/>
  <c r="D337" i="14"/>
  <c r="H336" i="14"/>
  <c r="G336" i="14" s="1"/>
  <c r="D336" i="14"/>
  <c r="H335" i="14"/>
  <c r="G335" i="14" s="1"/>
  <c r="D335" i="14"/>
  <c r="H334" i="14"/>
  <c r="G334" i="14" s="1"/>
  <c r="D334" i="14"/>
  <c r="H333" i="14"/>
  <c r="G333" i="14" s="1"/>
  <c r="D333" i="14"/>
  <c r="H332" i="14"/>
  <c r="G332" i="14" s="1"/>
  <c r="D332" i="14"/>
  <c r="H331" i="14"/>
  <c r="G331" i="14" s="1"/>
  <c r="D331" i="14"/>
  <c r="H330" i="14"/>
  <c r="G330" i="14" s="1"/>
  <c r="D330" i="14"/>
  <c r="H329" i="14"/>
  <c r="G329" i="14" s="1"/>
  <c r="D329" i="14"/>
  <c r="H328" i="14"/>
  <c r="G328" i="14" s="1"/>
  <c r="D328" i="14"/>
  <c r="H327" i="14"/>
  <c r="G327" i="14" s="1"/>
  <c r="D327" i="14"/>
  <c r="H326" i="14"/>
  <c r="G326" i="14" s="1"/>
  <c r="D326" i="14"/>
  <c r="H325" i="14"/>
  <c r="G325" i="14" s="1"/>
  <c r="D325" i="14"/>
  <c r="H324" i="14"/>
  <c r="G324" i="14" s="1"/>
  <c r="D324" i="14"/>
  <c r="H323" i="14"/>
  <c r="G323" i="14" s="1"/>
  <c r="D323" i="14"/>
  <c r="H322" i="14"/>
  <c r="G322" i="14" s="1"/>
  <c r="D322" i="14"/>
  <c r="H321" i="14"/>
  <c r="G321" i="14" s="1"/>
  <c r="D321" i="14"/>
  <c r="H320" i="14"/>
  <c r="G320" i="14" s="1"/>
  <c r="D320" i="14"/>
  <c r="H319" i="14"/>
  <c r="G319" i="14" s="1"/>
  <c r="D319" i="14"/>
  <c r="H318" i="14"/>
  <c r="G318" i="14" s="1"/>
  <c r="D318" i="14"/>
  <c r="H317" i="14"/>
  <c r="G317" i="14" s="1"/>
  <c r="D317" i="14"/>
  <c r="H316" i="14"/>
  <c r="G316" i="14" s="1"/>
  <c r="D316" i="14"/>
  <c r="H315" i="14"/>
  <c r="G315" i="14" s="1"/>
  <c r="D315" i="14"/>
  <c r="H314" i="14"/>
  <c r="G314" i="14" s="1"/>
  <c r="D314" i="14"/>
  <c r="H313" i="14"/>
  <c r="G313" i="14" s="1"/>
  <c r="D313" i="14"/>
  <c r="H312" i="14"/>
  <c r="G312" i="14" s="1"/>
  <c r="D312" i="14"/>
  <c r="H311" i="14"/>
  <c r="G311" i="14" s="1"/>
  <c r="D311" i="14"/>
  <c r="H310" i="14"/>
  <c r="G310" i="14" s="1"/>
  <c r="D310" i="14"/>
  <c r="H309" i="14"/>
  <c r="G309" i="14" s="1"/>
  <c r="D309" i="14"/>
  <c r="H308" i="14"/>
  <c r="G308" i="14" s="1"/>
  <c r="D308" i="14"/>
  <c r="H307" i="14"/>
  <c r="G307" i="14" s="1"/>
  <c r="D307" i="14"/>
  <c r="H306" i="14"/>
  <c r="G306" i="14" s="1"/>
  <c r="D306" i="14"/>
  <c r="H305" i="14"/>
  <c r="G305" i="14" s="1"/>
  <c r="D305" i="14"/>
  <c r="H304" i="14"/>
  <c r="G304" i="14" s="1"/>
  <c r="D304" i="14"/>
  <c r="H303" i="14"/>
  <c r="G303" i="14" s="1"/>
  <c r="D303" i="14"/>
  <c r="H302" i="14"/>
  <c r="G302" i="14" s="1"/>
  <c r="D302" i="14"/>
  <c r="H301" i="14"/>
  <c r="G301" i="14" s="1"/>
  <c r="D301" i="14"/>
  <c r="H300" i="14"/>
  <c r="G300" i="14" s="1"/>
  <c r="D300" i="14"/>
  <c r="H299" i="14"/>
  <c r="G299" i="14" s="1"/>
  <c r="D299" i="14"/>
  <c r="H298" i="14"/>
  <c r="G298" i="14" s="1"/>
  <c r="D298" i="14"/>
  <c r="H297" i="14"/>
  <c r="G297" i="14" s="1"/>
  <c r="D297" i="14"/>
  <c r="H296" i="14"/>
  <c r="G296" i="14" s="1"/>
  <c r="D296" i="14"/>
  <c r="H295" i="14"/>
  <c r="G295" i="14" s="1"/>
  <c r="D295" i="14"/>
  <c r="H294" i="14"/>
  <c r="G294" i="14" s="1"/>
  <c r="D294" i="14"/>
  <c r="H293" i="14"/>
  <c r="G293" i="14" s="1"/>
  <c r="D293" i="14"/>
  <c r="H292" i="14"/>
  <c r="G292" i="14" s="1"/>
  <c r="D292" i="14"/>
  <c r="H291" i="14"/>
  <c r="G291" i="14" s="1"/>
  <c r="D291" i="14"/>
  <c r="H290" i="14"/>
  <c r="G290" i="14" s="1"/>
  <c r="D290" i="14"/>
  <c r="H289" i="14"/>
  <c r="G289" i="14" s="1"/>
  <c r="D289" i="14"/>
  <c r="H288" i="14"/>
  <c r="G288" i="14" s="1"/>
  <c r="D288" i="14"/>
  <c r="H287" i="14"/>
  <c r="G287" i="14" s="1"/>
  <c r="D287" i="14"/>
  <c r="H286" i="14"/>
  <c r="G286" i="14" s="1"/>
  <c r="D286" i="14"/>
  <c r="H285" i="14"/>
  <c r="G285" i="14" s="1"/>
  <c r="D285" i="14"/>
  <c r="H284" i="14"/>
  <c r="G284" i="14" s="1"/>
  <c r="D284" i="14"/>
  <c r="H283" i="14"/>
  <c r="G283" i="14" s="1"/>
  <c r="D283" i="14"/>
  <c r="H282" i="14"/>
  <c r="G282" i="14" s="1"/>
  <c r="D282" i="14"/>
  <c r="H281" i="14"/>
  <c r="G281" i="14" s="1"/>
  <c r="D281" i="14"/>
  <c r="H280" i="14"/>
  <c r="G280" i="14" s="1"/>
  <c r="D280" i="14"/>
  <c r="H279" i="14"/>
  <c r="G279" i="14" s="1"/>
  <c r="D279" i="14"/>
  <c r="H278" i="14"/>
  <c r="G278" i="14" s="1"/>
  <c r="D278" i="14"/>
  <c r="H277" i="14"/>
  <c r="G277" i="14" s="1"/>
  <c r="D277" i="14"/>
  <c r="H276" i="14"/>
  <c r="G276" i="14" s="1"/>
  <c r="D276" i="14"/>
  <c r="H275" i="14"/>
  <c r="G275" i="14" s="1"/>
  <c r="D275" i="14"/>
  <c r="H274" i="14"/>
  <c r="G274" i="14" s="1"/>
  <c r="D274" i="14"/>
  <c r="H273" i="14"/>
  <c r="G273" i="14" s="1"/>
  <c r="D273" i="14"/>
  <c r="H272" i="14"/>
  <c r="G272" i="14" s="1"/>
  <c r="D272" i="14"/>
  <c r="H271" i="14"/>
  <c r="G271" i="14" s="1"/>
  <c r="D271" i="14"/>
  <c r="H270" i="14"/>
  <c r="G270" i="14" s="1"/>
  <c r="D270" i="14"/>
  <c r="H269" i="14"/>
  <c r="G269" i="14" s="1"/>
  <c r="D269" i="14"/>
  <c r="H268" i="14"/>
  <c r="G268" i="14" s="1"/>
  <c r="D268" i="14"/>
  <c r="H267" i="14"/>
  <c r="G267" i="14" s="1"/>
  <c r="D267" i="14"/>
  <c r="H266" i="14"/>
  <c r="G266" i="14" s="1"/>
  <c r="D266" i="14"/>
  <c r="H265" i="14"/>
  <c r="G265" i="14" s="1"/>
  <c r="D265" i="14"/>
  <c r="H264" i="14"/>
  <c r="G264" i="14" s="1"/>
  <c r="D264" i="14"/>
  <c r="H263" i="14"/>
  <c r="G263" i="14" s="1"/>
  <c r="D263" i="14"/>
  <c r="H262" i="14"/>
  <c r="G262" i="14" s="1"/>
  <c r="D262" i="14"/>
  <c r="H261" i="14"/>
  <c r="G261" i="14" s="1"/>
  <c r="D261" i="14"/>
  <c r="H260" i="14"/>
  <c r="G260" i="14" s="1"/>
  <c r="D260" i="14"/>
  <c r="H259" i="14"/>
  <c r="G259" i="14" s="1"/>
  <c r="D259" i="14"/>
  <c r="H258" i="14"/>
  <c r="G258" i="14" s="1"/>
  <c r="D258" i="14"/>
  <c r="H257" i="14"/>
  <c r="G257" i="14" s="1"/>
  <c r="D257" i="14"/>
  <c r="H256" i="14"/>
  <c r="G256" i="14" s="1"/>
  <c r="D256" i="14"/>
  <c r="H255" i="14"/>
  <c r="G255" i="14" s="1"/>
  <c r="D255" i="14"/>
  <c r="H254" i="14"/>
  <c r="G254" i="14" s="1"/>
  <c r="D254" i="14"/>
  <c r="H253" i="14"/>
  <c r="G253" i="14" s="1"/>
  <c r="D253" i="14"/>
  <c r="H252" i="14"/>
  <c r="G252" i="14" s="1"/>
  <c r="D252" i="14"/>
  <c r="H251" i="14"/>
  <c r="G251" i="14" s="1"/>
  <c r="D251" i="14"/>
  <c r="H250" i="14"/>
  <c r="G250" i="14" s="1"/>
  <c r="D250" i="14"/>
  <c r="H249" i="14"/>
  <c r="G249" i="14" s="1"/>
  <c r="D249" i="14"/>
  <c r="H248" i="14"/>
  <c r="G248" i="14" s="1"/>
  <c r="D248" i="14"/>
  <c r="H247" i="14"/>
  <c r="G247" i="14" s="1"/>
  <c r="D247" i="14"/>
  <c r="H246" i="14"/>
  <c r="G246" i="14" s="1"/>
  <c r="D246" i="14"/>
  <c r="H245" i="14"/>
  <c r="G245" i="14" s="1"/>
  <c r="D245" i="14"/>
  <c r="H244" i="14"/>
  <c r="G244" i="14" s="1"/>
  <c r="D244" i="14"/>
  <c r="H243" i="14"/>
  <c r="G243" i="14" s="1"/>
  <c r="D243" i="14"/>
  <c r="H242" i="14"/>
  <c r="G242" i="14" s="1"/>
  <c r="D242" i="14"/>
  <c r="H241" i="14"/>
  <c r="G241" i="14" s="1"/>
  <c r="D241" i="14"/>
  <c r="H240" i="14"/>
  <c r="G240" i="14" s="1"/>
  <c r="D240" i="14"/>
  <c r="H239" i="14"/>
  <c r="G239" i="14" s="1"/>
  <c r="D239" i="14"/>
  <c r="H238" i="14"/>
  <c r="G238" i="14" s="1"/>
  <c r="D238" i="14"/>
  <c r="H237" i="14"/>
  <c r="G237" i="14" s="1"/>
  <c r="D237" i="14"/>
  <c r="H236" i="14"/>
  <c r="G236" i="14" s="1"/>
  <c r="D236" i="14"/>
  <c r="H235" i="14"/>
  <c r="G235" i="14" s="1"/>
  <c r="D235" i="14"/>
  <c r="H234" i="14"/>
  <c r="G234" i="14" s="1"/>
  <c r="D234" i="14"/>
  <c r="H233" i="14"/>
  <c r="G233" i="14" s="1"/>
  <c r="D233" i="14"/>
  <c r="H232" i="14"/>
  <c r="G232" i="14" s="1"/>
  <c r="D232" i="14"/>
  <c r="H231" i="14"/>
  <c r="G231" i="14" s="1"/>
  <c r="D231" i="14"/>
  <c r="H230" i="14"/>
  <c r="G230" i="14" s="1"/>
  <c r="D230" i="14"/>
  <c r="H229" i="14"/>
  <c r="G229" i="14" s="1"/>
  <c r="D229" i="14"/>
  <c r="H228" i="14"/>
  <c r="G228" i="14" s="1"/>
  <c r="D228" i="14"/>
  <c r="H227" i="14"/>
  <c r="G227" i="14" s="1"/>
  <c r="D227" i="14"/>
  <c r="H226" i="14"/>
  <c r="G226" i="14" s="1"/>
  <c r="D226" i="14"/>
  <c r="H225" i="14"/>
  <c r="G225" i="14" s="1"/>
  <c r="D225" i="14"/>
  <c r="H224" i="14"/>
  <c r="G224" i="14" s="1"/>
  <c r="D224" i="14"/>
  <c r="H223" i="14"/>
  <c r="G223" i="14" s="1"/>
  <c r="D223" i="14"/>
  <c r="H222" i="14"/>
  <c r="G222" i="14" s="1"/>
  <c r="D222" i="14"/>
  <c r="H221" i="14"/>
  <c r="G221" i="14" s="1"/>
  <c r="D221" i="14"/>
  <c r="H220" i="14"/>
  <c r="G220" i="14" s="1"/>
  <c r="D220" i="14"/>
  <c r="H219" i="14"/>
  <c r="G219" i="14" s="1"/>
  <c r="D219" i="14"/>
  <c r="H218" i="14"/>
  <c r="G218" i="14" s="1"/>
  <c r="D218" i="14"/>
  <c r="H217" i="14"/>
  <c r="G217" i="14" s="1"/>
  <c r="D217" i="14"/>
  <c r="H216" i="14"/>
  <c r="G216" i="14" s="1"/>
  <c r="D216" i="14"/>
  <c r="H215" i="14"/>
  <c r="G215" i="14" s="1"/>
  <c r="D215" i="14"/>
  <c r="H214" i="14"/>
  <c r="G214" i="14" s="1"/>
  <c r="D214" i="14"/>
  <c r="H213" i="14"/>
  <c r="G213" i="14" s="1"/>
  <c r="D213" i="14"/>
  <c r="H212" i="14"/>
  <c r="G212" i="14" s="1"/>
  <c r="D212" i="14"/>
  <c r="H211" i="14"/>
  <c r="G211" i="14" s="1"/>
  <c r="D211" i="14"/>
  <c r="H210" i="14"/>
  <c r="G210" i="14" s="1"/>
  <c r="D210" i="14"/>
  <c r="H209" i="14"/>
  <c r="G209" i="14" s="1"/>
  <c r="D209" i="14"/>
  <c r="H208" i="14"/>
  <c r="G208" i="14" s="1"/>
  <c r="D208" i="14"/>
  <c r="H207" i="14"/>
  <c r="G207" i="14" s="1"/>
  <c r="D207" i="14"/>
  <c r="H206" i="14"/>
  <c r="G206" i="14" s="1"/>
  <c r="D206" i="14"/>
  <c r="H205" i="14"/>
  <c r="G205" i="14" s="1"/>
  <c r="D205" i="14"/>
  <c r="H204" i="14"/>
  <c r="G204" i="14" s="1"/>
  <c r="D204" i="14"/>
  <c r="H203" i="14"/>
  <c r="G203" i="14" s="1"/>
  <c r="D203" i="14"/>
  <c r="H202" i="14"/>
  <c r="G202" i="14" s="1"/>
  <c r="D202" i="14"/>
  <c r="H201" i="14"/>
  <c r="G201" i="14" s="1"/>
  <c r="D201" i="14"/>
  <c r="H200" i="14"/>
  <c r="G200" i="14" s="1"/>
  <c r="D200" i="14"/>
  <c r="H199" i="14"/>
  <c r="G199" i="14" s="1"/>
  <c r="D199" i="14"/>
  <c r="H198" i="14"/>
  <c r="G198" i="14" s="1"/>
  <c r="D198" i="14"/>
  <c r="H197" i="14"/>
  <c r="G197" i="14" s="1"/>
  <c r="D197" i="14"/>
  <c r="H196" i="14"/>
  <c r="G196" i="14" s="1"/>
  <c r="D196" i="14"/>
  <c r="H195" i="14"/>
  <c r="G195" i="14" s="1"/>
  <c r="D195" i="14"/>
  <c r="H194" i="14"/>
  <c r="G194" i="14" s="1"/>
  <c r="D194" i="14"/>
  <c r="H193" i="14"/>
  <c r="G193" i="14" s="1"/>
  <c r="D193" i="14"/>
  <c r="H192" i="14"/>
  <c r="G192" i="14" s="1"/>
  <c r="D192" i="14"/>
  <c r="H191" i="14"/>
  <c r="G191" i="14" s="1"/>
  <c r="D191" i="14"/>
  <c r="H190" i="14"/>
  <c r="G190" i="14" s="1"/>
  <c r="D190" i="14"/>
  <c r="H189" i="14"/>
  <c r="G189" i="14" s="1"/>
  <c r="D189" i="14"/>
  <c r="H188" i="14"/>
  <c r="G188" i="14" s="1"/>
  <c r="D188" i="14"/>
  <c r="H187" i="14"/>
  <c r="G187" i="14" s="1"/>
  <c r="D187" i="14"/>
  <c r="H186" i="14"/>
  <c r="G186" i="14" s="1"/>
  <c r="D186" i="14"/>
  <c r="H185" i="14"/>
  <c r="G185" i="14" s="1"/>
  <c r="D185" i="14"/>
  <c r="H184" i="14"/>
  <c r="G184" i="14" s="1"/>
  <c r="D184" i="14"/>
  <c r="H183" i="14"/>
  <c r="G183" i="14" s="1"/>
  <c r="D183" i="14"/>
  <c r="H182" i="14"/>
  <c r="G182" i="14" s="1"/>
  <c r="D182" i="14"/>
  <c r="H181" i="14"/>
  <c r="G181" i="14" s="1"/>
  <c r="D181" i="14"/>
  <c r="H180" i="14"/>
  <c r="G180" i="14" s="1"/>
  <c r="D180" i="14"/>
  <c r="H179" i="14"/>
  <c r="G179" i="14" s="1"/>
  <c r="D179" i="14"/>
  <c r="H178" i="14"/>
  <c r="G178" i="14" s="1"/>
  <c r="D178" i="14"/>
  <c r="H177" i="14"/>
  <c r="G177" i="14" s="1"/>
  <c r="D177" i="14"/>
  <c r="H176" i="14"/>
  <c r="G176" i="14" s="1"/>
  <c r="D176" i="14"/>
  <c r="H175" i="14"/>
  <c r="G175" i="14" s="1"/>
  <c r="D175" i="14"/>
  <c r="H174" i="14"/>
  <c r="G174" i="14" s="1"/>
  <c r="D174" i="14"/>
  <c r="H173" i="14"/>
  <c r="G173" i="14" s="1"/>
  <c r="D173" i="14"/>
  <c r="H172" i="14"/>
  <c r="G172" i="14" s="1"/>
  <c r="D172" i="14"/>
  <c r="H171" i="14"/>
  <c r="G171" i="14" s="1"/>
  <c r="D171" i="14"/>
  <c r="H170" i="14"/>
  <c r="G170" i="14" s="1"/>
  <c r="D170" i="14"/>
  <c r="H169" i="14"/>
  <c r="G169" i="14" s="1"/>
  <c r="D169" i="14"/>
  <c r="D168" i="14"/>
  <c r="H167" i="14"/>
  <c r="G167" i="14" s="1"/>
  <c r="D167" i="14"/>
  <c r="H166" i="14"/>
  <c r="G166" i="14" s="1"/>
  <c r="D166" i="14"/>
  <c r="H165" i="14"/>
  <c r="G165" i="14" s="1"/>
  <c r="D165" i="14"/>
  <c r="H164" i="14"/>
  <c r="G164" i="14" s="1"/>
  <c r="D164" i="14"/>
  <c r="H163" i="14"/>
  <c r="G163" i="14" s="1"/>
  <c r="D163" i="14"/>
  <c r="H162" i="14"/>
  <c r="G162" i="14" s="1"/>
  <c r="D162" i="14"/>
  <c r="H161" i="14"/>
  <c r="G161" i="14" s="1"/>
  <c r="D161" i="14"/>
  <c r="H160" i="14"/>
  <c r="G160" i="14" s="1"/>
  <c r="D160" i="14"/>
  <c r="H159" i="14"/>
  <c r="G159" i="14" s="1"/>
  <c r="D159" i="14"/>
  <c r="H158" i="14"/>
  <c r="G158" i="14" s="1"/>
  <c r="D158" i="14"/>
  <c r="H157" i="14"/>
  <c r="G157" i="14" s="1"/>
  <c r="D157" i="14"/>
  <c r="H156" i="14"/>
  <c r="G156" i="14" s="1"/>
  <c r="D156" i="14"/>
  <c r="H155" i="14"/>
  <c r="G155" i="14" s="1"/>
  <c r="D155" i="14"/>
  <c r="H154" i="14"/>
  <c r="G154" i="14" s="1"/>
  <c r="D154" i="14"/>
  <c r="H153" i="14"/>
  <c r="G153" i="14" s="1"/>
  <c r="D153" i="14"/>
  <c r="H152" i="14"/>
  <c r="G152" i="14" s="1"/>
  <c r="D152" i="14"/>
  <c r="H151" i="14"/>
  <c r="G151" i="14" s="1"/>
  <c r="D151" i="14"/>
  <c r="H150" i="14"/>
  <c r="G150" i="14" s="1"/>
  <c r="D150" i="14"/>
  <c r="H149" i="14"/>
  <c r="G149" i="14" s="1"/>
  <c r="D149" i="14"/>
  <c r="H148" i="14"/>
  <c r="G148" i="14" s="1"/>
  <c r="D148" i="14"/>
  <c r="H147" i="14"/>
  <c r="G147" i="14" s="1"/>
  <c r="D147" i="14"/>
  <c r="H146" i="14"/>
  <c r="G146" i="14" s="1"/>
  <c r="D146" i="14"/>
  <c r="H145" i="14"/>
  <c r="G145" i="14" s="1"/>
  <c r="D145" i="14"/>
  <c r="H144" i="14"/>
  <c r="G144" i="14" s="1"/>
  <c r="D144" i="14"/>
  <c r="H143" i="14"/>
  <c r="G143" i="14" s="1"/>
  <c r="D143" i="14"/>
  <c r="H142" i="14"/>
  <c r="G142" i="14" s="1"/>
  <c r="D142" i="14"/>
  <c r="H141" i="14"/>
  <c r="G141" i="14" s="1"/>
  <c r="D141" i="14"/>
  <c r="H140" i="14"/>
  <c r="G140" i="14" s="1"/>
  <c r="D140" i="14"/>
  <c r="H139" i="14"/>
  <c r="G139" i="14" s="1"/>
  <c r="D139" i="14"/>
  <c r="H138" i="14"/>
  <c r="G138" i="14" s="1"/>
  <c r="D138" i="14"/>
  <c r="H137" i="14"/>
  <c r="G137" i="14" s="1"/>
  <c r="D137" i="14"/>
  <c r="H136" i="14"/>
  <c r="G136" i="14" s="1"/>
  <c r="D136" i="14"/>
  <c r="H135" i="14"/>
  <c r="G135" i="14" s="1"/>
  <c r="D135" i="14"/>
  <c r="H134" i="14"/>
  <c r="G134" i="14" s="1"/>
  <c r="D134" i="14"/>
  <c r="H133" i="14"/>
  <c r="G133" i="14" s="1"/>
  <c r="D133" i="14"/>
  <c r="H132" i="14"/>
  <c r="G132" i="14" s="1"/>
  <c r="D132" i="14"/>
  <c r="H131" i="14"/>
  <c r="G131" i="14" s="1"/>
  <c r="D131" i="14"/>
  <c r="H130" i="14"/>
  <c r="G130" i="14" s="1"/>
  <c r="D130" i="14"/>
  <c r="H129" i="14"/>
  <c r="G129" i="14" s="1"/>
  <c r="D129" i="14"/>
  <c r="H128" i="14"/>
  <c r="G128" i="14" s="1"/>
  <c r="D128" i="14"/>
  <c r="H127" i="14"/>
  <c r="G127" i="14" s="1"/>
  <c r="D127" i="14"/>
  <c r="H126" i="14"/>
  <c r="G126" i="14" s="1"/>
  <c r="D126" i="14"/>
  <c r="H125" i="14"/>
  <c r="G125" i="14" s="1"/>
  <c r="D125" i="14"/>
  <c r="H124" i="14"/>
  <c r="G124" i="14" s="1"/>
  <c r="D124" i="14"/>
  <c r="H123" i="14"/>
  <c r="G123" i="14" s="1"/>
  <c r="D123" i="14"/>
  <c r="H122" i="14"/>
  <c r="G122" i="14" s="1"/>
  <c r="D122" i="14"/>
  <c r="H121" i="14"/>
  <c r="G121" i="14" s="1"/>
  <c r="D121" i="14"/>
  <c r="H120" i="14"/>
  <c r="G120" i="14" s="1"/>
  <c r="D120" i="14"/>
  <c r="H119" i="14"/>
  <c r="G119" i="14" s="1"/>
  <c r="D119" i="14"/>
  <c r="H118" i="14"/>
  <c r="G118" i="14" s="1"/>
  <c r="D118" i="14"/>
  <c r="H117" i="14"/>
  <c r="G117" i="14" s="1"/>
  <c r="D117" i="14"/>
  <c r="H116" i="14"/>
  <c r="G116" i="14" s="1"/>
  <c r="D116" i="14"/>
  <c r="H115" i="14"/>
  <c r="G115" i="14" s="1"/>
  <c r="D115" i="14"/>
  <c r="H114" i="14"/>
  <c r="G114" i="14" s="1"/>
  <c r="D114" i="14"/>
  <c r="H113" i="14"/>
  <c r="G113" i="14" s="1"/>
  <c r="D113" i="14"/>
  <c r="H112" i="14"/>
  <c r="G112" i="14" s="1"/>
  <c r="D112" i="14"/>
  <c r="H111" i="14"/>
  <c r="G111" i="14" s="1"/>
  <c r="D111" i="14"/>
  <c r="H110" i="14"/>
  <c r="G110" i="14" s="1"/>
  <c r="D110" i="14"/>
  <c r="H109" i="14"/>
  <c r="G109" i="14" s="1"/>
  <c r="D109" i="14"/>
  <c r="H108" i="14"/>
  <c r="G108" i="14" s="1"/>
  <c r="D108" i="14"/>
  <c r="H107" i="14"/>
  <c r="G107" i="14" s="1"/>
  <c r="D107" i="14"/>
  <c r="H106" i="14"/>
  <c r="G106" i="14" s="1"/>
  <c r="D106" i="14"/>
  <c r="H105" i="14"/>
  <c r="G105" i="14" s="1"/>
  <c r="D105" i="14"/>
  <c r="H104" i="14"/>
  <c r="G104" i="14" s="1"/>
  <c r="D104" i="14"/>
  <c r="H103" i="14"/>
  <c r="G103" i="14" s="1"/>
  <c r="D103" i="14"/>
  <c r="H102" i="14"/>
  <c r="G102" i="14" s="1"/>
  <c r="D102" i="14"/>
  <c r="H101" i="14"/>
  <c r="G101" i="14" s="1"/>
  <c r="D101" i="14"/>
  <c r="H100" i="14"/>
  <c r="G100" i="14" s="1"/>
  <c r="D100" i="14"/>
  <c r="H99" i="14"/>
  <c r="G99" i="14" s="1"/>
  <c r="D99" i="14"/>
  <c r="H98" i="14"/>
  <c r="G98" i="14" s="1"/>
  <c r="D98" i="14"/>
  <c r="H97" i="14"/>
  <c r="G97" i="14" s="1"/>
  <c r="D97" i="14"/>
  <c r="H96" i="14"/>
  <c r="G96" i="14" s="1"/>
  <c r="D96" i="14"/>
  <c r="H95" i="14"/>
  <c r="G95" i="14" s="1"/>
  <c r="D95" i="14"/>
  <c r="H94" i="14"/>
  <c r="G94" i="14" s="1"/>
  <c r="D94" i="14"/>
  <c r="H93" i="14"/>
  <c r="G93" i="14" s="1"/>
  <c r="D93" i="14"/>
  <c r="H92" i="14"/>
  <c r="G92" i="14" s="1"/>
  <c r="D92" i="14"/>
  <c r="H91" i="14"/>
  <c r="G91" i="14" s="1"/>
  <c r="D91" i="14"/>
  <c r="H90" i="14"/>
  <c r="G90" i="14" s="1"/>
  <c r="D90" i="14"/>
  <c r="H89" i="14"/>
  <c r="G89" i="14" s="1"/>
  <c r="D89" i="14"/>
  <c r="H88" i="14"/>
  <c r="G88" i="14" s="1"/>
  <c r="D88" i="14"/>
  <c r="H87" i="14"/>
  <c r="G87" i="14" s="1"/>
  <c r="D87" i="14"/>
  <c r="H86" i="14"/>
  <c r="G86" i="14" s="1"/>
  <c r="D86" i="14"/>
  <c r="H85" i="14"/>
  <c r="G85" i="14" s="1"/>
  <c r="D85" i="14"/>
  <c r="H84" i="14"/>
  <c r="G84" i="14" s="1"/>
  <c r="D84" i="14"/>
  <c r="H83" i="14"/>
  <c r="G83" i="14" s="1"/>
  <c r="D83" i="14"/>
  <c r="H82" i="14"/>
  <c r="G82" i="14" s="1"/>
  <c r="D82" i="14"/>
  <c r="H81" i="14"/>
  <c r="G81" i="14" s="1"/>
  <c r="D81" i="14"/>
  <c r="H80" i="14"/>
  <c r="G80" i="14" s="1"/>
  <c r="D80" i="14"/>
  <c r="H79" i="14"/>
  <c r="G79" i="14" s="1"/>
  <c r="D79" i="14"/>
  <c r="H78" i="14"/>
  <c r="G78" i="14" s="1"/>
  <c r="D78" i="14"/>
  <c r="H77" i="14"/>
  <c r="G77" i="14" s="1"/>
  <c r="D77" i="14"/>
  <c r="H76" i="14"/>
  <c r="G76" i="14" s="1"/>
  <c r="D76" i="14"/>
  <c r="H75" i="14"/>
  <c r="G75" i="14" s="1"/>
  <c r="D75" i="14"/>
  <c r="H74" i="14"/>
  <c r="G74" i="14" s="1"/>
  <c r="D74" i="14"/>
  <c r="H73" i="14"/>
  <c r="G73" i="14" s="1"/>
  <c r="D73" i="14"/>
  <c r="H72" i="14"/>
  <c r="G72" i="14" s="1"/>
  <c r="D72" i="14"/>
  <c r="H71" i="14"/>
  <c r="G71" i="14" s="1"/>
  <c r="D71" i="14"/>
  <c r="H70" i="14"/>
  <c r="G70" i="14" s="1"/>
  <c r="D70" i="14"/>
  <c r="H69" i="14"/>
  <c r="G69" i="14" s="1"/>
  <c r="D69" i="14"/>
  <c r="H68" i="14"/>
  <c r="G68" i="14" s="1"/>
  <c r="D68" i="14"/>
  <c r="H67" i="14"/>
  <c r="G67" i="14" s="1"/>
  <c r="D67" i="14"/>
  <c r="H66" i="14"/>
  <c r="G66" i="14" s="1"/>
  <c r="D66" i="14"/>
  <c r="H65" i="14"/>
  <c r="G65" i="14" s="1"/>
  <c r="D65" i="14"/>
  <c r="H64" i="14"/>
  <c r="G64" i="14" s="1"/>
  <c r="D64" i="14"/>
  <c r="H63" i="14"/>
  <c r="G63" i="14" s="1"/>
  <c r="D63" i="14"/>
  <c r="H62" i="14"/>
  <c r="G62" i="14" s="1"/>
  <c r="D62" i="14"/>
  <c r="H61" i="14"/>
  <c r="G61" i="14" s="1"/>
  <c r="D61" i="14"/>
  <c r="H60" i="14"/>
  <c r="G60" i="14" s="1"/>
  <c r="D60" i="14"/>
  <c r="H59" i="14"/>
  <c r="G59" i="14" s="1"/>
  <c r="D59" i="14"/>
  <c r="H58" i="14"/>
  <c r="G58" i="14" s="1"/>
  <c r="D58" i="14"/>
  <c r="H57" i="14"/>
  <c r="G57" i="14" s="1"/>
  <c r="D57" i="14"/>
  <c r="H56" i="14"/>
  <c r="G56" i="14" s="1"/>
  <c r="D56" i="14"/>
  <c r="H55" i="14"/>
  <c r="G55" i="14" s="1"/>
  <c r="D55" i="14"/>
  <c r="H54" i="14"/>
  <c r="G54" i="14" s="1"/>
  <c r="D54" i="14"/>
  <c r="H53" i="14"/>
  <c r="G53" i="14" s="1"/>
  <c r="D53" i="14"/>
  <c r="H52" i="14"/>
  <c r="G52" i="14" s="1"/>
  <c r="D52" i="14"/>
  <c r="H51" i="14"/>
  <c r="G51" i="14" s="1"/>
  <c r="D51" i="14"/>
  <c r="H50" i="14"/>
  <c r="G50" i="14" s="1"/>
  <c r="D50" i="14"/>
  <c r="H49" i="14"/>
  <c r="G49" i="14" s="1"/>
  <c r="D49" i="14"/>
  <c r="H48" i="14"/>
  <c r="G48" i="14" s="1"/>
  <c r="D48" i="14"/>
  <c r="H47" i="14"/>
  <c r="G47" i="14" s="1"/>
  <c r="D47" i="14"/>
  <c r="H46" i="14"/>
  <c r="G46" i="14" s="1"/>
  <c r="D46" i="14"/>
  <c r="H45" i="14"/>
  <c r="G45" i="14" s="1"/>
  <c r="D45" i="14"/>
  <c r="H44" i="14"/>
  <c r="G44" i="14" s="1"/>
  <c r="D44" i="14"/>
  <c r="H43" i="14"/>
  <c r="G43" i="14" s="1"/>
  <c r="D43" i="14"/>
  <c r="H42" i="14"/>
  <c r="G42" i="14" s="1"/>
  <c r="D42" i="14"/>
  <c r="H41" i="14"/>
  <c r="G41" i="14" s="1"/>
  <c r="D41" i="14"/>
  <c r="H40" i="14"/>
  <c r="G40" i="14" s="1"/>
  <c r="D40" i="14"/>
  <c r="H39" i="14"/>
  <c r="G39" i="14" s="1"/>
  <c r="D39" i="14"/>
  <c r="H38" i="14"/>
  <c r="G38" i="14" s="1"/>
  <c r="D38" i="14"/>
  <c r="H37" i="14"/>
  <c r="G37" i="14" s="1"/>
  <c r="D37" i="14"/>
  <c r="H36" i="14"/>
  <c r="G36" i="14" s="1"/>
  <c r="D36" i="14"/>
  <c r="H35" i="14"/>
  <c r="G35" i="14" s="1"/>
  <c r="D35" i="14"/>
  <c r="H34" i="14"/>
  <c r="G34" i="14" s="1"/>
  <c r="D34" i="14"/>
  <c r="H33" i="14"/>
  <c r="G33" i="14" s="1"/>
  <c r="D33" i="14"/>
  <c r="H32" i="14"/>
  <c r="G32" i="14" s="1"/>
  <c r="D32" i="14"/>
  <c r="H31" i="14"/>
  <c r="G31" i="14" s="1"/>
  <c r="D31" i="14"/>
  <c r="H30" i="14"/>
  <c r="G30" i="14" s="1"/>
  <c r="D30" i="14"/>
  <c r="H29" i="14"/>
  <c r="G29" i="14" s="1"/>
  <c r="D29" i="14"/>
  <c r="H28" i="14"/>
  <c r="G28" i="14" s="1"/>
  <c r="D28" i="14"/>
  <c r="H27" i="14"/>
  <c r="G27" i="14" s="1"/>
  <c r="D27" i="14"/>
  <c r="H26" i="14"/>
  <c r="G26" i="14" s="1"/>
  <c r="D26" i="14"/>
  <c r="H25" i="14"/>
  <c r="G25" i="14" s="1"/>
  <c r="D25" i="14"/>
  <c r="H24" i="14"/>
  <c r="G24" i="14" s="1"/>
  <c r="D24" i="14"/>
  <c r="H23" i="14"/>
  <c r="G23" i="14" s="1"/>
  <c r="D23" i="14"/>
  <c r="H22" i="14"/>
  <c r="G22" i="14" s="1"/>
  <c r="D22" i="14"/>
  <c r="H21" i="14"/>
  <c r="G21" i="14" s="1"/>
  <c r="D21" i="14"/>
  <c r="H20" i="14"/>
  <c r="G20" i="14" s="1"/>
  <c r="D20" i="14"/>
  <c r="H19" i="14"/>
  <c r="G19" i="14" s="1"/>
  <c r="D19" i="14"/>
  <c r="H18" i="14"/>
  <c r="G18" i="14" s="1"/>
  <c r="D18" i="14"/>
  <c r="H17" i="14"/>
  <c r="G17" i="14" s="1"/>
  <c r="D17" i="14"/>
  <c r="H16" i="14"/>
  <c r="G16" i="14" s="1"/>
  <c r="D16" i="14"/>
  <c r="H15" i="14"/>
  <c r="G15" i="14" s="1"/>
  <c r="D15" i="14"/>
  <c r="H14" i="14"/>
  <c r="G14" i="14" s="1"/>
  <c r="D14" i="14"/>
  <c r="H13" i="14"/>
  <c r="G13" i="14" s="1"/>
  <c r="D13" i="14"/>
  <c r="H12" i="14"/>
  <c r="G12" i="14" s="1"/>
  <c r="D12" i="14"/>
  <c r="H11" i="14"/>
  <c r="G11" i="14" s="1"/>
  <c r="D11" i="14"/>
  <c r="H10" i="14"/>
  <c r="G10" i="14" s="1"/>
  <c r="D10" i="14"/>
  <c r="H9" i="14"/>
  <c r="G9" i="14" s="1"/>
  <c r="D9" i="14"/>
  <c r="H8" i="14"/>
  <c r="G8" i="14" s="1"/>
  <c r="D8" i="14"/>
  <c r="H7" i="14"/>
  <c r="G7" i="14" s="1"/>
  <c r="D7" i="14"/>
  <c r="H6" i="14"/>
  <c r="G6" i="14" s="1"/>
  <c r="D6" i="14"/>
  <c r="H5" i="14"/>
  <c r="G5" i="14" s="1"/>
  <c r="D5" i="14"/>
  <c r="H4" i="14"/>
  <c r="G4" i="14" s="1"/>
  <c r="D4" i="14"/>
  <c r="D4" i="6" l="1"/>
  <c r="C4" i="6" s="1"/>
  <c r="D3" i="6" l="1"/>
  <c r="C3" i="6" s="1"/>
  <c r="D4" i="5"/>
  <c r="C4" i="5" s="1"/>
  <c r="D5" i="5"/>
  <c r="C5" i="5" s="1"/>
  <c r="D6" i="5"/>
  <c r="C6" i="5" s="1"/>
  <c r="D3" i="5"/>
  <c r="C3" i="5" s="1"/>
  <c r="A4" i="2"/>
  <c r="A5" i="2" s="1"/>
  <c r="B4" i="2" s="1"/>
  <c r="A6" i="2" l="1"/>
  <c r="B6" i="2" l="1"/>
  <c r="A7" i="2"/>
  <c r="A8" i="2" l="1"/>
  <c r="B7" i="2"/>
  <c r="A9" i="2" l="1"/>
  <c r="B8" i="2"/>
  <c r="A10" i="2" l="1"/>
  <c r="B10" i="2" s="1"/>
  <c r="B9" i="2"/>
  <c r="A11" i="2" l="1"/>
  <c r="B5" i="2"/>
  <c r="A12" i="2" l="1"/>
  <c r="B11" i="2"/>
  <c r="A13" i="2" l="1"/>
  <c r="B12" i="2"/>
  <c r="A14" i="2" l="1"/>
  <c r="B13" i="2"/>
  <c r="A15" i="2" l="1"/>
  <c r="B14" i="2"/>
  <c r="A16" i="2" l="1"/>
  <c r="B15" i="2"/>
  <c r="A17" i="2" l="1"/>
  <c r="B16" i="2"/>
  <c r="A18" i="2" l="1"/>
  <c r="B17" i="2"/>
  <c r="A19" i="2" l="1"/>
  <c r="B18" i="2"/>
  <c r="A20" i="2" l="1"/>
  <c r="B19" i="2"/>
  <c r="A21" i="2" l="1"/>
  <c r="B20" i="2"/>
  <c r="A22" i="2" l="1"/>
  <c r="B21" i="2"/>
  <c r="A23" i="2" l="1"/>
  <c r="B22" i="2"/>
  <c r="A24" i="2" l="1"/>
  <c r="B23" i="2"/>
  <c r="A25" i="2" l="1"/>
  <c r="B24" i="2"/>
  <c r="A26" i="2" l="1"/>
  <c r="B25" i="2"/>
  <c r="A27" i="2" l="1"/>
  <c r="B26" i="2"/>
  <c r="A28" i="2" l="1"/>
  <c r="B27" i="2"/>
  <c r="A29" i="2" l="1"/>
  <c r="B28" i="2"/>
  <c r="A30" i="2" l="1"/>
  <c r="B29" i="2"/>
  <c r="A31" i="2" l="1"/>
  <c r="B30" i="2"/>
  <c r="A32" i="2" l="1"/>
  <c r="B31" i="2"/>
  <c r="A33" i="2" l="1"/>
  <c r="B32" i="2"/>
  <c r="A34" i="2" l="1"/>
  <c r="B33" i="2"/>
  <c r="A35" i="2" l="1"/>
  <c r="B34" i="2"/>
  <c r="A36" i="2" l="1"/>
  <c r="B35" i="2"/>
  <c r="A37" i="2" l="1"/>
  <c r="B36" i="2"/>
  <c r="A38" i="2" l="1"/>
  <c r="B37" i="2"/>
  <c r="A39" i="2" l="1"/>
  <c r="B38" i="2"/>
  <c r="A40" i="2" l="1"/>
  <c r="B39" i="2"/>
  <c r="A41" i="2" l="1"/>
  <c r="B40" i="2"/>
  <c r="A42" i="2" l="1"/>
  <c r="B41" i="2"/>
  <c r="A43" i="2" l="1"/>
  <c r="B42" i="2"/>
  <c r="A44" i="2" l="1"/>
  <c r="B43" i="2"/>
  <c r="A45" i="2" l="1"/>
  <c r="B44" i="2"/>
  <c r="A46" i="2" l="1"/>
  <c r="B45" i="2"/>
  <c r="A47" i="2" l="1"/>
  <c r="B46" i="2"/>
  <c r="A48" i="2" l="1"/>
  <c r="B47" i="2"/>
  <c r="A49" i="2" l="1"/>
  <c r="B48" i="2"/>
  <c r="A50" i="2" l="1"/>
  <c r="B49" i="2"/>
  <c r="A51" i="2" l="1"/>
  <c r="B50" i="2"/>
  <c r="A52" i="2" l="1"/>
  <c r="B51" i="2"/>
  <c r="A53" i="2" l="1"/>
  <c r="B52" i="2"/>
  <c r="A54" i="2" l="1"/>
  <c r="B53" i="2"/>
  <c r="A55" i="2" l="1"/>
  <c r="B54" i="2"/>
  <c r="A56" i="2" l="1"/>
  <c r="B55" i="2"/>
  <c r="A57" i="2" l="1"/>
  <c r="B56" i="2"/>
  <c r="A58" i="2" l="1"/>
  <c r="B57" i="2"/>
  <c r="A59" i="2" l="1"/>
  <c r="B58" i="2"/>
  <c r="A60" i="2" l="1"/>
  <c r="B59" i="2"/>
  <c r="A61" i="2" l="1"/>
  <c r="B60" i="2"/>
  <c r="A62" i="2" l="1"/>
  <c r="B61" i="2"/>
  <c r="A63" i="2" l="1"/>
  <c r="B62" i="2"/>
  <c r="A64" i="2" l="1"/>
  <c r="B63" i="2"/>
  <c r="A65" i="2" l="1"/>
  <c r="B64" i="2"/>
  <c r="A66" i="2" l="1"/>
  <c r="B65" i="2"/>
  <c r="A67" i="2" l="1"/>
  <c r="B66" i="2"/>
  <c r="A68" i="2" l="1"/>
  <c r="B67" i="2"/>
  <c r="A69" i="2" l="1"/>
  <c r="B68" i="2"/>
  <c r="A70" i="2" l="1"/>
  <c r="B69" i="2"/>
  <c r="A71" i="2" l="1"/>
  <c r="B70" i="2"/>
  <c r="A72" i="2" l="1"/>
  <c r="B71" i="2"/>
  <c r="A73" i="2" l="1"/>
  <c r="B72" i="2"/>
  <c r="A74" i="2" l="1"/>
  <c r="B73" i="2"/>
  <c r="A75" i="2" l="1"/>
  <c r="B74" i="2"/>
  <c r="A76" i="2" l="1"/>
  <c r="B75" i="2"/>
  <c r="A77" i="2" l="1"/>
  <c r="B76" i="2"/>
  <c r="A78" i="2" l="1"/>
  <c r="B77" i="2"/>
  <c r="A79" i="2" l="1"/>
  <c r="B78" i="2"/>
  <c r="C54" i="2" l="1"/>
  <c r="D54" i="2" s="1"/>
  <c r="C55" i="2"/>
  <c r="D55" i="2" s="1"/>
  <c r="C56" i="2"/>
  <c r="D56" i="2" s="1"/>
  <c r="C57" i="2"/>
  <c r="D57" i="2" s="1"/>
  <c r="C58" i="2"/>
  <c r="D58" i="2" s="1"/>
  <c r="C60" i="2"/>
  <c r="D60" i="2" s="1"/>
  <c r="C63" i="2"/>
  <c r="D63" i="2" s="1"/>
  <c r="C62" i="2"/>
  <c r="D62" i="2" s="1"/>
  <c r="C59" i="2"/>
  <c r="D59" i="2" s="1"/>
  <c r="C64" i="2"/>
  <c r="D64" i="2" s="1"/>
  <c r="C61" i="2"/>
  <c r="D61" i="2" s="1"/>
  <c r="C67" i="2"/>
  <c r="D67" i="2" s="1"/>
  <c r="C66" i="2"/>
  <c r="D66" i="2" s="1"/>
  <c r="C65" i="2"/>
  <c r="D65" i="2" s="1"/>
  <c r="C68" i="2"/>
  <c r="D68" i="2" s="1"/>
  <c r="C69" i="2"/>
  <c r="D69" i="2" s="1"/>
  <c r="C70" i="2"/>
  <c r="D70" i="2" s="1"/>
  <c r="C76" i="2"/>
  <c r="D76" i="2" s="1"/>
  <c r="C75" i="2"/>
  <c r="D75" i="2" s="1"/>
  <c r="C72" i="2"/>
  <c r="D72" i="2" s="1"/>
  <c r="C71" i="2"/>
  <c r="D71" i="2" s="1"/>
  <c r="C73" i="2"/>
  <c r="D73" i="2" s="1"/>
  <c r="C74" i="2"/>
  <c r="D74" i="2" s="1"/>
  <c r="C77" i="2"/>
  <c r="D77" i="2" s="1"/>
  <c r="E54" i="2"/>
  <c r="F54" i="2"/>
  <c r="C78" i="2"/>
  <c r="D78" i="2" s="1"/>
  <c r="C18" i="2"/>
  <c r="D18" i="2" s="1"/>
  <c r="C20" i="2"/>
  <c r="D20" i="2" s="1"/>
  <c r="C19" i="2"/>
  <c r="D19" i="2" s="1"/>
  <c r="C22" i="2"/>
  <c r="D22" i="2" s="1"/>
  <c r="C24" i="2"/>
  <c r="D24" i="2" s="1"/>
  <c r="C21" i="2"/>
  <c r="D21" i="2" s="1"/>
  <c r="C23" i="2"/>
  <c r="D23" i="2" s="1"/>
  <c r="C25" i="2"/>
  <c r="D25" i="2" s="1"/>
  <c r="C26" i="2"/>
  <c r="D26" i="2" s="1"/>
  <c r="C27" i="2"/>
  <c r="D27" i="2" s="1"/>
  <c r="C28" i="2"/>
  <c r="D28" i="2" s="1"/>
  <c r="C29" i="2"/>
  <c r="D29" i="2" s="1"/>
  <c r="C30" i="2"/>
  <c r="D30" i="2" s="1"/>
  <c r="C32" i="2"/>
  <c r="D32" i="2" s="1"/>
  <c r="C31" i="2"/>
  <c r="D31" i="2" s="1"/>
  <c r="C33" i="2"/>
  <c r="D33" i="2" s="1"/>
  <c r="C35" i="2"/>
  <c r="D35" i="2" s="1"/>
  <c r="C34" i="2"/>
  <c r="D34" i="2" s="1"/>
  <c r="C37" i="2"/>
  <c r="D37" i="2" s="1"/>
  <c r="C36" i="2"/>
  <c r="D36" i="2" s="1"/>
  <c r="C38" i="2"/>
  <c r="D38" i="2" s="1"/>
  <c r="C39" i="2"/>
  <c r="D39" i="2" s="1"/>
  <c r="C40" i="2"/>
  <c r="D40" i="2" s="1"/>
  <c r="C41" i="2"/>
  <c r="D41" i="2" s="1"/>
  <c r="C43" i="2"/>
  <c r="D43" i="2" s="1"/>
  <c r="C42" i="2"/>
  <c r="D42" i="2" s="1"/>
  <c r="C46" i="2"/>
  <c r="D46" i="2" s="1"/>
  <c r="C44" i="2"/>
  <c r="D44" i="2" s="1"/>
  <c r="C45" i="2"/>
  <c r="D45" i="2" s="1"/>
  <c r="C47" i="2"/>
  <c r="D47" i="2" s="1"/>
  <c r="C48" i="2"/>
  <c r="D48" i="2" s="1"/>
  <c r="C49" i="2"/>
  <c r="D49" i="2" s="1"/>
  <c r="C50" i="2"/>
  <c r="D50" i="2" s="1"/>
  <c r="C51" i="2"/>
  <c r="D51" i="2" s="1"/>
  <c r="C52" i="2"/>
  <c r="D52" i="2" s="1"/>
  <c r="C53" i="2"/>
  <c r="D53" i="2" s="1"/>
  <c r="C7" i="2"/>
  <c r="D7" i="2" s="1"/>
  <c r="C9" i="2"/>
  <c r="D9" i="2" s="1"/>
  <c r="C6" i="2"/>
  <c r="D6" i="2" s="1"/>
  <c r="C10" i="2"/>
  <c r="D10" i="2" s="1"/>
  <c r="C8" i="2"/>
  <c r="D8" i="2" s="1"/>
  <c r="C5" i="2"/>
  <c r="D5" i="2" s="1"/>
  <c r="C13" i="2"/>
  <c r="D13" i="2" s="1"/>
  <c r="C11" i="2"/>
  <c r="D11" i="2" s="1"/>
  <c r="C12" i="2"/>
  <c r="D12" i="2" s="1"/>
  <c r="C14" i="2"/>
  <c r="D14" i="2" s="1"/>
  <c r="C16" i="2"/>
  <c r="D16" i="2" s="1"/>
  <c r="C15" i="2"/>
  <c r="D15" i="2" s="1"/>
  <c r="C17" i="2"/>
  <c r="D17" i="2" s="1"/>
  <c r="A80" i="2"/>
  <c r="B79" i="2"/>
  <c r="C79" i="2" s="1"/>
  <c r="D79" i="2" s="1"/>
  <c r="E77" i="2" l="1"/>
  <c r="F77" i="2"/>
  <c r="E69" i="2"/>
  <c r="F69" i="2"/>
  <c r="E62" i="2"/>
  <c r="F62" i="2"/>
  <c r="E68" i="2"/>
  <c r="F68" i="2"/>
  <c r="E73" i="2"/>
  <c r="F73" i="2"/>
  <c r="E65" i="2"/>
  <c r="F65" i="2"/>
  <c r="E60" i="2"/>
  <c r="F60" i="2"/>
  <c r="E63" i="2"/>
  <c r="F63" i="2"/>
  <c r="E71" i="2"/>
  <c r="F71" i="2"/>
  <c r="F66" i="2"/>
  <c r="E66" i="2"/>
  <c r="E58" i="2"/>
  <c r="F58" i="2"/>
  <c r="F74" i="2"/>
  <c r="E74" i="2"/>
  <c r="E72" i="2"/>
  <c r="F72" i="2"/>
  <c r="E67" i="2"/>
  <c r="F67" i="2"/>
  <c r="E57" i="2"/>
  <c r="F57" i="2"/>
  <c r="E75" i="2"/>
  <c r="F75" i="2"/>
  <c r="E61" i="2"/>
  <c r="F61" i="2"/>
  <c r="F56" i="2"/>
  <c r="E56" i="2"/>
  <c r="F76" i="2"/>
  <c r="E76" i="2"/>
  <c r="F64" i="2"/>
  <c r="E64" i="2"/>
  <c r="F55" i="2"/>
  <c r="E55" i="2"/>
  <c r="E70" i="2"/>
  <c r="F70" i="2"/>
  <c r="E59" i="2"/>
  <c r="F59" i="2"/>
  <c r="E48" i="2"/>
  <c r="F48" i="2"/>
  <c r="E9" i="2"/>
  <c r="F9" i="2"/>
  <c r="E7" i="2"/>
  <c r="F7" i="2"/>
  <c r="E38" i="2"/>
  <c r="F38" i="2"/>
  <c r="E30" i="2"/>
  <c r="F30" i="2"/>
  <c r="E24" i="2"/>
  <c r="F24" i="2"/>
  <c r="E6" i="2"/>
  <c r="F6" i="2"/>
  <c r="E14" i="2"/>
  <c r="F14" i="2"/>
  <c r="E12" i="2"/>
  <c r="F12" i="2"/>
  <c r="E45" i="2"/>
  <c r="F45" i="2"/>
  <c r="E11" i="2"/>
  <c r="F11" i="2"/>
  <c r="E53" i="2"/>
  <c r="F53" i="2"/>
  <c r="E44" i="2"/>
  <c r="F44" i="2"/>
  <c r="E36" i="2"/>
  <c r="F36" i="2"/>
  <c r="E29" i="2"/>
  <c r="F29" i="2"/>
  <c r="E22" i="2"/>
  <c r="F22" i="2"/>
  <c r="E79" i="2"/>
  <c r="F79" i="2"/>
  <c r="E19" i="2"/>
  <c r="F19" i="2"/>
  <c r="E46" i="2"/>
  <c r="F46" i="2"/>
  <c r="E5" i="2"/>
  <c r="F5" i="2"/>
  <c r="E51" i="2"/>
  <c r="F51" i="2"/>
  <c r="E42" i="2"/>
  <c r="F42" i="2"/>
  <c r="E34" i="2"/>
  <c r="F34" i="2"/>
  <c r="E27" i="2"/>
  <c r="F27" i="2"/>
  <c r="E20" i="2"/>
  <c r="F20" i="2"/>
  <c r="E13" i="2"/>
  <c r="F13" i="2"/>
  <c r="E28" i="2"/>
  <c r="F28" i="2"/>
  <c r="E8" i="2"/>
  <c r="F8" i="2"/>
  <c r="E50" i="2"/>
  <c r="F50" i="2"/>
  <c r="E43" i="2"/>
  <c r="F43" i="2"/>
  <c r="E35" i="2"/>
  <c r="F35" i="2"/>
  <c r="E26" i="2"/>
  <c r="F26" i="2"/>
  <c r="E18" i="2"/>
  <c r="F18" i="2"/>
  <c r="E16" i="2"/>
  <c r="F16" i="2"/>
  <c r="E52" i="2"/>
  <c r="F52" i="2"/>
  <c r="E37" i="2"/>
  <c r="F37" i="2"/>
  <c r="E17" i="2"/>
  <c r="F17" i="2"/>
  <c r="E15" i="2"/>
  <c r="F15" i="2"/>
  <c r="E10" i="2"/>
  <c r="F10" i="2"/>
  <c r="E49" i="2"/>
  <c r="F49" i="2"/>
  <c r="E41" i="2"/>
  <c r="F41" i="2"/>
  <c r="E33" i="2"/>
  <c r="F33" i="2"/>
  <c r="E25" i="2"/>
  <c r="F25" i="2"/>
  <c r="E78" i="2"/>
  <c r="F78" i="2"/>
  <c r="E31" i="2"/>
  <c r="F31" i="2"/>
  <c r="E23" i="2"/>
  <c r="F23" i="2"/>
  <c r="E40" i="2"/>
  <c r="F40" i="2"/>
  <c r="E47" i="2"/>
  <c r="F47" i="2"/>
  <c r="E39" i="2"/>
  <c r="F39" i="2"/>
  <c r="E32" i="2"/>
  <c r="F32" i="2"/>
  <c r="E21" i="2"/>
  <c r="F21" i="2"/>
  <c r="A81" i="2"/>
  <c r="B80" i="2"/>
  <c r="C80" i="2" s="1"/>
  <c r="D80" i="2" s="1"/>
  <c r="E80" i="2" l="1"/>
  <c r="F80" i="2"/>
  <c r="A82" i="2"/>
  <c r="B81" i="2"/>
  <c r="C81" i="2" l="1"/>
  <c r="D81" i="2" s="1"/>
  <c r="A83" i="2"/>
  <c r="B82" i="2"/>
  <c r="E81" i="2" l="1"/>
  <c r="F81" i="2"/>
  <c r="C82" i="2"/>
  <c r="D82" i="2" s="1"/>
  <c r="A84" i="2"/>
  <c r="B83" i="2"/>
  <c r="E82" i="2" l="1"/>
  <c r="F82" i="2"/>
  <c r="C83" i="2"/>
  <c r="D83" i="2" s="1"/>
  <c r="A85" i="2"/>
  <c r="B84" i="2"/>
  <c r="E83" i="2" l="1"/>
  <c r="F83" i="2"/>
  <c r="C84" i="2"/>
  <c r="D84" i="2" s="1"/>
  <c r="A86" i="2"/>
  <c r="B85" i="2"/>
  <c r="C85" i="2" s="1"/>
  <c r="D85" i="2" s="1"/>
  <c r="E85" i="2" l="1"/>
  <c r="F85" i="2"/>
  <c r="E84" i="2"/>
  <c r="F84" i="2"/>
  <c r="A87" i="2"/>
  <c r="B86" i="2"/>
  <c r="C86" i="2" s="1"/>
  <c r="D86" i="2" s="1"/>
  <c r="E86" i="2" l="1"/>
  <c r="F86" i="2"/>
  <c r="A88" i="2"/>
  <c r="B87" i="2"/>
  <c r="C87" i="2" s="1"/>
  <c r="D87" i="2" s="1"/>
  <c r="E87" i="2" l="1"/>
  <c r="F87" i="2"/>
  <c r="A89" i="2"/>
  <c r="B88" i="2"/>
  <c r="C88" i="2" s="1"/>
  <c r="D88" i="2" s="1"/>
  <c r="E88" i="2" l="1"/>
  <c r="F88" i="2"/>
  <c r="A90" i="2"/>
  <c r="B89" i="2"/>
  <c r="C89" i="2" s="1"/>
  <c r="D89" i="2" s="1"/>
  <c r="E89" i="2" l="1"/>
  <c r="F89" i="2"/>
  <c r="A91" i="2"/>
  <c r="B90" i="2"/>
  <c r="C90" i="2" s="1"/>
  <c r="D90" i="2" s="1"/>
  <c r="E90" i="2" l="1"/>
  <c r="F90" i="2"/>
  <c r="A92" i="2"/>
  <c r="B91" i="2"/>
  <c r="C91" i="2" s="1"/>
  <c r="D91" i="2" s="1"/>
  <c r="E91" i="2" l="1"/>
  <c r="F91" i="2"/>
  <c r="A93" i="2"/>
  <c r="B92" i="2"/>
  <c r="C92" i="2" s="1"/>
  <c r="D92" i="2" s="1"/>
  <c r="E92" i="2" l="1"/>
  <c r="F92" i="2"/>
  <c r="A94" i="2"/>
  <c r="B93" i="2"/>
  <c r="C93" i="2" s="1"/>
  <c r="D93" i="2" s="1"/>
  <c r="E93" i="2" l="1"/>
  <c r="F93" i="2"/>
  <c r="A95" i="2"/>
  <c r="B94" i="2"/>
  <c r="C94" i="2" s="1"/>
  <c r="D94" i="2" s="1"/>
  <c r="E94" i="2" l="1"/>
  <c r="F94" i="2"/>
  <c r="A96" i="2"/>
  <c r="B95" i="2"/>
  <c r="C95" i="2" s="1"/>
  <c r="D95" i="2" s="1"/>
  <c r="E95" i="2" l="1"/>
  <c r="F95" i="2"/>
  <c r="A97" i="2"/>
  <c r="B96" i="2"/>
  <c r="C96" i="2" s="1"/>
  <c r="D96" i="2" s="1"/>
  <c r="E96" i="2" l="1"/>
  <c r="F96" i="2"/>
  <c r="A98" i="2"/>
  <c r="B97" i="2"/>
  <c r="C97" i="2" s="1"/>
  <c r="D97" i="2" s="1"/>
  <c r="E97" i="2" l="1"/>
  <c r="F97" i="2"/>
  <c r="A99" i="2"/>
  <c r="B98" i="2"/>
  <c r="C98" i="2" s="1"/>
  <c r="D98" i="2" s="1"/>
  <c r="E98" i="2" l="1"/>
  <c r="F98" i="2"/>
  <c r="A100" i="2"/>
  <c r="B99" i="2"/>
  <c r="C99" i="2" s="1"/>
  <c r="D99" i="2" s="1"/>
  <c r="E99" i="2" l="1"/>
  <c r="F99" i="2"/>
  <c r="A101" i="2"/>
  <c r="B100" i="2"/>
  <c r="C100" i="2" s="1"/>
  <c r="D100" i="2" s="1"/>
  <c r="E100" i="2" l="1"/>
  <c r="F100" i="2"/>
  <c r="A102" i="2"/>
  <c r="B101" i="2"/>
  <c r="C101" i="2" s="1"/>
  <c r="D101" i="2" s="1"/>
  <c r="E101" i="2" l="1"/>
  <c r="F101" i="2"/>
  <c r="A103" i="2"/>
  <c r="B102" i="2"/>
  <c r="C102" i="2" s="1"/>
  <c r="D102" i="2" s="1"/>
  <c r="E102" i="2" l="1"/>
  <c r="F102" i="2"/>
  <c r="A104" i="2"/>
  <c r="B103" i="2"/>
  <c r="C103" i="2" s="1"/>
  <c r="D103" i="2" s="1"/>
  <c r="E103" i="2" l="1"/>
  <c r="F103" i="2"/>
  <c r="A105" i="2"/>
  <c r="B104" i="2"/>
  <c r="C104" i="2" s="1"/>
  <c r="D104" i="2" s="1"/>
  <c r="E104" i="2" l="1"/>
  <c r="F104" i="2"/>
  <c r="A106" i="2"/>
  <c r="B105" i="2"/>
  <c r="C105" i="2" s="1"/>
  <c r="D105" i="2" s="1"/>
  <c r="E105" i="2" l="1"/>
  <c r="F105" i="2"/>
  <c r="A107" i="2"/>
  <c r="B106" i="2"/>
  <c r="C106" i="2" s="1"/>
  <c r="D106" i="2" s="1"/>
  <c r="E106" i="2" l="1"/>
  <c r="F106" i="2"/>
  <c r="A108" i="2"/>
  <c r="B107" i="2"/>
  <c r="C107" i="2" s="1"/>
  <c r="D107" i="2" s="1"/>
  <c r="E107" i="2" l="1"/>
  <c r="F107" i="2"/>
  <c r="A109" i="2"/>
  <c r="B108" i="2"/>
  <c r="C108" i="2" s="1"/>
  <c r="D108" i="2" s="1"/>
  <c r="E108" i="2" l="1"/>
  <c r="F108" i="2"/>
  <c r="A110" i="2"/>
  <c r="B109" i="2"/>
  <c r="C109" i="2" s="1"/>
  <c r="D109" i="2" s="1"/>
  <c r="E109" i="2" l="1"/>
  <c r="F109" i="2"/>
  <c r="A111" i="2"/>
  <c r="B110" i="2"/>
  <c r="C110" i="2" s="1"/>
  <c r="D110" i="2" s="1"/>
  <c r="E110" i="2" l="1"/>
  <c r="F110" i="2"/>
  <c r="A112" i="2"/>
  <c r="B111" i="2"/>
  <c r="C111" i="2" s="1"/>
  <c r="D111" i="2" s="1"/>
  <c r="E111" i="2" l="1"/>
  <c r="F111" i="2"/>
  <c r="A113" i="2"/>
  <c r="B112" i="2"/>
  <c r="C112" i="2" s="1"/>
  <c r="D112" i="2" s="1"/>
  <c r="E112" i="2" l="1"/>
  <c r="F112" i="2"/>
  <c r="A114" i="2"/>
  <c r="B113" i="2"/>
  <c r="C113" i="2" s="1"/>
  <c r="D113" i="2" s="1"/>
  <c r="E113" i="2" l="1"/>
  <c r="F113" i="2"/>
  <c r="A115" i="2"/>
  <c r="B114" i="2"/>
  <c r="C114" i="2" s="1"/>
  <c r="D114" i="2" s="1"/>
  <c r="E114" i="2" l="1"/>
  <c r="F114" i="2"/>
  <c r="A116" i="2"/>
  <c r="B115" i="2"/>
  <c r="C115" i="2" s="1"/>
  <c r="D115" i="2" s="1"/>
  <c r="E115" i="2" l="1"/>
  <c r="F115" i="2"/>
  <c r="A117" i="2"/>
  <c r="B116" i="2"/>
  <c r="C116" i="2" s="1"/>
  <c r="D116" i="2" s="1"/>
  <c r="E116" i="2" l="1"/>
  <c r="F116" i="2"/>
  <c r="A118" i="2"/>
  <c r="B117" i="2"/>
  <c r="C117" i="2" s="1"/>
  <c r="D117" i="2" s="1"/>
  <c r="E117" i="2" l="1"/>
  <c r="F117" i="2"/>
  <c r="A119" i="2"/>
  <c r="B118" i="2"/>
  <c r="C118" i="2" s="1"/>
  <c r="D118" i="2" s="1"/>
  <c r="E118" i="2" l="1"/>
  <c r="F118" i="2"/>
  <c r="A120" i="2"/>
  <c r="B119" i="2"/>
  <c r="C119" i="2" s="1"/>
  <c r="D119" i="2" s="1"/>
  <c r="E119" i="2" l="1"/>
  <c r="F119" i="2"/>
  <c r="A121" i="2"/>
  <c r="B120" i="2"/>
  <c r="C120" i="2" s="1"/>
  <c r="D120" i="2" s="1"/>
  <c r="E120" i="2" l="1"/>
  <c r="F120" i="2"/>
  <c r="A122" i="2"/>
  <c r="B121" i="2"/>
  <c r="C121" i="2" s="1"/>
  <c r="D121" i="2" s="1"/>
  <c r="E121" i="2" l="1"/>
  <c r="F121" i="2"/>
  <c r="A123" i="2"/>
  <c r="B122" i="2"/>
  <c r="C122" i="2" s="1"/>
  <c r="D122" i="2" s="1"/>
  <c r="E122" i="2" l="1"/>
  <c r="F122" i="2"/>
  <c r="A124" i="2"/>
  <c r="B123" i="2"/>
  <c r="C123" i="2" s="1"/>
  <c r="D123" i="2" s="1"/>
  <c r="E123" i="2" l="1"/>
  <c r="F123" i="2"/>
  <c r="A125" i="2"/>
  <c r="B124" i="2"/>
  <c r="C124" i="2" s="1"/>
  <c r="D124" i="2" s="1"/>
  <c r="E124" i="2" l="1"/>
  <c r="F124" i="2"/>
  <c r="A126" i="2"/>
  <c r="B125" i="2"/>
  <c r="C125" i="2" s="1"/>
  <c r="D125" i="2" s="1"/>
  <c r="E125" i="2" l="1"/>
  <c r="F125" i="2"/>
  <c r="A127" i="2"/>
  <c r="B126" i="2"/>
  <c r="C126" i="2" s="1"/>
  <c r="D126" i="2" s="1"/>
  <c r="E126" i="2" l="1"/>
  <c r="F126" i="2"/>
  <c r="A128" i="2"/>
  <c r="B127" i="2"/>
  <c r="C127" i="2" s="1"/>
  <c r="D127" i="2" s="1"/>
  <c r="E127" i="2" l="1"/>
  <c r="F127" i="2"/>
  <c r="A129" i="2"/>
  <c r="B128" i="2"/>
  <c r="C128" i="2" s="1"/>
  <c r="D128" i="2" s="1"/>
  <c r="E128" i="2" l="1"/>
  <c r="F128" i="2"/>
  <c r="A130" i="2"/>
  <c r="B129" i="2"/>
  <c r="C129" i="2" s="1"/>
  <c r="D129" i="2" s="1"/>
  <c r="E129" i="2" l="1"/>
  <c r="F129" i="2"/>
  <c r="A131" i="2"/>
  <c r="B130" i="2"/>
  <c r="C130" i="2" s="1"/>
  <c r="D130" i="2" s="1"/>
  <c r="E130" i="2" l="1"/>
  <c r="F130" i="2"/>
  <c r="A132" i="2"/>
  <c r="B131" i="2"/>
  <c r="C131" i="2" s="1"/>
  <c r="D131" i="2" s="1"/>
  <c r="E131" i="2" l="1"/>
  <c r="F131" i="2"/>
  <c r="A133" i="2"/>
  <c r="B132" i="2"/>
  <c r="C132" i="2" s="1"/>
  <c r="D132" i="2" s="1"/>
  <c r="E132" i="2" l="1"/>
  <c r="F132" i="2"/>
  <c r="A134" i="2"/>
  <c r="B133" i="2"/>
  <c r="C133" i="2" s="1"/>
  <c r="D133" i="2" s="1"/>
  <c r="E133" i="2" l="1"/>
  <c r="F133" i="2"/>
  <c r="A135" i="2"/>
  <c r="B134" i="2"/>
  <c r="C134" i="2" s="1"/>
  <c r="D134" i="2" s="1"/>
  <c r="E134" i="2" l="1"/>
  <c r="F134" i="2"/>
  <c r="A136" i="2"/>
  <c r="B135" i="2"/>
  <c r="C135" i="2" s="1"/>
  <c r="D135" i="2" s="1"/>
  <c r="E135" i="2" l="1"/>
  <c r="F135" i="2"/>
  <c r="A137" i="2"/>
  <c r="B136" i="2"/>
  <c r="C136" i="2" s="1"/>
  <c r="D136" i="2" s="1"/>
  <c r="E136" i="2" l="1"/>
  <c r="F136" i="2"/>
  <c r="A138" i="2"/>
  <c r="B137" i="2"/>
  <c r="C137" i="2" s="1"/>
  <c r="D137" i="2" s="1"/>
  <c r="E137" i="2" l="1"/>
  <c r="F137" i="2"/>
  <c r="A139" i="2"/>
  <c r="B138" i="2"/>
  <c r="C138" i="2" s="1"/>
  <c r="D138" i="2" s="1"/>
  <c r="E138" i="2" l="1"/>
  <c r="F138" i="2"/>
  <c r="A140" i="2"/>
  <c r="B139" i="2"/>
  <c r="C139" i="2" s="1"/>
  <c r="D139" i="2" s="1"/>
  <c r="E139" i="2" l="1"/>
  <c r="F139" i="2"/>
  <c r="A141" i="2"/>
  <c r="B140" i="2"/>
  <c r="C140" i="2" s="1"/>
  <c r="D140" i="2" s="1"/>
  <c r="E140" i="2" l="1"/>
  <c r="F140" i="2"/>
  <c r="A142" i="2"/>
  <c r="B141" i="2"/>
  <c r="C141" i="2" s="1"/>
  <c r="D141" i="2" s="1"/>
  <c r="E141" i="2" l="1"/>
  <c r="F141" i="2"/>
  <c r="A143" i="2"/>
  <c r="B142" i="2"/>
  <c r="C142" i="2" s="1"/>
  <c r="D142" i="2" s="1"/>
  <c r="E142" i="2" l="1"/>
  <c r="F142" i="2"/>
  <c r="A144" i="2"/>
  <c r="B143" i="2"/>
  <c r="C143" i="2" s="1"/>
  <c r="D143" i="2" s="1"/>
  <c r="E143" i="2" l="1"/>
  <c r="F143" i="2"/>
  <c r="A145" i="2"/>
  <c r="B144" i="2"/>
  <c r="C144" i="2" s="1"/>
  <c r="D144" i="2" s="1"/>
  <c r="E144" i="2" l="1"/>
  <c r="F144" i="2"/>
  <c r="A146" i="2"/>
  <c r="B145" i="2"/>
  <c r="C145" i="2" s="1"/>
  <c r="D145" i="2" s="1"/>
  <c r="E145" i="2" l="1"/>
  <c r="F145" i="2"/>
  <c r="A147" i="2"/>
  <c r="B146" i="2"/>
  <c r="C146" i="2" s="1"/>
  <c r="D146" i="2" s="1"/>
  <c r="E146" i="2" l="1"/>
  <c r="F146" i="2"/>
  <c r="A148" i="2"/>
  <c r="B147" i="2"/>
  <c r="C147" i="2" s="1"/>
  <c r="D147" i="2" s="1"/>
  <c r="E147" i="2" l="1"/>
  <c r="F147" i="2"/>
  <c r="A149" i="2"/>
  <c r="B148" i="2"/>
  <c r="C148" i="2" s="1"/>
  <c r="D148" i="2" s="1"/>
  <c r="E148" i="2" l="1"/>
  <c r="F148" i="2"/>
  <c r="A150" i="2"/>
  <c r="B149" i="2"/>
  <c r="C149" i="2" s="1"/>
  <c r="D149" i="2" s="1"/>
  <c r="E149" i="2" l="1"/>
  <c r="F149" i="2"/>
  <c r="A151" i="2"/>
  <c r="B150" i="2"/>
  <c r="C150" i="2" s="1"/>
  <c r="D150" i="2" s="1"/>
  <c r="E150" i="2" l="1"/>
  <c r="F150" i="2"/>
  <c r="A152" i="2"/>
  <c r="B151" i="2"/>
  <c r="C151" i="2" s="1"/>
  <c r="D151" i="2" s="1"/>
  <c r="E151" i="2" l="1"/>
  <c r="F151" i="2"/>
  <c r="A153" i="2"/>
  <c r="B152" i="2"/>
  <c r="C152" i="2" s="1"/>
  <c r="D152" i="2" s="1"/>
  <c r="E152" i="2" l="1"/>
  <c r="F152" i="2"/>
  <c r="A154" i="2"/>
  <c r="B153" i="2"/>
  <c r="C153" i="2" s="1"/>
  <c r="D153" i="2" s="1"/>
  <c r="E153" i="2" l="1"/>
  <c r="F153" i="2"/>
  <c r="A155" i="2"/>
  <c r="B154" i="2"/>
  <c r="C154" i="2" s="1"/>
  <c r="D154" i="2" s="1"/>
  <c r="E154" i="2" l="1"/>
  <c r="F154" i="2"/>
  <c r="A156" i="2"/>
  <c r="B155" i="2"/>
  <c r="C155" i="2" s="1"/>
  <c r="D155" i="2" s="1"/>
  <c r="E155" i="2" l="1"/>
  <c r="F155" i="2"/>
  <c r="A157" i="2"/>
  <c r="B156" i="2"/>
  <c r="C156" i="2" s="1"/>
  <c r="D156" i="2" s="1"/>
  <c r="E156" i="2" l="1"/>
  <c r="F156" i="2"/>
  <c r="A158" i="2"/>
  <c r="B157" i="2"/>
  <c r="C157" i="2" s="1"/>
  <c r="D157" i="2" s="1"/>
  <c r="E157" i="2" l="1"/>
  <c r="F157" i="2"/>
  <c r="A159" i="2"/>
  <c r="B158" i="2"/>
  <c r="C158" i="2" s="1"/>
  <c r="D158" i="2" s="1"/>
  <c r="E158" i="2" l="1"/>
  <c r="F158" i="2"/>
  <c r="A160" i="2"/>
  <c r="B159" i="2"/>
  <c r="C159" i="2" s="1"/>
  <c r="D159" i="2" s="1"/>
  <c r="E159" i="2" l="1"/>
  <c r="F159" i="2"/>
  <c r="A161" i="2"/>
  <c r="B160" i="2"/>
  <c r="C160" i="2" s="1"/>
  <c r="D160" i="2" s="1"/>
  <c r="E160" i="2" l="1"/>
  <c r="F160" i="2"/>
  <c r="A162" i="2"/>
  <c r="B161" i="2"/>
  <c r="C161" i="2" s="1"/>
  <c r="D161" i="2" s="1"/>
  <c r="E161" i="2" l="1"/>
  <c r="F161" i="2"/>
  <c r="A163" i="2"/>
  <c r="B162" i="2"/>
  <c r="C162" i="2" s="1"/>
  <c r="D162" i="2" s="1"/>
  <c r="E162" i="2" l="1"/>
  <c r="F162" i="2"/>
  <c r="A164" i="2"/>
  <c r="B163" i="2"/>
  <c r="C163" i="2" s="1"/>
  <c r="D163" i="2" s="1"/>
  <c r="E163" i="2" l="1"/>
  <c r="F163" i="2"/>
  <c r="A165" i="2"/>
  <c r="B164" i="2"/>
  <c r="C164" i="2" s="1"/>
  <c r="D164" i="2" s="1"/>
  <c r="E164" i="2" l="1"/>
  <c r="F164" i="2"/>
  <c r="A166" i="2"/>
  <c r="B165" i="2"/>
  <c r="C165" i="2" s="1"/>
  <c r="D165" i="2" s="1"/>
  <c r="E165" i="2" l="1"/>
  <c r="F165" i="2"/>
  <c r="A167" i="2"/>
  <c r="B166" i="2"/>
  <c r="C166" i="2" s="1"/>
  <c r="D166" i="2" s="1"/>
  <c r="E166" i="2" l="1"/>
  <c r="F166" i="2"/>
  <c r="A168" i="2"/>
  <c r="B167" i="2"/>
  <c r="C167" i="2" s="1"/>
  <c r="D167" i="2" s="1"/>
  <c r="E167" i="2" l="1"/>
  <c r="F167" i="2"/>
  <c r="A169" i="2"/>
  <c r="B168" i="2"/>
  <c r="C168" i="2" s="1"/>
  <c r="D168" i="2" s="1"/>
  <c r="E168" i="2" l="1"/>
  <c r="F168" i="2"/>
  <c r="A170" i="2"/>
  <c r="B169" i="2"/>
  <c r="C169" i="2" s="1"/>
  <c r="D169" i="2" s="1"/>
  <c r="E169" i="2" l="1"/>
  <c r="F169" i="2"/>
  <c r="A171" i="2"/>
  <c r="B170" i="2"/>
  <c r="C170" i="2" s="1"/>
  <c r="D170" i="2" s="1"/>
  <c r="E170" i="2" l="1"/>
  <c r="F170" i="2"/>
  <c r="A172" i="2"/>
  <c r="B171" i="2"/>
  <c r="C171" i="2" s="1"/>
  <c r="D171" i="2" s="1"/>
  <c r="E171" i="2" l="1"/>
  <c r="F171" i="2"/>
  <c r="A173" i="2"/>
  <c r="B172" i="2"/>
  <c r="C172" i="2" s="1"/>
  <c r="D172" i="2" s="1"/>
  <c r="E172" i="2" l="1"/>
  <c r="F172" i="2"/>
  <c r="A174" i="2"/>
  <c r="B173" i="2"/>
  <c r="C173" i="2" s="1"/>
  <c r="D173" i="2" s="1"/>
  <c r="E173" i="2" l="1"/>
  <c r="F173" i="2"/>
  <c r="A175" i="2"/>
  <c r="B174" i="2"/>
  <c r="C174" i="2" s="1"/>
  <c r="D174" i="2" s="1"/>
  <c r="E174" i="2" l="1"/>
  <c r="F174" i="2"/>
  <c r="A176" i="2"/>
  <c r="B175" i="2"/>
  <c r="C175" i="2" s="1"/>
  <c r="D175" i="2" s="1"/>
  <c r="E175" i="2" l="1"/>
  <c r="F175" i="2"/>
  <c r="A177" i="2"/>
  <c r="B176" i="2"/>
  <c r="C176" i="2" s="1"/>
  <c r="D176" i="2" s="1"/>
  <c r="E176" i="2" l="1"/>
  <c r="F176" i="2"/>
  <c r="A178" i="2"/>
  <c r="B177" i="2"/>
  <c r="C177" i="2" s="1"/>
  <c r="D177" i="2" s="1"/>
  <c r="E177" i="2" l="1"/>
  <c r="F177" i="2"/>
  <c r="A179" i="2"/>
  <c r="B178" i="2"/>
  <c r="C178" i="2" s="1"/>
  <c r="D178" i="2" s="1"/>
  <c r="E178" i="2" l="1"/>
  <c r="F178" i="2"/>
  <c r="A180" i="2"/>
  <c r="B179" i="2"/>
  <c r="C179" i="2" s="1"/>
  <c r="D179" i="2" s="1"/>
  <c r="E179" i="2" l="1"/>
  <c r="F179" i="2"/>
  <c r="A181" i="2"/>
  <c r="B180" i="2"/>
  <c r="C180" i="2" s="1"/>
  <c r="D180" i="2" s="1"/>
  <c r="E180" i="2" l="1"/>
  <c r="F180" i="2"/>
  <c r="A182" i="2"/>
  <c r="B181" i="2"/>
  <c r="C181" i="2" s="1"/>
  <c r="D181" i="2" s="1"/>
  <c r="E181" i="2" l="1"/>
  <c r="F181" i="2"/>
  <c r="A183" i="2"/>
  <c r="B182" i="2"/>
  <c r="C182" i="2" s="1"/>
  <c r="D182" i="2" s="1"/>
  <c r="E182" i="2" l="1"/>
  <c r="F182" i="2"/>
  <c r="A184" i="2"/>
  <c r="B183" i="2"/>
  <c r="C183" i="2" s="1"/>
  <c r="D183" i="2" s="1"/>
  <c r="E183" i="2" l="1"/>
  <c r="F183" i="2"/>
  <c r="A185" i="2"/>
  <c r="B184" i="2"/>
  <c r="C184" i="2" s="1"/>
  <c r="D184" i="2" s="1"/>
  <c r="E184" i="2" l="1"/>
  <c r="F184" i="2"/>
  <c r="A186" i="2"/>
  <c r="B185" i="2"/>
  <c r="C185" i="2" s="1"/>
  <c r="D185" i="2" s="1"/>
  <c r="E185" i="2" l="1"/>
  <c r="F185" i="2"/>
  <c r="A187" i="2"/>
  <c r="B186" i="2"/>
  <c r="C186" i="2" s="1"/>
  <c r="D186" i="2" s="1"/>
  <c r="E186" i="2" l="1"/>
  <c r="F186" i="2"/>
  <c r="A188" i="2"/>
  <c r="B187" i="2"/>
  <c r="C187" i="2" s="1"/>
  <c r="D187" i="2" s="1"/>
  <c r="E187" i="2" l="1"/>
  <c r="F187" i="2"/>
  <c r="A189" i="2"/>
  <c r="B188" i="2"/>
  <c r="C188" i="2" s="1"/>
  <c r="D188" i="2" s="1"/>
  <c r="E188" i="2" l="1"/>
  <c r="F188" i="2"/>
  <c r="A190" i="2"/>
  <c r="B189" i="2"/>
  <c r="C189" i="2" l="1"/>
  <c r="D189" i="2" s="1"/>
  <c r="C4" i="2"/>
  <c r="D4" i="2" s="1"/>
  <c r="A191" i="2"/>
  <c r="B190" i="2"/>
  <c r="C190" i="2" s="1"/>
  <c r="D190" i="2" s="1"/>
  <c r="E190" i="2" l="1"/>
  <c r="F190" i="2"/>
  <c r="E189" i="2"/>
  <c r="F189" i="2"/>
  <c r="E4" i="2"/>
  <c r="F4" i="2"/>
  <c r="A192" i="2"/>
  <c r="B191" i="2"/>
  <c r="C191" i="2" s="1"/>
  <c r="D191" i="2" s="1"/>
  <c r="E191" i="2" l="1"/>
  <c r="F191" i="2"/>
  <c r="A193" i="2"/>
  <c r="B192" i="2"/>
  <c r="C192" i="2" s="1"/>
  <c r="D192" i="2" s="1"/>
  <c r="E192" i="2" l="1"/>
  <c r="F192" i="2"/>
  <c r="A194" i="2"/>
  <c r="B193" i="2"/>
  <c r="C193" i="2" s="1"/>
  <c r="D193" i="2" s="1"/>
  <c r="E193" i="2" l="1"/>
  <c r="F193" i="2"/>
  <c r="A195" i="2"/>
  <c r="B194" i="2"/>
  <c r="C194" i="2" s="1"/>
  <c r="D194" i="2" s="1"/>
  <c r="E194" i="2" l="1"/>
  <c r="F194" i="2"/>
  <c r="A196" i="2"/>
  <c r="B195" i="2"/>
  <c r="C195" i="2" s="1"/>
  <c r="D195" i="2" s="1"/>
  <c r="E195" i="2" l="1"/>
  <c r="F195" i="2"/>
  <c r="A197" i="2"/>
  <c r="B196" i="2"/>
  <c r="C196" i="2" s="1"/>
  <c r="D196" i="2" s="1"/>
  <c r="E196" i="2" l="1"/>
  <c r="F196" i="2"/>
  <c r="A198" i="2"/>
  <c r="B197" i="2"/>
  <c r="C197" i="2" s="1"/>
  <c r="D197" i="2" s="1"/>
  <c r="E197" i="2" l="1"/>
  <c r="F197" i="2"/>
  <c r="A199" i="2"/>
  <c r="B198" i="2"/>
  <c r="C198" i="2" s="1"/>
  <c r="D198" i="2" s="1"/>
  <c r="E198" i="2" l="1"/>
  <c r="F198" i="2"/>
  <c r="A200" i="2"/>
  <c r="B199" i="2"/>
  <c r="C199" i="2" s="1"/>
  <c r="D199" i="2" s="1"/>
  <c r="E199" i="2" l="1"/>
  <c r="F199" i="2"/>
  <c r="A201" i="2"/>
  <c r="B200" i="2"/>
  <c r="C200" i="2" s="1"/>
  <c r="D200" i="2" s="1"/>
  <c r="E200" i="2" l="1"/>
  <c r="F200" i="2"/>
  <c r="A202" i="2"/>
  <c r="B201" i="2"/>
  <c r="C201" i="2" s="1"/>
  <c r="D201" i="2" s="1"/>
  <c r="E201" i="2" l="1"/>
  <c r="F201" i="2"/>
  <c r="A203" i="2"/>
  <c r="B202" i="2"/>
  <c r="C202" i="2" s="1"/>
  <c r="D202" i="2" s="1"/>
  <c r="E202" i="2" l="1"/>
  <c r="F202" i="2"/>
  <c r="A204" i="2"/>
  <c r="B203" i="2"/>
  <c r="C203" i="2" s="1"/>
  <c r="D203" i="2" s="1"/>
  <c r="E203" i="2" l="1"/>
  <c r="F203" i="2"/>
  <c r="A205" i="2"/>
  <c r="B204" i="2"/>
  <c r="C204" i="2" s="1"/>
  <c r="D204" i="2" s="1"/>
  <c r="E204" i="2" l="1"/>
  <c r="F204" i="2"/>
  <c r="A206" i="2"/>
  <c r="B205" i="2"/>
  <c r="C205" i="2" s="1"/>
  <c r="D205" i="2" s="1"/>
  <c r="E205" i="2" l="1"/>
  <c r="F205" i="2"/>
  <c r="A207" i="2"/>
  <c r="B206" i="2"/>
  <c r="C206" i="2" s="1"/>
  <c r="D206" i="2" s="1"/>
  <c r="E206" i="2" l="1"/>
  <c r="F206" i="2"/>
  <c r="A208" i="2"/>
  <c r="B207" i="2"/>
  <c r="C207" i="2" s="1"/>
  <c r="D207" i="2" s="1"/>
  <c r="E207" i="2" l="1"/>
  <c r="F207" i="2"/>
  <c r="A209" i="2"/>
  <c r="B208" i="2"/>
  <c r="C208" i="2" s="1"/>
  <c r="D208" i="2" s="1"/>
  <c r="E208" i="2" l="1"/>
  <c r="F208" i="2"/>
  <c r="A210" i="2"/>
  <c r="B209" i="2"/>
  <c r="C209" i="2" s="1"/>
  <c r="D209" i="2" s="1"/>
  <c r="E209" i="2" l="1"/>
  <c r="F209" i="2"/>
  <c r="A211" i="2"/>
  <c r="B210" i="2"/>
  <c r="C210" i="2" s="1"/>
  <c r="D210" i="2" s="1"/>
  <c r="E210" i="2" l="1"/>
  <c r="F210" i="2"/>
  <c r="A212" i="2"/>
  <c r="B211" i="2"/>
  <c r="C211" i="2" s="1"/>
  <c r="D211" i="2" s="1"/>
  <c r="E211" i="2" l="1"/>
  <c r="F211" i="2"/>
  <c r="A213" i="2"/>
  <c r="B212" i="2"/>
  <c r="C212" i="2" s="1"/>
  <c r="D212" i="2" s="1"/>
  <c r="E212" i="2" l="1"/>
  <c r="F212" i="2"/>
  <c r="A214" i="2"/>
  <c r="B213" i="2"/>
  <c r="C213" i="2" s="1"/>
  <c r="D213" i="2" s="1"/>
  <c r="E213" i="2" l="1"/>
  <c r="F213" i="2"/>
  <c r="A215" i="2"/>
  <c r="B214" i="2"/>
  <c r="C214" i="2" s="1"/>
  <c r="D214" i="2" s="1"/>
  <c r="E214" i="2" l="1"/>
  <c r="F214" i="2"/>
  <c r="A216" i="2"/>
  <c r="B215" i="2"/>
  <c r="C215" i="2" s="1"/>
  <c r="D215" i="2" s="1"/>
  <c r="E215" i="2" l="1"/>
  <c r="F215" i="2"/>
  <c r="A217" i="2"/>
  <c r="B216" i="2"/>
  <c r="C216" i="2" s="1"/>
  <c r="D216" i="2" s="1"/>
  <c r="E216" i="2" l="1"/>
  <c r="F216" i="2"/>
  <c r="A218" i="2"/>
  <c r="B217" i="2"/>
  <c r="C217" i="2" s="1"/>
  <c r="D217" i="2" s="1"/>
  <c r="E217" i="2" l="1"/>
  <c r="F217" i="2"/>
  <c r="A219" i="2"/>
  <c r="B218" i="2"/>
  <c r="C218" i="2" s="1"/>
  <c r="D218" i="2" s="1"/>
  <c r="E218" i="2" l="1"/>
  <c r="F218" i="2"/>
  <c r="A220" i="2"/>
  <c r="B219" i="2"/>
  <c r="C219" i="2" s="1"/>
  <c r="D219" i="2" s="1"/>
  <c r="E219" i="2" l="1"/>
  <c r="F219" i="2"/>
  <c r="A221" i="2"/>
  <c r="B220" i="2"/>
  <c r="C220" i="2" s="1"/>
  <c r="D220" i="2" s="1"/>
  <c r="E220" i="2" l="1"/>
  <c r="F220" i="2"/>
  <c r="A222" i="2"/>
  <c r="B221" i="2"/>
  <c r="C221" i="2" s="1"/>
  <c r="D221" i="2" s="1"/>
  <c r="E221" i="2" l="1"/>
  <c r="F221" i="2"/>
  <c r="A223" i="2"/>
  <c r="B222" i="2"/>
  <c r="C222" i="2" s="1"/>
  <c r="D222" i="2" s="1"/>
  <c r="E222" i="2" l="1"/>
  <c r="F222" i="2"/>
  <c r="A224" i="2"/>
  <c r="B223" i="2"/>
  <c r="C223" i="2" s="1"/>
  <c r="D223" i="2" s="1"/>
  <c r="E223" i="2" l="1"/>
  <c r="F223" i="2"/>
  <c r="A225" i="2"/>
  <c r="B224" i="2"/>
  <c r="C224" i="2" s="1"/>
  <c r="D224" i="2" s="1"/>
  <c r="E224" i="2" l="1"/>
  <c r="F224" i="2"/>
  <c r="A226" i="2"/>
  <c r="B225" i="2"/>
  <c r="C225" i="2" s="1"/>
  <c r="D225" i="2" s="1"/>
  <c r="E225" i="2" l="1"/>
  <c r="F225" i="2"/>
  <c r="A227" i="2"/>
  <c r="B226" i="2"/>
  <c r="C226" i="2" s="1"/>
  <c r="D226" i="2" s="1"/>
  <c r="E226" i="2" l="1"/>
  <c r="F226" i="2"/>
  <c r="A228" i="2"/>
  <c r="B227" i="2"/>
  <c r="C227" i="2" s="1"/>
  <c r="D227" i="2" s="1"/>
  <c r="E227" i="2" l="1"/>
  <c r="F227" i="2"/>
  <c r="A229" i="2"/>
  <c r="B228" i="2"/>
  <c r="C228" i="2" s="1"/>
  <c r="D228" i="2" s="1"/>
  <c r="E228" i="2" l="1"/>
  <c r="F228" i="2"/>
  <c r="A230" i="2"/>
  <c r="B229" i="2"/>
  <c r="C229" i="2" s="1"/>
  <c r="D229" i="2" s="1"/>
  <c r="E229" i="2" l="1"/>
  <c r="F229" i="2"/>
  <c r="A231" i="2"/>
  <c r="B230" i="2"/>
  <c r="C230" i="2" s="1"/>
  <c r="D230" i="2" s="1"/>
  <c r="E230" i="2" l="1"/>
  <c r="F230" i="2"/>
  <c r="A232" i="2"/>
  <c r="B231" i="2"/>
  <c r="C231" i="2" s="1"/>
  <c r="D231" i="2" s="1"/>
  <c r="E231" i="2" l="1"/>
  <c r="F231" i="2"/>
  <c r="A233" i="2"/>
  <c r="B232" i="2"/>
  <c r="C232" i="2" s="1"/>
  <c r="D232" i="2" s="1"/>
  <c r="E232" i="2" l="1"/>
  <c r="F232" i="2"/>
  <c r="A234" i="2"/>
  <c r="B233" i="2"/>
  <c r="C233" i="2" s="1"/>
  <c r="D233" i="2" s="1"/>
  <c r="E233" i="2" l="1"/>
  <c r="F233" i="2"/>
  <c r="A235" i="2"/>
  <c r="B234" i="2"/>
  <c r="C234" i="2" s="1"/>
  <c r="D234" i="2" s="1"/>
  <c r="E234" i="2" l="1"/>
  <c r="F234" i="2"/>
  <c r="A236" i="2"/>
  <c r="B235" i="2"/>
  <c r="C235" i="2" s="1"/>
  <c r="D235" i="2" s="1"/>
  <c r="E235" i="2" l="1"/>
  <c r="F235" i="2"/>
  <c r="A237" i="2"/>
  <c r="B236" i="2"/>
  <c r="C236" i="2" s="1"/>
  <c r="D236" i="2" s="1"/>
  <c r="E236" i="2" l="1"/>
  <c r="F236" i="2"/>
  <c r="A238" i="2"/>
  <c r="B237" i="2"/>
  <c r="C237" i="2" s="1"/>
  <c r="D237" i="2" s="1"/>
  <c r="E237" i="2" l="1"/>
  <c r="F237" i="2"/>
  <c r="A239" i="2"/>
  <c r="B238" i="2"/>
  <c r="C238" i="2" s="1"/>
  <c r="D238" i="2" s="1"/>
  <c r="E238" i="2" l="1"/>
  <c r="F238" i="2"/>
  <c r="A240" i="2"/>
  <c r="B239" i="2"/>
  <c r="C239" i="2" s="1"/>
  <c r="D239" i="2" s="1"/>
  <c r="E239" i="2" l="1"/>
  <c r="F239" i="2"/>
  <c r="A241" i="2"/>
  <c r="B240" i="2"/>
  <c r="C240" i="2" s="1"/>
  <c r="D240" i="2" s="1"/>
  <c r="E240" i="2" l="1"/>
  <c r="F240" i="2"/>
  <c r="A242" i="2"/>
  <c r="B241" i="2"/>
  <c r="C241" i="2" s="1"/>
  <c r="D241" i="2" s="1"/>
  <c r="E241" i="2" l="1"/>
  <c r="F241" i="2"/>
  <c r="A243" i="2"/>
  <c r="B242" i="2"/>
  <c r="C242" i="2" s="1"/>
  <c r="D242" i="2" s="1"/>
  <c r="E242" i="2" l="1"/>
  <c r="F242" i="2"/>
  <c r="A244" i="2"/>
  <c r="B243" i="2"/>
  <c r="C243" i="2" s="1"/>
  <c r="D243" i="2" s="1"/>
  <c r="E243" i="2" l="1"/>
  <c r="F243" i="2"/>
  <c r="A245" i="2"/>
  <c r="B244" i="2"/>
  <c r="C244" i="2" s="1"/>
  <c r="D244" i="2" s="1"/>
  <c r="E244" i="2" l="1"/>
  <c r="F244" i="2"/>
  <c r="A246" i="2"/>
  <c r="B245" i="2"/>
  <c r="C245" i="2" s="1"/>
  <c r="D245" i="2" s="1"/>
  <c r="E245" i="2" l="1"/>
  <c r="F245" i="2"/>
  <c r="A247" i="2"/>
  <c r="B246" i="2"/>
  <c r="C246" i="2" s="1"/>
  <c r="D246" i="2" s="1"/>
  <c r="E246" i="2" l="1"/>
  <c r="F246" i="2"/>
  <c r="A248" i="2"/>
  <c r="B247" i="2"/>
  <c r="C247" i="2" s="1"/>
  <c r="D247" i="2" s="1"/>
  <c r="E247" i="2" l="1"/>
  <c r="F247" i="2"/>
  <c r="A249" i="2"/>
  <c r="B248" i="2"/>
  <c r="C248" i="2" s="1"/>
  <c r="D248" i="2" s="1"/>
  <c r="E248" i="2" l="1"/>
  <c r="F248" i="2"/>
  <c r="A250" i="2"/>
  <c r="B249" i="2"/>
  <c r="C249" i="2" s="1"/>
  <c r="D249" i="2" s="1"/>
  <c r="E249" i="2" l="1"/>
  <c r="F249" i="2"/>
  <c r="A251" i="2"/>
  <c r="B250" i="2"/>
  <c r="C250" i="2" s="1"/>
  <c r="D250" i="2" s="1"/>
  <c r="E250" i="2" l="1"/>
  <c r="F250" i="2"/>
  <c r="A252" i="2"/>
  <c r="B251" i="2"/>
  <c r="C251" i="2" s="1"/>
  <c r="D251" i="2" s="1"/>
  <c r="E251" i="2" l="1"/>
  <c r="F251" i="2"/>
  <c r="A253" i="2"/>
  <c r="B252" i="2"/>
  <c r="C252" i="2" s="1"/>
  <c r="D252" i="2" s="1"/>
  <c r="E252" i="2" l="1"/>
  <c r="F252" i="2"/>
  <c r="A254" i="2"/>
  <c r="B253" i="2"/>
  <c r="C253" i="2" s="1"/>
  <c r="D253" i="2" s="1"/>
  <c r="E253" i="2" l="1"/>
  <c r="F253" i="2"/>
  <c r="A255" i="2"/>
  <c r="B254" i="2"/>
  <c r="C254" i="2" s="1"/>
  <c r="D254" i="2" s="1"/>
  <c r="E254" i="2" l="1"/>
  <c r="F254" i="2"/>
  <c r="A256" i="2"/>
  <c r="B255" i="2"/>
  <c r="C255" i="2" s="1"/>
  <c r="D255" i="2" s="1"/>
  <c r="E255" i="2" l="1"/>
  <c r="F255" i="2"/>
  <c r="A257" i="2"/>
  <c r="B256" i="2"/>
  <c r="C256" i="2" s="1"/>
  <c r="D256" i="2" s="1"/>
  <c r="E256" i="2" l="1"/>
  <c r="F256" i="2"/>
  <c r="A258" i="2"/>
  <c r="B257" i="2"/>
  <c r="C257" i="2" s="1"/>
  <c r="D257" i="2" s="1"/>
  <c r="E257" i="2" l="1"/>
  <c r="F257" i="2"/>
  <c r="A259" i="2"/>
  <c r="B258" i="2"/>
  <c r="C258" i="2" s="1"/>
  <c r="D258" i="2" s="1"/>
  <c r="E258" i="2" l="1"/>
  <c r="F258" i="2"/>
  <c r="A260" i="2"/>
  <c r="B259" i="2"/>
  <c r="C259" i="2" s="1"/>
  <c r="D259" i="2" s="1"/>
  <c r="E259" i="2" l="1"/>
  <c r="F259" i="2"/>
  <c r="A261" i="2"/>
  <c r="B260" i="2"/>
  <c r="C260" i="2" s="1"/>
  <c r="D260" i="2" s="1"/>
  <c r="E260" i="2" l="1"/>
  <c r="F260" i="2"/>
  <c r="A262" i="2"/>
  <c r="B261" i="2"/>
  <c r="C261" i="2" s="1"/>
  <c r="D261" i="2" s="1"/>
  <c r="E261" i="2" l="1"/>
  <c r="F261" i="2"/>
  <c r="A263" i="2"/>
  <c r="B262" i="2"/>
  <c r="C262" i="2" s="1"/>
  <c r="D262" i="2" s="1"/>
  <c r="E262" i="2" l="1"/>
  <c r="F262" i="2"/>
  <c r="A264" i="2"/>
  <c r="B263" i="2"/>
  <c r="C263" i="2" s="1"/>
  <c r="D263" i="2" s="1"/>
  <c r="E263" i="2" l="1"/>
  <c r="F263" i="2"/>
  <c r="A265" i="2"/>
  <c r="B264" i="2"/>
  <c r="C264" i="2" s="1"/>
  <c r="D264" i="2" s="1"/>
  <c r="E264" i="2" l="1"/>
  <c r="F264" i="2"/>
  <c r="A266" i="2"/>
  <c r="B265" i="2"/>
  <c r="C265" i="2" s="1"/>
  <c r="D265" i="2" s="1"/>
  <c r="E265" i="2" l="1"/>
  <c r="F265" i="2"/>
  <c r="A267" i="2"/>
  <c r="B266" i="2"/>
  <c r="C266" i="2" s="1"/>
  <c r="D266" i="2" s="1"/>
  <c r="E266" i="2" l="1"/>
  <c r="F266" i="2"/>
  <c r="A268" i="2"/>
  <c r="B267" i="2"/>
  <c r="C267" i="2" s="1"/>
  <c r="D267" i="2" s="1"/>
  <c r="E267" i="2" l="1"/>
  <c r="F267" i="2"/>
  <c r="A269" i="2"/>
  <c r="B268" i="2"/>
  <c r="C268" i="2" s="1"/>
  <c r="D268" i="2" s="1"/>
  <c r="E268" i="2" l="1"/>
  <c r="F268" i="2"/>
  <c r="A270" i="2"/>
  <c r="B269" i="2"/>
  <c r="C269" i="2" s="1"/>
  <c r="D269" i="2" s="1"/>
  <c r="E269" i="2" l="1"/>
  <c r="F269" i="2"/>
  <c r="A271" i="2"/>
  <c r="B270" i="2"/>
  <c r="C270" i="2" s="1"/>
  <c r="D270" i="2" s="1"/>
  <c r="E270" i="2" l="1"/>
  <c r="F270" i="2"/>
  <c r="A272" i="2"/>
  <c r="B271" i="2"/>
  <c r="C271" i="2" s="1"/>
  <c r="D271" i="2" s="1"/>
  <c r="E271" i="2" l="1"/>
  <c r="F271" i="2"/>
  <c r="A273" i="2"/>
  <c r="B272" i="2"/>
  <c r="C272" i="2" s="1"/>
  <c r="D272" i="2" s="1"/>
  <c r="E272" i="2" l="1"/>
  <c r="F272" i="2"/>
  <c r="A274" i="2"/>
  <c r="B273" i="2"/>
  <c r="C273" i="2" s="1"/>
  <c r="D273" i="2" s="1"/>
  <c r="E273" i="2" l="1"/>
  <c r="F273" i="2"/>
  <c r="A275" i="2"/>
  <c r="B274" i="2"/>
  <c r="C274" i="2" s="1"/>
  <c r="D274" i="2" s="1"/>
  <c r="E274" i="2" l="1"/>
  <c r="F274" i="2"/>
  <c r="A276" i="2"/>
  <c r="B275" i="2"/>
  <c r="C275" i="2" s="1"/>
  <c r="D275" i="2" s="1"/>
  <c r="E275" i="2" l="1"/>
  <c r="F275" i="2"/>
  <c r="A277" i="2"/>
  <c r="B276" i="2"/>
  <c r="C276" i="2" s="1"/>
  <c r="D276" i="2" s="1"/>
  <c r="E276" i="2" l="1"/>
  <c r="F276" i="2"/>
  <c r="A278" i="2"/>
  <c r="B277" i="2"/>
  <c r="C277" i="2" s="1"/>
  <c r="D277" i="2" s="1"/>
  <c r="E277" i="2" l="1"/>
  <c r="F277" i="2"/>
  <c r="A279" i="2"/>
  <c r="B278" i="2"/>
  <c r="C278" i="2" s="1"/>
  <c r="D278" i="2" s="1"/>
  <c r="E278" i="2" l="1"/>
  <c r="F278" i="2"/>
  <c r="A280" i="2"/>
  <c r="B279" i="2"/>
  <c r="C279" i="2" s="1"/>
  <c r="D279" i="2" s="1"/>
  <c r="E279" i="2" l="1"/>
  <c r="F279" i="2"/>
  <c r="A281" i="2"/>
  <c r="B280" i="2"/>
  <c r="C280" i="2" s="1"/>
  <c r="D280" i="2" s="1"/>
  <c r="E280" i="2" l="1"/>
  <c r="F280" i="2"/>
  <c r="A282" i="2"/>
  <c r="B281" i="2"/>
  <c r="C281" i="2" s="1"/>
  <c r="D281" i="2" s="1"/>
  <c r="E281" i="2" l="1"/>
  <c r="F281" i="2"/>
  <c r="A283" i="2"/>
  <c r="B282" i="2"/>
  <c r="C282" i="2" s="1"/>
  <c r="D282" i="2" s="1"/>
  <c r="E282" i="2" l="1"/>
  <c r="F282" i="2"/>
  <c r="A284" i="2"/>
  <c r="B283" i="2"/>
  <c r="C283" i="2" s="1"/>
  <c r="D283" i="2" s="1"/>
  <c r="E283" i="2" l="1"/>
  <c r="F283" i="2"/>
  <c r="A285" i="2"/>
  <c r="B284" i="2"/>
  <c r="C284" i="2" s="1"/>
  <c r="D284" i="2" s="1"/>
  <c r="E284" i="2" l="1"/>
  <c r="F284" i="2"/>
  <c r="A286" i="2"/>
  <c r="B285" i="2"/>
  <c r="C285" i="2" s="1"/>
  <c r="D285" i="2" s="1"/>
  <c r="E285" i="2" l="1"/>
  <c r="F285" i="2"/>
  <c r="A287" i="2"/>
  <c r="B286" i="2"/>
  <c r="C286" i="2" s="1"/>
  <c r="D286" i="2" s="1"/>
  <c r="E286" i="2" l="1"/>
  <c r="F286" i="2"/>
  <c r="A288" i="2"/>
  <c r="B287" i="2"/>
  <c r="C287" i="2" s="1"/>
  <c r="D287" i="2" s="1"/>
  <c r="E287" i="2" l="1"/>
  <c r="F287" i="2"/>
  <c r="A289" i="2"/>
  <c r="B288" i="2"/>
  <c r="C288" i="2" s="1"/>
  <c r="D288" i="2" s="1"/>
  <c r="E288" i="2" l="1"/>
  <c r="F288" i="2"/>
  <c r="A290" i="2"/>
  <c r="B289" i="2"/>
  <c r="C289" i="2" s="1"/>
  <c r="D289" i="2" s="1"/>
  <c r="E289" i="2" l="1"/>
  <c r="F289" i="2"/>
  <c r="A291" i="2"/>
  <c r="B290" i="2"/>
  <c r="C290" i="2" s="1"/>
  <c r="D290" i="2" s="1"/>
  <c r="E290" i="2" l="1"/>
  <c r="F290" i="2"/>
  <c r="A292" i="2"/>
  <c r="B291" i="2"/>
  <c r="C291" i="2" s="1"/>
  <c r="D291" i="2" s="1"/>
  <c r="E291" i="2" l="1"/>
  <c r="F291" i="2"/>
  <c r="A293" i="2"/>
  <c r="B292" i="2"/>
  <c r="C292" i="2" s="1"/>
  <c r="D292" i="2" s="1"/>
  <c r="E292" i="2" l="1"/>
  <c r="F292" i="2"/>
  <c r="A294" i="2"/>
  <c r="B293" i="2"/>
  <c r="C293" i="2" s="1"/>
  <c r="D293" i="2" s="1"/>
  <c r="E293" i="2" l="1"/>
  <c r="F293" i="2"/>
  <c r="A295" i="2"/>
  <c r="B295" i="2" s="1"/>
  <c r="B294" i="2"/>
  <c r="C294" i="2" s="1"/>
  <c r="D294" i="2" s="1"/>
  <c r="E294" i="2" l="1"/>
  <c r="F294" i="2"/>
  <c r="C295" i="2"/>
  <c r="D295" i="2" s="1"/>
  <c r="C324" i="2"/>
  <c r="D324" i="2" s="1"/>
  <c r="C327" i="2"/>
  <c r="D327" i="2" s="1"/>
  <c r="C296" i="2"/>
  <c r="D296" i="2" s="1"/>
  <c r="C357" i="2"/>
  <c r="D357" i="2" s="1"/>
  <c r="C351" i="2"/>
  <c r="D351" i="2" s="1"/>
  <c r="C300" i="2"/>
  <c r="D300" i="2" s="1"/>
  <c r="C312" i="2"/>
  <c r="D312" i="2" s="1"/>
  <c r="C304" i="2"/>
  <c r="D304" i="2" s="1"/>
  <c r="C308" i="2"/>
  <c r="D308" i="2" s="1"/>
  <c r="C309" i="2"/>
  <c r="D309" i="2" s="1"/>
  <c r="C319" i="2"/>
  <c r="D319" i="2" s="1"/>
  <c r="C330" i="2"/>
  <c r="D330" i="2" s="1"/>
  <c r="C346" i="2"/>
  <c r="D346" i="2" s="1"/>
  <c r="C314" i="2"/>
  <c r="D314" i="2" s="1"/>
  <c r="C334" i="2"/>
  <c r="D334" i="2" s="1"/>
  <c r="C332" i="2"/>
  <c r="D332" i="2" s="1"/>
  <c r="C297" i="2"/>
  <c r="D297" i="2" s="1"/>
  <c r="C323" i="2"/>
  <c r="D323" i="2" s="1"/>
  <c r="C302" i="2"/>
  <c r="D302" i="2" s="1"/>
  <c r="C311" i="2"/>
  <c r="D311" i="2" s="1"/>
  <c r="C306" i="2"/>
  <c r="D306" i="2" s="1"/>
  <c r="C349" i="2"/>
  <c r="D349" i="2" s="1"/>
  <c r="C352" i="2"/>
  <c r="D352" i="2" s="1"/>
  <c r="C340" i="2"/>
  <c r="D340" i="2" s="1"/>
  <c r="C350" i="2"/>
  <c r="D350" i="2" s="1"/>
  <c r="C355" i="2"/>
  <c r="D355" i="2" s="1"/>
  <c r="C315" i="2"/>
  <c r="D315" i="2" s="1"/>
  <c r="C310" i="2"/>
  <c r="D310" i="2" s="1"/>
  <c r="C337" i="2"/>
  <c r="D337" i="2" s="1"/>
  <c r="C317" i="2"/>
  <c r="D317" i="2" s="1"/>
  <c r="C353" i="2"/>
  <c r="D353" i="2" s="1"/>
  <c r="C298" i="2"/>
  <c r="D298" i="2" s="1"/>
  <c r="C344" i="2"/>
  <c r="D344" i="2" s="1"/>
  <c r="C318" i="2"/>
  <c r="D318" i="2" s="1"/>
  <c r="C339" i="2"/>
  <c r="D339" i="2" s="1"/>
  <c r="C328" i="2"/>
  <c r="D328" i="2" s="1"/>
  <c r="C320" i="2"/>
  <c r="D320" i="2" s="1"/>
  <c r="C341" i="2"/>
  <c r="D341" i="2" s="1"/>
  <c r="C354" i="2"/>
  <c r="D354" i="2" s="1"/>
  <c r="C316" i="2"/>
  <c r="D316" i="2" s="1"/>
  <c r="C358" i="2"/>
  <c r="D358" i="2" s="1"/>
  <c r="C329" i="2"/>
  <c r="D329" i="2" s="1"/>
  <c r="C347" i="2"/>
  <c r="D347" i="2" s="1"/>
  <c r="C343" i="2"/>
  <c r="D343" i="2" s="1"/>
  <c r="C313" i="2"/>
  <c r="D313" i="2" s="1"/>
  <c r="C303" i="2"/>
  <c r="D303" i="2" s="1"/>
  <c r="C321" i="2"/>
  <c r="D321" i="2" s="1"/>
  <c r="C322" i="2"/>
  <c r="D322" i="2" s="1"/>
  <c r="C333" i="2"/>
  <c r="D333" i="2" s="1"/>
  <c r="C331" i="2"/>
  <c r="D331" i="2" s="1"/>
  <c r="C356" i="2"/>
  <c r="D356" i="2" s="1"/>
  <c r="C342" i="2"/>
  <c r="D342" i="2" s="1"/>
  <c r="C359" i="2"/>
  <c r="D359" i="2" s="1"/>
  <c r="C326" i="2"/>
  <c r="D326" i="2" s="1"/>
  <c r="C325" i="2"/>
  <c r="D325" i="2" s="1"/>
  <c r="C301" i="2"/>
  <c r="D301" i="2" s="1"/>
  <c r="C345" i="2"/>
  <c r="D345" i="2" s="1"/>
  <c r="C335" i="2"/>
  <c r="D335" i="2" s="1"/>
  <c r="C305" i="2"/>
  <c r="D305" i="2" s="1"/>
  <c r="C338" i="2"/>
  <c r="D338" i="2" s="1"/>
  <c r="C307" i="2"/>
  <c r="D307" i="2" s="1"/>
  <c r="C336" i="2"/>
  <c r="D336" i="2" s="1"/>
  <c r="C299" i="2"/>
  <c r="D299" i="2" s="1"/>
  <c r="C348" i="2"/>
  <c r="D348" i="2" s="1"/>
  <c r="E325" i="2" l="1"/>
  <c r="F325" i="2"/>
  <c r="E359" i="2"/>
  <c r="F359" i="2"/>
  <c r="E346" i="2"/>
  <c r="F346" i="2"/>
  <c r="E338" i="2"/>
  <c r="F338" i="2"/>
  <c r="E342" i="2"/>
  <c r="F342" i="2"/>
  <c r="E343" i="2"/>
  <c r="F343" i="2"/>
  <c r="E328" i="2"/>
  <c r="F328" i="2"/>
  <c r="E310" i="2"/>
  <c r="F310" i="2"/>
  <c r="E311" i="2"/>
  <c r="F311" i="2"/>
  <c r="E330" i="2"/>
  <c r="F330" i="2"/>
  <c r="E357" i="2"/>
  <c r="F357" i="2"/>
  <c r="E299" i="2"/>
  <c r="F299" i="2"/>
  <c r="E307" i="2"/>
  <c r="F307" i="2"/>
  <c r="E337" i="2"/>
  <c r="F337" i="2"/>
  <c r="E305" i="2"/>
  <c r="F305" i="2"/>
  <c r="E356" i="2"/>
  <c r="F356" i="2"/>
  <c r="E347" i="2"/>
  <c r="F347" i="2"/>
  <c r="E339" i="2"/>
  <c r="F339" i="2"/>
  <c r="E315" i="2"/>
  <c r="F315" i="2"/>
  <c r="E302" i="2"/>
  <c r="F302" i="2"/>
  <c r="E319" i="2"/>
  <c r="F319" i="2"/>
  <c r="E296" i="2"/>
  <c r="F296" i="2"/>
  <c r="E321" i="2"/>
  <c r="F321" i="2"/>
  <c r="E313" i="2"/>
  <c r="F313" i="2"/>
  <c r="E306" i="2"/>
  <c r="F306" i="2"/>
  <c r="E335" i="2"/>
  <c r="F335" i="2"/>
  <c r="E331" i="2"/>
  <c r="F331" i="2"/>
  <c r="E329" i="2"/>
  <c r="F329" i="2"/>
  <c r="E318" i="2"/>
  <c r="F318" i="2"/>
  <c r="E355" i="2"/>
  <c r="F355" i="2"/>
  <c r="E323" i="2"/>
  <c r="F323" i="2"/>
  <c r="E309" i="2"/>
  <c r="F309" i="2"/>
  <c r="E327" i="2"/>
  <c r="F327" i="2"/>
  <c r="E326" i="2"/>
  <c r="F326" i="2"/>
  <c r="E320" i="2"/>
  <c r="F320" i="2"/>
  <c r="E351" i="2"/>
  <c r="F351" i="2"/>
  <c r="E345" i="2"/>
  <c r="F345" i="2"/>
  <c r="E333" i="2"/>
  <c r="F333" i="2"/>
  <c r="E358" i="2"/>
  <c r="F358" i="2"/>
  <c r="E344" i="2"/>
  <c r="F344" i="2"/>
  <c r="E350" i="2"/>
  <c r="F350" i="2"/>
  <c r="E297" i="2"/>
  <c r="F297" i="2"/>
  <c r="E308" i="2"/>
  <c r="F308" i="2"/>
  <c r="E324" i="2"/>
  <c r="F324" i="2"/>
  <c r="E336" i="2"/>
  <c r="F336" i="2"/>
  <c r="E348" i="2"/>
  <c r="F348" i="2"/>
  <c r="E301" i="2"/>
  <c r="F301" i="2"/>
  <c r="E322" i="2"/>
  <c r="F322" i="2"/>
  <c r="E316" i="2"/>
  <c r="F316" i="2"/>
  <c r="E298" i="2"/>
  <c r="F298" i="2"/>
  <c r="E340" i="2"/>
  <c r="F340" i="2"/>
  <c r="E332" i="2"/>
  <c r="F332" i="2"/>
  <c r="E304" i="2"/>
  <c r="F304" i="2"/>
  <c r="E295" i="2"/>
  <c r="F295" i="2"/>
  <c r="E354" i="2"/>
  <c r="F354" i="2"/>
  <c r="E353" i="2"/>
  <c r="F353" i="2"/>
  <c r="E352" i="2"/>
  <c r="F352" i="2"/>
  <c r="E334" i="2"/>
  <c r="F334" i="2"/>
  <c r="E312" i="2"/>
  <c r="F312" i="2"/>
  <c r="E303" i="2"/>
  <c r="F303" i="2"/>
  <c r="E341" i="2"/>
  <c r="F341" i="2"/>
  <c r="E317" i="2"/>
  <c r="F317" i="2"/>
  <c r="E349" i="2"/>
  <c r="F349" i="2"/>
  <c r="E314" i="2"/>
  <c r="F314" i="2"/>
  <c r="E300" i="2"/>
  <c r="F300" i="2"/>
</calcChain>
</file>

<file path=xl/sharedStrings.xml><?xml version="1.0" encoding="utf-8"?>
<sst xmlns="http://schemas.openxmlformats.org/spreadsheetml/2006/main" count="2037" uniqueCount="930">
  <si>
    <t>Sentence</t>
  </si>
  <si>
    <t>No</t>
  </si>
  <si>
    <t>Type</t>
  </si>
  <si>
    <t>Viet</t>
  </si>
  <si>
    <t>Eng</t>
  </si>
  <si>
    <t>Phon</t>
  </si>
  <si>
    <t>From</t>
  </si>
  <si>
    <t>To</t>
  </si>
  <si>
    <t>ID</t>
  </si>
  <si>
    <t>Link</t>
  </si>
  <si>
    <t>Copy Google drive to …</t>
  </si>
  <si>
    <t>Struc</t>
  </si>
  <si>
    <t>1.3</t>
  </si>
  <si>
    <t>1.1</t>
  </si>
  <si>
    <t>1.2</t>
  </si>
  <si>
    <t>2.1</t>
  </si>
  <si>
    <t>2.3</t>
  </si>
  <si>
    <t>2.2</t>
  </si>
  <si>
    <t>3.1</t>
  </si>
  <si>
    <t>3.2</t>
  </si>
  <si>
    <t>3.3</t>
  </si>
  <si>
    <t>4.1</t>
  </si>
  <si>
    <t>4.2</t>
  </si>
  <si>
    <t>4.3</t>
  </si>
  <si>
    <t>5.1</t>
  </si>
  <si>
    <t>5.2</t>
  </si>
  <si>
    <t>6.1</t>
  </si>
  <si>
    <t>7.1</t>
  </si>
  <si>
    <t>7.2</t>
  </si>
  <si>
    <t>7.3</t>
  </si>
  <si>
    <t>8.1</t>
  </si>
  <si>
    <t>8.2</t>
  </si>
  <si>
    <t>8.3</t>
  </si>
  <si>
    <t>9.1</t>
  </si>
  <si>
    <t>9.2</t>
  </si>
  <si>
    <t>9.3</t>
  </si>
  <si>
    <t>10.1</t>
  </si>
  <si>
    <t>10.2</t>
  </si>
  <si>
    <t>10.3</t>
  </si>
  <si>
    <t>11.1</t>
  </si>
  <si>
    <t>11.2</t>
  </si>
  <si>
    <t>11.3</t>
  </si>
  <si>
    <t>12.1</t>
  </si>
  <si>
    <t>12.2</t>
  </si>
  <si>
    <t>12.3</t>
  </si>
  <si>
    <t>13.1</t>
  </si>
  <si>
    <t>13.2</t>
  </si>
  <si>
    <t>13.3</t>
  </si>
  <si>
    <t>14.1</t>
  </si>
  <si>
    <t>14.2</t>
  </si>
  <si>
    <t>14.3</t>
  </si>
  <si>
    <t>15.1</t>
  </si>
  <si>
    <t>15.2</t>
  </si>
  <si>
    <t>15.3</t>
  </si>
  <si>
    <t>16.1</t>
  </si>
  <si>
    <t>16.2</t>
  </si>
  <si>
    <t>16.3</t>
  </si>
  <si>
    <t>17.1</t>
  </si>
  <si>
    <t>17.2</t>
  </si>
  <si>
    <t>17.3</t>
  </si>
  <si>
    <t>18.1</t>
  </si>
  <si>
    <t>18.2</t>
  </si>
  <si>
    <t>18.3</t>
  </si>
  <si>
    <t>19.1</t>
  </si>
  <si>
    <t>19.2</t>
  </si>
  <si>
    <t>19.3</t>
  </si>
  <si>
    <t>Man</t>
  </si>
  <si>
    <t>Woman</t>
  </si>
  <si>
    <t>How is the weather?</t>
  </si>
  <si>
    <t>How is he?</t>
  </si>
  <si>
    <t>How is the project going?</t>
  </si>
  <si>
    <t>How bad is it?</t>
  </si>
  <si>
    <t>How sick is he?</t>
  </si>
  <si>
    <t>How was your day?</t>
  </si>
  <si>
    <t>How was your night?</t>
  </si>
  <si>
    <t>How was your date?</t>
  </si>
  <si>
    <t>How was your trip?</t>
  </si>
  <si>
    <t>WHAT DO YOU THINK OF + NOUN?</t>
  </si>
  <si>
    <t>What do you think of him?</t>
  </si>
  <si>
    <t>What do you think of my idea?</t>
  </si>
  <si>
    <t>What do you think of the way he talks?</t>
  </si>
  <si>
    <t>WHAT DO YOU THINK ABOUT + NOUN?</t>
  </si>
  <si>
    <t>WHAT DO YOU THINK + MỆNH ĐỀ?</t>
  </si>
  <si>
    <t>What do you think he wants to eat?</t>
  </si>
  <si>
    <t>DO YOU WANT + NOUN?</t>
  </si>
  <si>
    <t>Do you want some coke?</t>
  </si>
  <si>
    <t>DO YOU WANT ME TO + VERB? BẠN CÓ MUỐN TÔI?</t>
  </si>
  <si>
    <t>Do you want me to deal with him?</t>
  </si>
  <si>
    <t>What do you want to do?</t>
  </si>
  <si>
    <t>What do you want to say to me?</t>
  </si>
  <si>
    <t>What do you want him to bring?</t>
  </si>
  <si>
    <t>What do you think I should recommend?</t>
  </si>
  <si>
    <t>What am I supposed to watch?</t>
  </si>
  <si>
    <t>What am I supposed to give as a gift?</t>
  </si>
  <si>
    <t>WHAT ARE YOU GOING TO...? BẠN DỰ ĐỊNH SẼ LÀM GÌ?</t>
  </si>
  <si>
    <t>Are you planning to throw a party?</t>
  </si>
  <si>
    <t>Do you have plans for tomorrow?</t>
  </si>
  <si>
    <t>Do you have plans for this evening?</t>
  </si>
  <si>
    <t>Have you made plans for your birthday?</t>
  </si>
  <si>
    <t>Why are you upset?</t>
  </si>
  <si>
    <t>Why do you keep asking me that?</t>
  </si>
  <si>
    <t>Why did you lie to me?</t>
  </si>
  <si>
    <t>How come you are calling me bad names?</t>
  </si>
  <si>
    <t>How come you are so depressed?</t>
  </si>
  <si>
    <t>How come you don't date?</t>
  </si>
  <si>
    <t>How can I deal with it?</t>
  </si>
  <si>
    <t>How can I explain this to him?</t>
  </si>
  <si>
    <t>How do you handle it?</t>
  </si>
  <si>
    <t>How do you work under him?</t>
  </si>
  <si>
    <t>How did you get his permission?</t>
  </si>
  <si>
    <t>When are you visiting her?</t>
  </si>
  <si>
    <t>When will you be home?</t>
  </si>
  <si>
    <t>When will you call him?</t>
  </si>
  <si>
    <t>How long does it take to get it done?</t>
  </si>
  <si>
    <t>How long will it take to finish the book?</t>
  </si>
  <si>
    <t>Where did you stay during the vacation?</t>
  </si>
  <si>
    <t>Where did you get that?</t>
  </si>
  <si>
    <t>Where are you?</t>
  </si>
  <si>
    <t>Where are you calling from?</t>
  </si>
  <si>
    <t>Do you agree with that?</t>
  </si>
  <si>
    <t>Do you agree with what he's saying?</t>
  </si>
  <si>
    <t>Isn't it funny?</t>
  </si>
  <si>
    <t>Isn't it interesting?</t>
  </si>
  <si>
    <t>Isn't it a lovely day?</t>
  </si>
  <si>
    <t>Isn't it your responsibility?</t>
  </si>
  <si>
    <t>Are there other options?</t>
  </si>
  <si>
    <t>Is there any way to beat him?</t>
  </si>
  <si>
    <t>Is there any way to keep it quiet?</t>
  </si>
  <si>
    <t>IS THERE SOMETHING/ANYTHING...? CÓ GÌ MÀ... KHÔNG?</t>
  </si>
  <si>
    <t>Is there something here I don't know?</t>
  </si>
  <si>
    <t>Could you fax me a copy?</t>
  </si>
  <si>
    <t>Could you tell me the truth?</t>
  </si>
  <si>
    <t>Could you be more specific?</t>
  </si>
  <si>
    <t>Will you walk with me a little?</t>
  </si>
  <si>
    <t>Can I keep this?</t>
  </si>
  <si>
    <t>Can I get you some coffee?</t>
  </si>
  <si>
    <t>May I help you?</t>
  </si>
  <si>
    <t>May I ask your name?</t>
  </si>
  <si>
    <t>May I open the window?</t>
  </si>
  <si>
    <t>Do you mind if I call you Tom?</t>
  </si>
  <si>
    <t>Why don't you take some rest?</t>
  </si>
  <si>
    <t>Why don't you join us?</t>
  </si>
  <si>
    <t>YOU'D BETTER...? BẠN NÊN...?</t>
  </si>
  <si>
    <t>You'd better take it into consideration.</t>
  </si>
  <si>
    <t>You'd better stay here.</t>
  </si>
  <si>
    <t>You'd better stop meeting him.</t>
  </si>
  <si>
    <t>How are you doing?</t>
  </si>
  <si>
    <t>What do you think of my plan?</t>
  </si>
  <si>
    <t>What do you think about that?</t>
  </si>
  <si>
    <t>What do you think about his suggestion?</t>
  </si>
  <si>
    <t>What do you think about this picture?</t>
  </si>
  <si>
    <t>What do you think I have to do?</t>
  </si>
  <si>
    <t>What do you think we should do?</t>
  </si>
  <si>
    <t>Do you want some help?</t>
  </si>
  <si>
    <t>Do you want some more?</t>
  </si>
  <si>
    <t>Do you want to take a shower?</t>
  </si>
  <si>
    <t>Do you want to come with me?</t>
  </si>
  <si>
    <t>Do you want to stay for dinner?</t>
  </si>
  <si>
    <t>Do you want to go to see a movie?</t>
  </si>
  <si>
    <t>Do you want me to help you?</t>
  </si>
  <si>
    <t>Do you want me to buy a drink?</t>
  </si>
  <si>
    <t>Do you want me to drive you home?</t>
  </si>
  <si>
    <t>What do you want to know?</t>
  </si>
  <si>
    <t>What do you want me to put on?</t>
  </si>
  <si>
    <t>What do you want me to say to him?</t>
  </si>
  <si>
    <t>What do you want me to bring?</t>
  </si>
  <si>
    <t>What do you want him to show you?</t>
  </si>
  <si>
    <t>What do you want her to prove?</t>
  </si>
  <si>
    <t>What should I do with it?</t>
  </si>
  <si>
    <t>What should I pack in my carry-on?</t>
  </si>
  <si>
    <t>What should I prepare for that?</t>
  </si>
  <si>
    <t>What do you think I should attend to?</t>
  </si>
  <si>
    <t>What do you think I should buy for her?</t>
  </si>
  <si>
    <t>What am I supposed to talk to him about?</t>
  </si>
  <si>
    <t>What are you going to do on Christmas?</t>
  </si>
  <si>
    <t>What are you going to do about her attitude?</t>
  </si>
  <si>
    <t>What are you going to apply for?</t>
  </si>
  <si>
    <t>Are you planning to do it?</t>
  </si>
  <si>
    <t>Are you planning to assist him?</t>
  </si>
  <si>
    <t>Why are you so confused?</t>
  </si>
  <si>
    <t>Why are you so dressed up?</t>
  </si>
  <si>
    <t>Why do you want to know?</t>
  </si>
  <si>
    <t>Why do you keep doing this to me?</t>
  </si>
  <si>
    <t>Why did you call me so late?</t>
  </si>
  <si>
    <t>Why did you tell me the truth?</t>
  </si>
  <si>
    <t>How come you are so generous?</t>
  </si>
  <si>
    <t>How come you are so sick?</t>
  </si>
  <si>
    <t>How come you put lipstick on?</t>
  </si>
  <si>
    <t>How come you know so much about me?</t>
  </si>
  <si>
    <t>How come you didn't keep your promises?</t>
  </si>
  <si>
    <t>How come you didn't return my texts?</t>
  </si>
  <si>
    <t>How come you accepted his offer?</t>
  </si>
  <si>
    <t>How can I get in touch with him?</t>
  </si>
  <si>
    <t>How do you put up with it?</t>
  </si>
  <si>
    <t>How did you happen to know him?</t>
  </si>
  <si>
    <t>How did you know this was me?</t>
  </si>
  <si>
    <t>When do you need these by?</t>
  </si>
  <si>
    <t>When do you want to start?</t>
  </si>
  <si>
    <t>When do you get off work?</t>
  </si>
  <si>
    <t>When did you hear that?</t>
  </si>
  <si>
    <t>When did you get that?</t>
  </si>
  <si>
    <t>When did you make up your mind?</t>
  </si>
  <si>
    <t>When will you meet her?</t>
  </si>
  <si>
    <t>How long does it take to learn it?</t>
  </si>
  <si>
    <t>How long does it take to finish this course?</t>
  </si>
  <si>
    <t>How long will the battery last?</t>
  </si>
  <si>
    <t>How long will the meeting last?</t>
  </si>
  <si>
    <t>How long will you stay here?</t>
  </si>
  <si>
    <t>How long have you been married?</t>
  </si>
  <si>
    <t>How long have you been waiting?</t>
  </si>
  <si>
    <t>How long have you known each other?</t>
  </si>
  <si>
    <t>Where do you work?</t>
  </si>
  <si>
    <t>Where do you suggest eating?</t>
  </si>
  <si>
    <t>Where do you walk around?</t>
  </si>
  <si>
    <t>Where did you pick it up?</t>
  </si>
  <si>
    <t>Where are you off to?</t>
  </si>
  <si>
    <t>Do you agree to work with her?</t>
  </si>
  <si>
    <t>Don't you agree?</t>
  </si>
  <si>
    <t>Don't you understand me?</t>
  </si>
  <si>
    <t>Don't you like him?</t>
  </si>
  <si>
    <t>Don't you think he's out of control?</t>
  </si>
  <si>
    <t>Is there any objection?</t>
  </si>
  <si>
    <t>Is there any clear evidence?</t>
  </si>
  <si>
    <t>Is there a different number?</t>
  </si>
  <si>
    <t>Is there something I should know?</t>
  </si>
  <si>
    <t>Is there something you want me to do?</t>
  </si>
  <si>
    <t>Could you call her for me?</t>
  </si>
  <si>
    <t>Can you hold on a second?</t>
  </si>
  <si>
    <t>Can you find out anything about her?</t>
  </si>
  <si>
    <t>Can you spare a few minutes?</t>
  </si>
  <si>
    <t>Can you come with me?</t>
  </si>
  <si>
    <t>Will you make me a promise?</t>
  </si>
  <si>
    <t>Will you take it easy?</t>
  </si>
  <si>
    <t>Will you tell me what's wrong?</t>
  </si>
  <si>
    <t>Would you stop complaining?</t>
  </si>
  <si>
    <t>Would you open this door for me?</t>
  </si>
  <si>
    <t>Would you get the door for me?</t>
  </si>
  <si>
    <t>Would you bring me the book?</t>
  </si>
  <si>
    <t>Would you mind keeping your voice down?</t>
  </si>
  <si>
    <t>Would you mind talking with me for a while?</t>
  </si>
  <si>
    <t>Would you mind meeting me for dinner?</t>
  </si>
  <si>
    <t>Would you like to look around?</t>
  </si>
  <si>
    <t>Would you like to sit down?</t>
  </si>
  <si>
    <t>Would you like to check things out?</t>
  </si>
  <si>
    <t>Can I refill your glass?</t>
  </si>
  <si>
    <t>Can I take you home with me?</t>
  </si>
  <si>
    <t>May I ask why?</t>
  </si>
  <si>
    <t>Do you mind if I ask you a question?</t>
  </si>
  <si>
    <t>Do you mind if I say something?</t>
  </si>
  <si>
    <t>Do you mind me staying here?</t>
  </si>
  <si>
    <t>Why don't you think it over?</t>
  </si>
  <si>
    <t>Why don't you hurry now?</t>
  </si>
  <si>
    <t>Why don't you sit down and take it easy?</t>
  </si>
  <si>
    <t>How about meeting me after lunch?</t>
  </si>
  <si>
    <t>How about taking a trip to London?</t>
  </si>
  <si>
    <t>How about exercising together?</t>
  </si>
  <si>
    <t>How about learning English together?</t>
  </si>
  <si>
    <t>You'd better hurry.</t>
  </si>
  <si>
    <t>You'd better give up.</t>
  </si>
  <si>
    <t>HOW + TOBE..? /(AI, CÁI GÌ) NHƯ THẾ NÀO?/</t>
  </si>
  <si>
    <t>WHAT DO YOU THINK...? /BẠN NGHĨ THẾ NÀO?/</t>
  </si>
  <si>
    <t>DO YOU WANT TO...? /BẠN CÓ MUỐN...?/</t>
  </si>
  <si>
    <t>WHAT DO YOU WANT ...? /BẠN MUỐN LÀM GÌ? /</t>
  </si>
  <si>
    <t>WHAT SHOULD I...? /TÔI NÊN LÀM GÌ?/</t>
  </si>
  <si>
    <t>WHAT AM I SUPPOSED TO...? TÔI NÊN LÀM GÌ (TRONG HOÀN CẢNH NÀY)?</t>
  </si>
  <si>
    <t>WHY...? /TẠI SAO?/</t>
  </si>
  <si>
    <t>HOW COME YOU...? /SAO BẠN LẠI?/</t>
  </si>
  <si>
    <t>HOW CAN/DO...? /BẰNG CÁCH NÀO?/</t>
  </si>
  <si>
    <t>WHEN...? /KHI NÀO...?/</t>
  </si>
  <si>
    <t>HOW LONG..? /BAO LÂU...?/</t>
  </si>
  <si>
    <t>WHERE DO YOU... /BẠN... Ở ĐÂU?/</t>
  </si>
  <si>
    <t>DO YOU AGREE...? /BẠN CÓ ĐỒNG Ý... KHÔNG?/</t>
  </si>
  <si>
    <t>IS/ARE THERE...? /CÓ... KHÔNG?/</t>
  </si>
  <si>
    <t>COULD YOU...? /ANH/CHỊ CÓ THỂ... KHÔNG Ạ?/</t>
  </si>
  <si>
    <t>WOULD YOU...? /LIỆU BẠN CÓ THỂ... KHÔNG?/</t>
  </si>
  <si>
    <t>CAN I...? /TÔI CÓ THỂ... KHÔNG?/</t>
  </si>
  <si>
    <t>WHY DON'T YOU...? /SAO BẠN KHÔNG...?/</t>
  </si>
  <si>
    <t>HOW IS/ARE..? /NHƯ THẾ NÀO?/</t>
  </si>
  <si>
    <t>HOW + ADJ + IS/ARE...? /ĐẾN MỨC NÀO?/</t>
  </si>
  <si>
    <t>HOW WAS/WERE..? /ĐÃ NHƯ THẾ NÀO?/</t>
  </si>
  <si>
    <t>DO YOU WANT TO + VERB?</t>
  </si>
  <si>
    <t>WHAT DO YOU WANT TO + VERB? /BẠN MUỐN... GÌ?/</t>
  </si>
  <si>
    <t>WHAT DO YOU WANT ME TO + VERB? /BẠN MUỐN TÔI LÀM GÌ?/</t>
  </si>
  <si>
    <t>WHAT DO YOU WANT + TỪ CHỈ NGƯỜI + TO? /BẠN MUỐN AI LÀM GÌ?/</t>
  </si>
  <si>
    <t>WHAT DO YOU THINK I SHOULD...? /BẠN NGHĨ TÔI NÊN LÀM GÌ?/</t>
  </si>
  <si>
    <t>WHAT ARE YOU GOING TO...? /BẠN DỰ ĐỊNH SẼ LÀM GÌ?/</t>
  </si>
  <si>
    <t>ARE YOU PLANNING TO...? /BẠN CÓ ĐỊNH KHÔNG?/</t>
  </si>
  <si>
    <t>DO YOU HAVE PLANS FOR...? Or HAVE YOU MADE PLANS FOR...? /BẠN CÓ KẾ HOẠCH CHO... KHÔNG?/</t>
  </si>
  <si>
    <t>WHY ARE YOU...? /TẠI SAO BẠN?/</t>
  </si>
  <si>
    <t>WHY DO YOU...? /TẠI SAO BẠN?/</t>
  </si>
  <si>
    <t>WHY DID YOU...? /TẠI SAO BẠN LẠI?/</t>
  </si>
  <si>
    <t>HOW COME YOU ARE...? /SAO BẠN LẠI?/</t>
  </si>
  <si>
    <t>HOW COME YOU + ĐỘNG TỪ THÌ HIỆN TẠI? /SAO BẠN LẠI?/</t>
  </si>
  <si>
    <t>HOW COME YOU + ĐỘNG TỪ THÌ QUÁ KHỨ? /SAO BẠN LẠI?/</t>
  </si>
  <si>
    <t>HOW CAN I...? /TÔI CÓ THỂ (LÀM GÌ) BẰNG CÁCH NÀO?/</t>
  </si>
  <si>
    <t>HOW DO YOU...? /BẠN (LÀM GÌ) BẰNG CÁCH NÀO? /</t>
  </si>
  <si>
    <t>HOW DID YOU...? /BẠN ĐÃ (LÀM GÌ) BẰNG CÁCH NÀO?/</t>
  </si>
  <si>
    <t>WHEN DO YOU/ARE YOU...? /BẠN (LÀM GÌ) KHI NÀO?/</t>
  </si>
  <si>
    <t>WHEN DID YOU...? /BẠN ĐÃ (LÀM GÌ) KHI NÀO?/</t>
  </si>
  <si>
    <t>WHEN WILL YOU/ARE YOU GOING TO...? /BẠN SẼ (LÀM GÌ) KHI NÀO?/</t>
  </si>
  <si>
    <t>HOW LONG DOES IT TAKE TO..? /(THƯỜNG) MẤT BAO LÂU ĐỂ LÀM GÌ?/</t>
  </si>
  <si>
    <t>HOW LONG WILL...? /SẼ MẤT BAO LÂU ĐỂ (LÀM GÌ)?/</t>
  </si>
  <si>
    <t>HOW LONG HAVE YOU/DID IT...? ĐÃ (LÀM GÌ) ĐƯỢC BAO LÂU/ĐÃ MẤT BAO LÂU ĐỂ LÀM GÌ?</t>
  </si>
  <si>
    <t>WHERE DO YOU...? /BẠN (LÀM GÌ) Ở ĐÂU?/</t>
  </si>
  <si>
    <t>WHERE DID YOU...? /BẠN ĐÃ (LÀM GÌ) Ở ĐÂU?/</t>
  </si>
  <si>
    <t>WHERE AM/IS/ARE + S...? /(AI/CÁI GÌ) ĐANG (LÀM GÌ) Ở ĐÂU?/</t>
  </si>
  <si>
    <t>DON'T YOU...? /BẠN KHÔNG... SAO?/</t>
  </si>
  <si>
    <t>ISN'T IT...? /NÓ KHÔNG... SAO? CHẲNG PHẢI NÓ... SAO?/</t>
  </si>
  <si>
    <t>IS THERE ANY WAY TO...? /CÓ CÁCH NÀO ĐỂ... KHÔNG?/</t>
  </si>
  <si>
    <t>COULD YOU...? /ANH/CHỊ CÓ THỂ. KHÔNG Ạ?/</t>
  </si>
  <si>
    <t>CAN YOU...? /BẠN CÓ THỂ... KHÔNG?/</t>
  </si>
  <si>
    <t>WILL YOU...? /BẠN CÓ THỂ... KHÔNG? BẠN SẼ... CHỨ?/</t>
  </si>
  <si>
    <t>WOULD YOU...? /BẠN CÓ THỂ... KHÔNG?/</t>
  </si>
  <si>
    <t>WOULD YOU MIND...? /LIỆU BẠN CÓ THỂ... KHÔNG? BẠN CÓ PHIỀN KHÔNG NẾU...?/</t>
  </si>
  <si>
    <t>WOULD YOU LIKE TO...? BẠN CÓ MUỐN... KHÔNG?</t>
  </si>
  <si>
    <t>MAY I...? /TÔI CÓ THỂ... KHÔNG?/</t>
  </si>
  <si>
    <t>DO YOU MIND IF I + V? DO YOU MIND ME + V-ING? /BẠN CÓ PHIỀN KHÔNG NẾU TÔI...?/</t>
  </si>
  <si>
    <t>WHY DON'T YOU...? /SAO BẠN KHÔNG.../</t>
  </si>
  <si>
    <t>HOW ABOUT...? /HAY LÀ...?/</t>
  </si>
  <si>
    <t>1.1.1</t>
  </si>
  <si>
    <t>1.1.2</t>
  </si>
  <si>
    <t>1.1.3</t>
  </si>
  <si>
    <t>1.1.4</t>
  </si>
  <si>
    <t>1.2.1</t>
  </si>
  <si>
    <t>1.2.2</t>
  </si>
  <si>
    <t>1.2.3</t>
  </si>
  <si>
    <t>1.2.4</t>
  </si>
  <si>
    <t>1.3.1</t>
  </si>
  <si>
    <t>1.3.2</t>
  </si>
  <si>
    <t>1.3.3</t>
  </si>
  <si>
    <t>1.3.4</t>
  </si>
  <si>
    <t>2.1.1</t>
  </si>
  <si>
    <t>2.1.2</t>
  </si>
  <si>
    <t>2.1.3</t>
  </si>
  <si>
    <t>2.1.4</t>
  </si>
  <si>
    <t>2.2.1</t>
  </si>
  <si>
    <t>2.2.2</t>
  </si>
  <si>
    <t>2.2.3</t>
  </si>
  <si>
    <t>2.3.1</t>
  </si>
  <si>
    <t>2.3.2</t>
  </si>
  <si>
    <t>2.3.3</t>
  </si>
  <si>
    <t>3.1.1</t>
  </si>
  <si>
    <t>3.1.2</t>
  </si>
  <si>
    <t>3.1.3</t>
  </si>
  <si>
    <t>3.2.1</t>
  </si>
  <si>
    <t>3.2.2</t>
  </si>
  <si>
    <t>3.2.3</t>
  </si>
  <si>
    <t>3.2.4</t>
  </si>
  <si>
    <t>3.3.1</t>
  </si>
  <si>
    <t>3.3.2</t>
  </si>
  <si>
    <t>3.3.3</t>
  </si>
  <si>
    <t>3.3.4</t>
  </si>
  <si>
    <t>4.1.1</t>
  </si>
  <si>
    <t>4.1.2</t>
  </si>
  <si>
    <t>4.1.3</t>
  </si>
  <si>
    <t>4.2.1</t>
  </si>
  <si>
    <t>4.2.2</t>
  </si>
  <si>
    <t>4.2.3</t>
  </si>
  <si>
    <t>4.3.1</t>
  </si>
  <si>
    <t>4.3.2</t>
  </si>
  <si>
    <t>4.3.3</t>
  </si>
  <si>
    <t>5.1.1</t>
  </si>
  <si>
    <t>5.1.2</t>
  </si>
  <si>
    <t>5.1.3</t>
  </si>
  <si>
    <t>5.2.1</t>
  </si>
  <si>
    <t>5.2.2</t>
  </si>
  <si>
    <t>5.2.3</t>
  </si>
  <si>
    <t>7.1.1</t>
  </si>
  <si>
    <t>7.1.2</t>
  </si>
  <si>
    <t>7.1.3</t>
  </si>
  <si>
    <t>7.2.1</t>
  </si>
  <si>
    <t>7.2.2</t>
  </si>
  <si>
    <t>7.2.3</t>
  </si>
  <si>
    <t>7.3.1</t>
  </si>
  <si>
    <t>7.3.2</t>
  </si>
  <si>
    <t>7.3.3</t>
  </si>
  <si>
    <t>8.1.1</t>
  </si>
  <si>
    <t>8.1.2</t>
  </si>
  <si>
    <t>8.1.3</t>
  </si>
  <si>
    <t>8.2.1</t>
  </si>
  <si>
    <t>8.2.2</t>
  </si>
  <si>
    <t>8.2.3</t>
  </si>
  <si>
    <t>8.3.1</t>
  </si>
  <si>
    <t>8.3.2</t>
  </si>
  <si>
    <t>8.3.3</t>
  </si>
  <si>
    <t>9.1.1</t>
  </si>
  <si>
    <t>9.1.2</t>
  </si>
  <si>
    <t>9.1.3</t>
  </si>
  <si>
    <t>9.1.4</t>
  </si>
  <si>
    <t>9.2.1</t>
  </si>
  <si>
    <t>9.2.2</t>
  </si>
  <si>
    <t>9.2.3</t>
  </si>
  <si>
    <t>9.3.1</t>
  </si>
  <si>
    <t>9.3.2</t>
  </si>
  <si>
    <t>9.3.3</t>
  </si>
  <si>
    <t>10.1.1</t>
  </si>
  <si>
    <t>10.1.2</t>
  </si>
  <si>
    <t>10.1.3</t>
  </si>
  <si>
    <t>10.2.1</t>
  </si>
  <si>
    <t>10.2.2</t>
  </si>
  <si>
    <t>10.2.3</t>
  </si>
  <si>
    <t>10.3.1</t>
  </si>
  <si>
    <t>10.3.2</t>
  </si>
  <si>
    <t>10.3.3</t>
  </si>
  <si>
    <t>11.1.1</t>
  </si>
  <si>
    <t>11.1.2</t>
  </si>
  <si>
    <t>11.1.3</t>
  </si>
  <si>
    <t>11.1.4</t>
  </si>
  <si>
    <t>11.2.1</t>
  </si>
  <si>
    <t>11.2.2</t>
  </si>
  <si>
    <t>11.2.3</t>
  </si>
  <si>
    <t>11.3.1</t>
  </si>
  <si>
    <t>11.3.2</t>
  </si>
  <si>
    <t>11.3.3</t>
  </si>
  <si>
    <t>12.1.1</t>
  </si>
  <si>
    <t>12.1.2</t>
  </si>
  <si>
    <t>12.1.3</t>
  </si>
  <si>
    <t>12.2.1</t>
  </si>
  <si>
    <t>12.2.2</t>
  </si>
  <si>
    <t>12.2.3</t>
  </si>
  <si>
    <t>12.2.4</t>
  </si>
  <si>
    <t>12.3.1</t>
  </si>
  <si>
    <t>12.3.2</t>
  </si>
  <si>
    <t>12.3.3</t>
  </si>
  <si>
    <t>13.1.1</t>
  </si>
  <si>
    <t>13.1.2</t>
  </si>
  <si>
    <t>13.1.3</t>
  </si>
  <si>
    <t>13.2.1</t>
  </si>
  <si>
    <t>13.2.2</t>
  </si>
  <si>
    <t>13.2.3</t>
  </si>
  <si>
    <t>13.3.1</t>
  </si>
  <si>
    <t>13.3.2</t>
  </si>
  <si>
    <t>13.3.3</t>
  </si>
  <si>
    <t>14.1.1</t>
  </si>
  <si>
    <t>14.1.2</t>
  </si>
  <si>
    <t>14.1.3</t>
  </si>
  <si>
    <t>14.2.1</t>
  </si>
  <si>
    <t>14.2.2</t>
  </si>
  <si>
    <t>14.2.3</t>
  </si>
  <si>
    <t>14.2.4</t>
  </si>
  <si>
    <t>14.3.1</t>
  </si>
  <si>
    <t>14.3.2</t>
  </si>
  <si>
    <t>14.3.3</t>
  </si>
  <si>
    <t>14.3.4</t>
  </si>
  <si>
    <t>15.1.1</t>
  </si>
  <si>
    <t>15.1.2</t>
  </si>
  <si>
    <t>15.1.3</t>
  </si>
  <si>
    <t>15.1.4</t>
  </si>
  <si>
    <t>15.2.1</t>
  </si>
  <si>
    <t>15.2.2</t>
  </si>
  <si>
    <t>15.2.3</t>
  </si>
  <si>
    <t>15.3.1</t>
  </si>
  <si>
    <t>15.3.2</t>
  </si>
  <si>
    <t>15.3.3</t>
  </si>
  <si>
    <t>16.1.1</t>
  </si>
  <si>
    <t>16.1.2</t>
  </si>
  <si>
    <t>16.1.3</t>
  </si>
  <si>
    <t>16.1.4</t>
  </si>
  <si>
    <t>16.2.1</t>
  </si>
  <si>
    <t>16.2.2</t>
  </si>
  <si>
    <t>16.2.3</t>
  </si>
  <si>
    <t>16.2.4</t>
  </si>
  <si>
    <t>16.3.1</t>
  </si>
  <si>
    <t>16.3.2</t>
  </si>
  <si>
    <t>16.3.3</t>
  </si>
  <si>
    <t>16.3.4</t>
  </si>
  <si>
    <t>17.1.1</t>
  </si>
  <si>
    <t>17.1.2</t>
  </si>
  <si>
    <t>17.1.3</t>
  </si>
  <si>
    <t>17.1.4</t>
  </si>
  <si>
    <t>17.2.1</t>
  </si>
  <si>
    <t>17.2.2</t>
  </si>
  <si>
    <t>17.2.3</t>
  </si>
  <si>
    <t>17.3.1</t>
  </si>
  <si>
    <t>17.3.2</t>
  </si>
  <si>
    <t>17.3.3</t>
  </si>
  <si>
    <t>18.1.1</t>
  </si>
  <si>
    <t>18.1.2</t>
  </si>
  <si>
    <t>18.1.3</t>
  </si>
  <si>
    <t>18.1.4</t>
  </si>
  <si>
    <t>18.2.1</t>
  </si>
  <si>
    <t>18.2.2</t>
  </si>
  <si>
    <t>18.2.3</t>
  </si>
  <si>
    <t>18.2.4</t>
  </si>
  <si>
    <t>18.3.1</t>
  </si>
  <si>
    <t>18.3.2</t>
  </si>
  <si>
    <t>18.3.3</t>
  </si>
  <si>
    <t>18.3.4</t>
  </si>
  <si>
    <t>19.1.1</t>
  </si>
  <si>
    <t>19.1.2</t>
  </si>
  <si>
    <t>19.1.3</t>
  </si>
  <si>
    <t>19.1.4</t>
  </si>
  <si>
    <t>19.1.5</t>
  </si>
  <si>
    <t>19.2.1</t>
  </si>
  <si>
    <t>19.2.2</t>
  </si>
  <si>
    <t>19.2.3</t>
  </si>
  <si>
    <t>19.2.4</t>
  </si>
  <si>
    <t>19.3.1</t>
  </si>
  <si>
    <t>19.3.2</t>
  </si>
  <si>
    <t>19.3.3</t>
  </si>
  <si>
    <t>19.3.4</t>
  </si>
  <si>
    <t>19.3.5</t>
  </si>
  <si>
    <t>Struc0</t>
  </si>
  <si>
    <t>How beautiful is she?</t>
  </si>
  <si>
    <t>How difficult is it?</t>
  </si>
  <si>
    <t xml:space="preserve"> Is there any way to help them?</t>
  </si>
  <si>
    <t>Thời tiết thế nào?</t>
  </si>
  <si>
    <t>Anh ấy khoẻ chứ?</t>
  </si>
  <si>
    <t>Dự án đang được tiến hành như thế nào rồi?</t>
  </si>
  <si>
    <t>Cậu dạo này thế nào?</t>
  </si>
  <si>
    <t>Nó tệ đến mức nào?</t>
  </si>
  <si>
    <t>Anh ấy ốm như thế nào?</t>
  </si>
  <si>
    <t>Cô ấy đẹp đến mức nào?</t>
  </si>
  <si>
    <t>Nó khó đến mức nào?</t>
  </si>
  <si>
    <t>Ngày hôm nay của cậu thế nào?</t>
  </si>
  <si>
    <t>Đêm qua thế nào?</t>
  </si>
  <si>
    <t>Buổi hẹn của cậu thế nào?</t>
  </si>
  <si>
    <t>Chuyến đi của cậu thế nào?</t>
  </si>
  <si>
    <t>Cậu nghĩ thế nào về anh ấy?</t>
  </si>
  <si>
    <t>Cậu nghĩ thế nào về ý tưởng của tôi?</t>
  </si>
  <si>
    <t>Cậu nghĩ thế nào về kế hoạch của tôi?</t>
  </si>
  <si>
    <t>Cậu nghĩ thế nào về cách anh ấy nói chuyện?</t>
  </si>
  <si>
    <t>Cậu nghĩ thế nào về điều đó?</t>
  </si>
  <si>
    <t>Cậu nghĩ thế nào về đề xuất của anh ta?</t>
  </si>
  <si>
    <t>Cậu nghĩ thế nào về bức tranh này?</t>
  </si>
  <si>
    <t>Cậu nghĩ tôi nên làm gì?</t>
  </si>
  <si>
    <t>Cậu nghĩ anh ấy muốn ăn gì?</t>
  </si>
  <si>
    <t>Cậu nghĩ chúng ta nên làm gì?</t>
  </si>
  <si>
    <t>Cậu có muốn uống Coca không?</t>
  </si>
  <si>
    <t>Cậu có muốn giúp tôi không?</t>
  </si>
  <si>
    <t>Cậu có muốn ăn thêm không?</t>
  </si>
  <si>
    <t>Cậu có muốn đi tắm không?</t>
  </si>
  <si>
    <t>Cậu có muốn đi với tôi không?</t>
  </si>
  <si>
    <t>Cậu có muốn ở lại ăn tối không?</t>
  </si>
  <si>
    <t>Cậu có muốn đi xem phim không?</t>
  </si>
  <si>
    <t>Cậu có muốn tôi xử lý anh ta không?</t>
  </si>
  <si>
    <t>Cậu có muốn tôi giúp không?</t>
  </si>
  <si>
    <t>Cậu có muốn tôi mua đồ uống cho cậu không?</t>
  </si>
  <si>
    <t>Cậu có muốn tôi lái xe đưa cậu về không?</t>
  </si>
  <si>
    <t>Cậu muốn làm gì?</t>
  </si>
  <si>
    <t>Cậu muốn biết gì?</t>
  </si>
  <si>
    <t>Cậu muốn nói gì với tôi?</t>
  </si>
  <si>
    <t>Cậu muốn tôi mặc cái gì?</t>
  </si>
  <si>
    <t>Cậu muốn tôi nói gì với anh ấy?</t>
  </si>
  <si>
    <t>Cậu muốn tôi mang theo gì?</t>
  </si>
  <si>
    <t>Cậu muốn anh ấy mang cái gì đến?</t>
  </si>
  <si>
    <t>Cậu muốn anh ấy cho cậu xem cái gì?</t>
  </si>
  <si>
    <t>Cậu muốn cô ấy chứng minh điều gì?</t>
  </si>
  <si>
    <t>Tôi nên làm gì với nó?</t>
  </si>
  <si>
    <t>Tôi nên xếp đồ gì vào hành lý xách tay?</t>
  </si>
  <si>
    <t>Tôi nên chuẩn bị gì cho chuyện đó?</t>
  </si>
  <si>
    <t>Cậu nghĩ tôi nên chú trọng đến điều gì?</t>
  </si>
  <si>
    <t>Cậu nghĩ tôi nên mua cho cô ấy cái gì?</t>
  </si>
  <si>
    <t>Cậu nghĩ tôi nên giới thiệu cái gì?</t>
  </si>
  <si>
    <t>Tôi nên xem gì?</t>
  </si>
  <si>
    <t>Tôi nên tặng quà gì?</t>
  </si>
  <si>
    <t>Tôi nên nói chuyện với anh ấy về chủ đề gì?</t>
  </si>
  <si>
    <t>Cậu dự định sẽ làm gì vào Giáng sinh?</t>
  </si>
  <si>
    <t>Cậu định sẽ làm thế nào với thái độ của cô ấy?</t>
  </si>
  <si>
    <t>Cậu định sẽ xin vào ngành gì?</t>
  </si>
  <si>
    <t>Cậu có định làm nó không?</t>
  </si>
  <si>
    <t>Cậu có định hỗ trợ anh ấy không?</t>
  </si>
  <si>
    <t>Cậu định tổ chức tiệc à?</t>
  </si>
  <si>
    <t>Ngày mai cậu có kế hoạch gì không?</t>
  </si>
  <si>
    <t>Tối nay cậu có hẹn không?</t>
  </si>
  <si>
    <t>Cậu đã có kế hoạch gì cho ngày sinh nhật chưa?</t>
  </si>
  <si>
    <t>Tại sao cậu buồn?</t>
  </si>
  <si>
    <t>Tại sao cậu bối rối vậy?</t>
  </si>
  <si>
    <t>Sao cậu ăn diện thể</t>
  </si>
  <si>
    <t>Tại sao cậu muốn biết?</t>
  </si>
  <si>
    <t>Tại sao cậu cứ làm thế với tôi?</t>
  </si>
  <si>
    <t>Tại sao cậu cứ hỏi tôi chuyện đó mãi thế?</t>
  </si>
  <si>
    <t>Tại sao cậu lại nói dối tôi?</t>
  </si>
  <si>
    <t>Tại sao cậu gọi cho tôi muộn thế?</t>
  </si>
  <si>
    <t>Tại sao cậu lại nói cho tôi sự thật?</t>
  </si>
  <si>
    <t>Sao cậu lại ốm thế?</t>
  </si>
  <si>
    <t>Sao cậu nói xấu tôi?</t>
  </si>
  <si>
    <t>Sao cậu lại ủ rũ thế?</t>
  </si>
  <si>
    <t>Sao cậu lại tô son?</t>
  </si>
  <si>
    <t>Sao cậu lại biết rõ về tôi như vậy?</t>
  </si>
  <si>
    <t>Sao cậu lại không hẹn hò?</t>
  </si>
  <si>
    <t>Sao cậu lại không giữ lời hứa của mình?</t>
  </si>
  <si>
    <t>Sao cậu không trả lời tin nhắn của tôi?</t>
  </si>
  <si>
    <t>Sao cậu lại chấp nhận đề xuất của anh ta?</t>
  </si>
  <si>
    <t>Tôi có thể liên lạc với anh ấy bằng cách nào?</t>
  </si>
  <si>
    <t>Tôi có thể xử lí nó bằng cách nào?</t>
  </si>
  <si>
    <t>Tôi có thể giải thích chuyện này cho anh ấy như thế nào?</t>
  </si>
  <si>
    <t>Làm sao cậu chịu đựng được chuyện đó?</t>
  </si>
  <si>
    <t>Cậu xử lý nó bằng cách nào?</t>
  </si>
  <si>
    <t>Sao cậu làm việc dưới trướng anh ta được?</t>
  </si>
  <si>
    <t>Làm thế nào cậu nhận được sự cho phép của anh ấy vậy?</t>
  </si>
  <si>
    <t>Làm thế nào cậu biết anh ấy?</t>
  </si>
  <si>
    <t>Làm sao cậu biết đấy là tôi?</t>
  </si>
  <si>
    <t>Khi nào cậu cần mấy thứ này?</t>
  </si>
  <si>
    <t>Cậu muốn bắt đầu khi nào?</t>
  </si>
  <si>
    <t>Cậu thường tan làm khi nào?</t>
  </si>
  <si>
    <t>Khi nào cậu định đi thăm cô ấy?</t>
  </si>
  <si>
    <t>Cậu đã nghe thấy chuyện đó khi nào?</t>
  </si>
  <si>
    <t>Cậu đã mua nó khi nào?</t>
  </si>
  <si>
    <t>Cậu đã quyết định từ khi nào?</t>
  </si>
  <si>
    <t>Cậu định về nhà khi nào?</t>
  </si>
  <si>
    <t>Cậu sẽ gọi cho anh ấy vào lúc nào?</t>
  </si>
  <si>
    <t>Cậu sẽ gặp cô ấy khi nào?</t>
  </si>
  <si>
    <t>Mất bao lâu để làm xong nó?</t>
  </si>
  <si>
    <t>Mất bao lâu để học nó?</t>
  </si>
  <si>
    <t>Mất bao lâu để hoàn thành khoá học này?</t>
  </si>
  <si>
    <t>Sẽ mất bao lâu để đọc xong cuốn sách này?</t>
  </si>
  <si>
    <t>Pin này dùng được trong bao lâu?</t>
  </si>
  <si>
    <t>Buổi họp sẽ kéo dài trong bao lâu?</t>
  </si>
  <si>
    <t>Cậu sẽ ở lại đây trong bao lâu?</t>
  </si>
  <si>
    <t>Cậu đã kết hôn được bao lâu rồi?</t>
  </si>
  <si>
    <t>Cậu đã đợi được bao lâu rồi?</t>
  </si>
  <si>
    <t>Hai người quen nhau bao lâu rồi?</t>
  </si>
  <si>
    <t>Cậu làm việc ở đâu?</t>
  </si>
  <si>
    <t>Cậu gợi ý đi ăn ở đâu?</t>
  </si>
  <si>
    <t>Cậu thường đi bộ ở đâu?</t>
  </si>
  <si>
    <t>Cậu đã ở đâu suốt kỳ nghỉ?</t>
  </si>
  <si>
    <t>Cậu lấy nó ở đâu?</t>
  </si>
  <si>
    <t>Cậu nhặt được nó ở đâu?</t>
  </si>
  <si>
    <t>Cậu đang ở đâu?</t>
  </si>
  <si>
    <t>Cậu đang định đi đâu?</t>
  </si>
  <si>
    <t>Cậu đang gọi điện từ chỗ nào vậy?</t>
  </si>
  <si>
    <t>Cậu có đồng ý với điều đó không?</t>
  </si>
  <si>
    <t>Cậu có đồng ý với những điều anh ấy nói không?</t>
  </si>
  <si>
    <t>Cậu có đồng ý làm việc với cô ấy không?</t>
  </si>
  <si>
    <t>Cậu không đồng ý sao?</t>
  </si>
  <si>
    <t>Cậu không hiểu tôi sao?</t>
  </si>
  <si>
    <t>Cậu không thích anh ấy à?</t>
  </si>
  <si>
    <t>Cậu không nghĩ là anh ấy mất bình tĩnh à?</t>
  </si>
  <si>
    <t>Nó không buồn cười sao?</t>
  </si>
  <si>
    <t>Nó không thú vị sao?</t>
  </si>
  <si>
    <t>Hôm nay chẳng phải là một ngày đẹp trời sao?</t>
  </si>
  <si>
    <t>Đó chẳng phải là trách nhiệm của cậu sao?</t>
  </si>
  <si>
    <t>Có ý kiến phản đối nào không?</t>
  </si>
  <si>
    <t>Có chứng cứ rõ ràng nào không?</t>
  </si>
  <si>
    <t>Có con số nào khác không?</t>
  </si>
  <si>
    <t>Có lựa chọn nào khác không?</t>
  </si>
  <si>
    <t>Có cách nào để đánh bại anh ta không?</t>
  </si>
  <si>
    <t>Có cách nào để giúp đỡ họ không?</t>
  </si>
  <si>
    <t>Có cách nào để giữ kín chuyện này không?</t>
  </si>
  <si>
    <t>Có gì mà tôi không biết ở đây không?</t>
  </si>
  <si>
    <t>Có gì mà tôi nên biết không?</t>
  </si>
  <si>
    <t>Có gì mà cậu muốn tôi làm không?</t>
  </si>
  <si>
    <t>Anh có thể gọi điện cho cô ấy giúp tôi không?</t>
  </si>
  <si>
    <t>Anh có thể gửi cho tôi một bản qua máy fax không?</t>
  </si>
  <si>
    <t>Anh có thể nói cho tôi biết sự thật không?</t>
  </si>
  <si>
    <t>Anh có thể nói cụ thể hơn không?</t>
  </si>
  <si>
    <t>Cậu có thể dừng lại 1 chút được không?</t>
  </si>
  <si>
    <t>Cậu có thể tìm hiểu về cô ấy không?</t>
  </si>
  <si>
    <t>Cậu có thể dành ra vài phút không?</t>
  </si>
  <si>
    <t>Cậu có thể đi với tôi không?</t>
  </si>
  <si>
    <t>Cậu đi dạo với tôi một chút chứ?</t>
  </si>
  <si>
    <t>Cậu sẽ hứa với tôi chứ?</t>
  </si>
  <si>
    <t>Cậu có thể bình tĩnh hơn không?</t>
  </si>
  <si>
    <t>Cậu sẽ nói cho tôi biết chứ?</t>
  </si>
  <si>
    <t>Cậu có thể thôi phàn nàn được không?</t>
  </si>
  <si>
    <t>Cậu có thể mở cửa này giúp tôi được không?</t>
  </si>
  <si>
    <t>Cậu có thể giữ cửa giúp tôi được không?</t>
  </si>
  <si>
    <t>Cậu có thể đem cho tôi quyển sách được không?</t>
  </si>
  <si>
    <t>Liệu cậu có thể nói nhỏ hơn không?</t>
  </si>
  <si>
    <t>Liệu cậu có thể nói chuyện với tôi một chút không?</t>
  </si>
  <si>
    <t>Liệu cậu có thể gặp mặt ăn tối với tôi không?</t>
  </si>
  <si>
    <t>Cậu có muốn xem một vòng không?</t>
  </si>
  <si>
    <t>Cậu có muốn ngồi xuống không?</t>
  </si>
  <si>
    <t>Cậu có muốn kiểm tra chút không?</t>
  </si>
  <si>
    <t>Tôi có thể giữ nó không?</t>
  </si>
  <si>
    <t>Tôi rót thêm nước cho cậu nhé?</t>
  </si>
  <si>
    <t>Tôi lấy cho cậu cốc cà phê nhé?</t>
  </si>
  <si>
    <t>Tôi có thể đưa cậu về nhà cùng tôi không?</t>
  </si>
  <si>
    <t>Tôi có thể hỏi tại sao không?</t>
  </si>
  <si>
    <t>Tôi có thể giúp gì cho cậu?</t>
  </si>
  <si>
    <t>Tôi có thể hỏi tên của cậu không?</t>
  </si>
  <si>
    <t>Tôi có thể mở cửa sổ không?</t>
  </si>
  <si>
    <t>Cậu có phiền không nếu tôi hỏi một câu?</t>
  </si>
  <si>
    <t>Cậu có phiền không nếu tôi gọi cậu là Tom?</t>
  </si>
  <si>
    <t>Cậu có phiền nếu tôi nói vài điều không?</t>
  </si>
  <si>
    <t>Cậu có phiền nếu tôi ở lại đây không?</t>
  </si>
  <si>
    <t>Sao cậu không suy nghĩ kỹ càng xem?</t>
  </si>
  <si>
    <t>Sao cậu không khẩn trương từ bây giờ luôn đi?</t>
  </si>
  <si>
    <t>Sao cậu không nghỉ một chút đi?</t>
  </si>
  <si>
    <t>Sao cậu không ngồi xuống và bình tĩnh lại?</t>
  </si>
  <si>
    <t>Sao cậu không tham gia với chúng tôi?</t>
  </si>
  <si>
    <t>Hay là gặp tôi sau bữa trưa nhé?</t>
  </si>
  <si>
    <t>Hay là làm một chuyến tới London nhỉ?</t>
  </si>
  <si>
    <t>Hay là tập thể dục cùng nhau?</t>
  </si>
  <si>
    <t>Hay là cùng nhau học tiếng Anh nhỉ?</t>
  </si>
  <si>
    <t>Cậu nên nhanh lên.</t>
  </si>
  <si>
    <t>Cậu nên từ bỏ đi.</t>
  </si>
  <si>
    <t>Cậu nên cân nhắc.</t>
  </si>
  <si>
    <t>Cậu nên ở lại đây.</t>
  </si>
  <si>
    <t>Cậu nên dừng việc gặp anh ấy lại.</t>
  </si>
  <si>
    <t>6.1.1</t>
  </si>
  <si>
    <t>6.1.2</t>
  </si>
  <si>
    <t>6.1.3</t>
  </si>
  <si>
    <t>haʊ ɪz ðə ˈwɛðər?</t>
  </si>
  <si>
    <t>haʊ ɪz hi?</t>
  </si>
  <si>
    <t>haʊ ɪz ðə ˈprɑʤɛkt ˈɡoʊɪŋ?</t>
  </si>
  <si>
    <t>haʊ ɑr ju ˈduɪŋ?</t>
  </si>
  <si>
    <t>haʊ bæd ɪz ɪt?</t>
  </si>
  <si>
    <t>haʊ sɪk ɪz hi?</t>
  </si>
  <si>
    <t>haʊ ˈbjutəfəl ɪz ʃi?</t>
  </si>
  <si>
    <t>haʊ ˈdɪfəkəlt ɪz ɪt?</t>
  </si>
  <si>
    <t>haʊ wʌz jʊər deɪ?</t>
  </si>
  <si>
    <t>haʊ wʌz jʊər naɪt?</t>
  </si>
  <si>
    <t>haʊ wʌz jʊər deɪt?</t>
  </si>
  <si>
    <t>haʊ wʌz jʊər trɪp?</t>
  </si>
  <si>
    <t>wɑt du ju θɪŋk ʌv hɪm?</t>
  </si>
  <si>
    <t>wɑt du ju θɪŋk ʌv maɪ aɪˈdiə?</t>
  </si>
  <si>
    <t>wɑt du ju θɪŋk ʌv maɪ plæn?</t>
  </si>
  <si>
    <t>wɑt du ju θɪŋk ʌv ðə weɪ hi tɔks?</t>
  </si>
  <si>
    <t>wɑt du ju θɪŋk əˈbaʊt ðæt?</t>
  </si>
  <si>
    <t>wɑt du ju θɪŋk əˈbaʊt hɪz səɡˈʤɛsʧən?</t>
  </si>
  <si>
    <t>wɑt du ju θɪŋk əˈbaʊt ðɪs ˈpɪkʧər?</t>
  </si>
  <si>
    <t>wɑt du ju θɪŋk aɪ hæv tu du?</t>
  </si>
  <si>
    <t>wɑt du ju θɪŋk hi wɑnts tu it?</t>
  </si>
  <si>
    <t>wɑt du ju θɪŋk wi ʃʊd du?</t>
  </si>
  <si>
    <t>du ju wɑnt sʌm koʊk?</t>
  </si>
  <si>
    <t>du ju wɑnt sʌm hɛlp?</t>
  </si>
  <si>
    <t>du ju wɑnt sʌm mɔr?</t>
  </si>
  <si>
    <t>du ju wɑnt tu teɪk ə ˈʃaʊər?</t>
  </si>
  <si>
    <t>du ju wɑnt tu kʌm wɪð mi?</t>
  </si>
  <si>
    <t>du ju wɑnt tu steɪ fɔr ˈdɪnər?</t>
  </si>
  <si>
    <t>du ju wɑnt tu ɡoʊ tu si ə ˈmuvi?</t>
  </si>
  <si>
    <t>du ju wɑnt mi tu dil wɪð hɪm?</t>
  </si>
  <si>
    <t>du ju wɑnt mi tu hɛlp ju?</t>
  </si>
  <si>
    <t>du ju wɑnt mi tu baɪ ə drɪŋk?</t>
  </si>
  <si>
    <t>du ju wɑnt mi tu draɪv ju hoʊm?</t>
  </si>
  <si>
    <t>wɑt du ju wɑnt tu du?</t>
  </si>
  <si>
    <t>wɑt du ju wɑnt tu noʊ?</t>
  </si>
  <si>
    <t>wɑt du ju wɑnt tu seɪ tu mi?</t>
  </si>
  <si>
    <t>wɑt du ju wɑnt mi tu pʊt ɑn?</t>
  </si>
  <si>
    <t>wɑt du ju wɑnt mi tu seɪ tu hɪm?</t>
  </si>
  <si>
    <t>wɑt du ju wɑnt mi tu brɪŋ?</t>
  </si>
  <si>
    <t>wɑt du ju wɑnt hɪm tu brɪŋ?</t>
  </si>
  <si>
    <t>wɑt du ju wɑnt hɪm tu ʃoʊ ju?</t>
  </si>
  <si>
    <t>wɑt du ju wɑnt hɜr tu pruv?</t>
  </si>
  <si>
    <t>wɑt ʃʊd aɪ du wɪð ɪt?</t>
  </si>
  <si>
    <t>wɑt ʃʊd aɪ pæk ɪn maɪ ˈkæri-ɑn?</t>
  </si>
  <si>
    <t>wɑt ʃʊd aɪ priˈpɛr fɔr ðæt?</t>
  </si>
  <si>
    <t>wɑt du ju θɪŋk aɪ ʃʊd əˈtɛnd tu?</t>
  </si>
  <si>
    <t>wɑt du ju θɪŋk aɪ ʃʊd baɪ fɔr hɜr?</t>
  </si>
  <si>
    <t>wɑt du ju θɪŋk aɪ ʃʊd ˌrɛkəˈmɛnd?</t>
  </si>
  <si>
    <t>wɑt æm aɪ səˈpoʊzd tu wɑʧ?</t>
  </si>
  <si>
    <t>wɑt æm aɪ səˈpoʊzd tu ɡɪv æz ə ɡɪft?</t>
  </si>
  <si>
    <t>wɑt æm aɪ səˈpoʊzd tu tɔk tu hɪm əˈbaʊt?</t>
  </si>
  <si>
    <t>wɑt ɑr ju ˈɡoʊɪŋ tu du ɑn ˈkrɪsməs?</t>
  </si>
  <si>
    <t>wɑt ɑr ju ˈɡoʊɪŋ tu du əˈbaʊt hɜr ˈætəˌtud?</t>
  </si>
  <si>
    <t>wɑt ɑr ju ˈɡoʊɪŋ tu əˈplaɪ fɔr?</t>
  </si>
  <si>
    <t>ɑr ju ˈplænɪŋ tu du ɪt?</t>
  </si>
  <si>
    <t>ɑr ju ˈplænɪŋ tu əˈsɪst hɪm?</t>
  </si>
  <si>
    <t>ɑr ju ˈplænɪŋ tu θroʊ ə ˈpɑrti?</t>
  </si>
  <si>
    <t>du ju hæv plænz fɔr təˈmɑˌroʊ?</t>
  </si>
  <si>
    <t>du ju hæv plænz fɔr ðɪs ˈivnɪŋ?</t>
  </si>
  <si>
    <t>hæv ju meɪd plænz fɔr jʊər ˈbɜrθˌdeɪ?</t>
  </si>
  <si>
    <t>waɪ ɑr ju əpˈsɛt?</t>
  </si>
  <si>
    <t>waɪ ɑr ju soʊ kənˈfjuzd?</t>
  </si>
  <si>
    <t>waɪ ɑr ju soʊ drɛst ʌp?</t>
  </si>
  <si>
    <t>waɪ du ju wɑnt tu noʊ?</t>
  </si>
  <si>
    <t>waɪ du ju kip ˈduɪŋ ðɪs tu mi?</t>
  </si>
  <si>
    <t>waɪ du ju kip ˈæskɪŋ mi ðæt?</t>
  </si>
  <si>
    <t>waɪ dɪd ju laɪ tu mi?</t>
  </si>
  <si>
    <t>waɪ dɪd ju kɔl mi soʊ leɪt?</t>
  </si>
  <si>
    <t>waɪ dɪd ju tɛl mi ðə truθ?</t>
  </si>
  <si>
    <t>haʊ kʌm ju ɑr soʊ ˈʤɛnərəs?</t>
  </si>
  <si>
    <t>haʊ kʌm ju ɑr soʊ sɪk?</t>
  </si>
  <si>
    <t>haʊ kʌm ju ɑr ˈkɔlɪŋ mi bæd neɪmz?</t>
  </si>
  <si>
    <t>haʊ kʌm ju ɑr soʊ dɪˈprɛst?</t>
  </si>
  <si>
    <t>haʊ kʌm ju pʊt ˈlɪpˌstɪk ɑn?</t>
  </si>
  <si>
    <t>haʊ kʌm ju noʊ soʊ mʌʧ əˈbaʊt mi?</t>
  </si>
  <si>
    <t>haʊ kʌm ju doʊnt deɪt?</t>
  </si>
  <si>
    <t>haʊ kʌm ju ˈdɪdənt kip jʊər ˈprɑməsəz?</t>
  </si>
  <si>
    <t>haʊ kʌm ju ˈdɪdənt rɪˈtɜrn maɪ tɛksts?</t>
  </si>
  <si>
    <t>haʊ kʌm ju ækˈsɛptɪd hɪz ˈɔfər?</t>
  </si>
  <si>
    <t>haʊ kæn aɪ ɡɛt ɪn tʌʧ wɪð hɪm?</t>
  </si>
  <si>
    <t>haʊ kæn aɪ dil wɪð ɪt?</t>
  </si>
  <si>
    <t>haʊ kæn aɪ ɪkˈspleɪn ðɪs tu hɪm?</t>
  </si>
  <si>
    <t>haʊ du ju pʊt ʌp wɪð ɪt?</t>
  </si>
  <si>
    <t>haʊ du ju ˈhændəl ɪt?</t>
  </si>
  <si>
    <t>haʊ du ju wɜrk ˈʌndər hɪm?</t>
  </si>
  <si>
    <t>haʊ dɪd ju ɡɛt hɪz pərˈmɪʃən?</t>
  </si>
  <si>
    <t>haʊ dɪd ju ˈhæpən tu noʊ hɪm?</t>
  </si>
  <si>
    <t>haʊ dɪd ju noʊ ðɪs wʌz mi?</t>
  </si>
  <si>
    <t>wɛn du ju nid ðiz baɪ?</t>
  </si>
  <si>
    <t>wɛn du ju wɑnt tu stɑrt?</t>
  </si>
  <si>
    <t>wɛn du ju ɡɛt ɔf wɜrk?</t>
  </si>
  <si>
    <t>wɛn ɑr ju ˈvɪzətɪŋ hɜr?</t>
  </si>
  <si>
    <t>wɛn dɪd ju hir ðæt?</t>
  </si>
  <si>
    <t>wɛn dɪd ju ɡɛt ðæt?</t>
  </si>
  <si>
    <t>wɛn dɪd ju meɪk ʌp jʊər maɪnd?</t>
  </si>
  <si>
    <t>wɛn wɪl ju bi hoʊm?</t>
  </si>
  <si>
    <t>wɛn wɪl ju kɔl hɪm?</t>
  </si>
  <si>
    <t>wɛn wɪl ju mit hɜr?</t>
  </si>
  <si>
    <t>haʊ lɔŋ dʌz ɪt teɪk tu ɡɛt ɪt dʌn?</t>
  </si>
  <si>
    <t>haʊ lɔŋ dʌz ɪt teɪk tu lɜrn ɪt?</t>
  </si>
  <si>
    <t>haʊ lɔŋ dʌz ɪt teɪk tu ˈfɪnɪʃ ðɪs kɔrs?</t>
  </si>
  <si>
    <t>haʊ lɔŋ wɪl ɪt teɪk tu ˈfɪnɪʃ ðə bʊk?</t>
  </si>
  <si>
    <t>haʊ lɔŋ wɪl ðə ˈbætəri læst?</t>
  </si>
  <si>
    <t>haʊ lɔŋ wɪl ðə ˈmitɪŋ læst?</t>
  </si>
  <si>
    <t>haʊ lɔŋ wɪl ju steɪ hir?</t>
  </si>
  <si>
    <t>haʊ lɔŋ hæv ju bɪn ˈmɛrid?</t>
  </si>
  <si>
    <t>haʊ lɔŋ hæv ju bɪn ˈweɪtɪŋ?</t>
  </si>
  <si>
    <t>haʊ lɔŋ hæv ju noʊn iʧ ˈʌðər?</t>
  </si>
  <si>
    <t>wɛr du ju wɜrk?</t>
  </si>
  <si>
    <t>wɛr du ju səɡˈʤɛst ˈitɪŋ?</t>
  </si>
  <si>
    <t>wɛr du ju wɔk əˈraʊnd?</t>
  </si>
  <si>
    <t>wɛr dɪd ju steɪ ˈdʊrɪŋ ðə veɪˈkeɪʃən?</t>
  </si>
  <si>
    <t>wɛr dɪd ju ɡɛt ðæt?</t>
  </si>
  <si>
    <t>wɛr dɪd ju pɪk ɪt ʌp?</t>
  </si>
  <si>
    <t>wɛr ɑr ju?</t>
  </si>
  <si>
    <t>wɛr ɑr ju ɔf tu?</t>
  </si>
  <si>
    <t>wɛr ɑr ju ˈkɔlɪŋ frʌm?</t>
  </si>
  <si>
    <t>du ju əˈɡri wɪð ðæt?</t>
  </si>
  <si>
    <t>du ju əˈɡri wɪð wɑt hiz ˈseɪɪŋ?</t>
  </si>
  <si>
    <t>du ju əˈɡri tu wɜrk wɪð hɜr?</t>
  </si>
  <si>
    <t>doʊnt ju əˈɡri?</t>
  </si>
  <si>
    <t>doʊnt ju ˌʌndərˈstænd mi?</t>
  </si>
  <si>
    <t>doʊnt ju laɪk hɪm?</t>
  </si>
  <si>
    <t>doʊnt ju θɪŋk hiz aʊt ʌv kənˈtroʊl?</t>
  </si>
  <si>
    <t>ˈɪzənt ɪt ˈfʌni?</t>
  </si>
  <si>
    <t>ˈɪzənt ɪt ˈɪntrəstɪŋ?</t>
  </si>
  <si>
    <t>ˈɪzənt ɪt ə ˈlʌvli deɪ?</t>
  </si>
  <si>
    <t>ˈɪzənt ɪt jʊər riˌspɑnsəˈbɪləti?</t>
  </si>
  <si>
    <t>ɪz ðɛr ˈɛni əbˈʤɛkʃən?</t>
  </si>
  <si>
    <t>ɪz ðɛr ˈɛni klɪr ˈɛvədəns?</t>
  </si>
  <si>
    <t>ɪz ðɛr ə ˈdɪfərənt ˈnʌmbər?</t>
  </si>
  <si>
    <t>ɑr ðɛr ˈʌðər ˈɑpʃənz?</t>
  </si>
  <si>
    <t>ɪz ðɛr ˈɛni weɪ tu bit hɪm?</t>
  </si>
  <si>
    <t>ɪz ðɛr ˈɛni weɪ tu hɛlp ðɛm?</t>
  </si>
  <si>
    <t>ɪz ðɛr ˈɛni weɪ tu kip ɪt ˈkwaɪət?</t>
  </si>
  <si>
    <t>ɪz ðɛr ˈsʌmθɪŋ hir aɪ doʊnt noʊ?</t>
  </si>
  <si>
    <t>ɪz ðɛr ˈsʌmθɪŋ aɪ ʃʊd noʊ?</t>
  </si>
  <si>
    <t>ɪz ðɛr ˈsʌmθɪŋ ju wɑnt mi tu du?</t>
  </si>
  <si>
    <t>kʊd ju kɔl hɜr fɔr mi?</t>
  </si>
  <si>
    <t>kʊd ju fæks mi ə ˈkɑpi?</t>
  </si>
  <si>
    <t>kʊd ju tɛl mi ðə truθ?</t>
  </si>
  <si>
    <t>kʊd ju bi mɔr spəˈsɪfɪk?</t>
  </si>
  <si>
    <t>kæn ju hoʊld ɑn ə ˈsɛkənd?</t>
  </si>
  <si>
    <t>kæn ju faɪnd aʊt ˈɛniˌθɪŋ əˈbaʊt hɜr?</t>
  </si>
  <si>
    <t>kæn ju spɛr ə fju ˈmɪnəts?</t>
  </si>
  <si>
    <t>kæn ju kʌm wɪð mi?</t>
  </si>
  <si>
    <t>wɪl ju wɔk wɪð mi ə ˈlɪtəl?</t>
  </si>
  <si>
    <t>wɪl ju meɪk mi ə ˈprɑməs?</t>
  </si>
  <si>
    <t>wɪl ju teɪk ɪt ˈizi?</t>
  </si>
  <si>
    <t>wɪl ju tɛl mi wʌts rɔŋ?</t>
  </si>
  <si>
    <t>wʊd ju stɑp kəmˈpleɪnɪŋ?</t>
  </si>
  <si>
    <t>wʊd ju ˈoʊpən ðɪs dɔr fɔr mi?</t>
  </si>
  <si>
    <t>wʊd ju ɡɛt ðə dɔr fɔr mi?</t>
  </si>
  <si>
    <t>wʊd ju brɪŋ mi ðə bʊk?</t>
  </si>
  <si>
    <t>wʊd ju maɪnd ˈkipɪŋ jʊər vɔɪs daʊn?</t>
  </si>
  <si>
    <t>wʊd ju maɪnd ˈtɔkɪŋ wɪð mi fɔr ə waɪl?</t>
  </si>
  <si>
    <t>wʊd ju maɪnd ˈmitɪŋ mi fɔr ˈdɪnər?</t>
  </si>
  <si>
    <t>wʊd ju laɪk tu lʊk əˈraʊnd?</t>
  </si>
  <si>
    <t>wʊd ju laɪk tu sɪt daʊn?</t>
  </si>
  <si>
    <t>wʊd ju laɪk tu ʧɛk θɪŋz aʊt?</t>
  </si>
  <si>
    <t>kæn aɪ kip ðɪs?</t>
  </si>
  <si>
    <t>kæn aɪ ˈrifɪl jʊər ɡlæs?</t>
  </si>
  <si>
    <t>kæn aɪ ɡɛt ju sʌm ˈkɑfi?</t>
  </si>
  <si>
    <t>kæn aɪ teɪk ju hoʊm wɪð mi?</t>
  </si>
  <si>
    <t>meɪ aɪ æsk waɪ?</t>
  </si>
  <si>
    <t>meɪ aɪ hɛlp ju?</t>
  </si>
  <si>
    <t>meɪ aɪ æsk jʊər neɪm?</t>
  </si>
  <si>
    <t>meɪ aɪ ˈoʊpən ðə ˈwɪndoʊ?</t>
  </si>
  <si>
    <t>du ju maɪnd ɪf aɪ æsk ju ə ˈkwɛsʧən?</t>
  </si>
  <si>
    <t>du ju maɪnd ɪf aɪ kɔl ju tɑm?</t>
  </si>
  <si>
    <t>du ju maɪnd ɪf aɪ seɪ ˈsʌmθɪŋ?</t>
  </si>
  <si>
    <t>du ju maɪnd mi ˈsteɪɪŋ hir?</t>
  </si>
  <si>
    <t>waɪ doʊnt ju θɪŋk ɪt ˈoʊvər?</t>
  </si>
  <si>
    <t>waɪ doʊnt ju ˈhɜri naʊ?</t>
  </si>
  <si>
    <t>waɪ doʊnt ju teɪk sʌm rɛst?</t>
  </si>
  <si>
    <t>waɪ doʊnt ju sɪt daʊn ænd teɪk ɪt ˈizi?</t>
  </si>
  <si>
    <t>waɪ doʊnt ju ʤɔɪn ʌs?</t>
  </si>
  <si>
    <t>haʊ əˈbaʊt ˈmitɪŋ mi ˈæftər lʌnʧ?</t>
  </si>
  <si>
    <t>haʊ əˈbaʊt ˈteɪkɪŋ ə trɪp tu ˈlʌndən?</t>
  </si>
  <si>
    <t>haʊ əˈbaʊt ˈɛksərˌsaɪzɪŋ təˈɡɛðər?</t>
  </si>
  <si>
    <t>haʊ əˈbaʊt ˈlɜrnɪŋ ˈɪŋɡlɪʃ təˈɡɛðər?</t>
  </si>
  <si>
    <t>jud ˈbɛtər ˈhɜri.</t>
  </si>
  <si>
    <t>jud ˈbɛtər ɡɪv ʌp.</t>
  </si>
  <si>
    <t>jud ˈbɛtər teɪk ɪt ˈɪntu kənˌsɪdəˈreɪʃən.</t>
  </si>
  <si>
    <t>jud ˈbɛtər steɪ hir.</t>
  </si>
  <si>
    <t>jud ˈbɛtər stɑp ˈmitɪŋ hɪm.</t>
  </si>
  <si>
    <t>16-19</t>
  </si>
  <si>
    <t>NoSort</t>
  </si>
  <si>
    <t>https://drive.google.com/file/d/1z80hhUvTWE6zPjPyjLUzcMN8yPeUijos/view?usp=sharing</t>
  </si>
  <si>
    <t>https://drive.google.com/file/d/10Uw-DWjIQ15fWR9g7K5jJ6K1MVkRNUtK/view?usp=sharing</t>
  </si>
  <si>
    <t>https://drive.google.com/file/d/12V2o1UvvCe1_Rj3819zXK0T9itbU_07U/view?usp=sharing</t>
  </si>
  <si>
    <t>https://drive.google.com/file/d/1dUDuJ2R5eny2xfswVNzp1fN6p6InNVrJ/view?usp=sharing</t>
  </si>
  <si>
    <t>https://drive.google.com/file/d/1wPaujcTcTrfrjMqnmDuIA18aKYKGROAT/view?usp=sharing</t>
  </si>
  <si>
    <t>https://drive.google.com/file/d/11SH_-X7qt0PJGznnPVKK9Fk-Mj1BUJry/view?usp=sharing</t>
  </si>
  <si>
    <t>https://drive.google.com/file/d/1xSViEGON8Lxhx-pi2p3kKwZQESsqAP3c/view?usp=sharing</t>
  </si>
  <si>
    <t>https://drive.google.com/file/d/1b6et_T25yA-yIkQ7X_2u5m0eFJdvXtb8/view?usp=sharing</t>
  </si>
  <si>
    <t>https://drive.google.com/file/d/1PZvoPkCwSTXGtW8yk7tpQPpxLZ_AYnlp/view?usp=sharing</t>
  </si>
  <si>
    <t>https://drive.google.com/file/d/1kTRBI5veGhwfVjZ3DXanH27KI38j0kpL/view?usp=sharing</t>
  </si>
  <si>
    <t>https://drive.google.com/file/d/1KcBE-kkzTL35Xg7J4_ZhbT08_d43HD5h/view?usp=sharing</t>
  </si>
  <si>
    <t>https://drive.google.com/file/d/17ZeSeQBZ_WKwutAm_Kpd1dx5v8g7MLiK/view?usp=sharing</t>
  </si>
  <si>
    <t>https://drive.google.com/file/d/1QLFtM_F_2h5TcmxYjlbslESmLpkCt4N5/view?usp=sharing</t>
  </si>
  <si>
    <t>https://drive.google.com/file/d/1UceR3AlfD3XL5Pzs3x33tMsG9YM5LWUZ/view?usp=sharing</t>
  </si>
  <si>
    <t>https://drive.google.com/file/d/1xBPkDPqJAGAqvndnEieyAYFqj0uJEYa2/view?usp=sharing</t>
  </si>
  <si>
    <t>https://drive.google.com/file/d/1IUHvKAQJHk2d7qrkYSaunM3BW0aakvsV/view?usp=sharing</t>
  </si>
  <si>
    <t>https://drive.google.com/file/d/1yJTy_a3qcIZdUGU760sllOjpYqjMSIQi/view?usp=sharing</t>
  </si>
  <si>
    <t>https://drive.google.com/file/d/1kxpnF7j1IThhkNbXUyg_YkHMNjE4C5jS/view?usp=sharing</t>
  </si>
  <si>
    <t>https://drive.google.com/file/d/1eI0aGFYZCpEu0LTWiWWmyy93GO2uPIda/view?usp=sharing</t>
  </si>
  <si>
    <t>https://drive.google.com/file/d/1Iqx9UDtHdAUkkajGaAkYtu-8gYFNlP9Q/view?usp=sharing</t>
  </si>
  <si>
    <t>https://drive.google.com/file/d/19-j5G0UZtq4q4GdxqNLOSNHAZq9PnBCF/view?usp=sharing</t>
  </si>
  <si>
    <t>https://drive.google.com/file/d/1tclbcdSN87yLVsOs9vP3yS3OX94Ca3z2/view?usp=sharing</t>
  </si>
  <si>
    <t>https://drive.google.com/file/d/1F_g1Ueom0R3oynJBYiLH7EyJvsLjBSC3/view?usp=sharing</t>
  </si>
  <si>
    <t>https://drive.google.com/file/d/1bywdRfv2nkhuhOMzsYIN8nGgMc7Zp6HG/view?usp=sharing</t>
  </si>
  <si>
    <t>https://drive.google.com/file/d/191fapVd2LUyij1NsFkZi3jCMzp91J805/view?usp=sharing</t>
  </si>
  <si>
    <t>https://drive.google.com/file/d/1_VXPtMXi14JPAYNrDpA0NY0gvZHTigj9/view?usp=sharing</t>
  </si>
  <si>
    <t>https://drive.google.com/file/d/1oJCZGtwhoHLumAmugLxsvclcEniOQMpj/view?usp=sharing</t>
  </si>
  <si>
    <t>01-03</t>
  </si>
  <si>
    <t>04-06</t>
  </si>
  <si>
    <t>07-09</t>
  </si>
  <si>
    <t>10-12</t>
  </si>
  <si>
    <t>13-15</t>
  </si>
  <si>
    <t>Sao cậu lại hào phóng thế?</t>
  </si>
  <si>
    <t>https://drive.google.com/file/d/1WlhJy02xnijddD6N5koDbDTVZ9DK7Pim/view?usp=sharing</t>
  </si>
  <si>
    <t>https://drive.google.com/file/d/1izmrYLQ5y8-Yg_iuxc2cfxPP3WCabhgI/view?usp=sharing</t>
  </si>
  <si>
    <t>https://drive.google.com/file/d/1bad3ljMqU25cudXPEEEpDi0NGJH4dHoY/view?usp=sharing</t>
  </si>
  <si>
    <t>https://drive.google.com/file/d/1qIcvRICDzWjgJhXewvFVlDrS4UYH3CMm/view?usp=sharing</t>
  </si>
  <si>
    <t>https://drive.google.com/file/d/1N4roV4yHCjVyCJiZpJEFJj4jBdJ5HZ-V/view?usp=sharing</t>
  </si>
  <si>
    <t>https://drive.google.com/file/d/1N80QBg7OQeIG0WLaO-ifS4SgW4XBoBQS/view?usp=sharing</t>
  </si>
  <si>
    <t>TOPIC:QUESTION AND STRUCTURE</t>
  </si>
  <si>
    <t>dsd</t>
  </si>
  <si>
    <t>sdsd</t>
  </si>
  <si>
    <t>ghỵ</t>
  </si>
  <si>
    <t>ỵyu</t>
  </si>
  <si>
    <t>âs</t>
  </si>
  <si>
    <t>ấ</t>
  </si>
  <si>
    <t>https://drive.google.com/file/d/1KWi178kmcCSx14Bq34wTXven07Y7-pws/view?usp=sharing</t>
  </si>
  <si>
    <t>01-19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</si>
</sst>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charset val="163"/>
      <scheme val="minor"/>
    </font>
    <font>
      <b/>
      <sz val="11"/>
      <color theme="1"/>
      <name val="Arial"/>
      <family val="2"/>
      <scheme val="minor"/>
    </font>
    <font>
      <u/>
      <sz val="11"/>
      <color theme="10"/>
      <name val="Arial"/>
      <family val="2"/>
      <charset val="163"/>
      <scheme val="minor"/>
    </font>
    <font>
      <sz val="8"/>
      <name val="Arial"/>
      <family val="2"/>
      <charset val="163"/>
      <scheme val="minor"/>
    </font>
    <font>
      <sz val="11"/>
      <color theme="1"/>
      <name val="Arial"/>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s>
  <borders count="3">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1">
    <xf numFmtId="0" fontId="0" fillId="0" borderId="0" xfId="0"/>
    <xf numFmtId="0" fontId="0" fillId="0" borderId="0" xfId="0" applyAlignment="1">
      <alignment horizontal="center"/>
    </xf>
    <xf numFmtId="0" fontId="0" fillId="2" borderId="1" xfId="0" applyFill="1" applyBorder="1" applyAlignment="1">
      <alignment horizontal="center"/>
    </xf>
    <xf numFmtId="0" fontId="0" fillId="3" borderId="0" xfId="0" applyFill="1"/>
    <xf numFmtId="0" fontId="0" fillId="2" borderId="0" xfId="0" applyFill="1"/>
    <xf numFmtId="0" fontId="2" fillId="0" borderId="0" xfId="1"/>
    <xf numFmtId="0" fontId="0" fillId="2" borderId="1" xfId="0" applyFill="1" applyBorder="1" applyAlignment="1">
      <alignment horizontal="left"/>
    </xf>
    <xf numFmtId="0" fontId="0" fillId="0" borderId="1" xfId="0" applyFill="1" applyBorder="1" applyAlignment="1">
      <alignment horizontal="left"/>
    </xf>
    <xf numFmtId="0" fontId="2" fillId="0" borderId="0" xfId="1" applyFill="1"/>
    <xf numFmtId="49" fontId="0" fillId="0" borderId="1" xfId="0" applyNumberFormat="1" applyFill="1" applyBorder="1" applyAlignment="1">
      <alignment horizontal="center"/>
    </xf>
    <xf numFmtId="0" fontId="1" fillId="0" borderId="0" xfId="0" applyFont="1" applyAlignment="1">
      <alignment horizontal="center"/>
    </xf>
    <xf numFmtId="0" fontId="1" fillId="0" borderId="0" xfId="0" applyFont="1"/>
    <xf numFmtId="0" fontId="4" fillId="0" borderId="0" xfId="0" applyFont="1" applyAlignment="1">
      <alignment horizontal="center"/>
    </xf>
    <xf numFmtId="0" fontId="0" fillId="3" borderId="0" xfId="0" applyFill="1" applyAlignment="1">
      <alignment horizontal="center"/>
    </xf>
    <xf numFmtId="0" fontId="0" fillId="2" borderId="0" xfId="0" applyFill="1" applyAlignment="1">
      <alignment horizontal="center"/>
    </xf>
    <xf numFmtId="0" fontId="0" fillId="0" borderId="0" xfId="0" quotePrefix="1"/>
    <xf numFmtId="0" fontId="4" fillId="0" borderId="0" xfId="0" applyFont="1"/>
    <xf numFmtId="0" fontId="4" fillId="2" borderId="2" xfId="0" applyFont="1" applyFill="1" applyBorder="1" applyAlignment="1">
      <alignment horizontal="center"/>
    </xf>
    <xf numFmtId="0" fontId="4" fillId="2" borderId="2" xfId="0" applyFont="1" applyFill="1" applyBorder="1"/>
    <xf numFmtId="0" fontId="0" fillId="3" borderId="2" xfId="0" applyFill="1" applyBorder="1" applyAlignment="1">
      <alignment horizontal="center"/>
    </xf>
    <xf numFmtId="0" fontId="0" fillId="3" borderId="2" xfId="0" applyFill="1" applyBorder="1"/>
    <xf numFmtId="0" fontId="0" fillId="4" borderId="2" xfId="0" applyFill="1" applyBorder="1" applyAlignment="1">
      <alignment horizontal="center"/>
    </xf>
    <xf numFmtId="0" fontId="0" fillId="4" borderId="2" xfId="0" applyFill="1" applyBorder="1"/>
    <xf numFmtId="0" fontId="0" fillId="5" borderId="2" xfId="0" applyFill="1" applyBorder="1" applyAlignment="1">
      <alignment horizontal="center"/>
    </xf>
    <xf numFmtId="0" fontId="0" fillId="5" borderId="2" xfId="0" applyFill="1" applyBorder="1"/>
    <xf numFmtId="0" fontId="0" fillId="0" borderId="2" xfId="0" applyBorder="1" applyAlignment="1">
      <alignment horizontal="center"/>
    </xf>
    <xf numFmtId="0" fontId="0" fillId="0" borderId="2" xfId="0" applyBorder="1"/>
    <xf numFmtId="0" fontId="0" fillId="6" borderId="2" xfId="0" applyFill="1" applyBorder="1" applyAlignment="1">
      <alignment horizontal="center"/>
    </xf>
    <xf numFmtId="0" fontId="0" fillId="6" borderId="2" xfId="0" applyFill="1" applyBorder="1"/>
    <xf numFmtId="0" fontId="0" fillId="0" borderId="0" xfId="0" applyAlignment="1">
      <alignment horizontal="left"/>
    </xf>
    <xf numFmtId="0" fontId="0" fillId="0" borderId="0" xfId="0" applyAlignment="1">
      <alignment horizontal="center" vertical="center"/>
    </xf>
  </cellXfs>
  <cellStyles count="2">
    <cellStyle name="Hyperlink" xfId="1" builtinId="8"/>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ED55F-4E0E-4B38-A76E-F54B78A438DC}">
  <sheetPr filterMode="1"/>
  <dimension ref="A2:J634"/>
  <sheetViews>
    <sheetView showGridLines="0" topLeftCell="A128" zoomScale="81" zoomScaleNormal="81" workbookViewId="0">
      <selection activeCell="E478" sqref="E478:E513"/>
    </sheetView>
  </sheetViews>
  <sheetFormatPr defaultRowHeight="13.8" x14ac:dyDescent="0.25"/>
  <cols>
    <col min="1" max="1" width="8.796875" style="1"/>
    <col min="2" max="3" width="8.296875" style="12" customWidth="1"/>
    <col min="4" max="4" width="9.69921875" style="16" customWidth="1"/>
    <col min="5" max="5" width="50" style="16" customWidth="1"/>
    <col min="6" max="6" width="10.69921875" style="12" customWidth="1"/>
    <col min="7" max="7" width="12.3984375" style="12" customWidth="1"/>
    <col min="8" max="8" width="37.8984375" customWidth="1"/>
    <col min="9" max="9" width="16.19921875" customWidth="1"/>
    <col min="10" max="10" width="8.796875" style="16"/>
  </cols>
  <sheetData>
    <row r="2" spans="1:10" x14ac:dyDescent="0.25">
      <c r="B2" s="29" t="s">
        <v>921</v>
      </c>
    </row>
    <row r="3" spans="1:10" x14ac:dyDescent="0.25">
      <c r="A3" s="1" t="s">
        <v>1</v>
      </c>
      <c r="B3" s="17" t="s">
        <v>881</v>
      </c>
      <c r="C3" s="17" t="s">
        <v>1</v>
      </c>
      <c r="D3" s="18" t="s">
        <v>8</v>
      </c>
      <c r="E3" s="18" t="s">
        <v>0</v>
      </c>
      <c r="F3" s="17" t="s">
        <v>2</v>
      </c>
      <c r="G3" s="17" t="s">
        <v>9</v>
      </c>
      <c r="H3" s="1" t="s">
        <v>8</v>
      </c>
      <c r="I3" s="3" t="s">
        <v>10</v>
      </c>
    </row>
    <row r="4" spans="1:10" s="11" customFormat="1" hidden="1" x14ac:dyDescent="0.25">
      <c r="A4" s="10"/>
      <c r="B4" s="19">
        <v>1001</v>
      </c>
      <c r="C4" s="19">
        <v>1</v>
      </c>
      <c r="D4" s="20" t="str">
        <f t="shared" ref="D4:D67" si="0">C4&amp;F4</f>
        <v>1Struc0</v>
      </c>
      <c r="E4" s="20" t="s">
        <v>259</v>
      </c>
      <c r="F4" s="20" t="s">
        <v>502</v>
      </c>
      <c r="G4" s="20" t="str">
        <f t="shared" ref="G4:G6" si="1">IF(H4="","","https://docs.google.com/uc?export=download&amp;id="&amp;H4)</f>
        <v/>
      </c>
      <c r="H4" s="5" t="str">
        <f t="shared" ref="H4:H68" si="2">IFERROR(LEFT(RIGHT(I4,LEN(I4)-32),LEN(RIGHT(I4,LEN(I4)-32))-17),"")</f>
        <v/>
      </c>
      <c r="I4"/>
      <c r="J4" s="16"/>
    </row>
    <row r="5" spans="1:10" hidden="1" x14ac:dyDescent="0.25">
      <c r="B5" s="21">
        <v>1002</v>
      </c>
      <c r="C5" s="21" t="s">
        <v>13</v>
      </c>
      <c r="D5" s="22" t="str">
        <f t="shared" si="0"/>
        <v>1.1Struc</v>
      </c>
      <c r="E5" s="22" t="s">
        <v>277</v>
      </c>
      <c r="F5" s="22" t="s">
        <v>11</v>
      </c>
      <c r="G5" s="22" t="str">
        <f t="shared" si="1"/>
        <v>https://docs.google.com/uc?export=download&amp;id=1z80hhUvTWE6zPjPyjLUzcMN8yPeUijos</v>
      </c>
      <c r="H5" s="5" t="str">
        <f t="shared" si="2"/>
        <v>1z80hhUvTWE6zPjPyjLUzcMN8yPeUijos</v>
      </c>
      <c r="I5" t="s">
        <v>882</v>
      </c>
    </row>
    <row r="6" spans="1:10" hidden="1" x14ac:dyDescent="0.25">
      <c r="B6" s="23">
        <v>1003</v>
      </c>
      <c r="C6" s="23" t="s">
        <v>319</v>
      </c>
      <c r="D6" s="24" t="str">
        <f t="shared" si="0"/>
        <v>1.1.1Viet</v>
      </c>
      <c r="E6" s="24" t="s">
        <v>506</v>
      </c>
      <c r="F6" s="24" t="s">
        <v>3</v>
      </c>
      <c r="G6" s="24" t="str">
        <f t="shared" si="1"/>
        <v/>
      </c>
      <c r="H6" s="5" t="str">
        <f t="shared" si="2"/>
        <v/>
      </c>
    </row>
    <row r="7" spans="1:10" x14ac:dyDescent="0.25">
      <c r="A7" s="1">
        <v>1</v>
      </c>
      <c r="B7" s="27">
        <v>1004</v>
      </c>
      <c r="C7" s="27" t="s">
        <v>319</v>
      </c>
      <c r="D7" s="28" t="str">
        <f t="shared" si="0"/>
        <v>1.1.1Eng</v>
      </c>
      <c r="E7" s="28" t="s">
        <v>68</v>
      </c>
      <c r="F7" s="28" t="s">
        <v>4</v>
      </c>
      <c r="G7" s="28" t="str">
        <f>IF(H7="","","https://docs.google.com/uc?export=download&amp;id="&amp;H7)</f>
        <v/>
      </c>
      <c r="H7" s="5" t="str">
        <f t="shared" si="2"/>
        <v/>
      </c>
    </row>
    <row r="8" spans="1:10" hidden="1" x14ac:dyDescent="0.25">
      <c r="B8" s="25">
        <v>1005</v>
      </c>
      <c r="C8" s="25" t="s">
        <v>319</v>
      </c>
      <c r="D8" s="26" t="str">
        <f t="shared" si="0"/>
        <v>1.1.1Phon</v>
      </c>
      <c r="E8" s="26" t="s">
        <v>694</v>
      </c>
      <c r="F8" s="26" t="s">
        <v>5</v>
      </c>
      <c r="G8" s="26" t="str">
        <f t="shared" ref="G8:G71" si="3">IF(H8="","","https://docs.google.com/uc?export=download&amp;id="&amp;H8)</f>
        <v/>
      </c>
      <c r="H8" s="5" t="str">
        <f t="shared" si="2"/>
        <v/>
      </c>
    </row>
    <row r="9" spans="1:10" hidden="1" x14ac:dyDescent="0.25">
      <c r="B9" s="23">
        <v>1006</v>
      </c>
      <c r="C9" s="23" t="s">
        <v>320</v>
      </c>
      <c r="D9" s="24" t="str">
        <f t="shared" si="0"/>
        <v>1.1.2Viet</v>
      </c>
      <c r="E9" s="24" t="s">
        <v>507</v>
      </c>
      <c r="F9" s="24" t="s">
        <v>3</v>
      </c>
      <c r="G9" s="24" t="str">
        <f t="shared" si="3"/>
        <v/>
      </c>
      <c r="H9" s="5" t="str">
        <f t="shared" si="2"/>
        <v/>
      </c>
    </row>
    <row r="10" spans="1:10" x14ac:dyDescent="0.25">
      <c r="A10" s="1">
        <v>2</v>
      </c>
      <c r="B10" s="27">
        <v>1007</v>
      </c>
      <c r="C10" s="27" t="s">
        <v>320</v>
      </c>
      <c r="D10" s="28" t="str">
        <f t="shared" si="0"/>
        <v>1.1.2Eng</v>
      </c>
      <c r="E10" s="28" t="s">
        <v>69</v>
      </c>
      <c r="F10" s="28" t="s">
        <v>4</v>
      </c>
      <c r="G10" s="28" t="str">
        <f t="shared" si="3"/>
        <v/>
      </c>
      <c r="H10" s="5" t="str">
        <f t="shared" si="2"/>
        <v/>
      </c>
    </row>
    <row r="11" spans="1:10" hidden="1" x14ac:dyDescent="0.25">
      <c r="B11" s="25">
        <v>1008</v>
      </c>
      <c r="C11" s="25" t="s">
        <v>320</v>
      </c>
      <c r="D11" s="26" t="str">
        <f t="shared" si="0"/>
        <v>1.1.2Phon</v>
      </c>
      <c r="E11" s="26" t="s">
        <v>695</v>
      </c>
      <c r="F11" s="26" t="s">
        <v>5</v>
      </c>
      <c r="G11" s="26" t="str">
        <f t="shared" si="3"/>
        <v/>
      </c>
      <c r="H11" s="5" t="str">
        <f t="shared" si="2"/>
        <v/>
      </c>
    </row>
    <row r="12" spans="1:10" hidden="1" x14ac:dyDescent="0.25">
      <c r="B12" s="23">
        <v>1009</v>
      </c>
      <c r="C12" s="23" t="s">
        <v>321</v>
      </c>
      <c r="D12" s="24" t="str">
        <f t="shared" si="0"/>
        <v>1.1.3Viet</v>
      </c>
      <c r="E12" s="24" t="s">
        <v>508</v>
      </c>
      <c r="F12" s="24" t="s">
        <v>3</v>
      </c>
      <c r="G12" s="24" t="str">
        <f t="shared" si="3"/>
        <v/>
      </c>
      <c r="H12" s="5" t="str">
        <f t="shared" si="2"/>
        <v/>
      </c>
    </row>
    <row r="13" spans="1:10" x14ac:dyDescent="0.25">
      <c r="A13" s="1">
        <v>3</v>
      </c>
      <c r="B13" s="27">
        <v>1010</v>
      </c>
      <c r="C13" s="27" t="s">
        <v>321</v>
      </c>
      <c r="D13" s="28" t="str">
        <f t="shared" si="0"/>
        <v>1.1.3Eng</v>
      </c>
      <c r="E13" s="28" t="s">
        <v>70</v>
      </c>
      <c r="F13" s="28" t="s">
        <v>4</v>
      </c>
      <c r="G13" s="28" t="str">
        <f t="shared" si="3"/>
        <v/>
      </c>
      <c r="H13" s="5" t="str">
        <f t="shared" si="2"/>
        <v/>
      </c>
    </row>
    <row r="14" spans="1:10" hidden="1" x14ac:dyDescent="0.25">
      <c r="B14" s="25">
        <v>1011</v>
      </c>
      <c r="C14" s="25" t="s">
        <v>321</v>
      </c>
      <c r="D14" s="26" t="str">
        <f t="shared" si="0"/>
        <v>1.1.3Phon</v>
      </c>
      <c r="E14" s="26" t="s">
        <v>696</v>
      </c>
      <c r="F14" s="26" t="s">
        <v>5</v>
      </c>
      <c r="G14" s="26" t="str">
        <f t="shared" si="3"/>
        <v/>
      </c>
      <c r="H14" s="5" t="str">
        <f t="shared" si="2"/>
        <v/>
      </c>
    </row>
    <row r="15" spans="1:10" hidden="1" x14ac:dyDescent="0.25">
      <c r="B15" s="23">
        <v>1012</v>
      </c>
      <c r="C15" s="23" t="s">
        <v>322</v>
      </c>
      <c r="D15" s="24" t="str">
        <f t="shared" si="0"/>
        <v>1.1.4Viet</v>
      </c>
      <c r="E15" s="24" t="s">
        <v>509</v>
      </c>
      <c r="F15" s="24" t="s">
        <v>3</v>
      </c>
      <c r="G15" s="24" t="str">
        <f t="shared" si="3"/>
        <v/>
      </c>
      <c r="H15" s="5" t="str">
        <f t="shared" si="2"/>
        <v/>
      </c>
    </row>
    <row r="16" spans="1:10" x14ac:dyDescent="0.25">
      <c r="A16" s="1">
        <v>4</v>
      </c>
      <c r="B16" s="27">
        <v>1013</v>
      </c>
      <c r="C16" s="27" t="s">
        <v>322</v>
      </c>
      <c r="D16" s="28" t="str">
        <f t="shared" si="0"/>
        <v>1.1.4Eng</v>
      </c>
      <c r="E16" s="28" t="s">
        <v>146</v>
      </c>
      <c r="F16" s="28" t="s">
        <v>4</v>
      </c>
      <c r="G16" s="28" t="str">
        <f t="shared" si="3"/>
        <v/>
      </c>
      <c r="H16" s="5" t="str">
        <f t="shared" si="2"/>
        <v/>
      </c>
    </row>
    <row r="17" spans="1:9" hidden="1" x14ac:dyDescent="0.25">
      <c r="B17" s="25">
        <v>1014</v>
      </c>
      <c r="C17" s="25" t="s">
        <v>322</v>
      </c>
      <c r="D17" s="26" t="str">
        <f t="shared" si="0"/>
        <v>1.1.4Phon</v>
      </c>
      <c r="E17" s="26" t="s">
        <v>697</v>
      </c>
      <c r="F17" s="26" t="s">
        <v>5</v>
      </c>
      <c r="G17" s="26" t="str">
        <f t="shared" si="3"/>
        <v/>
      </c>
      <c r="H17" s="5" t="str">
        <f t="shared" si="2"/>
        <v/>
      </c>
    </row>
    <row r="18" spans="1:9" hidden="1" x14ac:dyDescent="0.25">
      <c r="B18" s="21">
        <v>1015</v>
      </c>
      <c r="C18" s="21" t="s">
        <v>14</v>
      </c>
      <c r="D18" s="22" t="str">
        <f t="shared" si="0"/>
        <v>1.2Struc</v>
      </c>
      <c r="E18" s="22" t="s">
        <v>278</v>
      </c>
      <c r="F18" s="22" t="s">
        <v>11</v>
      </c>
      <c r="G18" s="22" t="str">
        <f t="shared" si="3"/>
        <v>https://docs.google.com/uc?export=download&amp;id=10Uw-DWjIQ15fWR9g7K5jJ6K1MVkRNUtK</v>
      </c>
      <c r="H18" s="5" t="str">
        <f t="shared" si="2"/>
        <v>10Uw-DWjIQ15fWR9g7K5jJ6K1MVkRNUtK</v>
      </c>
      <c r="I18" t="s">
        <v>883</v>
      </c>
    </row>
    <row r="19" spans="1:9" hidden="1" x14ac:dyDescent="0.25">
      <c r="B19" s="23">
        <v>1016</v>
      </c>
      <c r="C19" s="23" t="s">
        <v>323</v>
      </c>
      <c r="D19" s="24" t="str">
        <f t="shared" si="0"/>
        <v>1.2.1Viet</v>
      </c>
      <c r="E19" s="24" t="s">
        <v>510</v>
      </c>
      <c r="F19" s="24" t="s">
        <v>3</v>
      </c>
      <c r="G19" s="24" t="str">
        <f t="shared" si="3"/>
        <v/>
      </c>
      <c r="H19" s="5" t="str">
        <f t="shared" si="2"/>
        <v/>
      </c>
    </row>
    <row r="20" spans="1:9" x14ac:dyDescent="0.25">
      <c r="A20" s="1">
        <v>5</v>
      </c>
      <c r="B20" s="27">
        <v>1017</v>
      </c>
      <c r="C20" s="27" t="s">
        <v>323</v>
      </c>
      <c r="D20" s="28" t="str">
        <f t="shared" si="0"/>
        <v>1.2.1Eng</v>
      </c>
      <c r="E20" s="28" t="s">
        <v>71</v>
      </c>
      <c r="F20" s="28" t="s">
        <v>4</v>
      </c>
      <c r="G20" s="28" t="str">
        <f t="shared" si="3"/>
        <v/>
      </c>
      <c r="H20" s="5" t="str">
        <f t="shared" si="2"/>
        <v/>
      </c>
    </row>
    <row r="21" spans="1:9" hidden="1" x14ac:dyDescent="0.25">
      <c r="B21" s="25">
        <v>1018</v>
      </c>
      <c r="C21" s="25" t="s">
        <v>323</v>
      </c>
      <c r="D21" s="26" t="str">
        <f t="shared" si="0"/>
        <v>1.2.1Phon</v>
      </c>
      <c r="E21" s="26" t="s">
        <v>698</v>
      </c>
      <c r="F21" s="26" t="s">
        <v>5</v>
      </c>
      <c r="G21" s="26" t="str">
        <f t="shared" si="3"/>
        <v/>
      </c>
      <c r="H21" s="5" t="str">
        <f t="shared" si="2"/>
        <v/>
      </c>
    </row>
    <row r="22" spans="1:9" hidden="1" x14ac:dyDescent="0.25">
      <c r="B22" s="23">
        <v>1019</v>
      </c>
      <c r="C22" s="23" t="s">
        <v>324</v>
      </c>
      <c r="D22" s="24" t="str">
        <f t="shared" si="0"/>
        <v>1.2.2Viet</v>
      </c>
      <c r="E22" s="24" t="s">
        <v>511</v>
      </c>
      <c r="F22" s="24" t="s">
        <v>3</v>
      </c>
      <c r="G22" s="24" t="str">
        <f t="shared" si="3"/>
        <v/>
      </c>
      <c r="H22" s="5" t="str">
        <f t="shared" si="2"/>
        <v/>
      </c>
    </row>
    <row r="23" spans="1:9" x14ac:dyDescent="0.25">
      <c r="A23" s="1">
        <v>6</v>
      </c>
      <c r="B23" s="27">
        <v>1020</v>
      </c>
      <c r="C23" s="27" t="s">
        <v>324</v>
      </c>
      <c r="D23" s="28" t="str">
        <f t="shared" si="0"/>
        <v>1.2.2Eng</v>
      </c>
      <c r="E23" s="28" t="s">
        <v>72</v>
      </c>
      <c r="F23" s="28" t="s">
        <v>4</v>
      </c>
      <c r="G23" s="28" t="str">
        <f t="shared" si="3"/>
        <v/>
      </c>
      <c r="H23" s="5" t="str">
        <f t="shared" si="2"/>
        <v/>
      </c>
    </row>
    <row r="24" spans="1:9" hidden="1" x14ac:dyDescent="0.25">
      <c r="B24" s="25">
        <v>1021</v>
      </c>
      <c r="C24" s="25" t="s">
        <v>324</v>
      </c>
      <c r="D24" s="26" t="str">
        <f t="shared" si="0"/>
        <v>1.2.2Phon</v>
      </c>
      <c r="E24" s="26" t="s">
        <v>699</v>
      </c>
      <c r="F24" s="26" t="s">
        <v>5</v>
      </c>
      <c r="G24" s="26" t="str">
        <f t="shared" si="3"/>
        <v/>
      </c>
      <c r="H24" s="5" t="str">
        <f t="shared" si="2"/>
        <v/>
      </c>
    </row>
    <row r="25" spans="1:9" hidden="1" x14ac:dyDescent="0.25">
      <c r="B25" s="23">
        <v>1022</v>
      </c>
      <c r="C25" s="23" t="s">
        <v>325</v>
      </c>
      <c r="D25" s="24" t="str">
        <f t="shared" si="0"/>
        <v>1.2.3Viet</v>
      </c>
      <c r="E25" s="24" t="s">
        <v>512</v>
      </c>
      <c r="F25" s="24" t="s">
        <v>3</v>
      </c>
      <c r="G25" s="24" t="str">
        <f t="shared" si="3"/>
        <v/>
      </c>
      <c r="H25" s="5" t="str">
        <f t="shared" si="2"/>
        <v/>
      </c>
    </row>
    <row r="26" spans="1:9" x14ac:dyDescent="0.25">
      <c r="A26" s="1">
        <v>7</v>
      </c>
      <c r="B26" s="27">
        <v>1023</v>
      </c>
      <c r="C26" s="27" t="s">
        <v>325</v>
      </c>
      <c r="D26" s="28" t="str">
        <f t="shared" si="0"/>
        <v>1.2.3Eng</v>
      </c>
      <c r="E26" s="28" t="s">
        <v>503</v>
      </c>
      <c r="F26" s="28" t="s">
        <v>4</v>
      </c>
      <c r="G26" s="28" t="str">
        <f t="shared" si="3"/>
        <v/>
      </c>
      <c r="H26" s="5" t="str">
        <f t="shared" si="2"/>
        <v/>
      </c>
    </row>
    <row r="27" spans="1:9" hidden="1" x14ac:dyDescent="0.25">
      <c r="B27" s="25">
        <v>1024</v>
      </c>
      <c r="C27" s="25" t="s">
        <v>325</v>
      </c>
      <c r="D27" s="26" t="str">
        <f t="shared" si="0"/>
        <v>1.2.3Phon</v>
      </c>
      <c r="E27" s="26" t="s">
        <v>700</v>
      </c>
      <c r="F27" s="26" t="s">
        <v>5</v>
      </c>
      <c r="G27" s="26" t="str">
        <f t="shared" si="3"/>
        <v/>
      </c>
      <c r="H27" s="5" t="str">
        <f t="shared" si="2"/>
        <v/>
      </c>
    </row>
    <row r="28" spans="1:9" hidden="1" x14ac:dyDescent="0.25">
      <c r="B28" s="23">
        <v>1025</v>
      </c>
      <c r="C28" s="23" t="s">
        <v>326</v>
      </c>
      <c r="D28" s="24" t="str">
        <f t="shared" si="0"/>
        <v>1.2.4Viet</v>
      </c>
      <c r="E28" s="24" t="s">
        <v>513</v>
      </c>
      <c r="F28" s="24" t="s">
        <v>3</v>
      </c>
      <c r="G28" s="24" t="str">
        <f t="shared" si="3"/>
        <v/>
      </c>
      <c r="H28" s="5" t="str">
        <f t="shared" si="2"/>
        <v/>
      </c>
    </row>
    <row r="29" spans="1:9" x14ac:dyDescent="0.25">
      <c r="A29" s="1">
        <v>8</v>
      </c>
      <c r="B29" s="27">
        <v>1026</v>
      </c>
      <c r="C29" s="27" t="s">
        <v>326</v>
      </c>
      <c r="D29" s="28" t="str">
        <f t="shared" si="0"/>
        <v>1.2.4Eng</v>
      </c>
      <c r="E29" s="28" t="s">
        <v>504</v>
      </c>
      <c r="F29" s="28" t="s">
        <v>4</v>
      </c>
      <c r="G29" s="28" t="str">
        <f t="shared" si="3"/>
        <v/>
      </c>
      <c r="H29" s="5" t="str">
        <f t="shared" si="2"/>
        <v/>
      </c>
    </row>
    <row r="30" spans="1:9" hidden="1" x14ac:dyDescent="0.25">
      <c r="B30" s="25">
        <v>1027</v>
      </c>
      <c r="C30" s="25" t="s">
        <v>326</v>
      </c>
      <c r="D30" s="26" t="str">
        <f t="shared" si="0"/>
        <v>1.2.4Phon</v>
      </c>
      <c r="E30" s="26" t="s">
        <v>701</v>
      </c>
      <c r="F30" s="26" t="s">
        <v>5</v>
      </c>
      <c r="G30" s="26" t="str">
        <f t="shared" si="3"/>
        <v/>
      </c>
      <c r="H30" s="5" t="str">
        <f t="shared" si="2"/>
        <v/>
      </c>
    </row>
    <row r="31" spans="1:9" hidden="1" x14ac:dyDescent="0.25">
      <c r="B31" s="21">
        <v>1028</v>
      </c>
      <c r="C31" s="21" t="s">
        <v>12</v>
      </c>
      <c r="D31" s="22" t="str">
        <f t="shared" si="0"/>
        <v>1.3Struc</v>
      </c>
      <c r="E31" s="22" t="s">
        <v>279</v>
      </c>
      <c r="F31" s="22" t="s">
        <v>11</v>
      </c>
      <c r="G31" s="22" t="str">
        <f t="shared" si="3"/>
        <v>https://docs.google.com/uc?export=download&amp;id=12V2o1UvvCe1_Rj3819zXK0T9itbU_07U</v>
      </c>
      <c r="H31" s="5" t="str">
        <f t="shared" si="2"/>
        <v>12V2o1UvvCe1_Rj3819zXK0T9itbU_07U</v>
      </c>
      <c r="I31" t="s">
        <v>884</v>
      </c>
    </row>
    <row r="32" spans="1:9" hidden="1" x14ac:dyDescent="0.25">
      <c r="B32" s="23">
        <v>1029</v>
      </c>
      <c r="C32" s="23" t="s">
        <v>327</v>
      </c>
      <c r="D32" s="24" t="str">
        <f t="shared" si="0"/>
        <v>1.3.1Viet</v>
      </c>
      <c r="E32" s="24" t="s">
        <v>514</v>
      </c>
      <c r="F32" s="24" t="s">
        <v>3</v>
      </c>
      <c r="G32" s="24" t="str">
        <f t="shared" si="3"/>
        <v/>
      </c>
      <c r="H32" s="5" t="str">
        <f t="shared" si="2"/>
        <v/>
      </c>
    </row>
    <row r="33" spans="1:9" x14ac:dyDescent="0.25">
      <c r="A33" s="1">
        <v>9</v>
      </c>
      <c r="B33" s="27">
        <v>1030</v>
      </c>
      <c r="C33" s="27" t="s">
        <v>327</v>
      </c>
      <c r="D33" s="28" t="str">
        <f t="shared" si="0"/>
        <v>1.3.1Eng</v>
      </c>
      <c r="E33" s="28" t="s">
        <v>73</v>
      </c>
      <c r="F33" s="28" t="s">
        <v>4</v>
      </c>
      <c r="G33" s="28" t="str">
        <f t="shared" si="3"/>
        <v/>
      </c>
      <c r="H33" s="5" t="str">
        <f t="shared" si="2"/>
        <v/>
      </c>
    </row>
    <row r="34" spans="1:9" hidden="1" x14ac:dyDescent="0.25">
      <c r="B34" s="25">
        <v>1031</v>
      </c>
      <c r="C34" s="25" t="s">
        <v>327</v>
      </c>
      <c r="D34" s="26" t="str">
        <f t="shared" si="0"/>
        <v>1.3.1Phon</v>
      </c>
      <c r="E34" s="26" t="s">
        <v>702</v>
      </c>
      <c r="F34" s="26" t="s">
        <v>5</v>
      </c>
      <c r="G34" s="26" t="str">
        <f t="shared" si="3"/>
        <v/>
      </c>
      <c r="H34" s="5" t="str">
        <f t="shared" si="2"/>
        <v/>
      </c>
    </row>
    <row r="35" spans="1:9" hidden="1" x14ac:dyDescent="0.25">
      <c r="B35" s="23">
        <v>1032</v>
      </c>
      <c r="C35" s="23" t="s">
        <v>328</v>
      </c>
      <c r="D35" s="24" t="str">
        <f t="shared" si="0"/>
        <v>1.3.2Viet</v>
      </c>
      <c r="E35" s="24" t="s">
        <v>515</v>
      </c>
      <c r="F35" s="24" t="s">
        <v>3</v>
      </c>
      <c r="G35" s="24" t="str">
        <f t="shared" si="3"/>
        <v/>
      </c>
      <c r="H35" s="5" t="str">
        <f t="shared" si="2"/>
        <v/>
      </c>
    </row>
    <row r="36" spans="1:9" x14ac:dyDescent="0.25">
      <c r="A36" s="1">
        <v>10</v>
      </c>
      <c r="B36" s="27">
        <v>1033</v>
      </c>
      <c r="C36" s="27" t="s">
        <v>328</v>
      </c>
      <c r="D36" s="28" t="str">
        <f t="shared" si="0"/>
        <v>1.3.2Eng</v>
      </c>
      <c r="E36" s="28" t="s">
        <v>74</v>
      </c>
      <c r="F36" s="28" t="s">
        <v>4</v>
      </c>
      <c r="G36" s="28" t="str">
        <f t="shared" si="3"/>
        <v/>
      </c>
      <c r="H36" s="5" t="str">
        <f t="shared" si="2"/>
        <v/>
      </c>
    </row>
    <row r="37" spans="1:9" hidden="1" x14ac:dyDescent="0.25">
      <c r="B37" s="25">
        <v>1034</v>
      </c>
      <c r="C37" s="25" t="s">
        <v>328</v>
      </c>
      <c r="D37" s="26" t="str">
        <f t="shared" si="0"/>
        <v>1.3.2Phon</v>
      </c>
      <c r="E37" s="26" t="s">
        <v>703</v>
      </c>
      <c r="F37" s="26" t="s">
        <v>5</v>
      </c>
      <c r="G37" s="26" t="str">
        <f t="shared" si="3"/>
        <v/>
      </c>
      <c r="H37" s="5" t="str">
        <f t="shared" si="2"/>
        <v/>
      </c>
    </row>
    <row r="38" spans="1:9" hidden="1" x14ac:dyDescent="0.25">
      <c r="B38" s="23">
        <v>1035</v>
      </c>
      <c r="C38" s="23" t="s">
        <v>329</v>
      </c>
      <c r="D38" s="24" t="str">
        <f t="shared" si="0"/>
        <v>1.3.3Viet</v>
      </c>
      <c r="E38" s="24" t="s">
        <v>516</v>
      </c>
      <c r="F38" s="24" t="s">
        <v>3</v>
      </c>
      <c r="G38" s="24" t="str">
        <f t="shared" si="3"/>
        <v/>
      </c>
      <c r="H38" s="5" t="str">
        <f t="shared" si="2"/>
        <v/>
      </c>
    </row>
    <row r="39" spans="1:9" x14ac:dyDescent="0.25">
      <c r="A39" s="1">
        <v>11</v>
      </c>
      <c r="B39" s="27">
        <v>1036</v>
      </c>
      <c r="C39" s="27" t="s">
        <v>329</v>
      </c>
      <c r="D39" s="28" t="str">
        <f t="shared" si="0"/>
        <v>1.3.3Eng</v>
      </c>
      <c r="E39" s="28" t="s">
        <v>75</v>
      </c>
      <c r="F39" s="28" t="s">
        <v>4</v>
      </c>
      <c r="G39" s="28" t="str">
        <f t="shared" si="3"/>
        <v/>
      </c>
      <c r="H39" s="5" t="str">
        <f t="shared" si="2"/>
        <v/>
      </c>
    </row>
    <row r="40" spans="1:9" hidden="1" x14ac:dyDescent="0.25">
      <c r="B40" s="25">
        <v>1037</v>
      </c>
      <c r="C40" s="25" t="s">
        <v>329</v>
      </c>
      <c r="D40" s="26" t="str">
        <f t="shared" si="0"/>
        <v>1.3.3Phon</v>
      </c>
      <c r="E40" s="26" t="s">
        <v>704</v>
      </c>
      <c r="F40" s="26" t="s">
        <v>5</v>
      </c>
      <c r="G40" s="26" t="str">
        <f t="shared" si="3"/>
        <v/>
      </c>
      <c r="H40" s="5" t="str">
        <f t="shared" si="2"/>
        <v/>
      </c>
    </row>
    <row r="41" spans="1:9" hidden="1" x14ac:dyDescent="0.25">
      <c r="B41" s="23">
        <v>1038</v>
      </c>
      <c r="C41" s="23" t="s">
        <v>330</v>
      </c>
      <c r="D41" s="24" t="str">
        <f t="shared" si="0"/>
        <v>1.3.4Viet</v>
      </c>
      <c r="E41" s="24" t="s">
        <v>517</v>
      </c>
      <c r="F41" s="24" t="s">
        <v>3</v>
      </c>
      <c r="G41" s="24" t="str">
        <f t="shared" si="3"/>
        <v/>
      </c>
      <c r="H41" s="5" t="str">
        <f t="shared" si="2"/>
        <v/>
      </c>
    </row>
    <row r="42" spans="1:9" x14ac:dyDescent="0.25">
      <c r="A42" s="1">
        <v>12</v>
      </c>
      <c r="B42" s="27">
        <v>1039</v>
      </c>
      <c r="C42" s="27" t="s">
        <v>330</v>
      </c>
      <c r="D42" s="28" t="str">
        <f t="shared" si="0"/>
        <v>1.3.4Eng</v>
      </c>
      <c r="E42" s="28" t="s">
        <v>76</v>
      </c>
      <c r="F42" s="28" t="s">
        <v>4</v>
      </c>
      <c r="G42" s="28" t="str">
        <f t="shared" si="3"/>
        <v/>
      </c>
      <c r="H42" s="5" t="str">
        <f t="shared" si="2"/>
        <v/>
      </c>
    </row>
    <row r="43" spans="1:9" hidden="1" x14ac:dyDescent="0.25">
      <c r="B43" s="25">
        <v>1040</v>
      </c>
      <c r="C43" s="25" t="s">
        <v>330</v>
      </c>
      <c r="D43" s="26" t="str">
        <f t="shared" si="0"/>
        <v>1.3.4Phon</v>
      </c>
      <c r="E43" s="26" t="s">
        <v>705</v>
      </c>
      <c r="F43" s="26" t="s">
        <v>5</v>
      </c>
      <c r="G43" s="26" t="str">
        <f t="shared" si="3"/>
        <v/>
      </c>
      <c r="H43" s="5" t="str">
        <f t="shared" si="2"/>
        <v/>
      </c>
    </row>
    <row r="44" spans="1:9" hidden="1" x14ac:dyDescent="0.25">
      <c r="B44" s="19">
        <v>1041</v>
      </c>
      <c r="C44" s="19">
        <v>2</v>
      </c>
      <c r="D44" s="20" t="str">
        <f t="shared" si="0"/>
        <v>2Struc0</v>
      </c>
      <c r="E44" s="20" t="s">
        <v>260</v>
      </c>
      <c r="F44" s="20" t="s">
        <v>502</v>
      </c>
      <c r="G44" s="20" t="str">
        <f t="shared" si="3"/>
        <v/>
      </c>
      <c r="H44" s="5" t="str">
        <f t="shared" si="2"/>
        <v/>
      </c>
    </row>
    <row r="45" spans="1:9" hidden="1" x14ac:dyDescent="0.25">
      <c r="B45" s="21">
        <v>1042</v>
      </c>
      <c r="C45" s="21" t="s">
        <v>15</v>
      </c>
      <c r="D45" s="22" t="str">
        <f t="shared" si="0"/>
        <v>2.1Struc</v>
      </c>
      <c r="E45" s="22" t="s">
        <v>77</v>
      </c>
      <c r="F45" s="22" t="s">
        <v>11</v>
      </c>
      <c r="G45" s="22" t="str">
        <f t="shared" si="3"/>
        <v>https://docs.google.com/uc?export=download&amp;id=1dUDuJ2R5eny2xfswVNzp1fN6p6InNVrJ</v>
      </c>
      <c r="H45" s="5" t="str">
        <f t="shared" si="2"/>
        <v>1dUDuJ2R5eny2xfswVNzp1fN6p6InNVrJ</v>
      </c>
      <c r="I45" t="s">
        <v>885</v>
      </c>
    </row>
    <row r="46" spans="1:9" hidden="1" x14ac:dyDescent="0.25">
      <c r="B46" s="23">
        <v>1043</v>
      </c>
      <c r="C46" s="23" t="s">
        <v>331</v>
      </c>
      <c r="D46" s="24" t="str">
        <f t="shared" si="0"/>
        <v>2.1.1Viet</v>
      </c>
      <c r="E46" s="24" t="s">
        <v>518</v>
      </c>
      <c r="F46" s="24" t="s">
        <v>3</v>
      </c>
      <c r="G46" s="24" t="str">
        <f t="shared" si="3"/>
        <v/>
      </c>
      <c r="H46" s="5" t="str">
        <f t="shared" si="2"/>
        <v/>
      </c>
    </row>
    <row r="47" spans="1:9" x14ac:dyDescent="0.25">
      <c r="A47" s="1">
        <v>13</v>
      </c>
      <c r="B47" s="27">
        <v>1044</v>
      </c>
      <c r="C47" s="27" t="s">
        <v>331</v>
      </c>
      <c r="D47" s="28" t="str">
        <f t="shared" si="0"/>
        <v>2.1.1Eng</v>
      </c>
      <c r="E47" s="28" t="s">
        <v>78</v>
      </c>
      <c r="F47" s="28" t="s">
        <v>4</v>
      </c>
      <c r="G47" s="28" t="str">
        <f t="shared" si="3"/>
        <v/>
      </c>
      <c r="H47" s="5" t="str">
        <f t="shared" si="2"/>
        <v/>
      </c>
    </row>
    <row r="48" spans="1:9" hidden="1" x14ac:dyDescent="0.25">
      <c r="B48" s="25">
        <v>1045</v>
      </c>
      <c r="C48" s="25" t="s">
        <v>331</v>
      </c>
      <c r="D48" s="26" t="str">
        <f t="shared" si="0"/>
        <v>2.1.1Phon</v>
      </c>
      <c r="E48" s="26" t="s">
        <v>706</v>
      </c>
      <c r="F48" s="26" t="s">
        <v>5</v>
      </c>
      <c r="G48" s="26" t="str">
        <f t="shared" si="3"/>
        <v/>
      </c>
      <c r="H48" s="5" t="str">
        <f t="shared" si="2"/>
        <v/>
      </c>
    </row>
    <row r="49" spans="1:9" hidden="1" x14ac:dyDescent="0.25">
      <c r="B49" s="23">
        <v>1046</v>
      </c>
      <c r="C49" s="23" t="s">
        <v>332</v>
      </c>
      <c r="D49" s="24" t="str">
        <f t="shared" si="0"/>
        <v>2.1.2Viet</v>
      </c>
      <c r="E49" s="24" t="s">
        <v>519</v>
      </c>
      <c r="F49" s="24" t="s">
        <v>3</v>
      </c>
      <c r="G49" s="24" t="str">
        <f t="shared" si="3"/>
        <v/>
      </c>
      <c r="H49" s="5" t="str">
        <f t="shared" si="2"/>
        <v/>
      </c>
    </row>
    <row r="50" spans="1:9" x14ac:dyDescent="0.25">
      <c r="A50" s="1">
        <v>14</v>
      </c>
      <c r="B50" s="27">
        <v>1047</v>
      </c>
      <c r="C50" s="27" t="s">
        <v>332</v>
      </c>
      <c r="D50" s="28" t="str">
        <f t="shared" si="0"/>
        <v>2.1.2Eng</v>
      </c>
      <c r="E50" s="28" t="s">
        <v>79</v>
      </c>
      <c r="F50" s="28" t="s">
        <v>4</v>
      </c>
      <c r="G50" s="28" t="str">
        <f t="shared" si="3"/>
        <v/>
      </c>
      <c r="H50" s="5" t="str">
        <f t="shared" si="2"/>
        <v/>
      </c>
    </row>
    <row r="51" spans="1:9" hidden="1" x14ac:dyDescent="0.25">
      <c r="B51" s="25">
        <v>1048</v>
      </c>
      <c r="C51" s="25" t="s">
        <v>332</v>
      </c>
      <c r="D51" s="26" t="str">
        <f t="shared" si="0"/>
        <v>2.1.2Phon</v>
      </c>
      <c r="E51" s="26" t="s">
        <v>707</v>
      </c>
      <c r="F51" s="26" t="s">
        <v>5</v>
      </c>
      <c r="G51" s="26" t="str">
        <f t="shared" si="3"/>
        <v/>
      </c>
      <c r="H51" s="5" t="str">
        <f t="shared" si="2"/>
        <v/>
      </c>
    </row>
    <row r="52" spans="1:9" hidden="1" x14ac:dyDescent="0.25">
      <c r="B52" s="23">
        <v>1049</v>
      </c>
      <c r="C52" s="23" t="s">
        <v>333</v>
      </c>
      <c r="D52" s="24" t="str">
        <f t="shared" si="0"/>
        <v>2.1.3Viet</v>
      </c>
      <c r="E52" s="24" t="s">
        <v>520</v>
      </c>
      <c r="F52" s="24" t="s">
        <v>3</v>
      </c>
      <c r="G52" s="24" t="str">
        <f t="shared" si="3"/>
        <v/>
      </c>
      <c r="H52" s="5" t="str">
        <f t="shared" si="2"/>
        <v/>
      </c>
    </row>
    <row r="53" spans="1:9" x14ac:dyDescent="0.25">
      <c r="A53" s="1">
        <v>15</v>
      </c>
      <c r="B53" s="27">
        <v>1050</v>
      </c>
      <c r="C53" s="27" t="s">
        <v>333</v>
      </c>
      <c r="D53" s="28" t="str">
        <f t="shared" si="0"/>
        <v>2.1.3Eng</v>
      </c>
      <c r="E53" s="28" t="s">
        <v>147</v>
      </c>
      <c r="F53" s="28" t="s">
        <v>4</v>
      </c>
      <c r="G53" s="28" t="str">
        <f t="shared" si="3"/>
        <v/>
      </c>
      <c r="H53" s="5" t="str">
        <f t="shared" si="2"/>
        <v/>
      </c>
    </row>
    <row r="54" spans="1:9" hidden="1" x14ac:dyDescent="0.25">
      <c r="B54" s="25">
        <v>1051</v>
      </c>
      <c r="C54" s="25" t="s">
        <v>333</v>
      </c>
      <c r="D54" s="26" t="str">
        <f t="shared" si="0"/>
        <v>2.1.3Phon</v>
      </c>
      <c r="E54" s="26" t="s">
        <v>708</v>
      </c>
      <c r="F54" s="26" t="s">
        <v>5</v>
      </c>
      <c r="G54" s="26" t="str">
        <f t="shared" si="3"/>
        <v/>
      </c>
      <c r="H54" s="5" t="str">
        <f t="shared" si="2"/>
        <v/>
      </c>
    </row>
    <row r="55" spans="1:9" hidden="1" x14ac:dyDescent="0.25">
      <c r="B55" s="23">
        <v>1052</v>
      </c>
      <c r="C55" s="23" t="s">
        <v>334</v>
      </c>
      <c r="D55" s="24" t="str">
        <f t="shared" si="0"/>
        <v>2.1.4Viet</v>
      </c>
      <c r="E55" s="24" t="s">
        <v>521</v>
      </c>
      <c r="F55" s="24" t="s">
        <v>3</v>
      </c>
      <c r="G55" s="24" t="str">
        <f t="shared" si="3"/>
        <v/>
      </c>
      <c r="H55" s="5" t="str">
        <f t="shared" si="2"/>
        <v/>
      </c>
    </row>
    <row r="56" spans="1:9" x14ac:dyDescent="0.25">
      <c r="A56" s="1">
        <v>16</v>
      </c>
      <c r="B56" s="27">
        <v>1053</v>
      </c>
      <c r="C56" s="27" t="s">
        <v>334</v>
      </c>
      <c r="D56" s="28" t="str">
        <f t="shared" si="0"/>
        <v>2.1.4Eng</v>
      </c>
      <c r="E56" s="28" t="s">
        <v>80</v>
      </c>
      <c r="F56" s="28" t="s">
        <v>4</v>
      </c>
      <c r="G56" s="28" t="str">
        <f t="shared" si="3"/>
        <v/>
      </c>
      <c r="H56" s="5" t="str">
        <f t="shared" si="2"/>
        <v/>
      </c>
    </row>
    <row r="57" spans="1:9" hidden="1" x14ac:dyDescent="0.25">
      <c r="B57" s="25">
        <v>1054</v>
      </c>
      <c r="C57" s="25" t="s">
        <v>334</v>
      </c>
      <c r="D57" s="26" t="str">
        <f t="shared" si="0"/>
        <v>2.1.4Phon</v>
      </c>
      <c r="E57" s="26" t="s">
        <v>709</v>
      </c>
      <c r="F57" s="26" t="s">
        <v>5</v>
      </c>
      <c r="G57" s="26" t="str">
        <f t="shared" si="3"/>
        <v/>
      </c>
      <c r="H57" s="5" t="str">
        <f t="shared" si="2"/>
        <v/>
      </c>
    </row>
    <row r="58" spans="1:9" hidden="1" x14ac:dyDescent="0.25">
      <c r="B58" s="21">
        <v>1055</v>
      </c>
      <c r="C58" s="21" t="s">
        <v>17</v>
      </c>
      <c r="D58" s="22" t="str">
        <f t="shared" si="0"/>
        <v>2.2Struc</v>
      </c>
      <c r="E58" s="22" t="s">
        <v>81</v>
      </c>
      <c r="F58" s="22" t="s">
        <v>11</v>
      </c>
      <c r="G58" s="22" t="str">
        <f t="shared" si="3"/>
        <v>https://docs.google.com/uc?export=download&amp;id=1wPaujcTcTrfrjMqnmDuIA18aKYKGROAT</v>
      </c>
      <c r="H58" s="5" t="str">
        <f t="shared" si="2"/>
        <v>1wPaujcTcTrfrjMqnmDuIA18aKYKGROAT</v>
      </c>
      <c r="I58" t="s">
        <v>886</v>
      </c>
    </row>
    <row r="59" spans="1:9" hidden="1" x14ac:dyDescent="0.25">
      <c r="B59" s="23">
        <v>1056</v>
      </c>
      <c r="C59" s="23" t="s">
        <v>335</v>
      </c>
      <c r="D59" s="24" t="str">
        <f t="shared" si="0"/>
        <v>2.2.1Viet</v>
      </c>
      <c r="E59" s="24" t="s">
        <v>522</v>
      </c>
      <c r="F59" s="24" t="s">
        <v>3</v>
      </c>
      <c r="G59" s="24" t="str">
        <f t="shared" si="3"/>
        <v/>
      </c>
      <c r="H59" s="5" t="str">
        <f t="shared" si="2"/>
        <v/>
      </c>
    </row>
    <row r="60" spans="1:9" x14ac:dyDescent="0.25">
      <c r="A60" s="1">
        <v>17</v>
      </c>
      <c r="B60" s="27">
        <v>1057</v>
      </c>
      <c r="C60" s="27" t="s">
        <v>335</v>
      </c>
      <c r="D60" s="28" t="str">
        <f t="shared" si="0"/>
        <v>2.2.1Eng</v>
      </c>
      <c r="E60" s="28" t="s">
        <v>148</v>
      </c>
      <c r="F60" s="28" t="s">
        <v>4</v>
      </c>
      <c r="G60" s="28" t="str">
        <f t="shared" si="3"/>
        <v/>
      </c>
      <c r="H60" s="5" t="str">
        <f t="shared" si="2"/>
        <v/>
      </c>
    </row>
    <row r="61" spans="1:9" hidden="1" x14ac:dyDescent="0.25">
      <c r="B61" s="25">
        <v>1058</v>
      </c>
      <c r="C61" s="25" t="s">
        <v>335</v>
      </c>
      <c r="D61" s="26" t="str">
        <f t="shared" si="0"/>
        <v>2.2.1Phon</v>
      </c>
      <c r="E61" s="26" t="s">
        <v>710</v>
      </c>
      <c r="F61" s="26" t="s">
        <v>5</v>
      </c>
      <c r="G61" s="26" t="str">
        <f t="shared" si="3"/>
        <v/>
      </c>
      <c r="H61" s="5" t="str">
        <f t="shared" si="2"/>
        <v/>
      </c>
    </row>
    <row r="62" spans="1:9" hidden="1" x14ac:dyDescent="0.25">
      <c r="B62" s="23">
        <v>1059</v>
      </c>
      <c r="C62" s="23" t="s">
        <v>336</v>
      </c>
      <c r="D62" s="24" t="str">
        <f t="shared" si="0"/>
        <v>2.2.2Viet</v>
      </c>
      <c r="E62" s="24" t="s">
        <v>523</v>
      </c>
      <c r="F62" s="24" t="s">
        <v>3</v>
      </c>
      <c r="G62" s="24" t="str">
        <f t="shared" si="3"/>
        <v/>
      </c>
      <c r="H62" s="5" t="str">
        <f t="shared" si="2"/>
        <v/>
      </c>
    </row>
    <row r="63" spans="1:9" x14ac:dyDescent="0.25">
      <c r="A63" s="1">
        <v>18</v>
      </c>
      <c r="B63" s="27">
        <v>1060</v>
      </c>
      <c r="C63" s="27" t="s">
        <v>336</v>
      </c>
      <c r="D63" s="28" t="str">
        <f t="shared" si="0"/>
        <v>2.2.2Eng</v>
      </c>
      <c r="E63" s="28" t="s">
        <v>149</v>
      </c>
      <c r="F63" s="28" t="s">
        <v>4</v>
      </c>
      <c r="G63" s="28" t="str">
        <f t="shared" si="3"/>
        <v/>
      </c>
      <c r="H63" s="5" t="str">
        <f t="shared" si="2"/>
        <v/>
      </c>
    </row>
    <row r="64" spans="1:9" hidden="1" x14ac:dyDescent="0.25">
      <c r="B64" s="25">
        <v>1061</v>
      </c>
      <c r="C64" s="25" t="s">
        <v>336</v>
      </c>
      <c r="D64" s="26" t="str">
        <f t="shared" si="0"/>
        <v>2.2.2Phon</v>
      </c>
      <c r="E64" s="26" t="s">
        <v>711</v>
      </c>
      <c r="F64" s="26" t="s">
        <v>5</v>
      </c>
      <c r="G64" s="26" t="str">
        <f t="shared" si="3"/>
        <v/>
      </c>
      <c r="H64" s="5" t="str">
        <f t="shared" si="2"/>
        <v/>
      </c>
    </row>
    <row r="65" spans="1:9" hidden="1" x14ac:dyDescent="0.25">
      <c r="B65" s="23">
        <v>1062</v>
      </c>
      <c r="C65" s="23" t="s">
        <v>337</v>
      </c>
      <c r="D65" s="24" t="str">
        <f t="shared" si="0"/>
        <v>2.2.3Viet</v>
      </c>
      <c r="E65" s="24" t="s">
        <v>524</v>
      </c>
      <c r="F65" s="24" t="s">
        <v>3</v>
      </c>
      <c r="G65" s="24" t="str">
        <f t="shared" si="3"/>
        <v/>
      </c>
      <c r="H65" s="5" t="str">
        <f t="shared" si="2"/>
        <v/>
      </c>
    </row>
    <row r="66" spans="1:9" x14ac:dyDescent="0.25">
      <c r="A66" s="1">
        <v>19</v>
      </c>
      <c r="B66" s="27">
        <v>1063</v>
      </c>
      <c r="C66" s="27" t="s">
        <v>337</v>
      </c>
      <c r="D66" s="28" t="str">
        <f t="shared" si="0"/>
        <v>2.2.3Eng</v>
      </c>
      <c r="E66" s="28" t="s">
        <v>150</v>
      </c>
      <c r="F66" s="28" t="s">
        <v>4</v>
      </c>
      <c r="G66" s="28" t="str">
        <f t="shared" si="3"/>
        <v/>
      </c>
      <c r="H66" s="5" t="str">
        <f t="shared" si="2"/>
        <v/>
      </c>
    </row>
    <row r="67" spans="1:9" hidden="1" x14ac:dyDescent="0.25">
      <c r="B67" s="25">
        <v>1064</v>
      </c>
      <c r="C67" s="25" t="s">
        <v>337</v>
      </c>
      <c r="D67" s="26" t="str">
        <f t="shared" si="0"/>
        <v>2.2.3Phon</v>
      </c>
      <c r="E67" s="26" t="s">
        <v>712</v>
      </c>
      <c r="F67" s="26" t="s">
        <v>5</v>
      </c>
      <c r="G67" s="26" t="str">
        <f t="shared" si="3"/>
        <v/>
      </c>
      <c r="H67" s="5" t="str">
        <f t="shared" si="2"/>
        <v/>
      </c>
    </row>
    <row r="68" spans="1:9" hidden="1" x14ac:dyDescent="0.25">
      <c r="B68" s="21">
        <v>1065</v>
      </c>
      <c r="C68" s="21" t="s">
        <v>16</v>
      </c>
      <c r="D68" s="22" t="str">
        <f t="shared" ref="D68:D131" si="4">C68&amp;F68</f>
        <v>2.3Struc</v>
      </c>
      <c r="E68" s="22" t="s">
        <v>82</v>
      </c>
      <c r="F68" s="22" t="s">
        <v>11</v>
      </c>
      <c r="G68" s="22" t="str">
        <f t="shared" si="3"/>
        <v>https://docs.google.com/uc?export=download&amp;id=11SH_-X7qt0PJGznnPVKK9Fk-Mj1BUJry</v>
      </c>
      <c r="H68" s="5" t="str">
        <f t="shared" si="2"/>
        <v>11SH_-X7qt0PJGznnPVKK9Fk-Mj1BUJry</v>
      </c>
      <c r="I68" t="s">
        <v>887</v>
      </c>
    </row>
    <row r="69" spans="1:9" hidden="1" x14ac:dyDescent="0.25">
      <c r="B69" s="23">
        <v>1066</v>
      </c>
      <c r="C69" s="23" t="s">
        <v>338</v>
      </c>
      <c r="D69" s="24" t="str">
        <f t="shared" si="4"/>
        <v>2.3.1Viet</v>
      </c>
      <c r="E69" s="24" t="s">
        <v>525</v>
      </c>
      <c r="F69" s="24" t="s">
        <v>3</v>
      </c>
      <c r="G69" s="24" t="str">
        <f t="shared" si="3"/>
        <v/>
      </c>
      <c r="H69" s="5" t="str">
        <f t="shared" ref="H69:H132" si="5">IFERROR(LEFT(RIGHT(I69,LEN(I69)-32),LEN(RIGHT(I69,LEN(I69)-32))-17),"")</f>
        <v/>
      </c>
    </row>
    <row r="70" spans="1:9" x14ac:dyDescent="0.25">
      <c r="A70" s="1">
        <v>20</v>
      </c>
      <c r="B70" s="27">
        <v>1067</v>
      </c>
      <c r="C70" s="27" t="s">
        <v>338</v>
      </c>
      <c r="D70" s="28" t="str">
        <f t="shared" si="4"/>
        <v>2.3.1Eng</v>
      </c>
      <c r="E70" s="28" t="s">
        <v>151</v>
      </c>
      <c r="F70" s="28" t="s">
        <v>4</v>
      </c>
      <c r="G70" s="28" t="str">
        <f t="shared" si="3"/>
        <v/>
      </c>
      <c r="H70" s="5" t="str">
        <f t="shared" si="5"/>
        <v/>
      </c>
    </row>
    <row r="71" spans="1:9" hidden="1" x14ac:dyDescent="0.25">
      <c r="B71" s="25">
        <v>1068</v>
      </c>
      <c r="C71" s="25" t="s">
        <v>338</v>
      </c>
      <c r="D71" s="26" t="str">
        <f t="shared" si="4"/>
        <v>2.3.1Phon</v>
      </c>
      <c r="E71" s="26" t="s">
        <v>713</v>
      </c>
      <c r="F71" s="26" t="s">
        <v>5</v>
      </c>
      <c r="G71" s="26" t="str">
        <f t="shared" si="3"/>
        <v/>
      </c>
      <c r="H71" s="5" t="str">
        <f t="shared" si="5"/>
        <v/>
      </c>
    </row>
    <row r="72" spans="1:9" hidden="1" x14ac:dyDescent="0.25">
      <c r="B72" s="23">
        <v>1069</v>
      </c>
      <c r="C72" s="23" t="s">
        <v>339</v>
      </c>
      <c r="D72" s="24" t="str">
        <f t="shared" si="4"/>
        <v>2.3.2Viet</v>
      </c>
      <c r="E72" s="24" t="s">
        <v>526</v>
      </c>
      <c r="F72" s="24" t="s">
        <v>3</v>
      </c>
      <c r="G72" s="24" t="str">
        <f t="shared" ref="G72:G135" si="6">IF(H72="","","https://docs.google.com/uc?export=download&amp;id="&amp;H72)</f>
        <v/>
      </c>
      <c r="H72" s="5" t="str">
        <f t="shared" si="5"/>
        <v/>
      </c>
    </row>
    <row r="73" spans="1:9" x14ac:dyDescent="0.25">
      <c r="A73" s="1">
        <v>21</v>
      </c>
      <c r="B73" s="27">
        <v>1070</v>
      </c>
      <c r="C73" s="27" t="s">
        <v>339</v>
      </c>
      <c r="D73" s="28" t="str">
        <f t="shared" si="4"/>
        <v>2.3.2Eng</v>
      </c>
      <c r="E73" s="28" t="s">
        <v>83</v>
      </c>
      <c r="F73" s="28" t="s">
        <v>4</v>
      </c>
      <c r="G73" s="28" t="str">
        <f t="shared" si="6"/>
        <v/>
      </c>
      <c r="H73" s="5" t="str">
        <f t="shared" si="5"/>
        <v/>
      </c>
    </row>
    <row r="74" spans="1:9" hidden="1" x14ac:dyDescent="0.25">
      <c r="B74" s="25">
        <v>1071</v>
      </c>
      <c r="C74" s="25" t="s">
        <v>339</v>
      </c>
      <c r="D74" s="26" t="str">
        <f t="shared" si="4"/>
        <v>2.3.2Phon</v>
      </c>
      <c r="E74" s="26" t="s">
        <v>714</v>
      </c>
      <c r="F74" s="26" t="s">
        <v>5</v>
      </c>
      <c r="G74" s="26" t="str">
        <f t="shared" si="6"/>
        <v/>
      </c>
      <c r="H74" s="5" t="str">
        <f t="shared" si="5"/>
        <v/>
      </c>
    </row>
    <row r="75" spans="1:9" hidden="1" x14ac:dyDescent="0.25">
      <c r="B75" s="23">
        <v>1072</v>
      </c>
      <c r="C75" s="23" t="s">
        <v>340</v>
      </c>
      <c r="D75" s="24" t="str">
        <f t="shared" si="4"/>
        <v>2.3.3Viet</v>
      </c>
      <c r="E75" s="24" t="s">
        <v>527</v>
      </c>
      <c r="F75" s="24" t="s">
        <v>3</v>
      </c>
      <c r="G75" s="24" t="str">
        <f t="shared" si="6"/>
        <v/>
      </c>
      <c r="H75" s="5" t="str">
        <f t="shared" si="5"/>
        <v/>
      </c>
    </row>
    <row r="76" spans="1:9" x14ac:dyDescent="0.25">
      <c r="A76" s="1">
        <v>22</v>
      </c>
      <c r="B76" s="27">
        <v>1073</v>
      </c>
      <c r="C76" s="27" t="s">
        <v>340</v>
      </c>
      <c r="D76" s="28" t="str">
        <f t="shared" si="4"/>
        <v>2.3.3Eng</v>
      </c>
      <c r="E76" s="28" t="s">
        <v>152</v>
      </c>
      <c r="F76" s="28" t="s">
        <v>4</v>
      </c>
      <c r="G76" s="28" t="str">
        <f t="shared" si="6"/>
        <v/>
      </c>
      <c r="H76" s="5" t="str">
        <f t="shared" si="5"/>
        <v/>
      </c>
    </row>
    <row r="77" spans="1:9" hidden="1" x14ac:dyDescent="0.25">
      <c r="B77" s="25">
        <v>1074</v>
      </c>
      <c r="C77" s="25" t="s">
        <v>340</v>
      </c>
      <c r="D77" s="26" t="str">
        <f t="shared" si="4"/>
        <v>2.3.3Phon</v>
      </c>
      <c r="E77" s="26" t="s">
        <v>715</v>
      </c>
      <c r="F77" s="26" t="s">
        <v>5</v>
      </c>
      <c r="G77" s="26" t="str">
        <f t="shared" si="6"/>
        <v/>
      </c>
      <c r="H77" s="5" t="str">
        <f t="shared" si="5"/>
        <v/>
      </c>
    </row>
    <row r="78" spans="1:9" hidden="1" x14ac:dyDescent="0.25">
      <c r="B78" s="19">
        <v>1075</v>
      </c>
      <c r="C78" s="19">
        <v>3</v>
      </c>
      <c r="D78" s="20" t="str">
        <f t="shared" si="4"/>
        <v>3Struc0</v>
      </c>
      <c r="E78" s="20" t="s">
        <v>261</v>
      </c>
      <c r="F78" s="20" t="s">
        <v>502</v>
      </c>
      <c r="G78" s="20" t="str">
        <f t="shared" si="6"/>
        <v/>
      </c>
      <c r="H78" s="5" t="str">
        <f t="shared" si="5"/>
        <v/>
      </c>
    </row>
    <row r="79" spans="1:9" hidden="1" x14ac:dyDescent="0.25">
      <c r="B79" s="21">
        <v>1076</v>
      </c>
      <c r="C79" s="21" t="s">
        <v>18</v>
      </c>
      <c r="D79" s="22" t="str">
        <f t="shared" si="4"/>
        <v>3.1Struc</v>
      </c>
      <c r="E79" s="22" t="s">
        <v>84</v>
      </c>
      <c r="F79" s="22" t="s">
        <v>11</v>
      </c>
      <c r="G79" s="22" t="str">
        <f t="shared" si="6"/>
        <v>https://docs.google.com/uc?export=download&amp;id=1xSViEGON8Lxhx-pi2p3kKwZQESsqAP3c</v>
      </c>
      <c r="H79" s="5" t="str">
        <f t="shared" si="5"/>
        <v>1xSViEGON8Lxhx-pi2p3kKwZQESsqAP3c</v>
      </c>
      <c r="I79" t="s">
        <v>888</v>
      </c>
    </row>
    <row r="80" spans="1:9" hidden="1" x14ac:dyDescent="0.25">
      <c r="B80" s="23">
        <v>1077</v>
      </c>
      <c r="C80" s="23" t="s">
        <v>341</v>
      </c>
      <c r="D80" s="24" t="str">
        <f t="shared" si="4"/>
        <v>3.1.1Viet</v>
      </c>
      <c r="E80" s="24" t="s">
        <v>528</v>
      </c>
      <c r="F80" s="24" t="s">
        <v>3</v>
      </c>
      <c r="G80" s="24" t="str">
        <f t="shared" si="6"/>
        <v/>
      </c>
      <c r="H80" s="5" t="str">
        <f t="shared" si="5"/>
        <v/>
      </c>
    </row>
    <row r="81" spans="1:9" x14ac:dyDescent="0.25">
      <c r="A81" s="1">
        <v>23</v>
      </c>
      <c r="B81" s="27">
        <v>1078</v>
      </c>
      <c r="C81" s="27" t="s">
        <v>341</v>
      </c>
      <c r="D81" s="28" t="str">
        <f t="shared" si="4"/>
        <v>3.1.1Eng</v>
      </c>
      <c r="E81" s="28" t="s">
        <v>85</v>
      </c>
      <c r="F81" s="28" t="s">
        <v>4</v>
      </c>
      <c r="G81" s="28" t="str">
        <f t="shared" si="6"/>
        <v/>
      </c>
      <c r="H81" s="5" t="str">
        <f t="shared" si="5"/>
        <v/>
      </c>
    </row>
    <row r="82" spans="1:9" hidden="1" x14ac:dyDescent="0.25">
      <c r="B82" s="25">
        <v>1079</v>
      </c>
      <c r="C82" s="25" t="s">
        <v>341</v>
      </c>
      <c r="D82" s="26" t="str">
        <f t="shared" si="4"/>
        <v>3.1.1Phon</v>
      </c>
      <c r="E82" s="26" t="s">
        <v>716</v>
      </c>
      <c r="F82" s="26" t="s">
        <v>5</v>
      </c>
      <c r="G82" s="26" t="str">
        <f t="shared" si="6"/>
        <v/>
      </c>
      <c r="H82" s="5" t="str">
        <f t="shared" si="5"/>
        <v/>
      </c>
    </row>
    <row r="83" spans="1:9" hidden="1" x14ac:dyDescent="0.25">
      <c r="B83" s="23">
        <v>1080</v>
      </c>
      <c r="C83" s="23" t="s">
        <v>342</v>
      </c>
      <c r="D83" s="24" t="str">
        <f t="shared" si="4"/>
        <v>3.1.2Viet</v>
      </c>
      <c r="E83" s="24" t="s">
        <v>529</v>
      </c>
      <c r="F83" s="24" t="s">
        <v>3</v>
      </c>
      <c r="G83" s="24" t="str">
        <f t="shared" si="6"/>
        <v/>
      </c>
      <c r="H83" s="5" t="str">
        <f t="shared" si="5"/>
        <v/>
      </c>
    </row>
    <row r="84" spans="1:9" x14ac:dyDescent="0.25">
      <c r="A84" s="1">
        <v>24</v>
      </c>
      <c r="B84" s="27">
        <v>1081</v>
      </c>
      <c r="C84" s="27" t="s">
        <v>342</v>
      </c>
      <c r="D84" s="28" t="str">
        <f t="shared" si="4"/>
        <v>3.1.2Eng</v>
      </c>
      <c r="E84" s="28" t="s">
        <v>153</v>
      </c>
      <c r="F84" s="28" t="s">
        <v>4</v>
      </c>
      <c r="G84" s="28" t="str">
        <f t="shared" si="6"/>
        <v/>
      </c>
      <c r="H84" s="5" t="str">
        <f t="shared" si="5"/>
        <v/>
      </c>
    </row>
    <row r="85" spans="1:9" hidden="1" x14ac:dyDescent="0.25">
      <c r="B85" s="25">
        <v>1082</v>
      </c>
      <c r="C85" s="25" t="s">
        <v>342</v>
      </c>
      <c r="D85" s="26" t="str">
        <f t="shared" si="4"/>
        <v>3.1.2Phon</v>
      </c>
      <c r="E85" s="26" t="s">
        <v>717</v>
      </c>
      <c r="F85" s="26" t="s">
        <v>5</v>
      </c>
      <c r="G85" s="26" t="str">
        <f t="shared" si="6"/>
        <v/>
      </c>
      <c r="H85" s="5" t="str">
        <f t="shared" si="5"/>
        <v/>
      </c>
    </row>
    <row r="86" spans="1:9" hidden="1" x14ac:dyDescent="0.25">
      <c r="B86" s="23">
        <v>1083</v>
      </c>
      <c r="C86" s="23" t="s">
        <v>343</v>
      </c>
      <c r="D86" s="24" t="str">
        <f t="shared" si="4"/>
        <v>3.1.3Viet</v>
      </c>
      <c r="E86" s="24" t="s">
        <v>530</v>
      </c>
      <c r="F86" s="24" t="s">
        <v>3</v>
      </c>
      <c r="G86" s="24" t="str">
        <f t="shared" si="6"/>
        <v/>
      </c>
      <c r="H86" s="5" t="str">
        <f t="shared" si="5"/>
        <v/>
      </c>
    </row>
    <row r="87" spans="1:9" x14ac:dyDescent="0.25">
      <c r="A87" s="1">
        <v>25</v>
      </c>
      <c r="B87" s="27">
        <v>1084</v>
      </c>
      <c r="C87" s="27" t="s">
        <v>343</v>
      </c>
      <c r="D87" s="28" t="str">
        <f t="shared" si="4"/>
        <v>3.1.3Eng</v>
      </c>
      <c r="E87" s="28" t="s">
        <v>154</v>
      </c>
      <c r="F87" s="28" t="s">
        <v>4</v>
      </c>
      <c r="G87" s="28" t="str">
        <f t="shared" si="6"/>
        <v/>
      </c>
      <c r="H87" s="5" t="str">
        <f t="shared" si="5"/>
        <v/>
      </c>
    </row>
    <row r="88" spans="1:9" hidden="1" x14ac:dyDescent="0.25">
      <c r="B88" s="25">
        <v>1085</v>
      </c>
      <c r="C88" s="25" t="s">
        <v>343</v>
      </c>
      <c r="D88" s="26" t="str">
        <f t="shared" si="4"/>
        <v>3.1.3Phon</v>
      </c>
      <c r="E88" s="26" t="s">
        <v>718</v>
      </c>
      <c r="F88" s="26" t="s">
        <v>5</v>
      </c>
      <c r="G88" s="26" t="str">
        <f t="shared" si="6"/>
        <v/>
      </c>
      <c r="H88" s="5" t="str">
        <f t="shared" si="5"/>
        <v/>
      </c>
    </row>
    <row r="89" spans="1:9" hidden="1" x14ac:dyDescent="0.25">
      <c r="B89" s="21">
        <v>1086</v>
      </c>
      <c r="C89" s="21" t="s">
        <v>19</v>
      </c>
      <c r="D89" s="22" t="str">
        <f t="shared" si="4"/>
        <v>3.2Struc</v>
      </c>
      <c r="E89" s="22" t="s">
        <v>280</v>
      </c>
      <c r="F89" s="22" t="s">
        <v>11</v>
      </c>
      <c r="G89" s="22" t="str">
        <f t="shared" si="6"/>
        <v>https://docs.google.com/uc?export=download&amp;id=1b6et_T25yA-yIkQ7X_2u5m0eFJdvXtb8</v>
      </c>
      <c r="H89" s="5" t="str">
        <f t="shared" si="5"/>
        <v>1b6et_T25yA-yIkQ7X_2u5m0eFJdvXtb8</v>
      </c>
      <c r="I89" t="s">
        <v>889</v>
      </c>
    </row>
    <row r="90" spans="1:9" hidden="1" x14ac:dyDescent="0.25">
      <c r="B90" s="23">
        <v>1087</v>
      </c>
      <c r="C90" s="23" t="s">
        <v>344</v>
      </c>
      <c r="D90" s="24" t="str">
        <f t="shared" si="4"/>
        <v>3.2.1Viet</v>
      </c>
      <c r="E90" s="24" t="s">
        <v>531</v>
      </c>
      <c r="F90" s="24" t="s">
        <v>3</v>
      </c>
      <c r="G90" s="24" t="str">
        <f t="shared" si="6"/>
        <v/>
      </c>
      <c r="H90" s="5" t="str">
        <f t="shared" si="5"/>
        <v/>
      </c>
    </row>
    <row r="91" spans="1:9" x14ac:dyDescent="0.25">
      <c r="A91" s="1">
        <v>26</v>
      </c>
      <c r="B91" s="27">
        <v>1088</v>
      </c>
      <c r="C91" s="27" t="s">
        <v>344</v>
      </c>
      <c r="D91" s="28" t="str">
        <f t="shared" si="4"/>
        <v>3.2.1Eng</v>
      </c>
      <c r="E91" s="28" t="s">
        <v>155</v>
      </c>
      <c r="F91" s="28" t="s">
        <v>4</v>
      </c>
      <c r="G91" s="28" t="str">
        <f t="shared" si="6"/>
        <v/>
      </c>
      <c r="H91" s="5" t="str">
        <f t="shared" si="5"/>
        <v/>
      </c>
    </row>
    <row r="92" spans="1:9" hidden="1" x14ac:dyDescent="0.25">
      <c r="B92" s="25">
        <v>1089</v>
      </c>
      <c r="C92" s="25" t="s">
        <v>344</v>
      </c>
      <c r="D92" s="26" t="str">
        <f t="shared" si="4"/>
        <v>3.2.1Phon</v>
      </c>
      <c r="E92" s="26" t="s">
        <v>719</v>
      </c>
      <c r="F92" s="26" t="s">
        <v>5</v>
      </c>
      <c r="G92" s="26" t="str">
        <f t="shared" si="6"/>
        <v/>
      </c>
      <c r="H92" s="5" t="str">
        <f t="shared" si="5"/>
        <v/>
      </c>
    </row>
    <row r="93" spans="1:9" hidden="1" x14ac:dyDescent="0.25">
      <c r="B93" s="23">
        <v>1090</v>
      </c>
      <c r="C93" s="23" t="s">
        <v>345</v>
      </c>
      <c r="D93" s="24" t="str">
        <f t="shared" si="4"/>
        <v>3.2.2Viet</v>
      </c>
      <c r="E93" s="24" t="s">
        <v>532</v>
      </c>
      <c r="F93" s="24" t="s">
        <v>3</v>
      </c>
      <c r="G93" s="24" t="str">
        <f t="shared" si="6"/>
        <v/>
      </c>
      <c r="H93" s="5" t="str">
        <f t="shared" si="5"/>
        <v/>
      </c>
    </row>
    <row r="94" spans="1:9" x14ac:dyDescent="0.25">
      <c r="A94" s="1">
        <v>27</v>
      </c>
      <c r="B94" s="27">
        <v>1091</v>
      </c>
      <c r="C94" s="27" t="s">
        <v>345</v>
      </c>
      <c r="D94" s="28" t="str">
        <f t="shared" si="4"/>
        <v>3.2.2Eng</v>
      </c>
      <c r="E94" s="28" t="s">
        <v>156</v>
      </c>
      <c r="F94" s="28" t="s">
        <v>4</v>
      </c>
      <c r="G94" s="28" t="str">
        <f t="shared" si="6"/>
        <v/>
      </c>
      <c r="H94" s="5" t="str">
        <f t="shared" si="5"/>
        <v/>
      </c>
    </row>
    <row r="95" spans="1:9" hidden="1" x14ac:dyDescent="0.25">
      <c r="B95" s="25">
        <v>1092</v>
      </c>
      <c r="C95" s="25" t="s">
        <v>345</v>
      </c>
      <c r="D95" s="26" t="str">
        <f t="shared" si="4"/>
        <v>3.2.2Phon</v>
      </c>
      <c r="E95" s="26" t="s">
        <v>720</v>
      </c>
      <c r="F95" s="26" t="s">
        <v>5</v>
      </c>
      <c r="G95" s="26" t="str">
        <f t="shared" si="6"/>
        <v/>
      </c>
      <c r="H95" s="5" t="str">
        <f t="shared" si="5"/>
        <v/>
      </c>
    </row>
    <row r="96" spans="1:9" hidden="1" x14ac:dyDescent="0.25">
      <c r="B96" s="23">
        <v>1093</v>
      </c>
      <c r="C96" s="23" t="s">
        <v>346</v>
      </c>
      <c r="D96" s="24" t="str">
        <f t="shared" si="4"/>
        <v>3.2.3Viet</v>
      </c>
      <c r="E96" s="24" t="s">
        <v>533</v>
      </c>
      <c r="F96" s="24" t="s">
        <v>3</v>
      </c>
      <c r="G96" s="24" t="str">
        <f t="shared" si="6"/>
        <v/>
      </c>
      <c r="H96" s="5" t="str">
        <f t="shared" si="5"/>
        <v/>
      </c>
    </row>
    <row r="97" spans="1:9" x14ac:dyDescent="0.25">
      <c r="A97" s="1">
        <v>28</v>
      </c>
      <c r="B97" s="27">
        <v>1094</v>
      </c>
      <c r="C97" s="27" t="s">
        <v>346</v>
      </c>
      <c r="D97" s="28" t="str">
        <f t="shared" si="4"/>
        <v>3.2.3Eng</v>
      </c>
      <c r="E97" s="28" t="s">
        <v>157</v>
      </c>
      <c r="F97" s="28" t="s">
        <v>4</v>
      </c>
      <c r="G97" s="28" t="str">
        <f t="shared" si="6"/>
        <v/>
      </c>
      <c r="H97" s="5" t="str">
        <f t="shared" si="5"/>
        <v/>
      </c>
    </row>
    <row r="98" spans="1:9" hidden="1" x14ac:dyDescent="0.25">
      <c r="B98" s="25">
        <v>1095</v>
      </c>
      <c r="C98" s="25" t="s">
        <v>346</v>
      </c>
      <c r="D98" s="26" t="str">
        <f t="shared" si="4"/>
        <v>3.2.3Phon</v>
      </c>
      <c r="E98" s="26" t="s">
        <v>721</v>
      </c>
      <c r="F98" s="26" t="s">
        <v>5</v>
      </c>
      <c r="G98" s="26" t="str">
        <f t="shared" si="6"/>
        <v/>
      </c>
      <c r="H98" s="5" t="str">
        <f t="shared" si="5"/>
        <v/>
      </c>
    </row>
    <row r="99" spans="1:9" hidden="1" x14ac:dyDescent="0.25">
      <c r="B99" s="23">
        <v>1096</v>
      </c>
      <c r="C99" s="23" t="s">
        <v>347</v>
      </c>
      <c r="D99" s="24" t="str">
        <f t="shared" si="4"/>
        <v>3.2.4Viet</v>
      </c>
      <c r="E99" s="24" t="s">
        <v>534</v>
      </c>
      <c r="F99" s="24" t="s">
        <v>3</v>
      </c>
      <c r="G99" s="24" t="str">
        <f t="shared" si="6"/>
        <v/>
      </c>
      <c r="H99" s="5" t="str">
        <f t="shared" si="5"/>
        <v/>
      </c>
    </row>
    <row r="100" spans="1:9" x14ac:dyDescent="0.25">
      <c r="A100" s="1">
        <v>29</v>
      </c>
      <c r="B100" s="27">
        <v>1097</v>
      </c>
      <c r="C100" s="27" t="s">
        <v>347</v>
      </c>
      <c r="D100" s="28" t="str">
        <f t="shared" si="4"/>
        <v>3.2.4Eng</v>
      </c>
      <c r="E100" s="28" t="s">
        <v>158</v>
      </c>
      <c r="F100" s="28" t="s">
        <v>4</v>
      </c>
      <c r="G100" s="28" t="str">
        <f t="shared" si="6"/>
        <v/>
      </c>
      <c r="H100" s="5" t="str">
        <f t="shared" si="5"/>
        <v/>
      </c>
    </row>
    <row r="101" spans="1:9" hidden="1" x14ac:dyDescent="0.25">
      <c r="B101" s="25">
        <v>1098</v>
      </c>
      <c r="C101" s="25" t="s">
        <v>347</v>
      </c>
      <c r="D101" s="26" t="str">
        <f t="shared" si="4"/>
        <v>3.2.4Phon</v>
      </c>
      <c r="E101" s="26" t="s">
        <v>722</v>
      </c>
      <c r="F101" s="26" t="s">
        <v>5</v>
      </c>
      <c r="G101" s="26" t="str">
        <f t="shared" si="6"/>
        <v/>
      </c>
      <c r="H101" s="5" t="str">
        <f t="shared" si="5"/>
        <v/>
      </c>
    </row>
    <row r="102" spans="1:9" hidden="1" x14ac:dyDescent="0.25">
      <c r="B102" s="21">
        <v>1099</v>
      </c>
      <c r="C102" s="21" t="s">
        <v>20</v>
      </c>
      <c r="D102" s="22" t="str">
        <f t="shared" si="4"/>
        <v>3.3Struc</v>
      </c>
      <c r="E102" s="22" t="s">
        <v>86</v>
      </c>
      <c r="F102" s="22" t="s">
        <v>11</v>
      </c>
      <c r="G102" s="22" t="str">
        <f t="shared" si="6"/>
        <v>https://docs.google.com/uc?export=download&amp;id=1PZvoPkCwSTXGtW8yk7tpQPpxLZ_AYnlp</v>
      </c>
      <c r="H102" s="5" t="str">
        <f t="shared" si="5"/>
        <v>1PZvoPkCwSTXGtW8yk7tpQPpxLZ_AYnlp</v>
      </c>
      <c r="I102" t="s">
        <v>890</v>
      </c>
    </row>
    <row r="103" spans="1:9" hidden="1" x14ac:dyDescent="0.25">
      <c r="B103" s="23">
        <v>1100</v>
      </c>
      <c r="C103" s="23" t="s">
        <v>348</v>
      </c>
      <c r="D103" s="24" t="str">
        <f t="shared" si="4"/>
        <v>3.3.1Viet</v>
      </c>
      <c r="E103" s="24" t="s">
        <v>535</v>
      </c>
      <c r="F103" s="24" t="s">
        <v>3</v>
      </c>
      <c r="G103" s="24" t="str">
        <f t="shared" si="6"/>
        <v/>
      </c>
      <c r="H103" s="5" t="str">
        <f t="shared" si="5"/>
        <v/>
      </c>
    </row>
    <row r="104" spans="1:9" x14ac:dyDescent="0.25">
      <c r="A104" s="1">
        <v>30</v>
      </c>
      <c r="B104" s="27">
        <v>1101</v>
      </c>
      <c r="C104" s="27" t="s">
        <v>348</v>
      </c>
      <c r="D104" s="28" t="str">
        <f t="shared" si="4"/>
        <v>3.3.1Eng</v>
      </c>
      <c r="E104" s="28" t="s">
        <v>87</v>
      </c>
      <c r="F104" s="28" t="s">
        <v>4</v>
      </c>
      <c r="G104" s="28" t="str">
        <f t="shared" si="6"/>
        <v/>
      </c>
      <c r="H104" s="5" t="str">
        <f t="shared" si="5"/>
        <v/>
      </c>
    </row>
    <row r="105" spans="1:9" hidden="1" x14ac:dyDescent="0.25">
      <c r="B105" s="25">
        <v>1102</v>
      </c>
      <c r="C105" s="25" t="s">
        <v>348</v>
      </c>
      <c r="D105" s="26" t="str">
        <f t="shared" si="4"/>
        <v>3.3.1Phon</v>
      </c>
      <c r="E105" s="26" t="s">
        <v>723</v>
      </c>
      <c r="F105" s="26" t="s">
        <v>5</v>
      </c>
      <c r="G105" s="26" t="str">
        <f t="shared" si="6"/>
        <v/>
      </c>
      <c r="H105" s="5" t="str">
        <f t="shared" si="5"/>
        <v/>
      </c>
    </row>
    <row r="106" spans="1:9" hidden="1" x14ac:dyDescent="0.25">
      <c r="B106" s="23">
        <v>1103</v>
      </c>
      <c r="C106" s="23" t="s">
        <v>349</v>
      </c>
      <c r="D106" s="24" t="str">
        <f t="shared" si="4"/>
        <v>3.3.2Viet</v>
      </c>
      <c r="E106" s="24" t="s">
        <v>536</v>
      </c>
      <c r="F106" s="24" t="s">
        <v>3</v>
      </c>
      <c r="G106" s="24" t="str">
        <f t="shared" si="6"/>
        <v/>
      </c>
      <c r="H106" s="5" t="str">
        <f t="shared" si="5"/>
        <v/>
      </c>
    </row>
    <row r="107" spans="1:9" x14ac:dyDescent="0.25">
      <c r="A107" s="1">
        <v>31</v>
      </c>
      <c r="B107" s="27">
        <v>1104</v>
      </c>
      <c r="C107" s="27" t="s">
        <v>349</v>
      </c>
      <c r="D107" s="28" t="str">
        <f t="shared" si="4"/>
        <v>3.3.2Eng</v>
      </c>
      <c r="E107" s="28" t="s">
        <v>159</v>
      </c>
      <c r="F107" s="28" t="s">
        <v>4</v>
      </c>
      <c r="G107" s="28" t="str">
        <f t="shared" si="6"/>
        <v/>
      </c>
      <c r="H107" s="5" t="str">
        <f t="shared" si="5"/>
        <v/>
      </c>
    </row>
    <row r="108" spans="1:9" hidden="1" x14ac:dyDescent="0.25">
      <c r="B108" s="25">
        <v>1105</v>
      </c>
      <c r="C108" s="25" t="s">
        <v>349</v>
      </c>
      <c r="D108" s="26" t="str">
        <f t="shared" si="4"/>
        <v>3.3.2Phon</v>
      </c>
      <c r="E108" s="26" t="s">
        <v>724</v>
      </c>
      <c r="F108" s="26" t="s">
        <v>5</v>
      </c>
      <c r="G108" s="26" t="str">
        <f t="shared" si="6"/>
        <v/>
      </c>
      <c r="H108" s="5" t="str">
        <f t="shared" si="5"/>
        <v/>
      </c>
    </row>
    <row r="109" spans="1:9" hidden="1" x14ac:dyDescent="0.25">
      <c r="B109" s="23">
        <v>1106</v>
      </c>
      <c r="C109" s="23" t="s">
        <v>350</v>
      </c>
      <c r="D109" s="24" t="str">
        <f t="shared" si="4"/>
        <v>3.3.3Viet</v>
      </c>
      <c r="E109" s="24" t="s">
        <v>537</v>
      </c>
      <c r="F109" s="24" t="s">
        <v>3</v>
      </c>
      <c r="G109" s="24" t="str">
        <f t="shared" si="6"/>
        <v/>
      </c>
      <c r="H109" s="5" t="str">
        <f t="shared" si="5"/>
        <v/>
      </c>
    </row>
    <row r="110" spans="1:9" x14ac:dyDescent="0.25">
      <c r="A110" s="1">
        <v>32</v>
      </c>
      <c r="B110" s="27">
        <v>1107</v>
      </c>
      <c r="C110" s="27" t="s">
        <v>350</v>
      </c>
      <c r="D110" s="28" t="str">
        <f t="shared" si="4"/>
        <v>3.3.3Eng</v>
      </c>
      <c r="E110" s="28" t="s">
        <v>160</v>
      </c>
      <c r="F110" s="28" t="s">
        <v>4</v>
      </c>
      <c r="G110" s="28" t="str">
        <f t="shared" si="6"/>
        <v/>
      </c>
      <c r="H110" s="5" t="str">
        <f t="shared" si="5"/>
        <v/>
      </c>
    </row>
    <row r="111" spans="1:9" hidden="1" x14ac:dyDescent="0.25">
      <c r="B111" s="25">
        <v>1108</v>
      </c>
      <c r="C111" s="25" t="s">
        <v>350</v>
      </c>
      <c r="D111" s="26" t="str">
        <f t="shared" si="4"/>
        <v>3.3.3Phon</v>
      </c>
      <c r="E111" s="26" t="s">
        <v>725</v>
      </c>
      <c r="F111" s="26" t="s">
        <v>5</v>
      </c>
      <c r="G111" s="26" t="str">
        <f t="shared" si="6"/>
        <v/>
      </c>
      <c r="H111" s="5" t="str">
        <f t="shared" si="5"/>
        <v/>
      </c>
    </row>
    <row r="112" spans="1:9" hidden="1" x14ac:dyDescent="0.25">
      <c r="B112" s="23">
        <v>1109</v>
      </c>
      <c r="C112" s="23" t="s">
        <v>351</v>
      </c>
      <c r="D112" s="24" t="str">
        <f t="shared" si="4"/>
        <v>3.3.4Viet</v>
      </c>
      <c r="E112" s="24" t="s">
        <v>538</v>
      </c>
      <c r="F112" s="24" t="s">
        <v>3</v>
      </c>
      <c r="G112" s="24" t="str">
        <f t="shared" si="6"/>
        <v/>
      </c>
      <c r="H112" s="5" t="str">
        <f t="shared" si="5"/>
        <v/>
      </c>
    </row>
    <row r="113" spans="1:9" x14ac:dyDescent="0.25">
      <c r="A113" s="1">
        <v>33</v>
      </c>
      <c r="B113" s="27">
        <v>1110</v>
      </c>
      <c r="C113" s="27" t="s">
        <v>351</v>
      </c>
      <c r="D113" s="28" t="str">
        <f t="shared" si="4"/>
        <v>3.3.4Eng</v>
      </c>
      <c r="E113" s="28" t="s">
        <v>161</v>
      </c>
      <c r="F113" s="28" t="s">
        <v>4</v>
      </c>
      <c r="G113" s="28" t="str">
        <f t="shared" si="6"/>
        <v/>
      </c>
      <c r="H113" s="5" t="str">
        <f t="shared" si="5"/>
        <v/>
      </c>
    </row>
    <row r="114" spans="1:9" hidden="1" x14ac:dyDescent="0.25">
      <c r="B114" s="25">
        <v>1111</v>
      </c>
      <c r="C114" s="25" t="s">
        <v>351</v>
      </c>
      <c r="D114" s="26" t="str">
        <f t="shared" si="4"/>
        <v>3.3.4Phon</v>
      </c>
      <c r="E114" s="26" t="s">
        <v>726</v>
      </c>
      <c r="F114" s="26" t="s">
        <v>5</v>
      </c>
      <c r="G114" s="26" t="str">
        <f t="shared" si="6"/>
        <v/>
      </c>
      <c r="H114" s="5" t="str">
        <f t="shared" si="5"/>
        <v/>
      </c>
    </row>
    <row r="115" spans="1:9" hidden="1" x14ac:dyDescent="0.25">
      <c r="B115" s="19">
        <v>1112</v>
      </c>
      <c r="C115" s="19">
        <v>4</v>
      </c>
      <c r="D115" s="20" t="str">
        <f t="shared" si="4"/>
        <v>4Struc0</v>
      </c>
      <c r="E115" s="20" t="s">
        <v>262</v>
      </c>
      <c r="F115" s="20" t="s">
        <v>502</v>
      </c>
      <c r="G115" s="20" t="str">
        <f t="shared" si="6"/>
        <v/>
      </c>
      <c r="H115" s="5" t="str">
        <f t="shared" si="5"/>
        <v/>
      </c>
    </row>
    <row r="116" spans="1:9" hidden="1" x14ac:dyDescent="0.25">
      <c r="B116" s="21">
        <v>1113</v>
      </c>
      <c r="C116" s="21" t="s">
        <v>21</v>
      </c>
      <c r="D116" s="22" t="str">
        <f t="shared" si="4"/>
        <v>4.1Struc</v>
      </c>
      <c r="E116" s="22" t="s">
        <v>281</v>
      </c>
      <c r="F116" s="22" t="s">
        <v>11</v>
      </c>
      <c r="G116" s="22" t="str">
        <f t="shared" si="6"/>
        <v>https://docs.google.com/uc?export=download&amp;id=1kTRBI5veGhwfVjZ3DXanH27KI38j0kpL</v>
      </c>
      <c r="H116" s="5" t="str">
        <f t="shared" si="5"/>
        <v>1kTRBI5veGhwfVjZ3DXanH27KI38j0kpL</v>
      </c>
      <c r="I116" t="s">
        <v>891</v>
      </c>
    </row>
    <row r="117" spans="1:9" hidden="1" x14ac:dyDescent="0.25">
      <c r="B117" s="23">
        <v>1114</v>
      </c>
      <c r="C117" s="23" t="s">
        <v>352</v>
      </c>
      <c r="D117" s="24" t="str">
        <f t="shared" si="4"/>
        <v>4.1.1Viet</v>
      </c>
      <c r="E117" s="24" t="s">
        <v>539</v>
      </c>
      <c r="F117" s="24" t="s">
        <v>3</v>
      </c>
      <c r="G117" s="24" t="str">
        <f t="shared" si="6"/>
        <v/>
      </c>
      <c r="H117" s="5" t="str">
        <f t="shared" si="5"/>
        <v/>
      </c>
    </row>
    <row r="118" spans="1:9" x14ac:dyDescent="0.25">
      <c r="A118" s="1">
        <v>34</v>
      </c>
      <c r="B118" s="27">
        <v>1115</v>
      </c>
      <c r="C118" s="27" t="s">
        <v>352</v>
      </c>
      <c r="D118" s="28" t="str">
        <f t="shared" si="4"/>
        <v>4.1.1Eng</v>
      </c>
      <c r="E118" s="28" t="s">
        <v>88</v>
      </c>
      <c r="F118" s="28" t="s">
        <v>4</v>
      </c>
      <c r="G118" s="28" t="str">
        <f t="shared" si="6"/>
        <v/>
      </c>
      <c r="H118" s="5" t="str">
        <f t="shared" si="5"/>
        <v/>
      </c>
    </row>
    <row r="119" spans="1:9" hidden="1" x14ac:dyDescent="0.25">
      <c r="B119" s="25">
        <v>1116</v>
      </c>
      <c r="C119" s="25" t="s">
        <v>352</v>
      </c>
      <c r="D119" s="26" t="str">
        <f t="shared" si="4"/>
        <v>4.1.1Phon</v>
      </c>
      <c r="E119" s="26" t="s">
        <v>727</v>
      </c>
      <c r="F119" s="26" t="s">
        <v>5</v>
      </c>
      <c r="G119" s="26" t="str">
        <f t="shared" si="6"/>
        <v/>
      </c>
      <c r="H119" s="5" t="str">
        <f t="shared" si="5"/>
        <v/>
      </c>
    </row>
    <row r="120" spans="1:9" hidden="1" x14ac:dyDescent="0.25">
      <c r="B120" s="23">
        <v>1117</v>
      </c>
      <c r="C120" s="23" t="s">
        <v>353</v>
      </c>
      <c r="D120" s="24" t="str">
        <f t="shared" si="4"/>
        <v>4.1.2Viet</v>
      </c>
      <c r="E120" s="24" t="s">
        <v>540</v>
      </c>
      <c r="F120" s="24" t="s">
        <v>3</v>
      </c>
      <c r="G120" s="24" t="str">
        <f t="shared" si="6"/>
        <v/>
      </c>
      <c r="H120" s="5" t="str">
        <f t="shared" si="5"/>
        <v/>
      </c>
    </row>
    <row r="121" spans="1:9" x14ac:dyDescent="0.25">
      <c r="A121" s="1">
        <v>35</v>
      </c>
      <c r="B121" s="27">
        <v>1118</v>
      </c>
      <c r="C121" s="27" t="s">
        <v>353</v>
      </c>
      <c r="D121" s="28" t="str">
        <f t="shared" si="4"/>
        <v>4.1.2Eng</v>
      </c>
      <c r="E121" s="28" t="s">
        <v>162</v>
      </c>
      <c r="F121" s="28" t="s">
        <v>4</v>
      </c>
      <c r="G121" s="28" t="str">
        <f t="shared" si="6"/>
        <v/>
      </c>
      <c r="H121" s="5" t="str">
        <f t="shared" si="5"/>
        <v/>
      </c>
    </row>
    <row r="122" spans="1:9" hidden="1" x14ac:dyDescent="0.25">
      <c r="B122" s="25">
        <v>1119</v>
      </c>
      <c r="C122" s="25" t="s">
        <v>353</v>
      </c>
      <c r="D122" s="26" t="str">
        <f t="shared" si="4"/>
        <v>4.1.2Phon</v>
      </c>
      <c r="E122" s="26" t="s">
        <v>728</v>
      </c>
      <c r="F122" s="26" t="s">
        <v>5</v>
      </c>
      <c r="G122" s="26" t="str">
        <f t="shared" si="6"/>
        <v/>
      </c>
      <c r="H122" s="5" t="str">
        <f t="shared" si="5"/>
        <v/>
      </c>
    </row>
    <row r="123" spans="1:9" hidden="1" x14ac:dyDescent="0.25">
      <c r="B123" s="23">
        <v>1120</v>
      </c>
      <c r="C123" s="23" t="s">
        <v>354</v>
      </c>
      <c r="D123" s="24" t="str">
        <f t="shared" si="4"/>
        <v>4.1.3Viet</v>
      </c>
      <c r="E123" s="24" t="s">
        <v>541</v>
      </c>
      <c r="F123" s="24" t="s">
        <v>3</v>
      </c>
      <c r="G123" s="24" t="str">
        <f t="shared" si="6"/>
        <v/>
      </c>
      <c r="H123" s="5" t="str">
        <f t="shared" si="5"/>
        <v/>
      </c>
    </row>
    <row r="124" spans="1:9" x14ac:dyDescent="0.25">
      <c r="A124" s="1">
        <v>36</v>
      </c>
      <c r="B124" s="27">
        <v>1121</v>
      </c>
      <c r="C124" s="27" t="s">
        <v>354</v>
      </c>
      <c r="D124" s="28" t="str">
        <f t="shared" si="4"/>
        <v>4.1.3Eng</v>
      </c>
      <c r="E124" s="28" t="s">
        <v>89</v>
      </c>
      <c r="F124" s="28" t="s">
        <v>4</v>
      </c>
      <c r="G124" s="28" t="str">
        <f t="shared" si="6"/>
        <v/>
      </c>
      <c r="H124" s="5" t="str">
        <f t="shared" si="5"/>
        <v/>
      </c>
    </row>
    <row r="125" spans="1:9" hidden="1" x14ac:dyDescent="0.25">
      <c r="B125" s="25">
        <v>1122</v>
      </c>
      <c r="C125" s="25" t="s">
        <v>354</v>
      </c>
      <c r="D125" s="26" t="str">
        <f t="shared" si="4"/>
        <v>4.1.3Phon</v>
      </c>
      <c r="E125" s="26" t="s">
        <v>729</v>
      </c>
      <c r="F125" s="26" t="s">
        <v>5</v>
      </c>
      <c r="G125" s="26" t="str">
        <f t="shared" si="6"/>
        <v/>
      </c>
      <c r="H125" s="5" t="str">
        <f t="shared" si="5"/>
        <v/>
      </c>
    </row>
    <row r="126" spans="1:9" hidden="1" x14ac:dyDescent="0.25">
      <c r="B126" s="21">
        <v>1123</v>
      </c>
      <c r="C126" s="21" t="s">
        <v>22</v>
      </c>
      <c r="D126" s="22" t="str">
        <f t="shared" si="4"/>
        <v>4.2Struc</v>
      </c>
      <c r="E126" s="22" t="s">
        <v>282</v>
      </c>
      <c r="F126" s="22" t="s">
        <v>11</v>
      </c>
      <c r="G126" s="22" t="str">
        <f t="shared" si="6"/>
        <v>https://docs.google.com/uc?export=download&amp;id=1KcBE-kkzTL35Xg7J4_ZhbT08_d43HD5h</v>
      </c>
      <c r="H126" s="5" t="str">
        <f t="shared" si="5"/>
        <v>1KcBE-kkzTL35Xg7J4_ZhbT08_d43HD5h</v>
      </c>
      <c r="I126" t="s">
        <v>892</v>
      </c>
    </row>
    <row r="127" spans="1:9" hidden="1" x14ac:dyDescent="0.25">
      <c r="B127" s="23">
        <v>1124</v>
      </c>
      <c r="C127" s="23" t="s">
        <v>355</v>
      </c>
      <c r="D127" s="24" t="str">
        <f t="shared" si="4"/>
        <v>4.2.1Viet</v>
      </c>
      <c r="E127" s="24" t="s">
        <v>542</v>
      </c>
      <c r="F127" s="24" t="s">
        <v>3</v>
      </c>
      <c r="G127" s="24" t="str">
        <f t="shared" si="6"/>
        <v/>
      </c>
      <c r="H127" s="5" t="str">
        <f t="shared" si="5"/>
        <v/>
      </c>
    </row>
    <row r="128" spans="1:9" x14ac:dyDescent="0.25">
      <c r="A128" s="1">
        <v>37</v>
      </c>
      <c r="B128" s="27">
        <v>1125</v>
      </c>
      <c r="C128" s="27" t="s">
        <v>355</v>
      </c>
      <c r="D128" s="28" t="str">
        <f t="shared" si="4"/>
        <v>4.2.1Eng</v>
      </c>
      <c r="E128" s="28" t="s">
        <v>163</v>
      </c>
      <c r="F128" s="28" t="s">
        <v>4</v>
      </c>
      <c r="G128" s="28" t="str">
        <f t="shared" si="6"/>
        <v/>
      </c>
      <c r="H128" s="5" t="str">
        <f t="shared" si="5"/>
        <v/>
      </c>
    </row>
    <row r="129" spans="1:9" hidden="1" x14ac:dyDescent="0.25">
      <c r="B129" s="25">
        <v>1126</v>
      </c>
      <c r="C129" s="25" t="s">
        <v>355</v>
      </c>
      <c r="D129" s="26" t="str">
        <f t="shared" si="4"/>
        <v>4.2.1Phon</v>
      </c>
      <c r="E129" s="26" t="s">
        <v>730</v>
      </c>
      <c r="F129" s="26" t="s">
        <v>5</v>
      </c>
      <c r="G129" s="26" t="str">
        <f t="shared" si="6"/>
        <v/>
      </c>
      <c r="H129" s="5" t="str">
        <f t="shared" si="5"/>
        <v/>
      </c>
    </row>
    <row r="130" spans="1:9" hidden="1" x14ac:dyDescent="0.25">
      <c r="B130" s="23">
        <v>1127</v>
      </c>
      <c r="C130" s="23" t="s">
        <v>356</v>
      </c>
      <c r="D130" s="24" t="str">
        <f t="shared" si="4"/>
        <v>4.2.2Viet</v>
      </c>
      <c r="E130" s="24" t="s">
        <v>543</v>
      </c>
      <c r="F130" s="24" t="s">
        <v>3</v>
      </c>
      <c r="G130" s="24" t="str">
        <f t="shared" si="6"/>
        <v/>
      </c>
      <c r="H130" s="5" t="str">
        <f t="shared" si="5"/>
        <v/>
      </c>
    </row>
    <row r="131" spans="1:9" x14ac:dyDescent="0.25">
      <c r="A131" s="1">
        <v>38</v>
      </c>
      <c r="B131" s="27">
        <v>1128</v>
      </c>
      <c r="C131" s="27" t="s">
        <v>356</v>
      </c>
      <c r="D131" s="28" t="str">
        <f t="shared" si="4"/>
        <v>4.2.2Eng</v>
      </c>
      <c r="E131" s="28" t="s">
        <v>164</v>
      </c>
      <c r="F131" s="28" t="s">
        <v>4</v>
      </c>
      <c r="G131" s="28" t="str">
        <f t="shared" si="6"/>
        <v/>
      </c>
      <c r="H131" s="5" t="str">
        <f t="shared" si="5"/>
        <v/>
      </c>
    </row>
    <row r="132" spans="1:9" hidden="1" x14ac:dyDescent="0.25">
      <c r="B132" s="25">
        <v>1129</v>
      </c>
      <c r="C132" s="25" t="s">
        <v>356</v>
      </c>
      <c r="D132" s="26" t="str">
        <f t="shared" ref="D132:D195" si="7">C132&amp;F132</f>
        <v>4.2.2Phon</v>
      </c>
      <c r="E132" s="26" t="s">
        <v>731</v>
      </c>
      <c r="F132" s="26" t="s">
        <v>5</v>
      </c>
      <c r="G132" s="26" t="str">
        <f t="shared" si="6"/>
        <v/>
      </c>
      <c r="H132" s="5" t="str">
        <f t="shared" si="5"/>
        <v/>
      </c>
    </row>
    <row r="133" spans="1:9" hidden="1" x14ac:dyDescent="0.25">
      <c r="B133" s="23">
        <v>1130</v>
      </c>
      <c r="C133" s="23" t="s">
        <v>357</v>
      </c>
      <c r="D133" s="24" t="str">
        <f t="shared" si="7"/>
        <v>4.2.3Viet</v>
      </c>
      <c r="E133" s="24" t="s">
        <v>544</v>
      </c>
      <c r="F133" s="24" t="s">
        <v>3</v>
      </c>
      <c r="G133" s="24" t="str">
        <f t="shared" si="6"/>
        <v/>
      </c>
      <c r="H133" s="5" t="str">
        <f t="shared" ref="H133:H197" si="8">IFERROR(LEFT(RIGHT(I133,LEN(I133)-32),LEN(RIGHT(I133,LEN(I133)-32))-17),"")</f>
        <v/>
      </c>
    </row>
    <row r="134" spans="1:9" x14ac:dyDescent="0.25">
      <c r="A134" s="1">
        <v>39</v>
      </c>
      <c r="B134" s="27">
        <v>1131</v>
      </c>
      <c r="C134" s="27" t="s">
        <v>357</v>
      </c>
      <c r="D134" s="28" t="str">
        <f t="shared" si="7"/>
        <v>4.2.3Eng</v>
      </c>
      <c r="E134" s="28" t="s">
        <v>165</v>
      </c>
      <c r="F134" s="28" t="s">
        <v>4</v>
      </c>
      <c r="G134" s="28" t="str">
        <f t="shared" si="6"/>
        <v/>
      </c>
      <c r="H134" s="5" t="str">
        <f t="shared" si="8"/>
        <v/>
      </c>
    </row>
    <row r="135" spans="1:9" hidden="1" x14ac:dyDescent="0.25">
      <c r="B135" s="25">
        <v>1132</v>
      </c>
      <c r="C135" s="25" t="s">
        <v>357</v>
      </c>
      <c r="D135" s="26" t="str">
        <f t="shared" si="7"/>
        <v>4.2.3Phon</v>
      </c>
      <c r="E135" s="26" t="s">
        <v>732</v>
      </c>
      <c r="F135" s="26" t="s">
        <v>5</v>
      </c>
      <c r="G135" s="26" t="str">
        <f t="shared" si="6"/>
        <v/>
      </c>
      <c r="H135" s="5" t="str">
        <f t="shared" si="8"/>
        <v/>
      </c>
    </row>
    <row r="136" spans="1:9" hidden="1" x14ac:dyDescent="0.25">
      <c r="B136" s="21">
        <v>1133</v>
      </c>
      <c r="C136" s="21" t="s">
        <v>23</v>
      </c>
      <c r="D136" s="22" t="str">
        <f t="shared" si="7"/>
        <v>4.3Struc</v>
      </c>
      <c r="E136" s="22" t="s">
        <v>283</v>
      </c>
      <c r="F136" s="22" t="s">
        <v>11</v>
      </c>
      <c r="G136" s="22" t="str">
        <f t="shared" ref="G136:G200" si="9">IF(H136="","","https://docs.google.com/uc?export=download&amp;id="&amp;H136)</f>
        <v>https://docs.google.com/uc?export=download&amp;id=17ZeSeQBZ_WKwutAm_Kpd1dx5v8g7MLiK</v>
      </c>
      <c r="H136" s="5" t="str">
        <f t="shared" si="8"/>
        <v>17ZeSeQBZ_WKwutAm_Kpd1dx5v8g7MLiK</v>
      </c>
      <c r="I136" t="s">
        <v>893</v>
      </c>
    </row>
    <row r="137" spans="1:9" hidden="1" x14ac:dyDescent="0.25">
      <c r="B137" s="23">
        <v>1134</v>
      </c>
      <c r="C137" s="23" t="s">
        <v>358</v>
      </c>
      <c r="D137" s="24" t="str">
        <f t="shared" si="7"/>
        <v>4.3.1Viet</v>
      </c>
      <c r="E137" s="24" t="s">
        <v>545</v>
      </c>
      <c r="F137" s="24" t="s">
        <v>3</v>
      </c>
      <c r="G137" s="24" t="str">
        <f t="shared" si="9"/>
        <v/>
      </c>
      <c r="H137" s="5" t="str">
        <f t="shared" si="8"/>
        <v/>
      </c>
    </row>
    <row r="138" spans="1:9" x14ac:dyDescent="0.25">
      <c r="A138" s="1">
        <v>40</v>
      </c>
      <c r="B138" s="27">
        <v>1135</v>
      </c>
      <c r="C138" s="27" t="s">
        <v>358</v>
      </c>
      <c r="D138" s="28" t="str">
        <f t="shared" si="7"/>
        <v>4.3.1Eng</v>
      </c>
      <c r="E138" s="28" t="s">
        <v>90</v>
      </c>
      <c r="F138" s="28" t="s">
        <v>4</v>
      </c>
      <c r="G138" s="28" t="str">
        <f t="shared" si="9"/>
        <v/>
      </c>
      <c r="H138" s="5" t="str">
        <f t="shared" si="8"/>
        <v/>
      </c>
    </row>
    <row r="139" spans="1:9" hidden="1" x14ac:dyDescent="0.25">
      <c r="B139" s="25">
        <v>1136</v>
      </c>
      <c r="C139" s="25" t="s">
        <v>358</v>
      </c>
      <c r="D139" s="26" t="str">
        <f t="shared" si="7"/>
        <v>4.3.1Phon</v>
      </c>
      <c r="E139" s="26" t="s">
        <v>733</v>
      </c>
      <c r="F139" s="26" t="s">
        <v>5</v>
      </c>
      <c r="G139" s="26" t="str">
        <f t="shared" si="9"/>
        <v/>
      </c>
      <c r="H139" s="5" t="str">
        <f t="shared" si="8"/>
        <v/>
      </c>
    </row>
    <row r="140" spans="1:9" hidden="1" x14ac:dyDescent="0.25">
      <c r="B140" s="23">
        <v>1137</v>
      </c>
      <c r="C140" s="23" t="s">
        <v>359</v>
      </c>
      <c r="D140" s="24" t="str">
        <f t="shared" si="7"/>
        <v>4.3.2Viet</v>
      </c>
      <c r="E140" s="24" t="s">
        <v>546</v>
      </c>
      <c r="F140" s="24" t="s">
        <v>3</v>
      </c>
      <c r="G140" s="24" t="str">
        <f t="shared" si="9"/>
        <v/>
      </c>
      <c r="H140" s="5" t="str">
        <f t="shared" si="8"/>
        <v/>
      </c>
    </row>
    <row r="141" spans="1:9" x14ac:dyDescent="0.25">
      <c r="A141" s="1">
        <v>41</v>
      </c>
      <c r="B141" s="27">
        <v>1138</v>
      </c>
      <c r="C141" s="27" t="s">
        <v>359</v>
      </c>
      <c r="D141" s="28" t="str">
        <f t="shared" si="7"/>
        <v>4.3.2Eng</v>
      </c>
      <c r="E141" s="28" t="s">
        <v>166</v>
      </c>
      <c r="F141" s="28" t="s">
        <v>4</v>
      </c>
      <c r="G141" s="28" t="str">
        <f t="shared" si="9"/>
        <v/>
      </c>
      <c r="H141" s="5" t="str">
        <f t="shared" si="8"/>
        <v/>
      </c>
    </row>
    <row r="142" spans="1:9" hidden="1" x14ac:dyDescent="0.25">
      <c r="B142" s="25">
        <v>1139</v>
      </c>
      <c r="C142" s="25" t="s">
        <v>359</v>
      </c>
      <c r="D142" s="26" t="str">
        <f t="shared" si="7"/>
        <v>4.3.2Phon</v>
      </c>
      <c r="E142" s="26" t="s">
        <v>734</v>
      </c>
      <c r="F142" s="26" t="s">
        <v>5</v>
      </c>
      <c r="G142" s="26" t="str">
        <f t="shared" si="9"/>
        <v/>
      </c>
      <c r="H142" s="5" t="str">
        <f t="shared" si="8"/>
        <v/>
      </c>
    </row>
    <row r="143" spans="1:9" hidden="1" x14ac:dyDescent="0.25">
      <c r="B143" s="23">
        <v>1140</v>
      </c>
      <c r="C143" s="23" t="s">
        <v>360</v>
      </c>
      <c r="D143" s="24" t="str">
        <f t="shared" si="7"/>
        <v>4.3.3Viet</v>
      </c>
      <c r="E143" s="24" t="s">
        <v>547</v>
      </c>
      <c r="F143" s="24" t="s">
        <v>3</v>
      </c>
      <c r="G143" s="24" t="str">
        <f t="shared" si="9"/>
        <v/>
      </c>
      <c r="H143" s="5" t="str">
        <f t="shared" si="8"/>
        <v/>
      </c>
    </row>
    <row r="144" spans="1:9" x14ac:dyDescent="0.25">
      <c r="A144" s="1">
        <v>42</v>
      </c>
      <c r="B144" s="27">
        <v>1141</v>
      </c>
      <c r="C144" s="27" t="s">
        <v>360</v>
      </c>
      <c r="D144" s="28" t="str">
        <f t="shared" si="7"/>
        <v>4.3.3Eng</v>
      </c>
      <c r="E144" s="28" t="s">
        <v>167</v>
      </c>
      <c r="F144" s="28" t="s">
        <v>4</v>
      </c>
      <c r="G144" s="28" t="str">
        <f t="shared" si="9"/>
        <v/>
      </c>
      <c r="H144" s="5" t="str">
        <f t="shared" si="8"/>
        <v/>
      </c>
    </row>
    <row r="145" spans="1:9" hidden="1" x14ac:dyDescent="0.25">
      <c r="B145" s="25">
        <v>1142</v>
      </c>
      <c r="C145" s="25" t="s">
        <v>360</v>
      </c>
      <c r="D145" s="26" t="str">
        <f t="shared" si="7"/>
        <v>4.3.3Phon</v>
      </c>
      <c r="E145" s="26" t="s">
        <v>735</v>
      </c>
      <c r="F145" s="26" t="s">
        <v>5</v>
      </c>
      <c r="G145" s="26" t="str">
        <f t="shared" si="9"/>
        <v/>
      </c>
      <c r="H145" s="5" t="str">
        <f t="shared" si="8"/>
        <v/>
      </c>
    </row>
    <row r="146" spans="1:9" hidden="1" x14ac:dyDescent="0.25">
      <c r="B146" s="19">
        <v>1143</v>
      </c>
      <c r="C146" s="19">
        <v>5</v>
      </c>
      <c r="D146" s="20" t="str">
        <f t="shared" si="7"/>
        <v>5Struc0</v>
      </c>
      <c r="E146" s="20" t="s">
        <v>263</v>
      </c>
      <c r="F146" s="20" t="s">
        <v>502</v>
      </c>
      <c r="G146" s="20" t="str">
        <f t="shared" si="9"/>
        <v/>
      </c>
      <c r="H146" s="5" t="str">
        <f t="shared" si="8"/>
        <v/>
      </c>
    </row>
    <row r="147" spans="1:9" hidden="1" x14ac:dyDescent="0.25">
      <c r="B147" s="21">
        <v>1144</v>
      </c>
      <c r="C147" s="21" t="s">
        <v>24</v>
      </c>
      <c r="D147" s="22" t="str">
        <f t="shared" si="7"/>
        <v>5.1Struc</v>
      </c>
      <c r="E147" s="22" t="s">
        <v>263</v>
      </c>
      <c r="F147" s="22" t="s">
        <v>11</v>
      </c>
      <c r="G147" s="22" t="str">
        <f t="shared" si="9"/>
        <v>https://docs.google.com/uc?export=download&amp;id=1QLFtM_F_2h5TcmxYjlbslESmLpkCt4N5</v>
      </c>
      <c r="H147" s="5" t="str">
        <f t="shared" si="8"/>
        <v>1QLFtM_F_2h5TcmxYjlbslESmLpkCt4N5</v>
      </c>
      <c r="I147" t="s">
        <v>894</v>
      </c>
    </row>
    <row r="148" spans="1:9" hidden="1" x14ac:dyDescent="0.25">
      <c r="B148" s="23">
        <v>1145</v>
      </c>
      <c r="C148" s="23" t="s">
        <v>361</v>
      </c>
      <c r="D148" s="24" t="str">
        <f t="shared" si="7"/>
        <v>5.1.1Viet</v>
      </c>
      <c r="E148" s="24" t="s">
        <v>548</v>
      </c>
      <c r="F148" s="24" t="s">
        <v>3</v>
      </c>
      <c r="G148" s="24" t="str">
        <f t="shared" si="9"/>
        <v/>
      </c>
      <c r="H148" s="5" t="str">
        <f t="shared" si="8"/>
        <v/>
      </c>
    </row>
    <row r="149" spans="1:9" x14ac:dyDescent="0.25">
      <c r="A149" s="1">
        <v>43</v>
      </c>
      <c r="B149" s="27">
        <v>1146</v>
      </c>
      <c r="C149" s="27" t="s">
        <v>361</v>
      </c>
      <c r="D149" s="28" t="str">
        <f t="shared" si="7"/>
        <v>5.1.1Eng</v>
      </c>
      <c r="E149" s="28" t="s">
        <v>168</v>
      </c>
      <c r="F149" s="28" t="s">
        <v>4</v>
      </c>
      <c r="G149" s="28" t="str">
        <f t="shared" si="9"/>
        <v/>
      </c>
      <c r="H149" s="5" t="str">
        <f t="shared" si="8"/>
        <v/>
      </c>
    </row>
    <row r="150" spans="1:9" hidden="1" x14ac:dyDescent="0.25">
      <c r="B150" s="25">
        <v>1147</v>
      </c>
      <c r="C150" s="25" t="s">
        <v>361</v>
      </c>
      <c r="D150" s="26" t="str">
        <f t="shared" si="7"/>
        <v>5.1.1Phon</v>
      </c>
      <c r="E150" s="26" t="s">
        <v>736</v>
      </c>
      <c r="F150" s="26" t="s">
        <v>5</v>
      </c>
      <c r="G150" s="26" t="str">
        <f t="shared" si="9"/>
        <v/>
      </c>
      <c r="H150" s="5" t="str">
        <f t="shared" si="8"/>
        <v/>
      </c>
    </row>
    <row r="151" spans="1:9" hidden="1" x14ac:dyDescent="0.25">
      <c r="B151" s="23">
        <v>1148</v>
      </c>
      <c r="C151" s="23" t="s">
        <v>362</v>
      </c>
      <c r="D151" s="24" t="str">
        <f t="shared" si="7"/>
        <v>5.1.2Viet</v>
      </c>
      <c r="E151" s="24" t="s">
        <v>549</v>
      </c>
      <c r="F151" s="24" t="s">
        <v>3</v>
      </c>
      <c r="G151" s="24" t="str">
        <f t="shared" si="9"/>
        <v/>
      </c>
      <c r="H151" s="5" t="str">
        <f t="shared" si="8"/>
        <v/>
      </c>
    </row>
    <row r="152" spans="1:9" x14ac:dyDescent="0.25">
      <c r="A152" s="1">
        <v>44</v>
      </c>
      <c r="B152" s="27">
        <v>1149</v>
      </c>
      <c r="C152" s="27" t="s">
        <v>362</v>
      </c>
      <c r="D152" s="28" t="str">
        <f t="shared" si="7"/>
        <v>5.1.2Eng</v>
      </c>
      <c r="E152" s="28" t="s">
        <v>169</v>
      </c>
      <c r="F152" s="28" t="s">
        <v>4</v>
      </c>
      <c r="G152" s="28" t="str">
        <f t="shared" si="9"/>
        <v/>
      </c>
      <c r="H152" s="5" t="str">
        <f t="shared" si="8"/>
        <v/>
      </c>
    </row>
    <row r="153" spans="1:9" hidden="1" x14ac:dyDescent="0.25">
      <c r="B153" s="25">
        <v>1150</v>
      </c>
      <c r="C153" s="25" t="s">
        <v>362</v>
      </c>
      <c r="D153" s="26" t="str">
        <f t="shared" si="7"/>
        <v>5.1.2Phon</v>
      </c>
      <c r="E153" s="26" t="s">
        <v>737</v>
      </c>
      <c r="F153" s="26" t="s">
        <v>5</v>
      </c>
      <c r="G153" s="26" t="str">
        <f t="shared" si="9"/>
        <v/>
      </c>
      <c r="H153" s="5" t="str">
        <f t="shared" si="8"/>
        <v/>
      </c>
    </row>
    <row r="154" spans="1:9" hidden="1" x14ac:dyDescent="0.25">
      <c r="B154" s="23">
        <v>1151</v>
      </c>
      <c r="C154" s="23" t="s">
        <v>363</v>
      </c>
      <c r="D154" s="24" t="str">
        <f t="shared" si="7"/>
        <v>5.1.3Viet</v>
      </c>
      <c r="E154" s="24" t="s">
        <v>550</v>
      </c>
      <c r="F154" s="24" t="s">
        <v>3</v>
      </c>
      <c r="G154" s="24" t="str">
        <f t="shared" si="9"/>
        <v/>
      </c>
      <c r="H154" s="5" t="str">
        <f t="shared" si="8"/>
        <v/>
      </c>
    </row>
    <row r="155" spans="1:9" x14ac:dyDescent="0.25">
      <c r="A155" s="1">
        <v>45</v>
      </c>
      <c r="B155" s="27">
        <v>1152</v>
      </c>
      <c r="C155" s="27" t="s">
        <v>363</v>
      </c>
      <c r="D155" s="28" t="str">
        <f t="shared" si="7"/>
        <v>5.1.3Eng</v>
      </c>
      <c r="E155" s="28" t="s">
        <v>170</v>
      </c>
      <c r="F155" s="28" t="s">
        <v>4</v>
      </c>
      <c r="G155" s="28" t="str">
        <f t="shared" si="9"/>
        <v/>
      </c>
      <c r="H155" s="5" t="str">
        <f t="shared" si="8"/>
        <v/>
      </c>
    </row>
    <row r="156" spans="1:9" hidden="1" x14ac:dyDescent="0.25">
      <c r="B156" s="25">
        <v>1153</v>
      </c>
      <c r="C156" s="25" t="s">
        <v>363</v>
      </c>
      <c r="D156" s="26" t="str">
        <f t="shared" si="7"/>
        <v>5.1.3Phon</v>
      </c>
      <c r="E156" s="26" t="s">
        <v>738</v>
      </c>
      <c r="F156" s="26" t="s">
        <v>5</v>
      </c>
      <c r="G156" s="26" t="str">
        <f t="shared" si="9"/>
        <v/>
      </c>
      <c r="H156" s="5" t="str">
        <f t="shared" si="8"/>
        <v/>
      </c>
    </row>
    <row r="157" spans="1:9" hidden="1" x14ac:dyDescent="0.25">
      <c r="B157" s="21">
        <v>1154</v>
      </c>
      <c r="C157" s="21" t="s">
        <v>25</v>
      </c>
      <c r="D157" s="22" t="str">
        <f t="shared" si="7"/>
        <v>5.2Struc</v>
      </c>
      <c r="E157" s="22" t="s">
        <v>284</v>
      </c>
      <c r="F157" s="22" t="s">
        <v>11</v>
      </c>
      <c r="G157" s="22" t="str">
        <f t="shared" si="9"/>
        <v>https://docs.google.com/uc?export=download&amp;id=1UceR3AlfD3XL5Pzs3x33tMsG9YM5LWUZ</v>
      </c>
      <c r="H157" s="5" t="str">
        <f t="shared" si="8"/>
        <v>1UceR3AlfD3XL5Pzs3x33tMsG9YM5LWUZ</v>
      </c>
      <c r="I157" t="s">
        <v>895</v>
      </c>
    </row>
    <row r="158" spans="1:9" hidden="1" x14ac:dyDescent="0.25">
      <c r="B158" s="23">
        <v>1155</v>
      </c>
      <c r="C158" s="23" t="s">
        <v>364</v>
      </c>
      <c r="D158" s="24" t="str">
        <f t="shared" si="7"/>
        <v>5.2.1Viet</v>
      </c>
      <c r="E158" s="24" t="s">
        <v>551</v>
      </c>
      <c r="F158" s="24" t="s">
        <v>3</v>
      </c>
      <c r="G158" s="24" t="str">
        <f t="shared" si="9"/>
        <v/>
      </c>
      <c r="H158" s="5" t="str">
        <f t="shared" si="8"/>
        <v/>
      </c>
    </row>
    <row r="159" spans="1:9" x14ac:dyDescent="0.25">
      <c r="A159" s="1">
        <v>46</v>
      </c>
      <c r="B159" s="27">
        <v>1156</v>
      </c>
      <c r="C159" s="27" t="s">
        <v>364</v>
      </c>
      <c r="D159" s="28" t="str">
        <f t="shared" si="7"/>
        <v>5.2.1Eng</v>
      </c>
      <c r="E159" s="28" t="s">
        <v>171</v>
      </c>
      <c r="F159" s="28" t="s">
        <v>4</v>
      </c>
      <c r="G159" s="28" t="str">
        <f t="shared" si="9"/>
        <v/>
      </c>
      <c r="H159" s="5" t="str">
        <f t="shared" si="8"/>
        <v/>
      </c>
    </row>
    <row r="160" spans="1:9" hidden="1" x14ac:dyDescent="0.25">
      <c r="B160" s="25">
        <v>1157</v>
      </c>
      <c r="C160" s="25" t="s">
        <v>364</v>
      </c>
      <c r="D160" s="26" t="str">
        <f t="shared" si="7"/>
        <v>5.2.1Phon</v>
      </c>
      <c r="E160" s="26" t="s">
        <v>739</v>
      </c>
      <c r="F160" s="26" t="s">
        <v>5</v>
      </c>
      <c r="G160" s="26" t="str">
        <f t="shared" si="9"/>
        <v/>
      </c>
      <c r="H160" s="5" t="str">
        <f t="shared" si="8"/>
        <v/>
      </c>
    </row>
    <row r="161" spans="1:9" hidden="1" x14ac:dyDescent="0.25">
      <c r="B161" s="23">
        <v>1158</v>
      </c>
      <c r="C161" s="23" t="s">
        <v>365</v>
      </c>
      <c r="D161" s="24" t="str">
        <f t="shared" si="7"/>
        <v>5.2.2Viet</v>
      </c>
      <c r="E161" s="24" t="s">
        <v>552</v>
      </c>
      <c r="F161" s="24" t="s">
        <v>3</v>
      </c>
      <c r="G161" s="24" t="str">
        <f t="shared" si="9"/>
        <v/>
      </c>
      <c r="H161" s="5" t="str">
        <f t="shared" si="8"/>
        <v/>
      </c>
    </row>
    <row r="162" spans="1:9" x14ac:dyDescent="0.25">
      <c r="A162" s="1">
        <v>47</v>
      </c>
      <c r="B162" s="27">
        <v>1159</v>
      </c>
      <c r="C162" s="27" t="s">
        <v>365</v>
      </c>
      <c r="D162" s="28" t="str">
        <f t="shared" si="7"/>
        <v>5.2.2Eng</v>
      </c>
      <c r="E162" s="28" t="s">
        <v>172</v>
      </c>
      <c r="F162" s="28" t="s">
        <v>4</v>
      </c>
      <c r="G162" s="28" t="str">
        <f t="shared" si="9"/>
        <v/>
      </c>
      <c r="H162" s="5" t="str">
        <f t="shared" si="8"/>
        <v/>
      </c>
    </row>
    <row r="163" spans="1:9" hidden="1" x14ac:dyDescent="0.25">
      <c r="B163" s="25">
        <v>1160</v>
      </c>
      <c r="C163" s="25" t="s">
        <v>365</v>
      </c>
      <c r="D163" s="26" t="str">
        <f t="shared" si="7"/>
        <v>5.2.2Phon</v>
      </c>
      <c r="E163" s="26" t="s">
        <v>740</v>
      </c>
      <c r="F163" s="26" t="s">
        <v>5</v>
      </c>
      <c r="G163" s="26" t="str">
        <f t="shared" si="9"/>
        <v/>
      </c>
      <c r="H163" s="5" t="str">
        <f t="shared" si="8"/>
        <v/>
      </c>
    </row>
    <row r="164" spans="1:9" hidden="1" x14ac:dyDescent="0.25">
      <c r="B164" s="23">
        <v>1161</v>
      </c>
      <c r="C164" s="23" t="s">
        <v>366</v>
      </c>
      <c r="D164" s="24" t="str">
        <f t="shared" si="7"/>
        <v>5.2.3Viet</v>
      </c>
      <c r="E164" s="24" t="s">
        <v>553</v>
      </c>
      <c r="F164" s="24" t="s">
        <v>3</v>
      </c>
      <c r="G164" s="24" t="str">
        <f t="shared" si="9"/>
        <v/>
      </c>
      <c r="H164" s="5" t="str">
        <f t="shared" si="8"/>
        <v/>
      </c>
    </row>
    <row r="165" spans="1:9" x14ac:dyDescent="0.25">
      <c r="A165" s="1">
        <v>48</v>
      </c>
      <c r="B165" s="27">
        <v>1162</v>
      </c>
      <c r="C165" s="27" t="s">
        <v>366</v>
      </c>
      <c r="D165" s="28" t="str">
        <f t="shared" si="7"/>
        <v>5.2.3Eng</v>
      </c>
      <c r="E165" s="28" t="s">
        <v>91</v>
      </c>
      <c r="F165" s="28" t="s">
        <v>4</v>
      </c>
      <c r="G165" s="28" t="str">
        <f t="shared" si="9"/>
        <v/>
      </c>
      <c r="H165" s="5" t="str">
        <f t="shared" si="8"/>
        <v/>
      </c>
    </row>
    <row r="166" spans="1:9" hidden="1" x14ac:dyDescent="0.25">
      <c r="B166" s="25">
        <v>1163</v>
      </c>
      <c r="C166" s="25" t="s">
        <v>366</v>
      </c>
      <c r="D166" s="26" t="str">
        <f t="shared" si="7"/>
        <v>5.2.3Phon</v>
      </c>
      <c r="E166" s="26" t="s">
        <v>741</v>
      </c>
      <c r="F166" s="26" t="s">
        <v>5</v>
      </c>
      <c r="G166" s="26" t="str">
        <f t="shared" si="9"/>
        <v/>
      </c>
      <c r="H166" s="5" t="str">
        <f t="shared" si="8"/>
        <v/>
      </c>
    </row>
    <row r="167" spans="1:9" hidden="1" x14ac:dyDescent="0.25">
      <c r="B167" s="19">
        <v>1164</v>
      </c>
      <c r="C167" s="19">
        <v>6</v>
      </c>
      <c r="D167" s="20" t="str">
        <f t="shared" si="7"/>
        <v>6Struc0</v>
      </c>
      <c r="E167" s="20" t="s">
        <v>264</v>
      </c>
      <c r="F167" s="20" t="s">
        <v>502</v>
      </c>
      <c r="G167" s="20" t="str">
        <f t="shared" si="9"/>
        <v/>
      </c>
      <c r="H167" s="5" t="str">
        <f t="shared" si="8"/>
        <v/>
      </c>
    </row>
    <row r="168" spans="1:9" hidden="1" x14ac:dyDescent="0.25">
      <c r="B168" s="21">
        <v>1165</v>
      </c>
      <c r="C168" s="21" t="s">
        <v>26</v>
      </c>
      <c r="D168" s="22" t="str">
        <f t="shared" si="7"/>
        <v>6.1Struc</v>
      </c>
      <c r="E168" s="22" t="s">
        <v>264</v>
      </c>
      <c r="F168" s="22" t="s">
        <v>11</v>
      </c>
      <c r="G168" s="22" t="str">
        <f t="shared" si="9"/>
        <v>https://docs.google.com/uc?export=download&amp;id=1xBPkDPqJAGAqvndnEieyAYFqj0uJEYa2</v>
      </c>
      <c r="H168" s="5" t="str">
        <f t="shared" si="8"/>
        <v>1xBPkDPqJAGAqvndnEieyAYFqj0uJEYa2</v>
      </c>
      <c r="I168" t="s">
        <v>896</v>
      </c>
    </row>
    <row r="169" spans="1:9" hidden="1" x14ac:dyDescent="0.25">
      <c r="B169" s="23">
        <v>1166</v>
      </c>
      <c r="C169" s="23" t="s">
        <v>691</v>
      </c>
      <c r="D169" s="24" t="str">
        <f t="shared" si="7"/>
        <v>6.1.1Viet</v>
      </c>
      <c r="E169" s="24" t="s">
        <v>554</v>
      </c>
      <c r="F169" s="24" t="s">
        <v>3</v>
      </c>
      <c r="G169" s="24" t="str">
        <f t="shared" si="9"/>
        <v/>
      </c>
      <c r="H169" s="5" t="str">
        <f t="shared" si="8"/>
        <v/>
      </c>
    </row>
    <row r="170" spans="1:9" x14ac:dyDescent="0.25">
      <c r="A170" s="1">
        <v>49</v>
      </c>
      <c r="B170" s="27">
        <v>1167</v>
      </c>
      <c r="C170" s="27" t="s">
        <v>691</v>
      </c>
      <c r="D170" s="28" t="str">
        <f t="shared" si="7"/>
        <v>6.1.1Eng</v>
      </c>
      <c r="E170" s="28" t="s">
        <v>92</v>
      </c>
      <c r="F170" s="28" t="s">
        <v>4</v>
      </c>
      <c r="G170" s="28" t="str">
        <f t="shared" si="9"/>
        <v/>
      </c>
      <c r="H170" s="5" t="str">
        <f t="shared" si="8"/>
        <v/>
      </c>
    </row>
    <row r="171" spans="1:9" hidden="1" x14ac:dyDescent="0.25">
      <c r="B171" s="25">
        <v>1168</v>
      </c>
      <c r="C171" s="25" t="s">
        <v>691</v>
      </c>
      <c r="D171" s="26" t="str">
        <f t="shared" si="7"/>
        <v>6.1.1Phon</v>
      </c>
      <c r="E171" s="26" t="s">
        <v>742</v>
      </c>
      <c r="F171" s="26" t="s">
        <v>5</v>
      </c>
      <c r="G171" s="26" t="str">
        <f t="shared" si="9"/>
        <v/>
      </c>
      <c r="H171" s="5" t="str">
        <f t="shared" si="8"/>
        <v/>
      </c>
    </row>
    <row r="172" spans="1:9" hidden="1" x14ac:dyDescent="0.25">
      <c r="B172" s="23">
        <v>1169</v>
      </c>
      <c r="C172" s="23" t="s">
        <v>692</v>
      </c>
      <c r="D172" s="24" t="str">
        <f t="shared" si="7"/>
        <v>6.1.2Viet</v>
      </c>
      <c r="E172" s="24" t="s">
        <v>555</v>
      </c>
      <c r="F172" s="24" t="s">
        <v>3</v>
      </c>
      <c r="G172" s="24" t="str">
        <f t="shared" si="9"/>
        <v/>
      </c>
      <c r="H172" s="5" t="str">
        <f t="shared" si="8"/>
        <v/>
      </c>
    </row>
    <row r="173" spans="1:9" x14ac:dyDescent="0.25">
      <c r="A173" s="1">
        <v>50</v>
      </c>
      <c r="B173" s="27">
        <v>1170</v>
      </c>
      <c r="C173" s="27" t="s">
        <v>692</v>
      </c>
      <c r="D173" s="28" t="str">
        <f t="shared" si="7"/>
        <v>6.1.2Eng</v>
      </c>
      <c r="E173" s="28" t="s">
        <v>93</v>
      </c>
      <c r="F173" s="28" t="s">
        <v>4</v>
      </c>
      <c r="G173" s="28" t="str">
        <f t="shared" si="9"/>
        <v/>
      </c>
      <c r="H173" s="5" t="str">
        <f t="shared" si="8"/>
        <v/>
      </c>
    </row>
    <row r="174" spans="1:9" hidden="1" x14ac:dyDescent="0.25">
      <c r="B174" s="25">
        <v>1171</v>
      </c>
      <c r="C174" s="25" t="s">
        <v>692</v>
      </c>
      <c r="D174" s="26" t="str">
        <f t="shared" si="7"/>
        <v>6.1.2Phon</v>
      </c>
      <c r="E174" s="26" t="s">
        <v>743</v>
      </c>
      <c r="F174" s="26" t="s">
        <v>5</v>
      </c>
      <c r="G174" s="26" t="str">
        <f t="shared" si="9"/>
        <v/>
      </c>
      <c r="H174" s="5" t="str">
        <f t="shared" si="8"/>
        <v/>
      </c>
    </row>
    <row r="175" spans="1:9" hidden="1" x14ac:dyDescent="0.25">
      <c r="B175" s="23">
        <v>1172</v>
      </c>
      <c r="C175" s="23" t="s">
        <v>693</v>
      </c>
      <c r="D175" s="24" t="str">
        <f t="shared" si="7"/>
        <v>6.1.3Viet</v>
      </c>
      <c r="E175" s="24" t="s">
        <v>556</v>
      </c>
      <c r="F175" s="24" t="s">
        <v>3</v>
      </c>
      <c r="G175" s="24" t="str">
        <f t="shared" si="9"/>
        <v/>
      </c>
      <c r="H175" s="5" t="str">
        <f t="shared" si="8"/>
        <v/>
      </c>
    </row>
    <row r="176" spans="1:9" x14ac:dyDescent="0.25">
      <c r="A176" s="1">
        <v>51</v>
      </c>
      <c r="B176" s="27">
        <v>1173</v>
      </c>
      <c r="C176" s="27" t="s">
        <v>693</v>
      </c>
      <c r="D176" s="28" t="str">
        <f t="shared" si="7"/>
        <v>6.1.3Eng</v>
      </c>
      <c r="E176" s="28" t="s">
        <v>173</v>
      </c>
      <c r="F176" s="28" t="s">
        <v>4</v>
      </c>
      <c r="G176" s="28" t="str">
        <f t="shared" si="9"/>
        <v/>
      </c>
      <c r="H176" s="5" t="str">
        <f t="shared" si="8"/>
        <v/>
      </c>
    </row>
    <row r="177" spans="1:9" hidden="1" x14ac:dyDescent="0.25">
      <c r="B177" s="25">
        <v>1174</v>
      </c>
      <c r="C177" s="25" t="s">
        <v>693</v>
      </c>
      <c r="D177" s="26" t="str">
        <f t="shared" si="7"/>
        <v>6.1.3Phon</v>
      </c>
      <c r="E177" s="26" t="s">
        <v>744</v>
      </c>
      <c r="F177" s="26" t="s">
        <v>5</v>
      </c>
      <c r="G177" s="26" t="str">
        <f t="shared" si="9"/>
        <v/>
      </c>
      <c r="H177" s="5" t="str">
        <f t="shared" si="8"/>
        <v/>
      </c>
    </row>
    <row r="178" spans="1:9" hidden="1" x14ac:dyDescent="0.25">
      <c r="B178" s="19">
        <v>1175</v>
      </c>
      <c r="C178" s="19">
        <v>7</v>
      </c>
      <c r="D178" s="20" t="str">
        <f t="shared" si="7"/>
        <v>7Struc0</v>
      </c>
      <c r="E178" s="20" t="s">
        <v>94</v>
      </c>
      <c r="F178" s="20" t="s">
        <v>502</v>
      </c>
      <c r="G178" s="20" t="str">
        <f t="shared" si="9"/>
        <v/>
      </c>
      <c r="H178" s="5" t="str">
        <f t="shared" si="8"/>
        <v/>
      </c>
    </row>
    <row r="179" spans="1:9" hidden="1" x14ac:dyDescent="0.25">
      <c r="B179" s="21">
        <v>1176</v>
      </c>
      <c r="C179" s="21" t="s">
        <v>27</v>
      </c>
      <c r="D179" s="22" t="str">
        <f t="shared" si="7"/>
        <v>7.1Struc</v>
      </c>
      <c r="E179" s="22" t="s">
        <v>285</v>
      </c>
      <c r="F179" s="22" t="s">
        <v>11</v>
      </c>
      <c r="G179" s="22" t="str">
        <f t="shared" si="9"/>
        <v>https://docs.google.com/uc?export=download&amp;id=1IUHvKAQJHk2d7qrkYSaunM3BW0aakvsV</v>
      </c>
      <c r="H179" s="5" t="str">
        <f t="shared" si="8"/>
        <v>1IUHvKAQJHk2d7qrkYSaunM3BW0aakvsV</v>
      </c>
      <c r="I179" t="s">
        <v>897</v>
      </c>
    </row>
    <row r="180" spans="1:9" hidden="1" x14ac:dyDescent="0.25">
      <c r="B180" s="23">
        <v>1177</v>
      </c>
      <c r="C180" s="23" t="s">
        <v>367</v>
      </c>
      <c r="D180" s="24" t="str">
        <f t="shared" si="7"/>
        <v>7.1.1Viet</v>
      </c>
      <c r="E180" s="24" t="s">
        <v>557</v>
      </c>
      <c r="F180" s="24" t="s">
        <v>3</v>
      </c>
      <c r="G180" s="24" t="str">
        <f t="shared" si="9"/>
        <v/>
      </c>
      <c r="H180" s="5" t="str">
        <f t="shared" si="8"/>
        <v/>
      </c>
    </row>
    <row r="181" spans="1:9" x14ac:dyDescent="0.25">
      <c r="A181" s="1">
        <v>52</v>
      </c>
      <c r="B181" s="27">
        <v>1178</v>
      </c>
      <c r="C181" s="27" t="s">
        <v>367</v>
      </c>
      <c r="D181" s="28" t="str">
        <f t="shared" si="7"/>
        <v>7.1.1Eng</v>
      </c>
      <c r="E181" s="28" t="s">
        <v>174</v>
      </c>
      <c r="F181" s="28" t="s">
        <v>4</v>
      </c>
      <c r="G181" s="28" t="str">
        <f t="shared" si="9"/>
        <v/>
      </c>
      <c r="H181" s="5" t="str">
        <f t="shared" si="8"/>
        <v/>
      </c>
    </row>
    <row r="182" spans="1:9" hidden="1" x14ac:dyDescent="0.25">
      <c r="B182" s="25">
        <v>1179</v>
      </c>
      <c r="C182" s="25" t="s">
        <v>367</v>
      </c>
      <c r="D182" s="26" t="str">
        <f t="shared" si="7"/>
        <v>7.1.1Phon</v>
      </c>
      <c r="E182" s="26" t="s">
        <v>745</v>
      </c>
      <c r="F182" s="26" t="s">
        <v>5</v>
      </c>
      <c r="G182" s="26" t="str">
        <f t="shared" si="9"/>
        <v/>
      </c>
      <c r="H182" s="5" t="str">
        <f t="shared" si="8"/>
        <v/>
      </c>
    </row>
    <row r="183" spans="1:9" hidden="1" x14ac:dyDescent="0.25">
      <c r="B183" s="23">
        <v>1180</v>
      </c>
      <c r="C183" s="23" t="s">
        <v>368</v>
      </c>
      <c r="D183" s="24" t="str">
        <f t="shared" si="7"/>
        <v>7.1.2Viet</v>
      </c>
      <c r="E183" s="24" t="s">
        <v>558</v>
      </c>
      <c r="F183" s="24" t="s">
        <v>3</v>
      </c>
      <c r="G183" s="24" t="str">
        <f t="shared" si="9"/>
        <v/>
      </c>
      <c r="H183" s="5" t="str">
        <f t="shared" si="8"/>
        <v/>
      </c>
    </row>
    <row r="184" spans="1:9" x14ac:dyDescent="0.25">
      <c r="A184" s="1">
        <v>53</v>
      </c>
      <c r="B184" s="27">
        <v>1181</v>
      </c>
      <c r="C184" s="27" t="s">
        <v>368</v>
      </c>
      <c r="D184" s="28" t="str">
        <f t="shared" si="7"/>
        <v>7.1.2Eng</v>
      </c>
      <c r="E184" s="28" t="s">
        <v>175</v>
      </c>
      <c r="F184" s="28" t="s">
        <v>4</v>
      </c>
      <c r="G184" s="28" t="str">
        <f t="shared" si="9"/>
        <v/>
      </c>
      <c r="H184" s="5" t="str">
        <f t="shared" si="8"/>
        <v/>
      </c>
    </row>
    <row r="185" spans="1:9" hidden="1" x14ac:dyDescent="0.25">
      <c r="B185" s="25">
        <v>1182</v>
      </c>
      <c r="C185" s="25" t="s">
        <v>368</v>
      </c>
      <c r="D185" s="26" t="str">
        <f t="shared" si="7"/>
        <v>7.1.2Phon</v>
      </c>
      <c r="E185" s="26" t="s">
        <v>746</v>
      </c>
      <c r="F185" s="26" t="s">
        <v>5</v>
      </c>
      <c r="G185" s="26" t="str">
        <f t="shared" si="9"/>
        <v/>
      </c>
      <c r="H185" s="5" t="str">
        <f t="shared" si="8"/>
        <v/>
      </c>
    </row>
    <row r="186" spans="1:9" hidden="1" x14ac:dyDescent="0.25">
      <c r="B186" s="23">
        <v>1183</v>
      </c>
      <c r="C186" s="23" t="s">
        <v>369</v>
      </c>
      <c r="D186" s="24" t="str">
        <f t="shared" si="7"/>
        <v>7.1.3Viet</v>
      </c>
      <c r="E186" s="24" t="s">
        <v>559</v>
      </c>
      <c r="F186" s="24" t="s">
        <v>3</v>
      </c>
      <c r="G186" s="24" t="str">
        <f t="shared" si="9"/>
        <v/>
      </c>
      <c r="H186" s="5" t="str">
        <f t="shared" si="8"/>
        <v/>
      </c>
    </row>
    <row r="187" spans="1:9" x14ac:dyDescent="0.25">
      <c r="A187" s="1">
        <v>54</v>
      </c>
      <c r="B187" s="27">
        <v>1184</v>
      </c>
      <c r="C187" s="27" t="s">
        <v>369</v>
      </c>
      <c r="D187" s="28" t="str">
        <f t="shared" si="7"/>
        <v>7.1.3Eng</v>
      </c>
      <c r="E187" s="28" t="s">
        <v>176</v>
      </c>
      <c r="F187" s="28" t="s">
        <v>4</v>
      </c>
      <c r="G187" s="28" t="str">
        <f t="shared" si="9"/>
        <v/>
      </c>
      <c r="H187" s="5" t="str">
        <f t="shared" si="8"/>
        <v/>
      </c>
    </row>
    <row r="188" spans="1:9" hidden="1" x14ac:dyDescent="0.25">
      <c r="B188" s="25">
        <v>1185</v>
      </c>
      <c r="C188" s="25" t="s">
        <v>369</v>
      </c>
      <c r="D188" s="26" t="str">
        <f t="shared" si="7"/>
        <v>7.1.3Phon</v>
      </c>
      <c r="E188" s="26" t="s">
        <v>747</v>
      </c>
      <c r="F188" s="26" t="s">
        <v>5</v>
      </c>
      <c r="G188" s="26" t="str">
        <f t="shared" si="9"/>
        <v/>
      </c>
      <c r="H188" s="5" t="str">
        <f t="shared" si="8"/>
        <v/>
      </c>
    </row>
    <row r="189" spans="1:9" hidden="1" x14ac:dyDescent="0.25">
      <c r="B189" s="21">
        <v>1186</v>
      </c>
      <c r="C189" s="21" t="s">
        <v>28</v>
      </c>
      <c r="D189" s="22" t="str">
        <f t="shared" si="7"/>
        <v>7.2Struc</v>
      </c>
      <c r="E189" s="22" t="s">
        <v>286</v>
      </c>
      <c r="F189" s="22" t="s">
        <v>11</v>
      </c>
      <c r="G189" s="22" t="str">
        <f t="shared" si="9"/>
        <v>https://docs.google.com/uc?export=download&amp;id=1yJTy_a3qcIZdUGU760sllOjpYqjMSIQi</v>
      </c>
      <c r="H189" s="5" t="str">
        <f t="shared" si="8"/>
        <v>1yJTy_a3qcIZdUGU760sllOjpYqjMSIQi</v>
      </c>
      <c r="I189" t="s">
        <v>898</v>
      </c>
    </row>
    <row r="190" spans="1:9" hidden="1" x14ac:dyDescent="0.25">
      <c r="B190" s="23">
        <v>1187</v>
      </c>
      <c r="C190" s="23" t="s">
        <v>370</v>
      </c>
      <c r="D190" s="24" t="str">
        <f t="shared" si="7"/>
        <v>7.2.1Viet</v>
      </c>
      <c r="E190" s="24" t="s">
        <v>560</v>
      </c>
      <c r="F190" s="24" t="s">
        <v>3</v>
      </c>
      <c r="G190" s="24" t="str">
        <f t="shared" si="9"/>
        <v/>
      </c>
      <c r="H190" s="5" t="str">
        <f t="shared" si="8"/>
        <v/>
      </c>
    </row>
    <row r="191" spans="1:9" x14ac:dyDescent="0.25">
      <c r="A191" s="1">
        <v>55</v>
      </c>
      <c r="B191" s="27">
        <v>1188</v>
      </c>
      <c r="C191" s="27" t="s">
        <v>370</v>
      </c>
      <c r="D191" s="28" t="str">
        <f t="shared" si="7"/>
        <v>7.2.1Eng</v>
      </c>
      <c r="E191" s="28" t="s">
        <v>177</v>
      </c>
      <c r="F191" s="28" t="s">
        <v>4</v>
      </c>
      <c r="G191" s="28" t="str">
        <f t="shared" si="9"/>
        <v/>
      </c>
      <c r="H191" s="5" t="str">
        <f t="shared" si="8"/>
        <v/>
      </c>
    </row>
    <row r="192" spans="1:9" hidden="1" x14ac:dyDescent="0.25">
      <c r="B192" s="25">
        <v>1189</v>
      </c>
      <c r="C192" s="25" t="s">
        <v>370</v>
      </c>
      <c r="D192" s="26" t="str">
        <f t="shared" si="7"/>
        <v>7.2.1Phon</v>
      </c>
      <c r="E192" s="26" t="s">
        <v>748</v>
      </c>
      <c r="F192" s="26" t="s">
        <v>5</v>
      </c>
      <c r="G192" s="26" t="str">
        <f t="shared" si="9"/>
        <v/>
      </c>
      <c r="H192" s="5" t="str">
        <f t="shared" si="8"/>
        <v/>
      </c>
    </row>
    <row r="193" spans="1:9" hidden="1" x14ac:dyDescent="0.25">
      <c r="B193" s="23">
        <v>1190</v>
      </c>
      <c r="C193" s="23" t="s">
        <v>371</v>
      </c>
      <c r="D193" s="24" t="str">
        <f t="shared" si="7"/>
        <v>7.2.2Viet</v>
      </c>
      <c r="E193" s="24" t="s">
        <v>561</v>
      </c>
      <c r="F193" s="24" t="s">
        <v>3</v>
      </c>
      <c r="G193" s="24" t="str">
        <f t="shared" si="9"/>
        <v/>
      </c>
      <c r="H193" s="5" t="str">
        <f t="shared" si="8"/>
        <v/>
      </c>
    </row>
    <row r="194" spans="1:9" x14ac:dyDescent="0.25">
      <c r="A194" s="1">
        <v>56</v>
      </c>
      <c r="B194" s="27">
        <v>1191</v>
      </c>
      <c r="C194" s="27" t="s">
        <v>371</v>
      </c>
      <c r="D194" s="28" t="str">
        <f t="shared" si="7"/>
        <v>7.2.2Eng</v>
      </c>
      <c r="E194" s="28" t="s">
        <v>178</v>
      </c>
      <c r="F194" s="28" t="s">
        <v>4</v>
      </c>
      <c r="G194" s="28" t="str">
        <f t="shared" si="9"/>
        <v/>
      </c>
      <c r="H194" s="5" t="str">
        <f t="shared" si="8"/>
        <v/>
      </c>
    </row>
    <row r="195" spans="1:9" hidden="1" x14ac:dyDescent="0.25">
      <c r="B195" s="25">
        <v>1192</v>
      </c>
      <c r="C195" s="25" t="s">
        <v>371</v>
      </c>
      <c r="D195" s="26" t="str">
        <f t="shared" si="7"/>
        <v>7.2.2Phon</v>
      </c>
      <c r="E195" s="26" t="s">
        <v>749</v>
      </c>
      <c r="F195" s="26" t="s">
        <v>5</v>
      </c>
      <c r="G195" s="26" t="str">
        <f t="shared" si="9"/>
        <v/>
      </c>
      <c r="H195" s="5" t="str">
        <f t="shared" si="8"/>
        <v/>
      </c>
    </row>
    <row r="196" spans="1:9" hidden="1" x14ac:dyDescent="0.25">
      <c r="B196" s="23">
        <v>1193</v>
      </c>
      <c r="C196" s="23" t="s">
        <v>372</v>
      </c>
      <c r="D196" s="24" t="str">
        <f t="shared" ref="D196:D259" si="10">C196&amp;F196</f>
        <v>7.2.3Viet</v>
      </c>
      <c r="E196" s="24" t="s">
        <v>562</v>
      </c>
      <c r="F196" s="24" t="s">
        <v>3</v>
      </c>
      <c r="G196" s="24" t="str">
        <f t="shared" si="9"/>
        <v/>
      </c>
      <c r="H196" s="5" t="str">
        <f t="shared" si="8"/>
        <v/>
      </c>
    </row>
    <row r="197" spans="1:9" x14ac:dyDescent="0.25">
      <c r="A197" s="1">
        <v>57</v>
      </c>
      <c r="B197" s="27">
        <v>1194</v>
      </c>
      <c r="C197" s="27" t="s">
        <v>372</v>
      </c>
      <c r="D197" s="28" t="str">
        <f t="shared" si="10"/>
        <v>7.2.3Eng</v>
      </c>
      <c r="E197" s="28" t="s">
        <v>95</v>
      </c>
      <c r="F197" s="28" t="s">
        <v>4</v>
      </c>
      <c r="G197" s="28" t="str">
        <f t="shared" si="9"/>
        <v/>
      </c>
      <c r="H197" s="5" t="str">
        <f t="shared" si="8"/>
        <v/>
      </c>
    </row>
    <row r="198" spans="1:9" hidden="1" x14ac:dyDescent="0.25">
      <c r="B198" s="25">
        <v>1195</v>
      </c>
      <c r="C198" s="25" t="s">
        <v>372</v>
      </c>
      <c r="D198" s="26" t="str">
        <f t="shared" si="10"/>
        <v>7.2.3Phon</v>
      </c>
      <c r="E198" s="26" t="s">
        <v>750</v>
      </c>
      <c r="F198" s="26" t="s">
        <v>5</v>
      </c>
      <c r="G198" s="26" t="str">
        <f t="shared" si="9"/>
        <v/>
      </c>
      <c r="H198" s="5" t="str">
        <f t="shared" ref="H198:H261" si="11">IFERROR(LEFT(RIGHT(I198,LEN(I198)-32),LEN(RIGHT(I198,LEN(I198)-32))-17),"")</f>
        <v/>
      </c>
    </row>
    <row r="199" spans="1:9" hidden="1" x14ac:dyDescent="0.25">
      <c r="B199" s="21">
        <v>1196</v>
      </c>
      <c r="C199" s="21" t="s">
        <v>29</v>
      </c>
      <c r="D199" s="22" t="str">
        <f t="shared" si="10"/>
        <v>7.3Struc</v>
      </c>
      <c r="E199" s="22" t="s">
        <v>287</v>
      </c>
      <c r="F199" s="22" t="s">
        <v>11</v>
      </c>
      <c r="G199" s="22" t="str">
        <f t="shared" si="9"/>
        <v>https://docs.google.com/uc?export=download&amp;id=1kxpnF7j1IThhkNbXUyg_YkHMNjE4C5jS</v>
      </c>
      <c r="H199" s="5" t="str">
        <f t="shared" si="11"/>
        <v>1kxpnF7j1IThhkNbXUyg_YkHMNjE4C5jS</v>
      </c>
      <c r="I199" t="s">
        <v>899</v>
      </c>
    </row>
    <row r="200" spans="1:9" hidden="1" x14ac:dyDescent="0.25">
      <c r="B200" s="23">
        <v>1197</v>
      </c>
      <c r="C200" s="23" t="s">
        <v>373</v>
      </c>
      <c r="D200" s="24" t="str">
        <f t="shared" si="10"/>
        <v>7.3.1Viet</v>
      </c>
      <c r="E200" s="24" t="s">
        <v>563</v>
      </c>
      <c r="F200" s="24" t="s">
        <v>3</v>
      </c>
      <c r="G200" s="24" t="str">
        <f t="shared" si="9"/>
        <v/>
      </c>
      <c r="H200" s="5" t="str">
        <f t="shared" si="11"/>
        <v/>
      </c>
    </row>
    <row r="201" spans="1:9" x14ac:dyDescent="0.25">
      <c r="A201" s="1">
        <v>58</v>
      </c>
      <c r="B201" s="27">
        <v>1198</v>
      </c>
      <c r="C201" s="27" t="s">
        <v>373</v>
      </c>
      <c r="D201" s="28" t="str">
        <f t="shared" si="10"/>
        <v>7.3.1Eng</v>
      </c>
      <c r="E201" s="28" t="s">
        <v>96</v>
      </c>
      <c r="F201" s="28" t="s">
        <v>4</v>
      </c>
      <c r="G201" s="28" t="str">
        <f t="shared" ref="G201:G264" si="12">IF(H201="","","https://docs.google.com/uc?export=download&amp;id="&amp;H201)</f>
        <v/>
      </c>
      <c r="H201" s="5" t="str">
        <f t="shared" si="11"/>
        <v/>
      </c>
    </row>
    <row r="202" spans="1:9" hidden="1" x14ac:dyDescent="0.25">
      <c r="B202" s="25">
        <v>1199</v>
      </c>
      <c r="C202" s="25" t="s">
        <v>373</v>
      </c>
      <c r="D202" s="26" t="str">
        <f t="shared" si="10"/>
        <v>7.3.1Phon</v>
      </c>
      <c r="E202" s="26" t="s">
        <v>751</v>
      </c>
      <c r="F202" s="26" t="s">
        <v>5</v>
      </c>
      <c r="G202" s="26" t="str">
        <f t="shared" si="12"/>
        <v/>
      </c>
      <c r="H202" s="5" t="str">
        <f t="shared" si="11"/>
        <v/>
      </c>
    </row>
    <row r="203" spans="1:9" hidden="1" x14ac:dyDescent="0.25">
      <c r="B203" s="23">
        <v>1200</v>
      </c>
      <c r="C203" s="23" t="s">
        <v>374</v>
      </c>
      <c r="D203" s="24" t="str">
        <f t="shared" si="10"/>
        <v>7.3.2Viet</v>
      </c>
      <c r="E203" s="24" t="s">
        <v>564</v>
      </c>
      <c r="F203" s="24" t="s">
        <v>3</v>
      </c>
      <c r="G203" s="24" t="str">
        <f t="shared" si="12"/>
        <v/>
      </c>
      <c r="H203" s="5" t="str">
        <f t="shared" si="11"/>
        <v/>
      </c>
    </row>
    <row r="204" spans="1:9" x14ac:dyDescent="0.25">
      <c r="A204" s="1">
        <v>59</v>
      </c>
      <c r="B204" s="27">
        <v>1201</v>
      </c>
      <c r="C204" s="27" t="s">
        <v>374</v>
      </c>
      <c r="D204" s="28" t="str">
        <f t="shared" si="10"/>
        <v>7.3.2Eng</v>
      </c>
      <c r="E204" s="28" t="s">
        <v>97</v>
      </c>
      <c r="F204" s="28" t="s">
        <v>4</v>
      </c>
      <c r="G204" s="28" t="str">
        <f t="shared" si="12"/>
        <v/>
      </c>
      <c r="H204" s="5" t="str">
        <f t="shared" si="11"/>
        <v/>
      </c>
    </row>
    <row r="205" spans="1:9" hidden="1" x14ac:dyDescent="0.25">
      <c r="B205" s="25">
        <v>1202</v>
      </c>
      <c r="C205" s="25" t="s">
        <v>374</v>
      </c>
      <c r="D205" s="26" t="str">
        <f t="shared" si="10"/>
        <v>7.3.2Phon</v>
      </c>
      <c r="E205" s="26" t="s">
        <v>752</v>
      </c>
      <c r="F205" s="26" t="s">
        <v>5</v>
      </c>
      <c r="G205" s="26" t="str">
        <f t="shared" si="12"/>
        <v/>
      </c>
      <c r="H205" s="5" t="str">
        <f t="shared" si="11"/>
        <v/>
      </c>
    </row>
    <row r="206" spans="1:9" hidden="1" x14ac:dyDescent="0.25">
      <c r="B206" s="23">
        <v>1203</v>
      </c>
      <c r="C206" s="23" t="s">
        <v>375</v>
      </c>
      <c r="D206" s="24" t="str">
        <f t="shared" si="10"/>
        <v>7.3.3Viet</v>
      </c>
      <c r="E206" s="24" t="s">
        <v>565</v>
      </c>
      <c r="F206" s="24" t="s">
        <v>3</v>
      </c>
      <c r="G206" s="24" t="str">
        <f t="shared" si="12"/>
        <v/>
      </c>
      <c r="H206" s="5" t="str">
        <f t="shared" si="11"/>
        <v/>
      </c>
    </row>
    <row r="207" spans="1:9" x14ac:dyDescent="0.25">
      <c r="A207" s="1">
        <v>60</v>
      </c>
      <c r="B207" s="27">
        <v>1204</v>
      </c>
      <c r="C207" s="27" t="s">
        <v>375</v>
      </c>
      <c r="D207" s="28" t="str">
        <f t="shared" si="10"/>
        <v>7.3.3Eng</v>
      </c>
      <c r="E207" s="28" t="s">
        <v>98</v>
      </c>
      <c r="F207" s="28" t="s">
        <v>4</v>
      </c>
      <c r="G207" s="28" t="str">
        <f t="shared" si="12"/>
        <v/>
      </c>
      <c r="H207" s="5" t="str">
        <f t="shared" si="11"/>
        <v/>
      </c>
    </row>
    <row r="208" spans="1:9" hidden="1" x14ac:dyDescent="0.25">
      <c r="B208" s="25">
        <v>1205</v>
      </c>
      <c r="C208" s="25" t="s">
        <v>375</v>
      </c>
      <c r="D208" s="26" t="str">
        <f t="shared" si="10"/>
        <v>7.3.3Phon</v>
      </c>
      <c r="E208" s="26" t="s">
        <v>753</v>
      </c>
      <c r="F208" s="26" t="s">
        <v>5</v>
      </c>
      <c r="G208" s="26" t="str">
        <f t="shared" si="12"/>
        <v/>
      </c>
      <c r="H208" s="5" t="str">
        <f t="shared" si="11"/>
        <v/>
      </c>
    </row>
    <row r="209" spans="1:9" hidden="1" x14ac:dyDescent="0.25">
      <c r="B209" s="19">
        <v>1206</v>
      </c>
      <c r="C209" s="19">
        <v>8</v>
      </c>
      <c r="D209" s="20" t="str">
        <f t="shared" si="10"/>
        <v>8Struc0</v>
      </c>
      <c r="E209" s="20" t="s">
        <v>265</v>
      </c>
      <c r="F209" s="20" t="s">
        <v>502</v>
      </c>
      <c r="G209" s="20" t="str">
        <f t="shared" si="12"/>
        <v/>
      </c>
      <c r="H209" s="5" t="str">
        <f t="shared" si="11"/>
        <v/>
      </c>
    </row>
    <row r="210" spans="1:9" hidden="1" x14ac:dyDescent="0.25">
      <c r="B210" s="21">
        <v>1207</v>
      </c>
      <c r="C210" s="21" t="s">
        <v>30</v>
      </c>
      <c r="D210" s="22" t="str">
        <f t="shared" si="10"/>
        <v>8.1Struc</v>
      </c>
      <c r="E210" s="22" t="s">
        <v>288</v>
      </c>
      <c r="F210" s="22" t="s">
        <v>11</v>
      </c>
      <c r="G210" s="22" t="str">
        <f t="shared" si="12"/>
        <v>https://docs.google.com/uc?export=download&amp;id=1eI0aGFYZCpEu0LTWiWWmyy93GO2uPIda</v>
      </c>
      <c r="H210" s="5" t="str">
        <f t="shared" si="11"/>
        <v>1eI0aGFYZCpEu0LTWiWWmyy93GO2uPIda</v>
      </c>
      <c r="I210" t="s">
        <v>900</v>
      </c>
    </row>
    <row r="211" spans="1:9" hidden="1" x14ac:dyDescent="0.25">
      <c r="B211" s="23">
        <v>1208</v>
      </c>
      <c r="C211" s="23" t="s">
        <v>376</v>
      </c>
      <c r="D211" s="24" t="str">
        <f t="shared" si="10"/>
        <v>8.1.1Viet</v>
      </c>
      <c r="E211" s="24" t="s">
        <v>566</v>
      </c>
      <c r="F211" s="24" t="s">
        <v>3</v>
      </c>
      <c r="G211" s="24" t="str">
        <f t="shared" si="12"/>
        <v/>
      </c>
      <c r="H211" s="5" t="str">
        <f t="shared" si="11"/>
        <v/>
      </c>
    </row>
    <row r="212" spans="1:9" x14ac:dyDescent="0.25">
      <c r="A212" s="1">
        <v>61</v>
      </c>
      <c r="B212" s="27">
        <v>1209</v>
      </c>
      <c r="C212" s="27" t="s">
        <v>376</v>
      </c>
      <c r="D212" s="28" t="str">
        <f t="shared" si="10"/>
        <v>8.1.1Eng</v>
      </c>
      <c r="E212" s="28" t="s">
        <v>99</v>
      </c>
      <c r="F212" s="28" t="s">
        <v>4</v>
      </c>
      <c r="G212" s="28" t="str">
        <f t="shared" si="12"/>
        <v/>
      </c>
      <c r="H212" s="5" t="str">
        <f t="shared" si="11"/>
        <v/>
      </c>
    </row>
    <row r="213" spans="1:9" hidden="1" x14ac:dyDescent="0.25">
      <c r="B213" s="25">
        <v>1210</v>
      </c>
      <c r="C213" s="25" t="s">
        <v>376</v>
      </c>
      <c r="D213" s="26" t="str">
        <f t="shared" si="10"/>
        <v>8.1.1Phon</v>
      </c>
      <c r="E213" s="26" t="s">
        <v>754</v>
      </c>
      <c r="F213" s="26" t="s">
        <v>5</v>
      </c>
      <c r="G213" s="26" t="str">
        <f t="shared" si="12"/>
        <v/>
      </c>
      <c r="H213" s="5" t="str">
        <f t="shared" si="11"/>
        <v/>
      </c>
    </row>
    <row r="214" spans="1:9" hidden="1" x14ac:dyDescent="0.25">
      <c r="B214" s="23">
        <v>1211</v>
      </c>
      <c r="C214" s="23" t="s">
        <v>377</v>
      </c>
      <c r="D214" s="24" t="str">
        <f t="shared" si="10"/>
        <v>8.1.2Viet</v>
      </c>
      <c r="E214" s="24" t="s">
        <v>567</v>
      </c>
      <c r="F214" s="24" t="s">
        <v>3</v>
      </c>
      <c r="G214" s="24" t="str">
        <f t="shared" si="12"/>
        <v/>
      </c>
      <c r="H214" s="5" t="str">
        <f t="shared" si="11"/>
        <v/>
      </c>
    </row>
    <row r="215" spans="1:9" x14ac:dyDescent="0.25">
      <c r="A215" s="1">
        <v>62</v>
      </c>
      <c r="B215" s="27">
        <v>1212</v>
      </c>
      <c r="C215" s="27" t="s">
        <v>377</v>
      </c>
      <c r="D215" s="28" t="str">
        <f t="shared" si="10"/>
        <v>8.1.2Eng</v>
      </c>
      <c r="E215" s="28" t="s">
        <v>179</v>
      </c>
      <c r="F215" s="28" t="s">
        <v>4</v>
      </c>
      <c r="G215" s="28" t="str">
        <f t="shared" si="12"/>
        <v/>
      </c>
      <c r="H215" s="5" t="str">
        <f t="shared" si="11"/>
        <v/>
      </c>
    </row>
    <row r="216" spans="1:9" hidden="1" x14ac:dyDescent="0.25">
      <c r="B216" s="25">
        <v>1213</v>
      </c>
      <c r="C216" s="25" t="s">
        <v>377</v>
      </c>
      <c r="D216" s="26" t="str">
        <f t="shared" si="10"/>
        <v>8.1.2Phon</v>
      </c>
      <c r="E216" s="26" t="s">
        <v>755</v>
      </c>
      <c r="F216" s="26" t="s">
        <v>5</v>
      </c>
      <c r="G216" s="26" t="str">
        <f t="shared" si="12"/>
        <v/>
      </c>
      <c r="H216" s="5" t="str">
        <f t="shared" si="11"/>
        <v/>
      </c>
    </row>
    <row r="217" spans="1:9" hidden="1" x14ac:dyDescent="0.25">
      <c r="B217" s="23">
        <v>1214</v>
      </c>
      <c r="C217" s="23" t="s">
        <v>378</v>
      </c>
      <c r="D217" s="24" t="str">
        <f t="shared" si="10"/>
        <v>8.1.3Viet</v>
      </c>
      <c r="E217" s="24" t="s">
        <v>568</v>
      </c>
      <c r="F217" s="24" t="s">
        <v>3</v>
      </c>
      <c r="G217" s="24" t="str">
        <f t="shared" si="12"/>
        <v/>
      </c>
      <c r="H217" s="5" t="str">
        <f t="shared" si="11"/>
        <v/>
      </c>
    </row>
    <row r="218" spans="1:9" x14ac:dyDescent="0.25">
      <c r="A218" s="1">
        <v>63</v>
      </c>
      <c r="B218" s="27">
        <v>1215</v>
      </c>
      <c r="C218" s="27" t="s">
        <v>378</v>
      </c>
      <c r="D218" s="28" t="str">
        <f t="shared" si="10"/>
        <v>8.1.3Eng</v>
      </c>
      <c r="E218" s="28" t="s">
        <v>180</v>
      </c>
      <c r="F218" s="28" t="s">
        <v>4</v>
      </c>
      <c r="G218" s="28" t="str">
        <f t="shared" si="12"/>
        <v/>
      </c>
      <c r="H218" s="5" t="str">
        <f t="shared" si="11"/>
        <v/>
      </c>
    </row>
    <row r="219" spans="1:9" hidden="1" x14ac:dyDescent="0.25">
      <c r="B219" s="25">
        <v>1216</v>
      </c>
      <c r="C219" s="25" t="s">
        <v>378</v>
      </c>
      <c r="D219" s="26" t="str">
        <f t="shared" si="10"/>
        <v>8.1.3Phon</v>
      </c>
      <c r="E219" s="26" t="s">
        <v>756</v>
      </c>
      <c r="F219" s="26" t="s">
        <v>5</v>
      </c>
      <c r="G219" s="26" t="str">
        <f t="shared" si="12"/>
        <v/>
      </c>
      <c r="H219" s="5" t="str">
        <f t="shared" si="11"/>
        <v/>
      </c>
    </row>
    <row r="220" spans="1:9" hidden="1" x14ac:dyDescent="0.25">
      <c r="B220" s="21">
        <v>1217</v>
      </c>
      <c r="C220" s="21" t="s">
        <v>31</v>
      </c>
      <c r="D220" s="22" t="str">
        <f t="shared" si="10"/>
        <v>8.2Struc</v>
      </c>
      <c r="E220" s="22" t="s">
        <v>289</v>
      </c>
      <c r="F220" s="22" t="s">
        <v>11</v>
      </c>
      <c r="G220" s="22" t="str">
        <f t="shared" si="12"/>
        <v>https://docs.google.com/uc?export=download&amp;id=1Iqx9UDtHdAUkkajGaAkYtu-8gYFNlP9Q</v>
      </c>
      <c r="H220" s="5" t="str">
        <f t="shared" si="11"/>
        <v>1Iqx9UDtHdAUkkajGaAkYtu-8gYFNlP9Q</v>
      </c>
      <c r="I220" t="s">
        <v>901</v>
      </c>
    </row>
    <row r="221" spans="1:9" hidden="1" x14ac:dyDescent="0.25">
      <c r="B221" s="23">
        <v>1218</v>
      </c>
      <c r="C221" s="23" t="s">
        <v>379</v>
      </c>
      <c r="D221" s="24" t="str">
        <f t="shared" si="10"/>
        <v>8.2.1Viet</v>
      </c>
      <c r="E221" s="24" t="s">
        <v>569</v>
      </c>
      <c r="F221" s="24" t="s">
        <v>3</v>
      </c>
      <c r="G221" s="24" t="str">
        <f t="shared" si="12"/>
        <v/>
      </c>
      <c r="H221" s="5" t="str">
        <f t="shared" si="11"/>
        <v/>
      </c>
    </row>
    <row r="222" spans="1:9" x14ac:dyDescent="0.25">
      <c r="A222" s="1">
        <v>64</v>
      </c>
      <c r="B222" s="27">
        <v>1219</v>
      </c>
      <c r="C222" s="27" t="s">
        <v>379</v>
      </c>
      <c r="D222" s="28" t="str">
        <f t="shared" si="10"/>
        <v>8.2.1Eng</v>
      </c>
      <c r="E222" s="28" t="s">
        <v>181</v>
      </c>
      <c r="F222" s="28" t="s">
        <v>4</v>
      </c>
      <c r="G222" s="28" t="str">
        <f t="shared" si="12"/>
        <v/>
      </c>
      <c r="H222" s="5" t="str">
        <f t="shared" si="11"/>
        <v/>
      </c>
    </row>
    <row r="223" spans="1:9" hidden="1" x14ac:dyDescent="0.25">
      <c r="B223" s="25">
        <v>1220</v>
      </c>
      <c r="C223" s="25" t="s">
        <v>379</v>
      </c>
      <c r="D223" s="26" t="str">
        <f t="shared" si="10"/>
        <v>8.2.1Phon</v>
      </c>
      <c r="E223" s="26" t="s">
        <v>757</v>
      </c>
      <c r="F223" s="26" t="s">
        <v>5</v>
      </c>
      <c r="G223" s="26" t="str">
        <f t="shared" si="12"/>
        <v/>
      </c>
      <c r="H223" s="5" t="str">
        <f t="shared" si="11"/>
        <v/>
      </c>
      <c r="I223" s="5"/>
    </row>
    <row r="224" spans="1:9" hidden="1" x14ac:dyDescent="0.25">
      <c r="B224" s="23">
        <v>1221</v>
      </c>
      <c r="C224" s="23" t="s">
        <v>380</v>
      </c>
      <c r="D224" s="24" t="str">
        <f t="shared" si="10"/>
        <v>8.2.2Viet</v>
      </c>
      <c r="E224" s="24" t="s">
        <v>570</v>
      </c>
      <c r="F224" s="24" t="s">
        <v>3</v>
      </c>
      <c r="G224" s="24" t="str">
        <f t="shared" si="12"/>
        <v/>
      </c>
      <c r="H224" s="5" t="str">
        <f t="shared" si="11"/>
        <v/>
      </c>
    </row>
    <row r="225" spans="1:9" x14ac:dyDescent="0.25">
      <c r="A225" s="1">
        <v>65</v>
      </c>
      <c r="B225" s="27">
        <v>1222</v>
      </c>
      <c r="C225" s="27" t="s">
        <v>380</v>
      </c>
      <c r="D225" s="28" t="str">
        <f t="shared" si="10"/>
        <v>8.2.2Eng</v>
      </c>
      <c r="E225" s="28" t="s">
        <v>182</v>
      </c>
      <c r="F225" s="28" t="s">
        <v>4</v>
      </c>
      <c r="G225" s="28" t="str">
        <f t="shared" si="12"/>
        <v/>
      </c>
      <c r="H225" s="5" t="str">
        <f t="shared" si="11"/>
        <v/>
      </c>
    </row>
    <row r="226" spans="1:9" hidden="1" x14ac:dyDescent="0.25">
      <c r="B226" s="25">
        <v>1223</v>
      </c>
      <c r="C226" s="25" t="s">
        <v>380</v>
      </c>
      <c r="D226" s="26" t="str">
        <f t="shared" si="10"/>
        <v>8.2.2Phon</v>
      </c>
      <c r="E226" s="26" t="s">
        <v>758</v>
      </c>
      <c r="F226" s="26" t="s">
        <v>5</v>
      </c>
      <c r="G226" s="26" t="str">
        <f t="shared" si="12"/>
        <v/>
      </c>
      <c r="H226" s="5" t="str">
        <f t="shared" si="11"/>
        <v/>
      </c>
    </row>
    <row r="227" spans="1:9" hidden="1" x14ac:dyDescent="0.25">
      <c r="B227" s="23">
        <v>1224</v>
      </c>
      <c r="C227" s="23" t="s">
        <v>381</v>
      </c>
      <c r="D227" s="24" t="str">
        <f t="shared" si="10"/>
        <v>8.2.3Viet</v>
      </c>
      <c r="E227" s="24" t="s">
        <v>571</v>
      </c>
      <c r="F227" s="24" t="s">
        <v>3</v>
      </c>
      <c r="G227" s="24" t="str">
        <f t="shared" si="12"/>
        <v/>
      </c>
      <c r="H227" s="5" t="str">
        <f t="shared" si="11"/>
        <v/>
      </c>
    </row>
    <row r="228" spans="1:9" x14ac:dyDescent="0.25">
      <c r="A228" s="1">
        <v>66</v>
      </c>
      <c r="B228" s="27">
        <v>1225</v>
      </c>
      <c r="C228" s="27" t="s">
        <v>381</v>
      </c>
      <c r="D228" s="28" t="str">
        <f t="shared" si="10"/>
        <v>8.2.3Eng</v>
      </c>
      <c r="E228" s="28" t="s">
        <v>100</v>
      </c>
      <c r="F228" s="28" t="s">
        <v>4</v>
      </c>
      <c r="G228" s="28" t="str">
        <f t="shared" si="12"/>
        <v/>
      </c>
      <c r="H228" s="5" t="str">
        <f t="shared" si="11"/>
        <v/>
      </c>
    </row>
    <row r="229" spans="1:9" hidden="1" x14ac:dyDescent="0.25">
      <c r="B229" s="25">
        <v>1226</v>
      </c>
      <c r="C229" s="25" t="s">
        <v>381</v>
      </c>
      <c r="D229" s="26" t="str">
        <f t="shared" si="10"/>
        <v>8.2.3Phon</v>
      </c>
      <c r="E229" s="26" t="s">
        <v>759</v>
      </c>
      <c r="F229" s="26" t="s">
        <v>5</v>
      </c>
      <c r="G229" s="26" t="str">
        <f t="shared" si="12"/>
        <v/>
      </c>
      <c r="H229" s="5" t="str">
        <f t="shared" si="11"/>
        <v/>
      </c>
    </row>
    <row r="230" spans="1:9" hidden="1" x14ac:dyDescent="0.25">
      <c r="B230" s="21">
        <v>1227</v>
      </c>
      <c r="C230" s="21" t="s">
        <v>32</v>
      </c>
      <c r="D230" s="22" t="str">
        <f t="shared" si="10"/>
        <v>8.3Struc</v>
      </c>
      <c r="E230" s="22" t="s">
        <v>290</v>
      </c>
      <c r="F230" s="22" t="s">
        <v>11</v>
      </c>
      <c r="G230" s="22" t="str">
        <f t="shared" si="12"/>
        <v>https://docs.google.com/uc?export=download&amp;id=19-j5G0UZtq4q4GdxqNLOSNHAZq9PnBCF</v>
      </c>
      <c r="H230" s="5" t="str">
        <f t="shared" si="11"/>
        <v>19-j5G0UZtq4q4GdxqNLOSNHAZq9PnBCF</v>
      </c>
      <c r="I230" t="s">
        <v>902</v>
      </c>
    </row>
    <row r="231" spans="1:9" hidden="1" x14ac:dyDescent="0.25">
      <c r="B231" s="23">
        <v>1228</v>
      </c>
      <c r="C231" s="23" t="s">
        <v>382</v>
      </c>
      <c r="D231" s="24" t="str">
        <f t="shared" si="10"/>
        <v>8.3.1Viet</v>
      </c>
      <c r="E231" s="24" t="s">
        <v>572</v>
      </c>
      <c r="F231" s="24" t="s">
        <v>3</v>
      </c>
      <c r="G231" s="24" t="str">
        <f t="shared" si="12"/>
        <v/>
      </c>
      <c r="H231" s="5" t="str">
        <f t="shared" si="11"/>
        <v/>
      </c>
    </row>
    <row r="232" spans="1:9" x14ac:dyDescent="0.25">
      <c r="A232" s="1">
        <v>67</v>
      </c>
      <c r="B232" s="27">
        <v>1229</v>
      </c>
      <c r="C232" s="27" t="s">
        <v>382</v>
      </c>
      <c r="D232" s="28" t="str">
        <f t="shared" si="10"/>
        <v>8.3.1Eng</v>
      </c>
      <c r="E232" s="28" t="s">
        <v>101</v>
      </c>
      <c r="F232" s="28" t="s">
        <v>4</v>
      </c>
      <c r="G232" s="28" t="str">
        <f t="shared" si="12"/>
        <v/>
      </c>
      <c r="H232" s="5" t="str">
        <f t="shared" si="11"/>
        <v/>
      </c>
    </row>
    <row r="233" spans="1:9" hidden="1" x14ac:dyDescent="0.25">
      <c r="B233" s="25">
        <v>1230</v>
      </c>
      <c r="C233" s="25" t="s">
        <v>382</v>
      </c>
      <c r="D233" s="26" t="str">
        <f t="shared" si="10"/>
        <v>8.3.1Phon</v>
      </c>
      <c r="E233" s="26" t="s">
        <v>760</v>
      </c>
      <c r="F233" s="26" t="s">
        <v>5</v>
      </c>
      <c r="G233" s="26" t="str">
        <f t="shared" si="12"/>
        <v/>
      </c>
      <c r="H233" s="5" t="str">
        <f t="shared" si="11"/>
        <v/>
      </c>
    </row>
    <row r="234" spans="1:9" hidden="1" x14ac:dyDescent="0.25">
      <c r="B234" s="23">
        <v>1231</v>
      </c>
      <c r="C234" s="23" t="s">
        <v>383</v>
      </c>
      <c r="D234" s="24" t="str">
        <f t="shared" si="10"/>
        <v>8.3.2Viet</v>
      </c>
      <c r="E234" s="24" t="s">
        <v>573</v>
      </c>
      <c r="F234" s="24" t="s">
        <v>3</v>
      </c>
      <c r="G234" s="24" t="str">
        <f t="shared" si="12"/>
        <v/>
      </c>
      <c r="H234" s="5" t="str">
        <f t="shared" si="11"/>
        <v/>
      </c>
    </row>
    <row r="235" spans="1:9" x14ac:dyDescent="0.25">
      <c r="A235" s="1">
        <v>68</v>
      </c>
      <c r="B235" s="27">
        <v>1232</v>
      </c>
      <c r="C235" s="27" t="s">
        <v>383</v>
      </c>
      <c r="D235" s="28" t="str">
        <f t="shared" si="10"/>
        <v>8.3.2Eng</v>
      </c>
      <c r="E235" s="28" t="s">
        <v>183</v>
      </c>
      <c r="F235" s="28" t="s">
        <v>4</v>
      </c>
      <c r="G235" s="28" t="str">
        <f t="shared" si="12"/>
        <v/>
      </c>
      <c r="H235" s="5" t="str">
        <f t="shared" si="11"/>
        <v/>
      </c>
    </row>
    <row r="236" spans="1:9" hidden="1" x14ac:dyDescent="0.25">
      <c r="B236" s="25">
        <v>1233</v>
      </c>
      <c r="C236" s="25" t="s">
        <v>383</v>
      </c>
      <c r="D236" s="26" t="str">
        <f t="shared" si="10"/>
        <v>8.3.2Phon</v>
      </c>
      <c r="E236" s="26" t="s">
        <v>761</v>
      </c>
      <c r="F236" s="26" t="s">
        <v>5</v>
      </c>
      <c r="G236" s="26" t="str">
        <f t="shared" si="12"/>
        <v/>
      </c>
      <c r="H236" s="5" t="str">
        <f t="shared" si="11"/>
        <v/>
      </c>
    </row>
    <row r="237" spans="1:9" hidden="1" x14ac:dyDescent="0.25">
      <c r="B237" s="23">
        <v>1234</v>
      </c>
      <c r="C237" s="23" t="s">
        <v>384</v>
      </c>
      <c r="D237" s="24" t="str">
        <f t="shared" si="10"/>
        <v>8.3.3Viet</v>
      </c>
      <c r="E237" s="24" t="s">
        <v>574</v>
      </c>
      <c r="F237" s="24" t="s">
        <v>3</v>
      </c>
      <c r="G237" s="24" t="str">
        <f t="shared" si="12"/>
        <v/>
      </c>
      <c r="H237" s="5" t="str">
        <f t="shared" si="11"/>
        <v/>
      </c>
    </row>
    <row r="238" spans="1:9" x14ac:dyDescent="0.25">
      <c r="A238" s="1">
        <v>69</v>
      </c>
      <c r="B238" s="27">
        <v>1235</v>
      </c>
      <c r="C238" s="27" t="s">
        <v>384</v>
      </c>
      <c r="D238" s="28" t="str">
        <f t="shared" si="10"/>
        <v>8.3.3Eng</v>
      </c>
      <c r="E238" s="28" t="s">
        <v>184</v>
      </c>
      <c r="F238" s="28" t="s">
        <v>4</v>
      </c>
      <c r="G238" s="28" t="str">
        <f t="shared" si="12"/>
        <v/>
      </c>
      <c r="H238" s="5" t="str">
        <f t="shared" si="11"/>
        <v/>
      </c>
    </row>
    <row r="239" spans="1:9" hidden="1" x14ac:dyDescent="0.25">
      <c r="B239" s="25">
        <v>1236</v>
      </c>
      <c r="C239" s="25" t="s">
        <v>384</v>
      </c>
      <c r="D239" s="26" t="str">
        <f t="shared" si="10"/>
        <v>8.3.3Phon</v>
      </c>
      <c r="E239" s="26" t="s">
        <v>762</v>
      </c>
      <c r="F239" s="26" t="s">
        <v>5</v>
      </c>
      <c r="G239" s="26" t="str">
        <f t="shared" si="12"/>
        <v/>
      </c>
      <c r="H239" s="5" t="str">
        <f t="shared" si="11"/>
        <v/>
      </c>
    </row>
    <row r="240" spans="1:9" hidden="1" x14ac:dyDescent="0.25">
      <c r="B240" s="19">
        <v>1237</v>
      </c>
      <c r="C240" s="19">
        <v>9</v>
      </c>
      <c r="D240" s="20" t="str">
        <f t="shared" si="10"/>
        <v>9Struc0</v>
      </c>
      <c r="E240" s="20" t="s">
        <v>266</v>
      </c>
      <c r="F240" s="20" t="s">
        <v>502</v>
      </c>
      <c r="G240" s="20" t="str">
        <f t="shared" si="12"/>
        <v/>
      </c>
      <c r="H240" s="5" t="str">
        <f t="shared" si="11"/>
        <v/>
      </c>
    </row>
    <row r="241" spans="1:9" hidden="1" x14ac:dyDescent="0.25">
      <c r="B241" s="21">
        <v>1238</v>
      </c>
      <c r="C241" s="21" t="s">
        <v>33</v>
      </c>
      <c r="D241" s="22" t="str">
        <f t="shared" si="10"/>
        <v>9.1Struc</v>
      </c>
      <c r="E241" s="22" t="s">
        <v>291</v>
      </c>
      <c r="F241" s="22" t="s">
        <v>11</v>
      </c>
      <c r="G241" s="22" t="str">
        <f t="shared" si="12"/>
        <v>https://docs.google.com/uc?export=download&amp;id=1tclbcdSN87yLVsOs9vP3yS3OX94Ca3z2</v>
      </c>
      <c r="H241" s="5" t="str">
        <f t="shared" si="11"/>
        <v>1tclbcdSN87yLVsOs9vP3yS3OX94Ca3z2</v>
      </c>
      <c r="I241" t="s">
        <v>903</v>
      </c>
    </row>
    <row r="242" spans="1:9" hidden="1" x14ac:dyDescent="0.25">
      <c r="B242" s="23">
        <v>1239</v>
      </c>
      <c r="C242" s="23" t="s">
        <v>385</v>
      </c>
      <c r="D242" s="24" t="str">
        <f t="shared" si="10"/>
        <v>9.1.1Viet</v>
      </c>
      <c r="E242" s="24" t="s">
        <v>914</v>
      </c>
      <c r="F242" s="24" t="s">
        <v>3</v>
      </c>
      <c r="G242" s="24" t="str">
        <f t="shared" si="12"/>
        <v/>
      </c>
      <c r="H242" s="5" t="str">
        <f t="shared" si="11"/>
        <v/>
      </c>
    </row>
    <row r="243" spans="1:9" x14ac:dyDescent="0.25">
      <c r="A243" s="1">
        <v>70</v>
      </c>
      <c r="B243" s="27">
        <v>1240</v>
      </c>
      <c r="C243" s="27" t="s">
        <v>385</v>
      </c>
      <c r="D243" s="28" t="str">
        <f t="shared" si="10"/>
        <v>9.1.1Eng</v>
      </c>
      <c r="E243" s="28" t="s">
        <v>185</v>
      </c>
      <c r="F243" s="28" t="s">
        <v>4</v>
      </c>
      <c r="G243" s="28" t="str">
        <f t="shared" si="12"/>
        <v/>
      </c>
      <c r="H243" s="5" t="str">
        <f t="shared" si="11"/>
        <v/>
      </c>
    </row>
    <row r="244" spans="1:9" hidden="1" x14ac:dyDescent="0.25">
      <c r="B244" s="25">
        <v>1241</v>
      </c>
      <c r="C244" s="25" t="s">
        <v>385</v>
      </c>
      <c r="D244" s="26" t="str">
        <f t="shared" si="10"/>
        <v>9.1.1Phon</v>
      </c>
      <c r="E244" s="26" t="s">
        <v>763</v>
      </c>
      <c r="F244" s="26" t="s">
        <v>5</v>
      </c>
      <c r="G244" s="26" t="str">
        <f t="shared" si="12"/>
        <v/>
      </c>
      <c r="H244" s="5" t="str">
        <f t="shared" si="11"/>
        <v/>
      </c>
    </row>
    <row r="245" spans="1:9" hidden="1" x14ac:dyDescent="0.25">
      <c r="B245" s="23">
        <v>1242</v>
      </c>
      <c r="C245" s="23" t="s">
        <v>386</v>
      </c>
      <c r="D245" s="24" t="str">
        <f t="shared" si="10"/>
        <v>9.1.2Viet</v>
      </c>
      <c r="E245" s="24" t="s">
        <v>575</v>
      </c>
      <c r="F245" s="24" t="s">
        <v>3</v>
      </c>
      <c r="G245" s="24" t="str">
        <f t="shared" si="12"/>
        <v/>
      </c>
      <c r="H245" s="5" t="str">
        <f t="shared" si="11"/>
        <v/>
      </c>
    </row>
    <row r="246" spans="1:9" x14ac:dyDescent="0.25">
      <c r="A246" s="1">
        <v>71</v>
      </c>
      <c r="B246" s="27">
        <v>1243</v>
      </c>
      <c r="C246" s="27" t="s">
        <v>386</v>
      </c>
      <c r="D246" s="28" t="str">
        <f t="shared" si="10"/>
        <v>9.1.2Eng</v>
      </c>
      <c r="E246" s="28" t="s">
        <v>186</v>
      </c>
      <c r="F246" s="28" t="s">
        <v>4</v>
      </c>
      <c r="G246" s="28" t="str">
        <f t="shared" si="12"/>
        <v/>
      </c>
      <c r="H246" s="5" t="str">
        <f t="shared" si="11"/>
        <v/>
      </c>
    </row>
    <row r="247" spans="1:9" hidden="1" x14ac:dyDescent="0.25">
      <c r="B247" s="25">
        <v>1244</v>
      </c>
      <c r="C247" s="25" t="s">
        <v>386</v>
      </c>
      <c r="D247" s="26" t="str">
        <f t="shared" si="10"/>
        <v>9.1.2Phon</v>
      </c>
      <c r="E247" s="26" t="s">
        <v>764</v>
      </c>
      <c r="F247" s="26" t="s">
        <v>5</v>
      </c>
      <c r="G247" s="26" t="str">
        <f t="shared" si="12"/>
        <v/>
      </c>
      <c r="H247" s="5" t="str">
        <f t="shared" si="11"/>
        <v/>
      </c>
    </row>
    <row r="248" spans="1:9" hidden="1" x14ac:dyDescent="0.25">
      <c r="B248" s="23">
        <v>1245</v>
      </c>
      <c r="C248" s="23" t="s">
        <v>387</v>
      </c>
      <c r="D248" s="24" t="str">
        <f t="shared" si="10"/>
        <v>9.1.3Viet</v>
      </c>
      <c r="E248" s="24" t="s">
        <v>576</v>
      </c>
      <c r="F248" s="24" t="s">
        <v>3</v>
      </c>
      <c r="G248" s="24" t="str">
        <f t="shared" si="12"/>
        <v/>
      </c>
      <c r="H248" s="5" t="str">
        <f t="shared" si="11"/>
        <v/>
      </c>
    </row>
    <row r="249" spans="1:9" x14ac:dyDescent="0.25">
      <c r="A249" s="1">
        <v>72</v>
      </c>
      <c r="B249" s="27">
        <v>1246</v>
      </c>
      <c r="C249" s="27" t="s">
        <v>387</v>
      </c>
      <c r="D249" s="28" t="str">
        <f t="shared" si="10"/>
        <v>9.1.3Eng</v>
      </c>
      <c r="E249" s="28" t="s">
        <v>102</v>
      </c>
      <c r="F249" s="28" t="s">
        <v>4</v>
      </c>
      <c r="G249" s="28" t="str">
        <f t="shared" si="12"/>
        <v/>
      </c>
      <c r="H249" s="5" t="str">
        <f t="shared" si="11"/>
        <v/>
      </c>
    </row>
    <row r="250" spans="1:9" hidden="1" x14ac:dyDescent="0.25">
      <c r="B250" s="25">
        <v>1247</v>
      </c>
      <c r="C250" s="25" t="s">
        <v>387</v>
      </c>
      <c r="D250" s="26" t="str">
        <f t="shared" si="10"/>
        <v>9.1.3Phon</v>
      </c>
      <c r="E250" s="26" t="s">
        <v>765</v>
      </c>
      <c r="F250" s="26" t="s">
        <v>5</v>
      </c>
      <c r="G250" s="26" t="str">
        <f t="shared" si="12"/>
        <v/>
      </c>
      <c r="H250" s="5" t="str">
        <f t="shared" si="11"/>
        <v/>
      </c>
    </row>
    <row r="251" spans="1:9" hidden="1" x14ac:dyDescent="0.25">
      <c r="B251" s="23">
        <v>1248</v>
      </c>
      <c r="C251" s="23" t="s">
        <v>388</v>
      </c>
      <c r="D251" s="24" t="str">
        <f t="shared" si="10"/>
        <v>9.1.4Viet</v>
      </c>
      <c r="E251" s="24" t="s">
        <v>577</v>
      </c>
      <c r="F251" s="24" t="s">
        <v>3</v>
      </c>
      <c r="G251" s="24" t="str">
        <f t="shared" si="12"/>
        <v/>
      </c>
      <c r="H251" s="5" t="str">
        <f t="shared" si="11"/>
        <v/>
      </c>
    </row>
    <row r="252" spans="1:9" x14ac:dyDescent="0.25">
      <c r="A252" s="1">
        <v>73</v>
      </c>
      <c r="B252" s="27">
        <v>1249</v>
      </c>
      <c r="C252" s="27" t="s">
        <v>388</v>
      </c>
      <c r="D252" s="28" t="str">
        <f t="shared" si="10"/>
        <v>9.1.4Eng</v>
      </c>
      <c r="E252" s="28" t="s">
        <v>103</v>
      </c>
      <c r="F252" s="28" t="s">
        <v>4</v>
      </c>
      <c r="G252" s="28" t="str">
        <f t="shared" si="12"/>
        <v/>
      </c>
      <c r="H252" s="5" t="str">
        <f t="shared" si="11"/>
        <v/>
      </c>
    </row>
    <row r="253" spans="1:9" hidden="1" x14ac:dyDescent="0.25">
      <c r="B253" s="25">
        <v>1250</v>
      </c>
      <c r="C253" s="25" t="s">
        <v>388</v>
      </c>
      <c r="D253" s="26" t="str">
        <f t="shared" si="10"/>
        <v>9.1.4Phon</v>
      </c>
      <c r="E253" s="26" t="s">
        <v>766</v>
      </c>
      <c r="F253" s="26" t="s">
        <v>5</v>
      </c>
      <c r="G253" s="26" t="str">
        <f t="shared" si="12"/>
        <v/>
      </c>
      <c r="H253" s="5" t="str">
        <f t="shared" si="11"/>
        <v/>
      </c>
    </row>
    <row r="254" spans="1:9" hidden="1" x14ac:dyDescent="0.25">
      <c r="B254" s="21">
        <v>1251</v>
      </c>
      <c r="C254" s="21" t="s">
        <v>34</v>
      </c>
      <c r="D254" s="22" t="str">
        <f t="shared" si="10"/>
        <v>9.2Struc</v>
      </c>
      <c r="E254" s="22" t="s">
        <v>292</v>
      </c>
      <c r="F254" s="22" t="s">
        <v>11</v>
      </c>
      <c r="G254" s="22" t="str">
        <f t="shared" si="12"/>
        <v>https://docs.google.com/uc?export=download&amp;id=1F_g1Ueom0R3oynJBYiLH7EyJvsLjBSC3</v>
      </c>
      <c r="H254" s="5" t="str">
        <f t="shared" si="11"/>
        <v>1F_g1Ueom0R3oynJBYiLH7EyJvsLjBSC3</v>
      </c>
      <c r="I254" t="s">
        <v>904</v>
      </c>
    </row>
    <row r="255" spans="1:9" hidden="1" x14ac:dyDescent="0.25">
      <c r="B255" s="23">
        <v>1252</v>
      </c>
      <c r="C255" s="23" t="s">
        <v>389</v>
      </c>
      <c r="D255" s="24" t="str">
        <f t="shared" si="10"/>
        <v>9.2.1Viet</v>
      </c>
      <c r="E255" s="24" t="s">
        <v>578</v>
      </c>
      <c r="F255" s="24" t="s">
        <v>3</v>
      </c>
      <c r="G255" s="24" t="str">
        <f t="shared" si="12"/>
        <v/>
      </c>
      <c r="H255" s="5" t="str">
        <f t="shared" si="11"/>
        <v/>
      </c>
    </row>
    <row r="256" spans="1:9" x14ac:dyDescent="0.25">
      <c r="A256" s="1">
        <v>74</v>
      </c>
      <c r="B256" s="27">
        <v>1253</v>
      </c>
      <c r="C256" s="27" t="s">
        <v>389</v>
      </c>
      <c r="D256" s="28" t="str">
        <f t="shared" si="10"/>
        <v>9.2.1Eng</v>
      </c>
      <c r="E256" s="28" t="s">
        <v>187</v>
      </c>
      <c r="F256" s="28" t="s">
        <v>4</v>
      </c>
      <c r="G256" s="28" t="str">
        <f t="shared" si="12"/>
        <v/>
      </c>
      <c r="H256" s="5" t="str">
        <f t="shared" si="11"/>
        <v/>
      </c>
    </row>
    <row r="257" spans="1:9" hidden="1" x14ac:dyDescent="0.25">
      <c r="B257" s="25">
        <v>1254</v>
      </c>
      <c r="C257" s="25" t="s">
        <v>389</v>
      </c>
      <c r="D257" s="26" t="str">
        <f t="shared" si="10"/>
        <v>9.2.1Phon</v>
      </c>
      <c r="E257" s="26" t="s">
        <v>767</v>
      </c>
      <c r="F257" s="26" t="s">
        <v>5</v>
      </c>
      <c r="G257" s="26" t="str">
        <f t="shared" si="12"/>
        <v/>
      </c>
      <c r="H257" s="5" t="str">
        <f t="shared" si="11"/>
        <v/>
      </c>
    </row>
    <row r="258" spans="1:9" hidden="1" x14ac:dyDescent="0.25">
      <c r="B258" s="23">
        <v>1255</v>
      </c>
      <c r="C258" s="23" t="s">
        <v>390</v>
      </c>
      <c r="D258" s="24" t="str">
        <f t="shared" si="10"/>
        <v>9.2.2Viet</v>
      </c>
      <c r="E258" s="24" t="s">
        <v>579</v>
      </c>
      <c r="F258" s="24" t="s">
        <v>3</v>
      </c>
      <c r="G258" s="24" t="str">
        <f t="shared" si="12"/>
        <v/>
      </c>
      <c r="H258" s="5" t="str">
        <f t="shared" si="11"/>
        <v/>
      </c>
    </row>
    <row r="259" spans="1:9" x14ac:dyDescent="0.25">
      <c r="A259" s="1">
        <v>75</v>
      </c>
      <c r="B259" s="27">
        <v>1256</v>
      </c>
      <c r="C259" s="27" t="s">
        <v>390</v>
      </c>
      <c r="D259" s="28" t="str">
        <f t="shared" si="10"/>
        <v>9.2.2Eng</v>
      </c>
      <c r="E259" s="28" t="s">
        <v>188</v>
      </c>
      <c r="F259" s="28" t="s">
        <v>4</v>
      </c>
      <c r="G259" s="28" t="str">
        <f t="shared" si="12"/>
        <v/>
      </c>
      <c r="H259" s="5" t="str">
        <f t="shared" si="11"/>
        <v/>
      </c>
    </row>
    <row r="260" spans="1:9" hidden="1" x14ac:dyDescent="0.25">
      <c r="B260" s="25">
        <v>1257</v>
      </c>
      <c r="C260" s="25" t="s">
        <v>390</v>
      </c>
      <c r="D260" s="26" t="str">
        <f t="shared" ref="D260:D323" si="13">C260&amp;F260</f>
        <v>9.2.2Phon</v>
      </c>
      <c r="E260" s="26" t="s">
        <v>768</v>
      </c>
      <c r="F260" s="26" t="s">
        <v>5</v>
      </c>
      <c r="G260" s="26" t="str">
        <f t="shared" si="12"/>
        <v/>
      </c>
      <c r="H260" s="5" t="str">
        <f t="shared" si="11"/>
        <v/>
      </c>
    </row>
    <row r="261" spans="1:9" hidden="1" x14ac:dyDescent="0.25">
      <c r="B261" s="23">
        <v>1258</v>
      </c>
      <c r="C261" s="23" t="s">
        <v>391</v>
      </c>
      <c r="D261" s="24" t="str">
        <f t="shared" si="13"/>
        <v>9.2.3Viet</v>
      </c>
      <c r="E261" s="24" t="s">
        <v>580</v>
      </c>
      <c r="F261" s="24" t="s">
        <v>3</v>
      </c>
      <c r="G261" s="24" t="str">
        <f t="shared" si="12"/>
        <v/>
      </c>
      <c r="H261" s="5" t="str">
        <f t="shared" si="11"/>
        <v/>
      </c>
    </row>
    <row r="262" spans="1:9" x14ac:dyDescent="0.25">
      <c r="A262" s="1">
        <v>76</v>
      </c>
      <c r="B262" s="27">
        <v>1259</v>
      </c>
      <c r="C262" s="27" t="s">
        <v>391</v>
      </c>
      <c r="D262" s="28" t="str">
        <f t="shared" si="13"/>
        <v>9.2.3Eng</v>
      </c>
      <c r="E262" s="28" t="s">
        <v>104</v>
      </c>
      <c r="F262" s="28" t="s">
        <v>4</v>
      </c>
      <c r="G262" s="28" t="str">
        <f t="shared" si="12"/>
        <v/>
      </c>
      <c r="H262" s="5" t="str">
        <f t="shared" ref="H262:H325" si="14">IFERROR(LEFT(RIGHT(I262,LEN(I262)-32),LEN(RIGHT(I262,LEN(I262)-32))-17),"")</f>
        <v/>
      </c>
    </row>
    <row r="263" spans="1:9" hidden="1" x14ac:dyDescent="0.25">
      <c r="B263" s="25">
        <v>1260</v>
      </c>
      <c r="C263" s="25" t="s">
        <v>391</v>
      </c>
      <c r="D263" s="26" t="str">
        <f t="shared" si="13"/>
        <v>9.2.3Phon</v>
      </c>
      <c r="E263" s="26" t="s">
        <v>769</v>
      </c>
      <c r="F263" s="26" t="s">
        <v>5</v>
      </c>
      <c r="G263" s="26" t="str">
        <f t="shared" si="12"/>
        <v/>
      </c>
      <c r="H263" s="5" t="str">
        <f t="shared" si="14"/>
        <v/>
      </c>
    </row>
    <row r="264" spans="1:9" hidden="1" x14ac:dyDescent="0.25">
      <c r="B264" s="21">
        <v>1261</v>
      </c>
      <c r="C264" s="21" t="s">
        <v>35</v>
      </c>
      <c r="D264" s="22" t="str">
        <f t="shared" si="13"/>
        <v>9.3Struc</v>
      </c>
      <c r="E264" s="22" t="s">
        <v>293</v>
      </c>
      <c r="F264" s="22" t="s">
        <v>11</v>
      </c>
      <c r="G264" s="22" t="str">
        <f t="shared" si="12"/>
        <v>https://docs.google.com/uc?export=download&amp;id=1bywdRfv2nkhuhOMzsYIN8nGgMc7Zp6HG</v>
      </c>
      <c r="H264" s="5" t="str">
        <f t="shared" si="14"/>
        <v>1bywdRfv2nkhuhOMzsYIN8nGgMc7Zp6HG</v>
      </c>
      <c r="I264" t="s">
        <v>905</v>
      </c>
    </row>
    <row r="265" spans="1:9" hidden="1" x14ac:dyDescent="0.25">
      <c r="B265" s="23">
        <v>1262</v>
      </c>
      <c r="C265" s="23" t="s">
        <v>392</v>
      </c>
      <c r="D265" s="24" t="str">
        <f t="shared" si="13"/>
        <v>9.3.1Viet</v>
      </c>
      <c r="E265" s="24" t="s">
        <v>581</v>
      </c>
      <c r="F265" s="24" t="s">
        <v>3</v>
      </c>
      <c r="G265" s="24" t="str">
        <f t="shared" ref="G265:G328" si="15">IF(H265="","","https://docs.google.com/uc?export=download&amp;id="&amp;H265)</f>
        <v/>
      </c>
      <c r="H265" s="5" t="str">
        <f t="shared" si="14"/>
        <v/>
      </c>
    </row>
    <row r="266" spans="1:9" x14ac:dyDescent="0.25">
      <c r="A266" s="1">
        <v>77</v>
      </c>
      <c r="B266" s="27">
        <v>1263</v>
      </c>
      <c r="C266" s="27" t="s">
        <v>392</v>
      </c>
      <c r="D266" s="28" t="str">
        <f t="shared" si="13"/>
        <v>9.3.1Eng</v>
      </c>
      <c r="E266" s="28" t="s">
        <v>189</v>
      </c>
      <c r="F266" s="28" t="s">
        <v>4</v>
      </c>
      <c r="G266" s="28" t="str">
        <f t="shared" si="15"/>
        <v/>
      </c>
      <c r="H266" s="5" t="str">
        <f t="shared" si="14"/>
        <v/>
      </c>
    </row>
    <row r="267" spans="1:9" hidden="1" x14ac:dyDescent="0.25">
      <c r="B267" s="25">
        <v>1264</v>
      </c>
      <c r="C267" s="25" t="s">
        <v>392</v>
      </c>
      <c r="D267" s="26" t="str">
        <f t="shared" si="13"/>
        <v>9.3.1Phon</v>
      </c>
      <c r="E267" s="26" t="s">
        <v>770</v>
      </c>
      <c r="F267" s="26" t="s">
        <v>5</v>
      </c>
      <c r="G267" s="26" t="str">
        <f t="shared" si="15"/>
        <v/>
      </c>
      <c r="H267" s="5" t="str">
        <f t="shared" si="14"/>
        <v/>
      </c>
    </row>
    <row r="268" spans="1:9" hidden="1" x14ac:dyDescent="0.25">
      <c r="B268" s="23">
        <v>1265</v>
      </c>
      <c r="C268" s="23" t="s">
        <v>393</v>
      </c>
      <c r="D268" s="24" t="str">
        <f t="shared" si="13"/>
        <v>9.3.2Viet</v>
      </c>
      <c r="E268" s="24" t="s">
        <v>582</v>
      </c>
      <c r="F268" s="24" t="s">
        <v>3</v>
      </c>
      <c r="G268" s="24" t="str">
        <f t="shared" si="15"/>
        <v/>
      </c>
      <c r="H268" s="5" t="str">
        <f t="shared" si="14"/>
        <v/>
      </c>
    </row>
    <row r="269" spans="1:9" x14ac:dyDescent="0.25">
      <c r="A269" s="1">
        <v>78</v>
      </c>
      <c r="B269" s="27">
        <v>1266</v>
      </c>
      <c r="C269" s="27" t="s">
        <v>393</v>
      </c>
      <c r="D269" s="28" t="str">
        <f t="shared" si="13"/>
        <v>9.3.2Eng</v>
      </c>
      <c r="E269" s="28" t="s">
        <v>190</v>
      </c>
      <c r="F269" s="28" t="s">
        <v>4</v>
      </c>
      <c r="G269" s="28" t="str">
        <f t="shared" si="15"/>
        <v/>
      </c>
      <c r="H269" s="5" t="str">
        <f t="shared" si="14"/>
        <v/>
      </c>
    </row>
    <row r="270" spans="1:9" hidden="1" x14ac:dyDescent="0.25">
      <c r="B270" s="25">
        <v>1267</v>
      </c>
      <c r="C270" s="25" t="s">
        <v>393</v>
      </c>
      <c r="D270" s="26" t="str">
        <f t="shared" si="13"/>
        <v>9.3.2Phon</v>
      </c>
      <c r="E270" s="26" t="s">
        <v>771</v>
      </c>
      <c r="F270" s="26" t="s">
        <v>5</v>
      </c>
      <c r="G270" s="26" t="str">
        <f t="shared" si="15"/>
        <v/>
      </c>
      <c r="H270" s="5" t="str">
        <f t="shared" si="14"/>
        <v/>
      </c>
    </row>
    <row r="271" spans="1:9" hidden="1" x14ac:dyDescent="0.25">
      <c r="B271" s="23">
        <v>1268</v>
      </c>
      <c r="C271" s="23" t="s">
        <v>394</v>
      </c>
      <c r="D271" s="24" t="str">
        <f t="shared" si="13"/>
        <v>9.3.3Viet</v>
      </c>
      <c r="E271" s="24" t="s">
        <v>583</v>
      </c>
      <c r="F271" s="24" t="s">
        <v>3</v>
      </c>
      <c r="G271" s="24" t="str">
        <f t="shared" si="15"/>
        <v/>
      </c>
      <c r="H271" s="5" t="str">
        <f t="shared" si="14"/>
        <v/>
      </c>
    </row>
    <row r="272" spans="1:9" x14ac:dyDescent="0.25">
      <c r="A272" s="1">
        <v>79</v>
      </c>
      <c r="B272" s="27">
        <v>1269</v>
      </c>
      <c r="C272" s="27" t="s">
        <v>394</v>
      </c>
      <c r="D272" s="28" t="str">
        <f t="shared" si="13"/>
        <v>9.3.3Eng</v>
      </c>
      <c r="E272" s="28" t="s">
        <v>191</v>
      </c>
      <c r="F272" s="28" t="s">
        <v>4</v>
      </c>
      <c r="G272" s="28" t="str">
        <f t="shared" si="15"/>
        <v/>
      </c>
      <c r="H272" s="5" t="str">
        <f t="shared" si="14"/>
        <v/>
      </c>
    </row>
    <row r="273" spans="1:9" hidden="1" x14ac:dyDescent="0.25">
      <c r="B273" s="25">
        <v>1270</v>
      </c>
      <c r="C273" s="25" t="s">
        <v>394</v>
      </c>
      <c r="D273" s="26" t="str">
        <f t="shared" si="13"/>
        <v>9.3.3Phon</v>
      </c>
      <c r="E273" s="26" t="s">
        <v>772</v>
      </c>
      <c r="F273" s="26" t="s">
        <v>5</v>
      </c>
      <c r="G273" s="26" t="str">
        <f t="shared" si="15"/>
        <v/>
      </c>
      <c r="H273" s="5" t="str">
        <f t="shared" si="14"/>
        <v/>
      </c>
    </row>
    <row r="274" spans="1:9" hidden="1" x14ac:dyDescent="0.25">
      <c r="B274" s="19">
        <v>1271</v>
      </c>
      <c r="C274" s="19">
        <v>10</v>
      </c>
      <c r="D274" s="20" t="str">
        <f t="shared" si="13"/>
        <v>10Struc0</v>
      </c>
      <c r="E274" s="20" t="s">
        <v>267</v>
      </c>
      <c r="F274" s="20" t="s">
        <v>502</v>
      </c>
      <c r="G274" s="20" t="str">
        <f t="shared" si="15"/>
        <v/>
      </c>
      <c r="H274" s="5" t="str">
        <f t="shared" si="14"/>
        <v/>
      </c>
    </row>
    <row r="275" spans="1:9" hidden="1" x14ac:dyDescent="0.25">
      <c r="B275" s="21">
        <v>1272</v>
      </c>
      <c r="C275" s="21" t="s">
        <v>36</v>
      </c>
      <c r="D275" s="22" t="str">
        <f t="shared" si="13"/>
        <v>10.1Struc</v>
      </c>
      <c r="E275" s="22" t="s">
        <v>294</v>
      </c>
      <c r="F275" s="22" t="s">
        <v>11</v>
      </c>
      <c r="G275" s="22" t="str">
        <f t="shared" si="15"/>
        <v>https://docs.google.com/uc?export=download&amp;id=191fapVd2LUyij1NsFkZi3jCMzp91J805</v>
      </c>
      <c r="H275" s="5" t="str">
        <f t="shared" si="14"/>
        <v>191fapVd2LUyij1NsFkZi3jCMzp91J805</v>
      </c>
      <c r="I275" t="s">
        <v>906</v>
      </c>
    </row>
    <row r="276" spans="1:9" hidden="1" x14ac:dyDescent="0.25">
      <c r="B276" s="23">
        <v>1273</v>
      </c>
      <c r="C276" s="23" t="s">
        <v>395</v>
      </c>
      <c r="D276" s="24" t="str">
        <f t="shared" si="13"/>
        <v>10.1.1Viet</v>
      </c>
      <c r="E276" s="24" t="s">
        <v>584</v>
      </c>
      <c r="F276" s="24" t="s">
        <v>3</v>
      </c>
      <c r="G276" s="24" t="str">
        <f t="shared" si="15"/>
        <v/>
      </c>
      <c r="H276" s="5" t="str">
        <f t="shared" si="14"/>
        <v/>
      </c>
    </row>
    <row r="277" spans="1:9" x14ac:dyDescent="0.25">
      <c r="A277" s="1">
        <v>80</v>
      </c>
      <c r="B277" s="27">
        <v>1274</v>
      </c>
      <c r="C277" s="27" t="s">
        <v>395</v>
      </c>
      <c r="D277" s="28" t="str">
        <f t="shared" si="13"/>
        <v>10.1.1Eng</v>
      </c>
      <c r="E277" s="28" t="s">
        <v>192</v>
      </c>
      <c r="F277" s="28" t="s">
        <v>4</v>
      </c>
      <c r="G277" s="28" t="str">
        <f t="shared" si="15"/>
        <v/>
      </c>
      <c r="H277" s="5" t="str">
        <f t="shared" si="14"/>
        <v/>
      </c>
    </row>
    <row r="278" spans="1:9" hidden="1" x14ac:dyDescent="0.25">
      <c r="B278" s="25">
        <v>1275</v>
      </c>
      <c r="C278" s="25" t="s">
        <v>395</v>
      </c>
      <c r="D278" s="26" t="str">
        <f t="shared" si="13"/>
        <v>10.1.1Phon</v>
      </c>
      <c r="E278" s="26" t="s">
        <v>773</v>
      </c>
      <c r="F278" s="26" t="s">
        <v>5</v>
      </c>
      <c r="G278" s="26" t="str">
        <f t="shared" si="15"/>
        <v/>
      </c>
      <c r="H278" s="5" t="str">
        <f t="shared" si="14"/>
        <v/>
      </c>
    </row>
    <row r="279" spans="1:9" hidden="1" x14ac:dyDescent="0.25">
      <c r="B279" s="23">
        <v>1276</v>
      </c>
      <c r="C279" s="23" t="s">
        <v>396</v>
      </c>
      <c r="D279" s="24" t="str">
        <f t="shared" si="13"/>
        <v>10.1.2Viet</v>
      </c>
      <c r="E279" s="24" t="s">
        <v>585</v>
      </c>
      <c r="F279" s="24" t="s">
        <v>3</v>
      </c>
      <c r="G279" s="24" t="str">
        <f t="shared" si="15"/>
        <v/>
      </c>
      <c r="H279" s="5" t="str">
        <f t="shared" si="14"/>
        <v/>
      </c>
    </row>
    <row r="280" spans="1:9" x14ac:dyDescent="0.25">
      <c r="A280" s="1">
        <v>81</v>
      </c>
      <c r="B280" s="27">
        <v>1277</v>
      </c>
      <c r="C280" s="27" t="s">
        <v>396</v>
      </c>
      <c r="D280" s="28" t="str">
        <f t="shared" si="13"/>
        <v>10.1.2Eng</v>
      </c>
      <c r="E280" s="28" t="s">
        <v>105</v>
      </c>
      <c r="F280" s="28" t="s">
        <v>4</v>
      </c>
      <c r="G280" s="28" t="str">
        <f t="shared" si="15"/>
        <v/>
      </c>
      <c r="H280" s="5" t="str">
        <f t="shared" si="14"/>
        <v/>
      </c>
    </row>
    <row r="281" spans="1:9" hidden="1" x14ac:dyDescent="0.25">
      <c r="B281" s="25">
        <v>1278</v>
      </c>
      <c r="C281" s="25" t="s">
        <v>396</v>
      </c>
      <c r="D281" s="26" t="str">
        <f t="shared" si="13"/>
        <v>10.1.2Phon</v>
      </c>
      <c r="E281" s="26" t="s">
        <v>774</v>
      </c>
      <c r="F281" s="26" t="s">
        <v>5</v>
      </c>
      <c r="G281" s="26" t="str">
        <f t="shared" si="15"/>
        <v/>
      </c>
      <c r="H281" s="5" t="str">
        <f t="shared" si="14"/>
        <v/>
      </c>
    </row>
    <row r="282" spans="1:9" hidden="1" x14ac:dyDescent="0.25">
      <c r="B282" s="23">
        <v>1279</v>
      </c>
      <c r="C282" s="23" t="s">
        <v>397</v>
      </c>
      <c r="D282" s="24" t="str">
        <f t="shared" si="13"/>
        <v>10.1.3Viet</v>
      </c>
      <c r="E282" s="24" t="s">
        <v>586</v>
      </c>
      <c r="F282" s="24" t="s">
        <v>3</v>
      </c>
      <c r="G282" s="24" t="str">
        <f t="shared" si="15"/>
        <v/>
      </c>
      <c r="H282" s="5" t="str">
        <f t="shared" si="14"/>
        <v/>
      </c>
    </row>
    <row r="283" spans="1:9" x14ac:dyDescent="0.25">
      <c r="A283" s="1">
        <v>82</v>
      </c>
      <c r="B283" s="27">
        <v>1280</v>
      </c>
      <c r="C283" s="27" t="s">
        <v>397</v>
      </c>
      <c r="D283" s="28" t="str">
        <f t="shared" si="13"/>
        <v>10.1.3Eng</v>
      </c>
      <c r="E283" s="28" t="s">
        <v>106</v>
      </c>
      <c r="F283" s="28" t="s">
        <v>4</v>
      </c>
      <c r="G283" s="28" t="str">
        <f t="shared" si="15"/>
        <v/>
      </c>
      <c r="H283" s="5" t="str">
        <f t="shared" si="14"/>
        <v/>
      </c>
    </row>
    <row r="284" spans="1:9" hidden="1" x14ac:dyDescent="0.25">
      <c r="B284" s="25">
        <v>1281</v>
      </c>
      <c r="C284" s="25" t="s">
        <v>397</v>
      </c>
      <c r="D284" s="26" t="str">
        <f t="shared" si="13"/>
        <v>10.1.3Phon</v>
      </c>
      <c r="E284" s="26" t="s">
        <v>775</v>
      </c>
      <c r="F284" s="26" t="s">
        <v>5</v>
      </c>
      <c r="G284" s="26" t="str">
        <f t="shared" si="15"/>
        <v/>
      </c>
      <c r="H284" s="5" t="str">
        <f t="shared" si="14"/>
        <v/>
      </c>
    </row>
    <row r="285" spans="1:9" hidden="1" x14ac:dyDescent="0.25">
      <c r="B285" s="21">
        <v>1282</v>
      </c>
      <c r="C285" s="21" t="s">
        <v>37</v>
      </c>
      <c r="D285" s="22" t="str">
        <f t="shared" si="13"/>
        <v>10.2Struc</v>
      </c>
      <c r="E285" s="22" t="s">
        <v>295</v>
      </c>
      <c r="F285" s="22" t="s">
        <v>11</v>
      </c>
      <c r="G285" s="22" t="str">
        <f t="shared" si="15"/>
        <v>https://docs.google.com/uc?export=download&amp;id=1_VXPtMXi14JPAYNrDpA0NY0gvZHTigj9</v>
      </c>
      <c r="H285" s="5" t="str">
        <f t="shared" si="14"/>
        <v>1_VXPtMXi14JPAYNrDpA0NY0gvZHTigj9</v>
      </c>
      <c r="I285" t="s">
        <v>907</v>
      </c>
    </row>
    <row r="286" spans="1:9" hidden="1" x14ac:dyDescent="0.25">
      <c r="B286" s="23">
        <v>1283</v>
      </c>
      <c r="C286" s="23" t="s">
        <v>398</v>
      </c>
      <c r="D286" s="24" t="str">
        <f t="shared" si="13"/>
        <v>10.2.1Viet</v>
      </c>
      <c r="E286" s="24" t="s">
        <v>587</v>
      </c>
      <c r="F286" s="24" t="s">
        <v>3</v>
      </c>
      <c r="G286" s="24" t="str">
        <f t="shared" si="15"/>
        <v/>
      </c>
      <c r="H286" s="5" t="str">
        <f t="shared" si="14"/>
        <v/>
      </c>
    </row>
    <row r="287" spans="1:9" x14ac:dyDescent="0.25">
      <c r="A287" s="1">
        <v>83</v>
      </c>
      <c r="B287" s="27">
        <v>1284</v>
      </c>
      <c r="C287" s="27" t="s">
        <v>398</v>
      </c>
      <c r="D287" s="28" t="str">
        <f t="shared" si="13"/>
        <v>10.2.1Eng</v>
      </c>
      <c r="E287" s="28" t="s">
        <v>193</v>
      </c>
      <c r="F287" s="28" t="s">
        <v>4</v>
      </c>
      <c r="G287" s="28" t="str">
        <f t="shared" si="15"/>
        <v/>
      </c>
      <c r="H287" s="5" t="str">
        <f t="shared" si="14"/>
        <v/>
      </c>
    </row>
    <row r="288" spans="1:9" hidden="1" x14ac:dyDescent="0.25">
      <c r="B288" s="25">
        <v>1285</v>
      </c>
      <c r="C288" s="25" t="s">
        <v>398</v>
      </c>
      <c r="D288" s="26" t="str">
        <f t="shared" si="13"/>
        <v>10.2.1Phon</v>
      </c>
      <c r="E288" s="26" t="s">
        <v>776</v>
      </c>
      <c r="F288" s="26" t="s">
        <v>5</v>
      </c>
      <c r="G288" s="26" t="str">
        <f t="shared" si="15"/>
        <v/>
      </c>
      <c r="H288" s="5" t="str">
        <f t="shared" si="14"/>
        <v/>
      </c>
    </row>
    <row r="289" spans="1:9" hidden="1" x14ac:dyDescent="0.25">
      <c r="B289" s="23">
        <v>1286</v>
      </c>
      <c r="C289" s="23" t="s">
        <v>399</v>
      </c>
      <c r="D289" s="24" t="str">
        <f t="shared" si="13"/>
        <v>10.2.2Viet</v>
      </c>
      <c r="E289" s="24" t="s">
        <v>588</v>
      </c>
      <c r="F289" s="24" t="s">
        <v>3</v>
      </c>
      <c r="G289" s="24" t="str">
        <f t="shared" si="15"/>
        <v/>
      </c>
      <c r="H289" s="5" t="str">
        <f t="shared" si="14"/>
        <v/>
      </c>
    </row>
    <row r="290" spans="1:9" x14ac:dyDescent="0.25">
      <c r="A290" s="1">
        <v>84</v>
      </c>
      <c r="B290" s="27">
        <v>1287</v>
      </c>
      <c r="C290" s="27" t="s">
        <v>399</v>
      </c>
      <c r="D290" s="28" t="str">
        <f t="shared" si="13"/>
        <v>10.2.2Eng</v>
      </c>
      <c r="E290" s="28" t="s">
        <v>107</v>
      </c>
      <c r="F290" s="28" t="s">
        <v>4</v>
      </c>
      <c r="G290" s="28" t="str">
        <f t="shared" si="15"/>
        <v/>
      </c>
      <c r="H290" s="5" t="str">
        <f t="shared" si="14"/>
        <v/>
      </c>
    </row>
    <row r="291" spans="1:9" hidden="1" x14ac:dyDescent="0.25">
      <c r="B291" s="25">
        <v>1288</v>
      </c>
      <c r="C291" s="25" t="s">
        <v>399</v>
      </c>
      <c r="D291" s="26" t="str">
        <f t="shared" si="13"/>
        <v>10.2.2Phon</v>
      </c>
      <c r="E291" s="26" t="s">
        <v>777</v>
      </c>
      <c r="F291" s="26" t="s">
        <v>5</v>
      </c>
      <c r="G291" s="26" t="str">
        <f t="shared" si="15"/>
        <v/>
      </c>
      <c r="H291" s="5" t="str">
        <f t="shared" si="14"/>
        <v/>
      </c>
    </row>
    <row r="292" spans="1:9" hidden="1" x14ac:dyDescent="0.25">
      <c r="B292" s="23">
        <v>1289</v>
      </c>
      <c r="C292" s="23" t="s">
        <v>400</v>
      </c>
      <c r="D292" s="24" t="str">
        <f t="shared" si="13"/>
        <v>10.2.3Viet</v>
      </c>
      <c r="E292" s="24" t="s">
        <v>589</v>
      </c>
      <c r="F292" s="24" t="s">
        <v>3</v>
      </c>
      <c r="G292" s="24" t="str">
        <f t="shared" si="15"/>
        <v/>
      </c>
      <c r="H292" s="5" t="str">
        <f t="shared" si="14"/>
        <v/>
      </c>
    </row>
    <row r="293" spans="1:9" x14ac:dyDescent="0.25">
      <c r="A293" s="1">
        <v>85</v>
      </c>
      <c r="B293" s="27">
        <v>1290</v>
      </c>
      <c r="C293" s="27" t="s">
        <v>400</v>
      </c>
      <c r="D293" s="28" t="str">
        <f t="shared" si="13"/>
        <v>10.2.3Eng</v>
      </c>
      <c r="E293" s="28" t="s">
        <v>108</v>
      </c>
      <c r="F293" s="28" t="s">
        <v>4</v>
      </c>
      <c r="G293" s="28" t="str">
        <f t="shared" si="15"/>
        <v/>
      </c>
      <c r="H293" s="5" t="str">
        <f t="shared" si="14"/>
        <v/>
      </c>
    </row>
    <row r="294" spans="1:9" hidden="1" x14ac:dyDescent="0.25">
      <c r="B294" s="25">
        <v>1291</v>
      </c>
      <c r="C294" s="25" t="s">
        <v>400</v>
      </c>
      <c r="D294" s="26" t="str">
        <f t="shared" si="13"/>
        <v>10.2.3Phon</v>
      </c>
      <c r="E294" s="26" t="s">
        <v>778</v>
      </c>
      <c r="F294" s="26" t="s">
        <v>5</v>
      </c>
      <c r="G294" s="26" t="str">
        <f t="shared" si="15"/>
        <v/>
      </c>
      <c r="H294" s="5" t="str">
        <f t="shared" si="14"/>
        <v/>
      </c>
    </row>
    <row r="295" spans="1:9" hidden="1" x14ac:dyDescent="0.25">
      <c r="B295" s="21">
        <v>1292</v>
      </c>
      <c r="C295" s="21" t="s">
        <v>38</v>
      </c>
      <c r="D295" s="22" t="str">
        <f t="shared" si="13"/>
        <v>10.3Struc</v>
      </c>
      <c r="E295" s="22" t="s">
        <v>296</v>
      </c>
      <c r="F295" s="22" t="s">
        <v>11</v>
      </c>
      <c r="G295" s="22" t="str">
        <f t="shared" si="15"/>
        <v>https://docs.google.com/uc?export=download&amp;id=1oJCZGtwhoHLumAmugLxsvclcEniOQMpj</v>
      </c>
      <c r="H295" s="5" t="str">
        <f t="shared" si="14"/>
        <v>1oJCZGtwhoHLumAmugLxsvclcEniOQMpj</v>
      </c>
      <c r="I295" t="s">
        <v>908</v>
      </c>
    </row>
    <row r="296" spans="1:9" hidden="1" x14ac:dyDescent="0.25">
      <c r="B296" s="23">
        <v>1293</v>
      </c>
      <c r="C296" s="23" t="s">
        <v>401</v>
      </c>
      <c r="D296" s="24" t="str">
        <f t="shared" si="13"/>
        <v>10.3.1Viet</v>
      </c>
      <c r="E296" s="24" t="s">
        <v>590</v>
      </c>
      <c r="F296" s="24" t="s">
        <v>3</v>
      </c>
      <c r="G296" s="24" t="str">
        <f t="shared" si="15"/>
        <v/>
      </c>
      <c r="H296" s="5" t="str">
        <f t="shared" si="14"/>
        <v/>
      </c>
    </row>
    <row r="297" spans="1:9" x14ac:dyDescent="0.25">
      <c r="A297" s="1">
        <v>86</v>
      </c>
      <c r="B297" s="27">
        <v>1294</v>
      </c>
      <c r="C297" s="27" t="s">
        <v>401</v>
      </c>
      <c r="D297" s="28" t="str">
        <f t="shared" si="13"/>
        <v>10.3.1Eng</v>
      </c>
      <c r="E297" s="28" t="s">
        <v>109</v>
      </c>
      <c r="F297" s="28" t="s">
        <v>4</v>
      </c>
      <c r="G297" s="28" t="str">
        <f t="shared" si="15"/>
        <v/>
      </c>
      <c r="H297" s="5" t="str">
        <f t="shared" si="14"/>
        <v/>
      </c>
    </row>
    <row r="298" spans="1:9" hidden="1" x14ac:dyDescent="0.25">
      <c r="B298" s="25">
        <v>1295</v>
      </c>
      <c r="C298" s="25" t="s">
        <v>401</v>
      </c>
      <c r="D298" s="26" t="str">
        <f t="shared" si="13"/>
        <v>10.3.1Phon</v>
      </c>
      <c r="E298" s="26" t="s">
        <v>779</v>
      </c>
      <c r="F298" s="26" t="s">
        <v>5</v>
      </c>
      <c r="G298" s="26" t="str">
        <f t="shared" si="15"/>
        <v/>
      </c>
      <c r="H298" s="5" t="str">
        <f t="shared" si="14"/>
        <v/>
      </c>
    </row>
    <row r="299" spans="1:9" hidden="1" x14ac:dyDescent="0.25">
      <c r="B299" s="23">
        <v>1296</v>
      </c>
      <c r="C299" s="23" t="s">
        <v>402</v>
      </c>
      <c r="D299" s="24" t="str">
        <f t="shared" si="13"/>
        <v>10.3.2Viet</v>
      </c>
      <c r="E299" s="24" t="s">
        <v>591</v>
      </c>
      <c r="F299" s="24" t="s">
        <v>3</v>
      </c>
      <c r="G299" s="24" t="str">
        <f t="shared" si="15"/>
        <v/>
      </c>
      <c r="H299" s="5" t="str">
        <f t="shared" si="14"/>
        <v/>
      </c>
    </row>
    <row r="300" spans="1:9" x14ac:dyDescent="0.25">
      <c r="A300" s="1">
        <v>87</v>
      </c>
      <c r="B300" s="27">
        <v>1297</v>
      </c>
      <c r="C300" s="27" t="s">
        <v>402</v>
      </c>
      <c r="D300" s="28" t="str">
        <f t="shared" si="13"/>
        <v>10.3.2Eng</v>
      </c>
      <c r="E300" s="28" t="s">
        <v>194</v>
      </c>
      <c r="F300" s="28" t="s">
        <v>4</v>
      </c>
      <c r="G300" s="28" t="str">
        <f t="shared" si="15"/>
        <v/>
      </c>
      <c r="H300" s="5" t="str">
        <f t="shared" si="14"/>
        <v/>
      </c>
    </row>
    <row r="301" spans="1:9" hidden="1" x14ac:dyDescent="0.25">
      <c r="B301" s="25">
        <v>1298</v>
      </c>
      <c r="C301" s="25" t="s">
        <v>402</v>
      </c>
      <c r="D301" s="26" t="str">
        <f t="shared" si="13"/>
        <v>10.3.2Phon</v>
      </c>
      <c r="E301" s="26" t="s">
        <v>780</v>
      </c>
      <c r="F301" s="26" t="s">
        <v>5</v>
      </c>
      <c r="G301" s="26" t="str">
        <f t="shared" si="15"/>
        <v/>
      </c>
      <c r="H301" s="5" t="str">
        <f t="shared" si="14"/>
        <v/>
      </c>
    </row>
    <row r="302" spans="1:9" hidden="1" x14ac:dyDescent="0.25">
      <c r="B302" s="23">
        <v>1299</v>
      </c>
      <c r="C302" s="23" t="s">
        <v>403</v>
      </c>
      <c r="D302" s="24" t="str">
        <f t="shared" si="13"/>
        <v>10.3.3Viet</v>
      </c>
      <c r="E302" s="24" t="s">
        <v>592</v>
      </c>
      <c r="F302" s="24" t="s">
        <v>3</v>
      </c>
      <c r="G302" s="24" t="str">
        <f t="shared" si="15"/>
        <v/>
      </c>
      <c r="H302" s="5" t="str">
        <f t="shared" si="14"/>
        <v/>
      </c>
    </row>
    <row r="303" spans="1:9" x14ac:dyDescent="0.25">
      <c r="A303" s="1">
        <v>88</v>
      </c>
      <c r="B303" s="27">
        <v>1300</v>
      </c>
      <c r="C303" s="27" t="s">
        <v>403</v>
      </c>
      <c r="D303" s="28" t="str">
        <f t="shared" si="13"/>
        <v>10.3.3Eng</v>
      </c>
      <c r="E303" s="28" t="s">
        <v>195</v>
      </c>
      <c r="F303" s="28" t="s">
        <v>4</v>
      </c>
      <c r="G303" s="28" t="str">
        <f t="shared" si="15"/>
        <v/>
      </c>
      <c r="H303" s="5" t="str">
        <f t="shared" si="14"/>
        <v/>
      </c>
    </row>
    <row r="304" spans="1:9" hidden="1" x14ac:dyDescent="0.25">
      <c r="B304" s="25">
        <v>1301</v>
      </c>
      <c r="C304" s="25" t="s">
        <v>403</v>
      </c>
      <c r="D304" s="26" t="str">
        <f t="shared" si="13"/>
        <v>10.3.3Phon</v>
      </c>
      <c r="E304" s="26" t="s">
        <v>781</v>
      </c>
      <c r="F304" s="26" t="s">
        <v>5</v>
      </c>
      <c r="G304" s="26" t="str">
        <f t="shared" si="15"/>
        <v/>
      </c>
      <c r="H304" s="5" t="str">
        <f t="shared" si="14"/>
        <v/>
      </c>
    </row>
    <row r="305" spans="1:8" hidden="1" x14ac:dyDescent="0.25">
      <c r="B305" s="19">
        <v>1302</v>
      </c>
      <c r="C305" s="19">
        <v>11</v>
      </c>
      <c r="D305" s="20" t="str">
        <f t="shared" si="13"/>
        <v>11Struc0</v>
      </c>
      <c r="E305" s="20" t="s">
        <v>268</v>
      </c>
      <c r="F305" s="20" t="s">
        <v>502</v>
      </c>
      <c r="G305" s="20" t="str">
        <f t="shared" si="15"/>
        <v/>
      </c>
      <c r="H305" s="5" t="str">
        <f t="shared" si="14"/>
        <v/>
      </c>
    </row>
    <row r="306" spans="1:8" hidden="1" x14ac:dyDescent="0.25">
      <c r="B306" s="21">
        <v>1303</v>
      </c>
      <c r="C306" s="21" t="s">
        <v>39</v>
      </c>
      <c r="D306" s="22" t="str">
        <f t="shared" si="13"/>
        <v>11.1Struc</v>
      </c>
      <c r="E306" s="22" t="s">
        <v>297</v>
      </c>
      <c r="F306" s="22" t="s">
        <v>11</v>
      </c>
      <c r="G306" s="22" t="str">
        <f t="shared" si="15"/>
        <v/>
      </c>
      <c r="H306" s="5" t="str">
        <f t="shared" si="14"/>
        <v/>
      </c>
    </row>
    <row r="307" spans="1:8" hidden="1" x14ac:dyDescent="0.25">
      <c r="B307" s="23">
        <v>1304</v>
      </c>
      <c r="C307" s="23" t="s">
        <v>404</v>
      </c>
      <c r="D307" s="24" t="str">
        <f t="shared" si="13"/>
        <v>11.1.1Viet</v>
      </c>
      <c r="E307" s="24" t="s">
        <v>593</v>
      </c>
      <c r="F307" s="24" t="s">
        <v>3</v>
      </c>
      <c r="G307" s="24" t="str">
        <f t="shared" si="15"/>
        <v/>
      </c>
      <c r="H307" s="5" t="str">
        <f t="shared" si="14"/>
        <v/>
      </c>
    </row>
    <row r="308" spans="1:8" x14ac:dyDescent="0.25">
      <c r="A308" s="1">
        <v>89</v>
      </c>
      <c r="B308" s="27">
        <v>1305</v>
      </c>
      <c r="C308" s="27" t="s">
        <v>404</v>
      </c>
      <c r="D308" s="28" t="str">
        <f t="shared" si="13"/>
        <v>11.1.1Eng</v>
      </c>
      <c r="E308" s="28" t="s">
        <v>196</v>
      </c>
      <c r="F308" s="28" t="s">
        <v>4</v>
      </c>
      <c r="G308" s="28" t="str">
        <f t="shared" si="15"/>
        <v/>
      </c>
      <c r="H308" s="5" t="str">
        <f t="shared" si="14"/>
        <v/>
      </c>
    </row>
    <row r="309" spans="1:8" hidden="1" x14ac:dyDescent="0.25">
      <c r="B309" s="25">
        <v>1306</v>
      </c>
      <c r="C309" s="25" t="s">
        <v>404</v>
      </c>
      <c r="D309" s="26" t="str">
        <f t="shared" si="13"/>
        <v>11.1.1Phon</v>
      </c>
      <c r="E309" s="26" t="s">
        <v>782</v>
      </c>
      <c r="F309" s="26" t="s">
        <v>5</v>
      </c>
      <c r="G309" s="26" t="str">
        <f t="shared" si="15"/>
        <v/>
      </c>
      <c r="H309" s="5" t="str">
        <f t="shared" si="14"/>
        <v/>
      </c>
    </row>
    <row r="310" spans="1:8" hidden="1" x14ac:dyDescent="0.25">
      <c r="B310" s="23">
        <v>1307</v>
      </c>
      <c r="C310" s="23" t="s">
        <v>405</v>
      </c>
      <c r="D310" s="24" t="str">
        <f t="shared" si="13"/>
        <v>11.1.2Viet</v>
      </c>
      <c r="E310" s="24" t="s">
        <v>594</v>
      </c>
      <c r="F310" s="24" t="s">
        <v>3</v>
      </c>
      <c r="G310" s="24" t="str">
        <f t="shared" si="15"/>
        <v/>
      </c>
      <c r="H310" s="5" t="str">
        <f t="shared" si="14"/>
        <v/>
      </c>
    </row>
    <row r="311" spans="1:8" x14ac:dyDescent="0.25">
      <c r="A311" s="1">
        <v>90</v>
      </c>
      <c r="B311" s="27">
        <v>1308</v>
      </c>
      <c r="C311" s="27" t="s">
        <v>405</v>
      </c>
      <c r="D311" s="28" t="str">
        <f t="shared" si="13"/>
        <v>11.1.2Eng</v>
      </c>
      <c r="E311" s="28" t="s">
        <v>197</v>
      </c>
      <c r="F311" s="28" t="s">
        <v>4</v>
      </c>
      <c r="G311" s="28" t="str">
        <f t="shared" si="15"/>
        <v/>
      </c>
      <c r="H311" s="5" t="str">
        <f t="shared" si="14"/>
        <v/>
      </c>
    </row>
    <row r="312" spans="1:8" hidden="1" x14ac:dyDescent="0.25">
      <c r="B312" s="25">
        <v>1309</v>
      </c>
      <c r="C312" s="25" t="s">
        <v>405</v>
      </c>
      <c r="D312" s="26" t="str">
        <f t="shared" si="13"/>
        <v>11.1.2Phon</v>
      </c>
      <c r="E312" s="26" t="s">
        <v>783</v>
      </c>
      <c r="F312" s="26" t="s">
        <v>5</v>
      </c>
      <c r="G312" s="26" t="str">
        <f t="shared" si="15"/>
        <v/>
      </c>
      <c r="H312" s="5" t="str">
        <f t="shared" si="14"/>
        <v/>
      </c>
    </row>
    <row r="313" spans="1:8" hidden="1" x14ac:dyDescent="0.25">
      <c r="B313" s="23">
        <v>1310</v>
      </c>
      <c r="C313" s="23" t="s">
        <v>406</v>
      </c>
      <c r="D313" s="24" t="str">
        <f t="shared" si="13"/>
        <v>11.1.3Viet</v>
      </c>
      <c r="E313" s="24" t="s">
        <v>595</v>
      </c>
      <c r="F313" s="24" t="s">
        <v>3</v>
      </c>
      <c r="G313" s="24" t="str">
        <f t="shared" si="15"/>
        <v/>
      </c>
      <c r="H313" s="5" t="str">
        <f t="shared" si="14"/>
        <v/>
      </c>
    </row>
    <row r="314" spans="1:8" x14ac:dyDescent="0.25">
      <c r="A314" s="1">
        <v>91</v>
      </c>
      <c r="B314" s="27">
        <v>1311</v>
      </c>
      <c r="C314" s="27" t="s">
        <v>406</v>
      </c>
      <c r="D314" s="28" t="str">
        <f t="shared" si="13"/>
        <v>11.1.3Eng</v>
      </c>
      <c r="E314" s="28" t="s">
        <v>198</v>
      </c>
      <c r="F314" s="28" t="s">
        <v>4</v>
      </c>
      <c r="G314" s="28" t="str">
        <f t="shared" si="15"/>
        <v/>
      </c>
      <c r="H314" s="5" t="str">
        <f t="shared" si="14"/>
        <v/>
      </c>
    </row>
    <row r="315" spans="1:8" hidden="1" x14ac:dyDescent="0.25">
      <c r="B315" s="25">
        <v>1312</v>
      </c>
      <c r="C315" s="25" t="s">
        <v>406</v>
      </c>
      <c r="D315" s="26" t="str">
        <f t="shared" si="13"/>
        <v>11.1.3Phon</v>
      </c>
      <c r="E315" s="26" t="s">
        <v>784</v>
      </c>
      <c r="F315" s="26" t="s">
        <v>5</v>
      </c>
      <c r="G315" s="26" t="str">
        <f t="shared" si="15"/>
        <v/>
      </c>
      <c r="H315" s="5" t="str">
        <f t="shared" si="14"/>
        <v/>
      </c>
    </row>
    <row r="316" spans="1:8" hidden="1" x14ac:dyDescent="0.25">
      <c r="B316" s="23">
        <v>1313</v>
      </c>
      <c r="C316" s="23" t="s">
        <v>407</v>
      </c>
      <c r="D316" s="24" t="str">
        <f t="shared" si="13"/>
        <v>11.1.4Viet</v>
      </c>
      <c r="E316" s="24" t="s">
        <v>596</v>
      </c>
      <c r="F316" s="24" t="s">
        <v>3</v>
      </c>
      <c r="G316" s="24" t="str">
        <f t="shared" si="15"/>
        <v/>
      </c>
      <c r="H316" s="5" t="str">
        <f t="shared" si="14"/>
        <v/>
      </c>
    </row>
    <row r="317" spans="1:8" x14ac:dyDescent="0.25">
      <c r="A317" s="1">
        <v>92</v>
      </c>
      <c r="B317" s="27">
        <v>1314</v>
      </c>
      <c r="C317" s="27" t="s">
        <v>407</v>
      </c>
      <c r="D317" s="28" t="str">
        <f t="shared" si="13"/>
        <v>11.1.4Eng</v>
      </c>
      <c r="E317" s="28" t="s">
        <v>110</v>
      </c>
      <c r="F317" s="28" t="s">
        <v>4</v>
      </c>
      <c r="G317" s="28" t="str">
        <f t="shared" si="15"/>
        <v/>
      </c>
      <c r="H317" s="5" t="str">
        <f t="shared" si="14"/>
        <v/>
      </c>
    </row>
    <row r="318" spans="1:8" hidden="1" x14ac:dyDescent="0.25">
      <c r="B318" s="25">
        <v>1315</v>
      </c>
      <c r="C318" s="25" t="s">
        <v>407</v>
      </c>
      <c r="D318" s="26" t="str">
        <f t="shared" si="13"/>
        <v>11.1.4Phon</v>
      </c>
      <c r="E318" s="26" t="s">
        <v>785</v>
      </c>
      <c r="F318" s="26" t="s">
        <v>5</v>
      </c>
      <c r="G318" s="26" t="str">
        <f t="shared" si="15"/>
        <v/>
      </c>
      <c r="H318" s="5" t="str">
        <f t="shared" si="14"/>
        <v/>
      </c>
    </row>
    <row r="319" spans="1:8" hidden="1" x14ac:dyDescent="0.25">
      <c r="B319" s="21">
        <v>1316</v>
      </c>
      <c r="C319" s="21" t="s">
        <v>40</v>
      </c>
      <c r="D319" s="22" t="str">
        <f t="shared" si="13"/>
        <v>11.2Struc</v>
      </c>
      <c r="E319" s="22" t="s">
        <v>298</v>
      </c>
      <c r="F319" s="22" t="s">
        <v>11</v>
      </c>
      <c r="G319" s="22" t="str">
        <f t="shared" si="15"/>
        <v/>
      </c>
      <c r="H319" s="5" t="str">
        <f t="shared" si="14"/>
        <v/>
      </c>
    </row>
    <row r="320" spans="1:8" hidden="1" x14ac:dyDescent="0.25">
      <c r="B320" s="23">
        <v>1317</v>
      </c>
      <c r="C320" s="23" t="s">
        <v>408</v>
      </c>
      <c r="D320" s="24" t="str">
        <f t="shared" si="13"/>
        <v>11.2.1Viet</v>
      </c>
      <c r="E320" s="24" t="s">
        <v>597</v>
      </c>
      <c r="F320" s="24" t="s">
        <v>3</v>
      </c>
      <c r="G320" s="24" t="str">
        <f t="shared" si="15"/>
        <v/>
      </c>
      <c r="H320" s="5" t="str">
        <f t="shared" si="14"/>
        <v/>
      </c>
    </row>
    <row r="321" spans="1:8" x14ac:dyDescent="0.25">
      <c r="A321" s="1">
        <v>93</v>
      </c>
      <c r="B321" s="27">
        <v>1318</v>
      </c>
      <c r="C321" s="27" t="s">
        <v>408</v>
      </c>
      <c r="D321" s="28" t="str">
        <f t="shared" si="13"/>
        <v>11.2.1Eng</v>
      </c>
      <c r="E321" s="28" t="s">
        <v>199</v>
      </c>
      <c r="F321" s="28" t="s">
        <v>4</v>
      </c>
      <c r="G321" s="28" t="str">
        <f t="shared" si="15"/>
        <v/>
      </c>
      <c r="H321" s="5" t="str">
        <f t="shared" si="14"/>
        <v/>
      </c>
    </row>
    <row r="322" spans="1:8" hidden="1" x14ac:dyDescent="0.25">
      <c r="B322" s="25">
        <v>1319</v>
      </c>
      <c r="C322" s="25" t="s">
        <v>408</v>
      </c>
      <c r="D322" s="26" t="str">
        <f t="shared" si="13"/>
        <v>11.2.1Phon</v>
      </c>
      <c r="E322" s="26" t="s">
        <v>786</v>
      </c>
      <c r="F322" s="26" t="s">
        <v>5</v>
      </c>
      <c r="G322" s="26" t="str">
        <f t="shared" si="15"/>
        <v/>
      </c>
      <c r="H322" s="5" t="str">
        <f t="shared" si="14"/>
        <v/>
      </c>
    </row>
    <row r="323" spans="1:8" hidden="1" x14ac:dyDescent="0.25">
      <c r="B323" s="23">
        <v>1320</v>
      </c>
      <c r="C323" s="23" t="s">
        <v>409</v>
      </c>
      <c r="D323" s="24" t="str">
        <f t="shared" si="13"/>
        <v>11.2.2Viet</v>
      </c>
      <c r="E323" s="24" t="s">
        <v>598</v>
      </c>
      <c r="F323" s="24" t="s">
        <v>3</v>
      </c>
      <c r="G323" s="24" t="str">
        <f t="shared" si="15"/>
        <v/>
      </c>
      <c r="H323" s="5" t="str">
        <f t="shared" si="14"/>
        <v/>
      </c>
    </row>
    <row r="324" spans="1:8" x14ac:dyDescent="0.25">
      <c r="A324" s="1">
        <v>94</v>
      </c>
      <c r="B324" s="27">
        <v>1321</v>
      </c>
      <c r="C324" s="27" t="s">
        <v>409</v>
      </c>
      <c r="D324" s="28" t="str">
        <f t="shared" ref="D324:D387" si="16">C324&amp;F324</f>
        <v>11.2.2Eng</v>
      </c>
      <c r="E324" s="28" t="s">
        <v>200</v>
      </c>
      <c r="F324" s="28" t="s">
        <v>4</v>
      </c>
      <c r="G324" s="28" t="str">
        <f t="shared" si="15"/>
        <v/>
      </c>
      <c r="H324" s="5" t="str">
        <f t="shared" si="14"/>
        <v/>
      </c>
    </row>
    <row r="325" spans="1:8" hidden="1" x14ac:dyDescent="0.25">
      <c r="B325" s="25">
        <v>1322</v>
      </c>
      <c r="C325" s="25" t="s">
        <v>409</v>
      </c>
      <c r="D325" s="26" t="str">
        <f t="shared" si="16"/>
        <v>11.2.2Phon</v>
      </c>
      <c r="E325" s="26" t="s">
        <v>787</v>
      </c>
      <c r="F325" s="26" t="s">
        <v>5</v>
      </c>
      <c r="G325" s="26" t="str">
        <f t="shared" si="15"/>
        <v/>
      </c>
      <c r="H325" s="5" t="str">
        <f t="shared" si="14"/>
        <v/>
      </c>
    </row>
    <row r="326" spans="1:8" hidden="1" x14ac:dyDescent="0.25">
      <c r="B326" s="23">
        <v>1323</v>
      </c>
      <c r="C326" s="23" t="s">
        <v>410</v>
      </c>
      <c r="D326" s="24" t="str">
        <f t="shared" si="16"/>
        <v>11.2.3Viet</v>
      </c>
      <c r="E326" s="24" t="s">
        <v>599</v>
      </c>
      <c r="F326" s="24" t="s">
        <v>3</v>
      </c>
      <c r="G326" s="24" t="str">
        <f t="shared" si="15"/>
        <v/>
      </c>
      <c r="H326" s="5" t="str">
        <f t="shared" ref="H326:H389" si="17">IFERROR(LEFT(RIGHT(I326,LEN(I326)-32),LEN(RIGHT(I326,LEN(I326)-32))-17),"")</f>
        <v/>
      </c>
    </row>
    <row r="327" spans="1:8" x14ac:dyDescent="0.25">
      <c r="A327" s="1">
        <v>95</v>
      </c>
      <c r="B327" s="27">
        <v>1324</v>
      </c>
      <c r="C327" s="27" t="s">
        <v>410</v>
      </c>
      <c r="D327" s="28" t="str">
        <f t="shared" si="16"/>
        <v>11.2.3Eng</v>
      </c>
      <c r="E327" s="28" t="s">
        <v>201</v>
      </c>
      <c r="F327" s="28" t="s">
        <v>4</v>
      </c>
      <c r="G327" s="28" t="str">
        <f t="shared" si="15"/>
        <v/>
      </c>
      <c r="H327" s="5" t="str">
        <f t="shared" si="17"/>
        <v/>
      </c>
    </row>
    <row r="328" spans="1:8" hidden="1" x14ac:dyDescent="0.25">
      <c r="B328" s="25">
        <v>1325</v>
      </c>
      <c r="C328" s="25" t="s">
        <v>410</v>
      </c>
      <c r="D328" s="26" t="str">
        <f t="shared" si="16"/>
        <v>11.2.3Phon</v>
      </c>
      <c r="E328" s="26" t="s">
        <v>788</v>
      </c>
      <c r="F328" s="26" t="s">
        <v>5</v>
      </c>
      <c r="G328" s="26" t="str">
        <f t="shared" si="15"/>
        <v/>
      </c>
      <c r="H328" s="5" t="str">
        <f t="shared" si="17"/>
        <v/>
      </c>
    </row>
    <row r="329" spans="1:8" hidden="1" x14ac:dyDescent="0.25">
      <c r="B329" s="21">
        <v>1326</v>
      </c>
      <c r="C329" s="21" t="s">
        <v>41</v>
      </c>
      <c r="D329" s="22" t="str">
        <f t="shared" si="16"/>
        <v>11.3Struc</v>
      </c>
      <c r="E329" s="22" t="s">
        <v>299</v>
      </c>
      <c r="F329" s="22" t="s">
        <v>11</v>
      </c>
      <c r="G329" s="22" t="str">
        <f t="shared" ref="G329:G392" si="18">IF(H329="","","https://docs.google.com/uc?export=download&amp;id="&amp;H329)</f>
        <v/>
      </c>
      <c r="H329" s="5" t="str">
        <f t="shared" si="17"/>
        <v/>
      </c>
    </row>
    <row r="330" spans="1:8" hidden="1" x14ac:dyDescent="0.25">
      <c r="B330" s="23">
        <v>1327</v>
      </c>
      <c r="C330" s="23" t="s">
        <v>411</v>
      </c>
      <c r="D330" s="24" t="str">
        <f t="shared" si="16"/>
        <v>11.3.1Viet</v>
      </c>
      <c r="E330" s="24" t="s">
        <v>600</v>
      </c>
      <c r="F330" s="24" t="s">
        <v>3</v>
      </c>
      <c r="G330" s="24" t="str">
        <f t="shared" si="18"/>
        <v/>
      </c>
      <c r="H330" s="5" t="str">
        <f t="shared" si="17"/>
        <v/>
      </c>
    </row>
    <row r="331" spans="1:8" x14ac:dyDescent="0.25">
      <c r="A331" s="1">
        <v>96</v>
      </c>
      <c r="B331" s="27">
        <v>1328</v>
      </c>
      <c r="C331" s="27" t="s">
        <v>411</v>
      </c>
      <c r="D331" s="28" t="str">
        <f t="shared" si="16"/>
        <v>11.3.1Eng</v>
      </c>
      <c r="E331" s="28" t="s">
        <v>111</v>
      </c>
      <c r="F331" s="28" t="s">
        <v>4</v>
      </c>
      <c r="G331" s="28" t="str">
        <f t="shared" si="18"/>
        <v/>
      </c>
      <c r="H331" s="5" t="str">
        <f t="shared" si="17"/>
        <v/>
      </c>
    </row>
    <row r="332" spans="1:8" hidden="1" x14ac:dyDescent="0.25">
      <c r="B332" s="25">
        <v>1329</v>
      </c>
      <c r="C332" s="25" t="s">
        <v>411</v>
      </c>
      <c r="D332" s="26" t="str">
        <f t="shared" si="16"/>
        <v>11.3.1Phon</v>
      </c>
      <c r="E332" s="26" t="s">
        <v>789</v>
      </c>
      <c r="F332" s="26" t="s">
        <v>5</v>
      </c>
      <c r="G332" s="26" t="str">
        <f t="shared" si="18"/>
        <v/>
      </c>
      <c r="H332" s="5" t="str">
        <f t="shared" si="17"/>
        <v/>
      </c>
    </row>
    <row r="333" spans="1:8" hidden="1" x14ac:dyDescent="0.25">
      <c r="B333" s="23">
        <v>1330</v>
      </c>
      <c r="C333" s="23" t="s">
        <v>412</v>
      </c>
      <c r="D333" s="24" t="str">
        <f t="shared" si="16"/>
        <v>11.3.2Viet</v>
      </c>
      <c r="E333" s="24" t="s">
        <v>601</v>
      </c>
      <c r="F333" s="24" t="s">
        <v>3</v>
      </c>
      <c r="G333" s="24" t="str">
        <f t="shared" si="18"/>
        <v/>
      </c>
      <c r="H333" s="5" t="str">
        <f t="shared" si="17"/>
        <v/>
      </c>
    </row>
    <row r="334" spans="1:8" x14ac:dyDescent="0.25">
      <c r="A334" s="1">
        <v>97</v>
      </c>
      <c r="B334" s="27">
        <v>1331</v>
      </c>
      <c r="C334" s="27" t="s">
        <v>412</v>
      </c>
      <c r="D334" s="28" t="str">
        <f t="shared" si="16"/>
        <v>11.3.2Eng</v>
      </c>
      <c r="E334" s="28" t="s">
        <v>112</v>
      </c>
      <c r="F334" s="28" t="s">
        <v>4</v>
      </c>
      <c r="G334" s="28" t="str">
        <f t="shared" si="18"/>
        <v/>
      </c>
      <c r="H334" s="5" t="str">
        <f t="shared" si="17"/>
        <v/>
      </c>
    </row>
    <row r="335" spans="1:8" hidden="1" x14ac:dyDescent="0.25">
      <c r="B335" s="25">
        <v>1332</v>
      </c>
      <c r="C335" s="25" t="s">
        <v>412</v>
      </c>
      <c r="D335" s="26" t="str">
        <f t="shared" si="16"/>
        <v>11.3.2Phon</v>
      </c>
      <c r="E335" s="26" t="s">
        <v>790</v>
      </c>
      <c r="F335" s="26" t="s">
        <v>5</v>
      </c>
      <c r="G335" s="26" t="str">
        <f t="shared" si="18"/>
        <v/>
      </c>
      <c r="H335" s="5" t="str">
        <f t="shared" si="17"/>
        <v/>
      </c>
    </row>
    <row r="336" spans="1:8" hidden="1" x14ac:dyDescent="0.25">
      <c r="B336" s="23">
        <v>1333</v>
      </c>
      <c r="C336" s="23" t="s">
        <v>413</v>
      </c>
      <c r="D336" s="24" t="str">
        <f t="shared" si="16"/>
        <v>11.3.3Viet</v>
      </c>
      <c r="E336" s="24" t="s">
        <v>602</v>
      </c>
      <c r="F336" s="24" t="s">
        <v>3</v>
      </c>
      <c r="G336" s="24" t="str">
        <f t="shared" si="18"/>
        <v/>
      </c>
      <c r="H336" s="5" t="str">
        <f t="shared" si="17"/>
        <v/>
      </c>
    </row>
    <row r="337" spans="1:8" x14ac:dyDescent="0.25">
      <c r="A337" s="1">
        <v>98</v>
      </c>
      <c r="B337" s="27">
        <v>1334</v>
      </c>
      <c r="C337" s="27" t="s">
        <v>413</v>
      </c>
      <c r="D337" s="28" t="str">
        <f t="shared" si="16"/>
        <v>11.3.3Eng</v>
      </c>
      <c r="E337" s="28" t="s">
        <v>202</v>
      </c>
      <c r="F337" s="28" t="s">
        <v>4</v>
      </c>
      <c r="G337" s="28" t="str">
        <f t="shared" si="18"/>
        <v/>
      </c>
      <c r="H337" s="5" t="str">
        <f t="shared" si="17"/>
        <v/>
      </c>
    </row>
    <row r="338" spans="1:8" hidden="1" x14ac:dyDescent="0.25">
      <c r="B338" s="25">
        <v>1335</v>
      </c>
      <c r="C338" s="25" t="s">
        <v>413</v>
      </c>
      <c r="D338" s="26" t="str">
        <f t="shared" si="16"/>
        <v>11.3.3Phon</v>
      </c>
      <c r="E338" s="26" t="s">
        <v>791</v>
      </c>
      <c r="F338" s="26" t="s">
        <v>5</v>
      </c>
      <c r="G338" s="26" t="str">
        <f t="shared" si="18"/>
        <v/>
      </c>
      <c r="H338" s="5" t="str">
        <f t="shared" si="17"/>
        <v/>
      </c>
    </row>
    <row r="339" spans="1:8" hidden="1" x14ac:dyDescent="0.25">
      <c r="B339" s="19">
        <v>1336</v>
      </c>
      <c r="C339" s="19">
        <v>12</v>
      </c>
      <c r="D339" s="20" t="str">
        <f t="shared" si="16"/>
        <v>12Struc0</v>
      </c>
      <c r="E339" s="20" t="s">
        <v>269</v>
      </c>
      <c r="F339" s="20" t="s">
        <v>502</v>
      </c>
      <c r="G339" s="20" t="str">
        <f t="shared" si="18"/>
        <v/>
      </c>
      <c r="H339" s="5" t="str">
        <f t="shared" si="17"/>
        <v/>
      </c>
    </row>
    <row r="340" spans="1:8" hidden="1" x14ac:dyDescent="0.25">
      <c r="B340" s="21">
        <v>1337</v>
      </c>
      <c r="C340" s="21" t="s">
        <v>42</v>
      </c>
      <c r="D340" s="22" t="str">
        <f t="shared" si="16"/>
        <v>12.1Struc</v>
      </c>
      <c r="E340" s="22" t="s">
        <v>300</v>
      </c>
      <c r="F340" s="22" t="s">
        <v>11</v>
      </c>
      <c r="G340" s="22" t="str">
        <f t="shared" si="18"/>
        <v/>
      </c>
      <c r="H340" s="5" t="str">
        <f t="shared" si="17"/>
        <v/>
      </c>
    </row>
    <row r="341" spans="1:8" hidden="1" x14ac:dyDescent="0.25">
      <c r="B341" s="23">
        <v>1338</v>
      </c>
      <c r="C341" s="23" t="s">
        <v>414</v>
      </c>
      <c r="D341" s="24" t="str">
        <f t="shared" si="16"/>
        <v>12.1.1Viet</v>
      </c>
      <c r="E341" s="24" t="s">
        <v>603</v>
      </c>
      <c r="F341" s="24" t="s">
        <v>3</v>
      </c>
      <c r="G341" s="24" t="str">
        <f t="shared" si="18"/>
        <v/>
      </c>
      <c r="H341" s="5" t="str">
        <f t="shared" si="17"/>
        <v/>
      </c>
    </row>
    <row r="342" spans="1:8" x14ac:dyDescent="0.25">
      <c r="A342" s="1">
        <v>99</v>
      </c>
      <c r="B342" s="27">
        <v>1339</v>
      </c>
      <c r="C342" s="27" t="s">
        <v>414</v>
      </c>
      <c r="D342" s="28" t="str">
        <f t="shared" si="16"/>
        <v>12.1.1Eng</v>
      </c>
      <c r="E342" s="28" t="s">
        <v>113</v>
      </c>
      <c r="F342" s="28" t="s">
        <v>4</v>
      </c>
      <c r="G342" s="28" t="str">
        <f t="shared" si="18"/>
        <v/>
      </c>
      <c r="H342" s="5" t="str">
        <f t="shared" si="17"/>
        <v/>
      </c>
    </row>
    <row r="343" spans="1:8" hidden="1" x14ac:dyDescent="0.25">
      <c r="B343" s="25">
        <v>1340</v>
      </c>
      <c r="C343" s="25" t="s">
        <v>414</v>
      </c>
      <c r="D343" s="26" t="str">
        <f t="shared" si="16"/>
        <v>12.1.1Phon</v>
      </c>
      <c r="E343" s="26" t="s">
        <v>792</v>
      </c>
      <c r="F343" s="26" t="s">
        <v>5</v>
      </c>
      <c r="G343" s="26" t="str">
        <f t="shared" si="18"/>
        <v/>
      </c>
      <c r="H343" s="5" t="str">
        <f t="shared" si="17"/>
        <v/>
      </c>
    </row>
    <row r="344" spans="1:8" hidden="1" x14ac:dyDescent="0.25">
      <c r="B344" s="23">
        <v>1341</v>
      </c>
      <c r="C344" s="23" t="s">
        <v>415</v>
      </c>
      <c r="D344" s="24" t="str">
        <f t="shared" si="16"/>
        <v>12.1.2Viet</v>
      </c>
      <c r="E344" s="24" t="s">
        <v>604</v>
      </c>
      <c r="F344" s="24" t="s">
        <v>3</v>
      </c>
      <c r="G344" s="24" t="str">
        <f t="shared" si="18"/>
        <v/>
      </c>
      <c r="H344" s="5" t="str">
        <f t="shared" si="17"/>
        <v/>
      </c>
    </row>
    <row r="345" spans="1:8" x14ac:dyDescent="0.25">
      <c r="A345" s="1">
        <v>100</v>
      </c>
      <c r="B345" s="27">
        <v>1342</v>
      </c>
      <c r="C345" s="27" t="s">
        <v>415</v>
      </c>
      <c r="D345" s="28" t="str">
        <f t="shared" si="16"/>
        <v>12.1.2Eng</v>
      </c>
      <c r="E345" s="28" t="s">
        <v>203</v>
      </c>
      <c r="F345" s="28" t="s">
        <v>4</v>
      </c>
      <c r="G345" s="28" t="str">
        <f t="shared" si="18"/>
        <v/>
      </c>
      <c r="H345" s="5" t="str">
        <f t="shared" si="17"/>
        <v/>
      </c>
    </row>
    <row r="346" spans="1:8" hidden="1" x14ac:dyDescent="0.25">
      <c r="B346" s="25">
        <v>1343</v>
      </c>
      <c r="C346" s="25" t="s">
        <v>415</v>
      </c>
      <c r="D346" s="26" t="str">
        <f t="shared" si="16"/>
        <v>12.1.2Phon</v>
      </c>
      <c r="E346" s="26" t="s">
        <v>793</v>
      </c>
      <c r="F346" s="26" t="s">
        <v>5</v>
      </c>
      <c r="G346" s="26" t="str">
        <f t="shared" si="18"/>
        <v/>
      </c>
      <c r="H346" s="5" t="str">
        <f t="shared" si="17"/>
        <v/>
      </c>
    </row>
    <row r="347" spans="1:8" hidden="1" x14ac:dyDescent="0.25">
      <c r="B347" s="23">
        <v>1344</v>
      </c>
      <c r="C347" s="23" t="s">
        <v>416</v>
      </c>
      <c r="D347" s="24" t="str">
        <f t="shared" si="16"/>
        <v>12.1.3Viet</v>
      </c>
      <c r="E347" s="24" t="s">
        <v>605</v>
      </c>
      <c r="F347" s="24" t="s">
        <v>3</v>
      </c>
      <c r="G347" s="24" t="str">
        <f t="shared" si="18"/>
        <v/>
      </c>
      <c r="H347" s="5" t="str">
        <f t="shared" si="17"/>
        <v/>
      </c>
    </row>
    <row r="348" spans="1:8" x14ac:dyDescent="0.25">
      <c r="A348" s="1">
        <v>101</v>
      </c>
      <c r="B348" s="27">
        <v>1345</v>
      </c>
      <c r="C348" s="27" t="s">
        <v>416</v>
      </c>
      <c r="D348" s="28" t="str">
        <f t="shared" si="16"/>
        <v>12.1.3Eng</v>
      </c>
      <c r="E348" s="28" t="s">
        <v>204</v>
      </c>
      <c r="F348" s="28" t="s">
        <v>4</v>
      </c>
      <c r="G348" s="28" t="str">
        <f t="shared" si="18"/>
        <v/>
      </c>
      <c r="H348" s="5" t="str">
        <f t="shared" si="17"/>
        <v/>
      </c>
    </row>
    <row r="349" spans="1:8" hidden="1" x14ac:dyDescent="0.25">
      <c r="B349" s="25">
        <v>1346</v>
      </c>
      <c r="C349" s="25" t="s">
        <v>416</v>
      </c>
      <c r="D349" s="26" t="str">
        <f t="shared" si="16"/>
        <v>12.1.3Phon</v>
      </c>
      <c r="E349" s="26" t="s">
        <v>794</v>
      </c>
      <c r="F349" s="26" t="s">
        <v>5</v>
      </c>
      <c r="G349" s="26" t="str">
        <f t="shared" si="18"/>
        <v/>
      </c>
      <c r="H349" s="5" t="str">
        <f t="shared" si="17"/>
        <v/>
      </c>
    </row>
    <row r="350" spans="1:8" hidden="1" x14ac:dyDescent="0.25">
      <c r="B350" s="21">
        <v>1347</v>
      </c>
      <c r="C350" s="21" t="s">
        <v>43</v>
      </c>
      <c r="D350" s="22" t="str">
        <f t="shared" si="16"/>
        <v>12.2Struc</v>
      </c>
      <c r="E350" s="22" t="s">
        <v>301</v>
      </c>
      <c r="F350" s="22" t="s">
        <v>11</v>
      </c>
      <c r="G350" s="22" t="str">
        <f t="shared" si="18"/>
        <v/>
      </c>
      <c r="H350" s="5" t="str">
        <f t="shared" si="17"/>
        <v/>
      </c>
    </row>
    <row r="351" spans="1:8" hidden="1" x14ac:dyDescent="0.25">
      <c r="B351" s="23">
        <v>1348</v>
      </c>
      <c r="C351" s="23" t="s">
        <v>417</v>
      </c>
      <c r="D351" s="24" t="str">
        <f t="shared" si="16"/>
        <v>12.2.1Viet</v>
      </c>
      <c r="E351" s="24" t="s">
        <v>606</v>
      </c>
      <c r="F351" s="24" t="s">
        <v>3</v>
      </c>
      <c r="G351" s="24" t="str">
        <f t="shared" si="18"/>
        <v/>
      </c>
      <c r="H351" s="5" t="str">
        <f t="shared" si="17"/>
        <v/>
      </c>
    </row>
    <row r="352" spans="1:8" x14ac:dyDescent="0.25">
      <c r="A352" s="1">
        <v>102</v>
      </c>
      <c r="B352" s="27">
        <v>1349</v>
      </c>
      <c r="C352" s="27" t="s">
        <v>417</v>
      </c>
      <c r="D352" s="28" t="str">
        <f t="shared" si="16"/>
        <v>12.2.1Eng</v>
      </c>
      <c r="E352" s="28" t="s">
        <v>114</v>
      </c>
      <c r="F352" s="28" t="s">
        <v>4</v>
      </c>
      <c r="G352" s="28" t="str">
        <f t="shared" si="18"/>
        <v/>
      </c>
      <c r="H352" s="5" t="str">
        <f t="shared" si="17"/>
        <v/>
      </c>
    </row>
    <row r="353" spans="1:8" hidden="1" x14ac:dyDescent="0.25">
      <c r="B353" s="25">
        <v>1350</v>
      </c>
      <c r="C353" s="25" t="s">
        <v>417</v>
      </c>
      <c r="D353" s="26" t="str">
        <f t="shared" si="16"/>
        <v>12.2.1Phon</v>
      </c>
      <c r="E353" s="26" t="s">
        <v>795</v>
      </c>
      <c r="F353" s="26" t="s">
        <v>5</v>
      </c>
      <c r="G353" s="26" t="str">
        <f t="shared" si="18"/>
        <v/>
      </c>
      <c r="H353" s="5" t="str">
        <f t="shared" si="17"/>
        <v/>
      </c>
    </row>
    <row r="354" spans="1:8" hidden="1" x14ac:dyDescent="0.25">
      <c r="B354" s="23">
        <v>1351</v>
      </c>
      <c r="C354" s="23" t="s">
        <v>418</v>
      </c>
      <c r="D354" s="24" t="str">
        <f t="shared" si="16"/>
        <v>12.2.2Viet</v>
      </c>
      <c r="E354" s="24" t="s">
        <v>607</v>
      </c>
      <c r="F354" s="24" t="s">
        <v>3</v>
      </c>
      <c r="G354" s="24" t="str">
        <f t="shared" si="18"/>
        <v/>
      </c>
      <c r="H354" s="5" t="str">
        <f t="shared" si="17"/>
        <v/>
      </c>
    </row>
    <row r="355" spans="1:8" x14ac:dyDescent="0.25">
      <c r="A355" s="1">
        <v>103</v>
      </c>
      <c r="B355" s="27">
        <v>1352</v>
      </c>
      <c r="C355" s="27" t="s">
        <v>418</v>
      </c>
      <c r="D355" s="28" t="str">
        <f t="shared" si="16"/>
        <v>12.2.2Eng</v>
      </c>
      <c r="E355" s="28" t="s">
        <v>205</v>
      </c>
      <c r="F355" s="28" t="s">
        <v>4</v>
      </c>
      <c r="G355" s="28" t="str">
        <f t="shared" si="18"/>
        <v/>
      </c>
      <c r="H355" s="5" t="str">
        <f t="shared" si="17"/>
        <v/>
      </c>
    </row>
    <row r="356" spans="1:8" hidden="1" x14ac:dyDescent="0.25">
      <c r="B356" s="25">
        <v>1353</v>
      </c>
      <c r="C356" s="25" t="s">
        <v>418</v>
      </c>
      <c r="D356" s="26" t="str">
        <f t="shared" si="16"/>
        <v>12.2.2Phon</v>
      </c>
      <c r="E356" s="26" t="s">
        <v>796</v>
      </c>
      <c r="F356" s="26" t="s">
        <v>5</v>
      </c>
      <c r="G356" s="26" t="str">
        <f t="shared" si="18"/>
        <v/>
      </c>
      <c r="H356" s="5" t="str">
        <f t="shared" si="17"/>
        <v/>
      </c>
    </row>
    <row r="357" spans="1:8" hidden="1" x14ac:dyDescent="0.25">
      <c r="B357" s="23">
        <v>1354</v>
      </c>
      <c r="C357" s="23" t="s">
        <v>419</v>
      </c>
      <c r="D357" s="24" t="str">
        <f t="shared" si="16"/>
        <v>12.2.3Viet</v>
      </c>
      <c r="E357" s="24" t="s">
        <v>608</v>
      </c>
      <c r="F357" s="24" t="s">
        <v>3</v>
      </c>
      <c r="G357" s="24" t="str">
        <f t="shared" si="18"/>
        <v/>
      </c>
      <c r="H357" s="5" t="str">
        <f t="shared" si="17"/>
        <v/>
      </c>
    </row>
    <row r="358" spans="1:8" x14ac:dyDescent="0.25">
      <c r="A358" s="1">
        <v>104</v>
      </c>
      <c r="B358" s="27">
        <v>1355</v>
      </c>
      <c r="C358" s="27" t="s">
        <v>419</v>
      </c>
      <c r="D358" s="28" t="str">
        <f t="shared" si="16"/>
        <v>12.2.3Eng</v>
      </c>
      <c r="E358" s="28" t="s">
        <v>206</v>
      </c>
      <c r="F358" s="28" t="s">
        <v>4</v>
      </c>
      <c r="G358" s="28" t="str">
        <f t="shared" si="18"/>
        <v/>
      </c>
      <c r="H358" s="5" t="str">
        <f t="shared" si="17"/>
        <v/>
      </c>
    </row>
    <row r="359" spans="1:8" hidden="1" x14ac:dyDescent="0.25">
      <c r="B359" s="25">
        <v>1356</v>
      </c>
      <c r="C359" s="25" t="s">
        <v>419</v>
      </c>
      <c r="D359" s="26" t="str">
        <f t="shared" si="16"/>
        <v>12.2.3Phon</v>
      </c>
      <c r="E359" s="26" t="s">
        <v>797</v>
      </c>
      <c r="F359" s="26" t="s">
        <v>5</v>
      </c>
      <c r="G359" s="26" t="str">
        <f t="shared" si="18"/>
        <v/>
      </c>
      <c r="H359" s="5" t="str">
        <f t="shared" si="17"/>
        <v/>
      </c>
    </row>
    <row r="360" spans="1:8" hidden="1" x14ac:dyDescent="0.25">
      <c r="B360" s="23">
        <v>1357</v>
      </c>
      <c r="C360" s="23" t="s">
        <v>420</v>
      </c>
      <c r="D360" s="24" t="str">
        <f t="shared" si="16"/>
        <v>12.2.4Viet</v>
      </c>
      <c r="E360" s="24" t="s">
        <v>609</v>
      </c>
      <c r="F360" s="24" t="s">
        <v>3</v>
      </c>
      <c r="G360" s="24" t="str">
        <f t="shared" si="18"/>
        <v/>
      </c>
      <c r="H360" s="5" t="str">
        <f t="shared" si="17"/>
        <v/>
      </c>
    </row>
    <row r="361" spans="1:8" x14ac:dyDescent="0.25">
      <c r="A361" s="1">
        <v>105</v>
      </c>
      <c r="B361" s="27">
        <v>1358</v>
      </c>
      <c r="C361" s="27" t="s">
        <v>420</v>
      </c>
      <c r="D361" s="28" t="str">
        <f t="shared" si="16"/>
        <v>12.2.4Eng</v>
      </c>
      <c r="E361" s="28" t="s">
        <v>207</v>
      </c>
      <c r="F361" s="28" t="s">
        <v>4</v>
      </c>
      <c r="G361" s="28" t="str">
        <f t="shared" si="18"/>
        <v/>
      </c>
      <c r="H361" s="5" t="str">
        <f t="shared" si="17"/>
        <v/>
      </c>
    </row>
    <row r="362" spans="1:8" hidden="1" x14ac:dyDescent="0.25">
      <c r="B362" s="25">
        <v>1359</v>
      </c>
      <c r="C362" s="25" t="s">
        <v>420</v>
      </c>
      <c r="D362" s="26" t="str">
        <f t="shared" si="16"/>
        <v>12.2.4Phon</v>
      </c>
      <c r="E362" s="26" t="s">
        <v>798</v>
      </c>
      <c r="F362" s="26" t="s">
        <v>5</v>
      </c>
      <c r="G362" s="26" t="str">
        <f t="shared" si="18"/>
        <v/>
      </c>
      <c r="H362" s="5" t="str">
        <f t="shared" si="17"/>
        <v/>
      </c>
    </row>
    <row r="363" spans="1:8" hidden="1" x14ac:dyDescent="0.25">
      <c r="B363" s="21">
        <v>1360</v>
      </c>
      <c r="C363" s="21" t="s">
        <v>44</v>
      </c>
      <c r="D363" s="22" t="str">
        <f t="shared" si="16"/>
        <v>12.3Struc</v>
      </c>
      <c r="E363" s="22" t="s">
        <v>302</v>
      </c>
      <c r="F363" s="22" t="s">
        <v>11</v>
      </c>
      <c r="G363" s="22" t="str">
        <f t="shared" si="18"/>
        <v/>
      </c>
      <c r="H363" s="5" t="str">
        <f t="shared" si="17"/>
        <v/>
      </c>
    </row>
    <row r="364" spans="1:8" hidden="1" x14ac:dyDescent="0.25">
      <c r="B364" s="23">
        <v>1361</v>
      </c>
      <c r="C364" s="23" t="s">
        <v>421</v>
      </c>
      <c r="D364" s="24" t="str">
        <f t="shared" si="16"/>
        <v>12.3.1Viet</v>
      </c>
      <c r="E364" s="24" t="s">
        <v>610</v>
      </c>
      <c r="F364" s="24" t="s">
        <v>3</v>
      </c>
      <c r="G364" s="24" t="str">
        <f t="shared" si="18"/>
        <v/>
      </c>
      <c r="H364" s="5" t="str">
        <f t="shared" si="17"/>
        <v/>
      </c>
    </row>
    <row r="365" spans="1:8" x14ac:dyDescent="0.25">
      <c r="A365" s="1">
        <v>106</v>
      </c>
      <c r="B365" s="27">
        <v>1362</v>
      </c>
      <c r="C365" s="27" t="s">
        <v>421</v>
      </c>
      <c r="D365" s="28" t="str">
        <f t="shared" si="16"/>
        <v>12.3.1Eng</v>
      </c>
      <c r="E365" s="28" t="s">
        <v>208</v>
      </c>
      <c r="F365" s="28" t="s">
        <v>4</v>
      </c>
      <c r="G365" s="28" t="str">
        <f t="shared" si="18"/>
        <v/>
      </c>
      <c r="H365" s="5" t="str">
        <f t="shared" si="17"/>
        <v/>
      </c>
    </row>
    <row r="366" spans="1:8" hidden="1" x14ac:dyDescent="0.25">
      <c r="B366" s="25">
        <v>1363</v>
      </c>
      <c r="C366" s="25" t="s">
        <v>421</v>
      </c>
      <c r="D366" s="26" t="str">
        <f t="shared" si="16"/>
        <v>12.3.1Phon</v>
      </c>
      <c r="E366" s="26" t="s">
        <v>799</v>
      </c>
      <c r="F366" s="26" t="s">
        <v>5</v>
      </c>
      <c r="G366" s="26" t="str">
        <f t="shared" si="18"/>
        <v/>
      </c>
      <c r="H366" s="5" t="str">
        <f t="shared" si="17"/>
        <v/>
      </c>
    </row>
    <row r="367" spans="1:8" hidden="1" x14ac:dyDescent="0.25">
      <c r="B367" s="23">
        <v>1364</v>
      </c>
      <c r="C367" s="23" t="s">
        <v>422</v>
      </c>
      <c r="D367" s="24" t="str">
        <f t="shared" si="16"/>
        <v>12.3.2Viet</v>
      </c>
      <c r="E367" s="24" t="s">
        <v>611</v>
      </c>
      <c r="F367" s="24" t="s">
        <v>3</v>
      </c>
      <c r="G367" s="24" t="str">
        <f t="shared" si="18"/>
        <v/>
      </c>
      <c r="H367" s="5" t="str">
        <f t="shared" si="17"/>
        <v/>
      </c>
    </row>
    <row r="368" spans="1:8" x14ac:dyDescent="0.25">
      <c r="A368" s="1">
        <v>107</v>
      </c>
      <c r="B368" s="27">
        <v>1365</v>
      </c>
      <c r="C368" s="27" t="s">
        <v>422</v>
      </c>
      <c r="D368" s="28" t="str">
        <f t="shared" si="16"/>
        <v>12.3.2Eng</v>
      </c>
      <c r="E368" s="28" t="s">
        <v>209</v>
      </c>
      <c r="F368" s="28" t="s">
        <v>4</v>
      </c>
      <c r="G368" s="28" t="str">
        <f t="shared" si="18"/>
        <v/>
      </c>
      <c r="H368" s="5" t="str">
        <f t="shared" si="17"/>
        <v/>
      </c>
    </row>
    <row r="369" spans="1:8" hidden="1" x14ac:dyDescent="0.25">
      <c r="B369" s="25">
        <v>1366</v>
      </c>
      <c r="C369" s="25" t="s">
        <v>422</v>
      </c>
      <c r="D369" s="26" t="str">
        <f t="shared" si="16"/>
        <v>12.3.2Phon</v>
      </c>
      <c r="E369" s="26" t="s">
        <v>800</v>
      </c>
      <c r="F369" s="26" t="s">
        <v>5</v>
      </c>
      <c r="G369" s="26" t="str">
        <f t="shared" si="18"/>
        <v/>
      </c>
      <c r="H369" s="5" t="str">
        <f t="shared" si="17"/>
        <v/>
      </c>
    </row>
    <row r="370" spans="1:8" hidden="1" x14ac:dyDescent="0.25">
      <c r="B370" s="23">
        <v>1367</v>
      </c>
      <c r="C370" s="23" t="s">
        <v>423</v>
      </c>
      <c r="D370" s="24" t="str">
        <f t="shared" si="16"/>
        <v>12.3.3Viet</v>
      </c>
      <c r="E370" s="24" t="s">
        <v>612</v>
      </c>
      <c r="F370" s="24" t="s">
        <v>3</v>
      </c>
      <c r="G370" s="24" t="str">
        <f t="shared" si="18"/>
        <v/>
      </c>
      <c r="H370" s="5" t="str">
        <f t="shared" si="17"/>
        <v/>
      </c>
    </row>
    <row r="371" spans="1:8" x14ac:dyDescent="0.25">
      <c r="A371" s="1">
        <v>108</v>
      </c>
      <c r="B371" s="27">
        <v>1368</v>
      </c>
      <c r="C371" s="27" t="s">
        <v>423</v>
      </c>
      <c r="D371" s="28" t="str">
        <f t="shared" si="16"/>
        <v>12.3.3Eng</v>
      </c>
      <c r="E371" s="28" t="s">
        <v>210</v>
      </c>
      <c r="F371" s="28" t="s">
        <v>4</v>
      </c>
      <c r="G371" s="28" t="str">
        <f t="shared" si="18"/>
        <v/>
      </c>
      <c r="H371" s="5" t="str">
        <f t="shared" si="17"/>
        <v/>
      </c>
    </row>
    <row r="372" spans="1:8" hidden="1" x14ac:dyDescent="0.25">
      <c r="B372" s="25">
        <v>1369</v>
      </c>
      <c r="C372" s="25" t="s">
        <v>423</v>
      </c>
      <c r="D372" s="26" t="str">
        <f t="shared" si="16"/>
        <v>12.3.3Phon</v>
      </c>
      <c r="E372" s="26" t="s">
        <v>801</v>
      </c>
      <c r="F372" s="26" t="s">
        <v>5</v>
      </c>
      <c r="G372" s="26" t="str">
        <f t="shared" si="18"/>
        <v/>
      </c>
      <c r="H372" s="5" t="str">
        <f t="shared" si="17"/>
        <v/>
      </c>
    </row>
    <row r="373" spans="1:8" hidden="1" x14ac:dyDescent="0.25">
      <c r="B373" s="19">
        <v>1370</v>
      </c>
      <c r="C373" s="19">
        <v>13</v>
      </c>
      <c r="D373" s="20" t="str">
        <f t="shared" si="16"/>
        <v>13Struc0</v>
      </c>
      <c r="E373" s="20" t="s">
        <v>270</v>
      </c>
      <c r="F373" s="20" t="s">
        <v>502</v>
      </c>
      <c r="G373" s="20" t="str">
        <f t="shared" si="18"/>
        <v/>
      </c>
      <c r="H373" s="5" t="str">
        <f t="shared" si="17"/>
        <v/>
      </c>
    </row>
    <row r="374" spans="1:8" hidden="1" x14ac:dyDescent="0.25">
      <c r="B374" s="21">
        <v>1371</v>
      </c>
      <c r="C374" s="21" t="s">
        <v>45</v>
      </c>
      <c r="D374" s="22" t="str">
        <f t="shared" si="16"/>
        <v>13.1Struc</v>
      </c>
      <c r="E374" s="22" t="s">
        <v>303</v>
      </c>
      <c r="F374" s="22" t="s">
        <v>11</v>
      </c>
      <c r="G374" s="22" t="str">
        <f t="shared" si="18"/>
        <v/>
      </c>
      <c r="H374" s="5" t="str">
        <f t="shared" si="17"/>
        <v/>
      </c>
    </row>
    <row r="375" spans="1:8" hidden="1" x14ac:dyDescent="0.25">
      <c r="B375" s="23">
        <v>1372</v>
      </c>
      <c r="C375" s="23" t="s">
        <v>424</v>
      </c>
      <c r="D375" s="24" t="str">
        <f t="shared" si="16"/>
        <v>13.1.1Viet</v>
      </c>
      <c r="E375" s="24" t="s">
        <v>613</v>
      </c>
      <c r="F375" s="24" t="s">
        <v>3</v>
      </c>
      <c r="G375" s="24" t="str">
        <f t="shared" si="18"/>
        <v/>
      </c>
      <c r="H375" s="5" t="str">
        <f t="shared" si="17"/>
        <v/>
      </c>
    </row>
    <row r="376" spans="1:8" x14ac:dyDescent="0.25">
      <c r="A376" s="1">
        <v>109</v>
      </c>
      <c r="B376" s="27">
        <v>1373</v>
      </c>
      <c r="C376" s="27" t="s">
        <v>424</v>
      </c>
      <c r="D376" s="28" t="str">
        <f t="shared" si="16"/>
        <v>13.1.1Eng</v>
      </c>
      <c r="E376" s="28" t="s">
        <v>211</v>
      </c>
      <c r="F376" s="28" t="s">
        <v>4</v>
      </c>
      <c r="G376" s="28" t="str">
        <f t="shared" si="18"/>
        <v/>
      </c>
      <c r="H376" s="5" t="str">
        <f t="shared" si="17"/>
        <v/>
      </c>
    </row>
    <row r="377" spans="1:8" hidden="1" x14ac:dyDescent="0.25">
      <c r="B377" s="25">
        <v>1374</v>
      </c>
      <c r="C377" s="25" t="s">
        <v>424</v>
      </c>
      <c r="D377" s="26" t="str">
        <f t="shared" si="16"/>
        <v>13.1.1Phon</v>
      </c>
      <c r="E377" s="26" t="s">
        <v>802</v>
      </c>
      <c r="F377" s="26" t="s">
        <v>5</v>
      </c>
      <c r="G377" s="26" t="str">
        <f t="shared" si="18"/>
        <v/>
      </c>
      <c r="H377" s="5" t="str">
        <f t="shared" si="17"/>
        <v/>
      </c>
    </row>
    <row r="378" spans="1:8" hidden="1" x14ac:dyDescent="0.25">
      <c r="B378" s="23">
        <v>1375</v>
      </c>
      <c r="C378" s="23" t="s">
        <v>425</v>
      </c>
      <c r="D378" s="24" t="str">
        <f t="shared" si="16"/>
        <v>13.1.2Viet</v>
      </c>
      <c r="E378" s="24" t="s">
        <v>614</v>
      </c>
      <c r="F378" s="24" t="s">
        <v>3</v>
      </c>
      <c r="G378" s="24" t="str">
        <f t="shared" si="18"/>
        <v/>
      </c>
      <c r="H378" s="5" t="str">
        <f t="shared" si="17"/>
        <v/>
      </c>
    </row>
    <row r="379" spans="1:8" x14ac:dyDescent="0.25">
      <c r="A379" s="1">
        <v>110</v>
      </c>
      <c r="B379" s="27">
        <v>1376</v>
      </c>
      <c r="C379" s="27" t="s">
        <v>425</v>
      </c>
      <c r="D379" s="28" t="str">
        <f t="shared" si="16"/>
        <v>13.1.2Eng</v>
      </c>
      <c r="E379" s="28" t="s">
        <v>212</v>
      </c>
      <c r="F379" s="28" t="s">
        <v>4</v>
      </c>
      <c r="G379" s="28" t="str">
        <f t="shared" si="18"/>
        <v/>
      </c>
      <c r="H379" s="5" t="str">
        <f t="shared" si="17"/>
        <v/>
      </c>
    </row>
    <row r="380" spans="1:8" hidden="1" x14ac:dyDescent="0.25">
      <c r="B380" s="25">
        <v>1377</v>
      </c>
      <c r="C380" s="25" t="s">
        <v>425</v>
      </c>
      <c r="D380" s="26" t="str">
        <f t="shared" si="16"/>
        <v>13.1.2Phon</v>
      </c>
      <c r="E380" s="26" t="s">
        <v>803</v>
      </c>
      <c r="F380" s="26" t="s">
        <v>5</v>
      </c>
      <c r="G380" s="26" t="str">
        <f t="shared" si="18"/>
        <v/>
      </c>
      <c r="H380" s="5" t="str">
        <f t="shared" si="17"/>
        <v/>
      </c>
    </row>
    <row r="381" spans="1:8" hidden="1" x14ac:dyDescent="0.25">
      <c r="B381" s="23">
        <v>1378</v>
      </c>
      <c r="C381" s="23" t="s">
        <v>426</v>
      </c>
      <c r="D381" s="24" t="str">
        <f t="shared" si="16"/>
        <v>13.1.3Viet</v>
      </c>
      <c r="E381" s="24" t="s">
        <v>615</v>
      </c>
      <c r="F381" s="24" t="s">
        <v>3</v>
      </c>
      <c r="G381" s="24" t="str">
        <f t="shared" si="18"/>
        <v/>
      </c>
      <c r="H381" s="5" t="str">
        <f t="shared" si="17"/>
        <v/>
      </c>
    </row>
    <row r="382" spans="1:8" x14ac:dyDescent="0.25">
      <c r="A382" s="1">
        <v>111</v>
      </c>
      <c r="B382" s="27">
        <v>1379</v>
      </c>
      <c r="C382" s="27" t="s">
        <v>426</v>
      </c>
      <c r="D382" s="28" t="str">
        <f t="shared" si="16"/>
        <v>13.1.3Eng</v>
      </c>
      <c r="E382" s="28" t="s">
        <v>213</v>
      </c>
      <c r="F382" s="28" t="s">
        <v>4</v>
      </c>
      <c r="G382" s="28" t="str">
        <f t="shared" si="18"/>
        <v/>
      </c>
      <c r="H382" s="5" t="str">
        <f t="shared" si="17"/>
        <v/>
      </c>
    </row>
    <row r="383" spans="1:8" hidden="1" x14ac:dyDescent="0.25">
      <c r="B383" s="25">
        <v>1380</v>
      </c>
      <c r="C383" s="25" t="s">
        <v>426</v>
      </c>
      <c r="D383" s="26" t="str">
        <f t="shared" si="16"/>
        <v>13.1.3Phon</v>
      </c>
      <c r="E383" s="26" t="s">
        <v>804</v>
      </c>
      <c r="F383" s="26" t="s">
        <v>5</v>
      </c>
      <c r="G383" s="26" t="str">
        <f t="shared" si="18"/>
        <v/>
      </c>
      <c r="H383" s="5" t="str">
        <f t="shared" si="17"/>
        <v/>
      </c>
    </row>
    <row r="384" spans="1:8" hidden="1" x14ac:dyDescent="0.25">
      <c r="B384" s="21">
        <v>1381</v>
      </c>
      <c r="C384" s="21" t="s">
        <v>46</v>
      </c>
      <c r="D384" s="22" t="str">
        <f t="shared" si="16"/>
        <v>13.2Struc</v>
      </c>
      <c r="E384" s="22" t="s">
        <v>304</v>
      </c>
      <c r="F384" s="22" t="s">
        <v>11</v>
      </c>
      <c r="G384" s="22" t="str">
        <f t="shared" si="18"/>
        <v/>
      </c>
      <c r="H384" s="5" t="str">
        <f t="shared" si="17"/>
        <v/>
      </c>
    </row>
    <row r="385" spans="1:8" hidden="1" x14ac:dyDescent="0.25">
      <c r="B385" s="23">
        <v>1382</v>
      </c>
      <c r="C385" s="23" t="s">
        <v>427</v>
      </c>
      <c r="D385" s="24" t="str">
        <f t="shared" si="16"/>
        <v>13.2.1Viet</v>
      </c>
      <c r="E385" s="24" t="s">
        <v>616</v>
      </c>
      <c r="F385" s="24" t="s">
        <v>3</v>
      </c>
      <c r="G385" s="24" t="str">
        <f t="shared" si="18"/>
        <v/>
      </c>
      <c r="H385" s="5" t="str">
        <f t="shared" si="17"/>
        <v/>
      </c>
    </row>
    <row r="386" spans="1:8" x14ac:dyDescent="0.25">
      <c r="A386" s="1">
        <v>112</v>
      </c>
      <c r="B386" s="27">
        <v>1383</v>
      </c>
      <c r="C386" s="27" t="s">
        <v>427</v>
      </c>
      <c r="D386" s="28" t="str">
        <f t="shared" si="16"/>
        <v>13.2.1Eng</v>
      </c>
      <c r="E386" s="28" t="s">
        <v>115</v>
      </c>
      <c r="F386" s="28" t="s">
        <v>4</v>
      </c>
      <c r="G386" s="28" t="str">
        <f t="shared" si="18"/>
        <v/>
      </c>
      <c r="H386" s="5" t="str">
        <f t="shared" si="17"/>
        <v/>
      </c>
    </row>
    <row r="387" spans="1:8" hidden="1" x14ac:dyDescent="0.25">
      <c r="B387" s="25">
        <v>1384</v>
      </c>
      <c r="C387" s="25" t="s">
        <v>427</v>
      </c>
      <c r="D387" s="26" t="str">
        <f t="shared" si="16"/>
        <v>13.2.1Phon</v>
      </c>
      <c r="E387" s="26" t="s">
        <v>805</v>
      </c>
      <c r="F387" s="26" t="s">
        <v>5</v>
      </c>
      <c r="G387" s="26" t="str">
        <f t="shared" si="18"/>
        <v/>
      </c>
      <c r="H387" s="5" t="str">
        <f t="shared" si="17"/>
        <v/>
      </c>
    </row>
    <row r="388" spans="1:8" hidden="1" x14ac:dyDescent="0.25">
      <c r="B388" s="23">
        <v>1385</v>
      </c>
      <c r="C388" s="23" t="s">
        <v>428</v>
      </c>
      <c r="D388" s="24" t="str">
        <f t="shared" ref="D388:D451" si="19">C388&amp;F388</f>
        <v>13.2.2Viet</v>
      </c>
      <c r="E388" s="24" t="s">
        <v>617</v>
      </c>
      <c r="F388" s="24" t="s">
        <v>3</v>
      </c>
      <c r="G388" s="24" t="str">
        <f t="shared" si="18"/>
        <v/>
      </c>
      <c r="H388" s="5" t="str">
        <f t="shared" si="17"/>
        <v/>
      </c>
    </row>
    <row r="389" spans="1:8" x14ac:dyDescent="0.25">
      <c r="A389" s="1">
        <v>113</v>
      </c>
      <c r="B389" s="27">
        <v>1386</v>
      </c>
      <c r="C389" s="27" t="s">
        <v>428</v>
      </c>
      <c r="D389" s="28" t="str">
        <f t="shared" si="19"/>
        <v>13.2.2Eng</v>
      </c>
      <c r="E389" s="28" t="s">
        <v>116</v>
      </c>
      <c r="F389" s="28" t="s">
        <v>4</v>
      </c>
      <c r="G389" s="28" t="str">
        <f t="shared" si="18"/>
        <v/>
      </c>
      <c r="H389" s="5" t="str">
        <f t="shared" si="17"/>
        <v/>
      </c>
    </row>
    <row r="390" spans="1:8" hidden="1" x14ac:dyDescent="0.25">
      <c r="B390" s="25">
        <v>1387</v>
      </c>
      <c r="C390" s="25" t="s">
        <v>428</v>
      </c>
      <c r="D390" s="26" t="str">
        <f t="shared" si="19"/>
        <v>13.2.2Phon</v>
      </c>
      <c r="E390" s="26" t="s">
        <v>806</v>
      </c>
      <c r="F390" s="26" t="s">
        <v>5</v>
      </c>
      <c r="G390" s="26" t="str">
        <f t="shared" si="18"/>
        <v/>
      </c>
      <c r="H390" s="5" t="str">
        <f t="shared" ref="H390:H453" si="20">IFERROR(LEFT(RIGHT(I390,LEN(I390)-32),LEN(RIGHT(I390,LEN(I390)-32))-17),"")</f>
        <v/>
      </c>
    </row>
    <row r="391" spans="1:8" hidden="1" x14ac:dyDescent="0.25">
      <c r="B391" s="23">
        <v>1388</v>
      </c>
      <c r="C391" s="23" t="s">
        <v>429</v>
      </c>
      <c r="D391" s="24" t="str">
        <f t="shared" si="19"/>
        <v>13.2.3Viet</v>
      </c>
      <c r="E391" s="24" t="s">
        <v>618</v>
      </c>
      <c r="F391" s="24" t="s">
        <v>3</v>
      </c>
      <c r="G391" s="24" t="str">
        <f t="shared" si="18"/>
        <v/>
      </c>
      <c r="H391" s="5" t="str">
        <f t="shared" si="20"/>
        <v/>
      </c>
    </row>
    <row r="392" spans="1:8" x14ac:dyDescent="0.25">
      <c r="A392" s="1">
        <v>114</v>
      </c>
      <c r="B392" s="27">
        <v>1389</v>
      </c>
      <c r="C392" s="27" t="s">
        <v>429</v>
      </c>
      <c r="D392" s="28" t="str">
        <f t="shared" si="19"/>
        <v>13.2.3Eng</v>
      </c>
      <c r="E392" s="28" t="s">
        <v>214</v>
      </c>
      <c r="F392" s="28" t="s">
        <v>4</v>
      </c>
      <c r="G392" s="28" t="str">
        <f t="shared" si="18"/>
        <v/>
      </c>
      <c r="H392" s="5" t="str">
        <f t="shared" si="20"/>
        <v/>
      </c>
    </row>
    <row r="393" spans="1:8" hidden="1" x14ac:dyDescent="0.25">
      <c r="B393" s="25">
        <v>1390</v>
      </c>
      <c r="C393" s="25" t="s">
        <v>429</v>
      </c>
      <c r="D393" s="26" t="str">
        <f t="shared" si="19"/>
        <v>13.2.3Phon</v>
      </c>
      <c r="E393" s="26" t="s">
        <v>807</v>
      </c>
      <c r="F393" s="26" t="s">
        <v>5</v>
      </c>
      <c r="G393" s="26" t="str">
        <f t="shared" ref="G393:G456" si="21">IF(H393="","","https://docs.google.com/uc?export=download&amp;id="&amp;H393)</f>
        <v/>
      </c>
      <c r="H393" s="5" t="str">
        <f t="shared" si="20"/>
        <v/>
      </c>
    </row>
    <row r="394" spans="1:8" hidden="1" x14ac:dyDescent="0.25">
      <c r="B394" s="21">
        <v>1391</v>
      </c>
      <c r="C394" s="21" t="s">
        <v>47</v>
      </c>
      <c r="D394" s="22" t="str">
        <f t="shared" si="19"/>
        <v>13.3Struc</v>
      </c>
      <c r="E394" s="22" t="s">
        <v>305</v>
      </c>
      <c r="F394" s="22" t="s">
        <v>11</v>
      </c>
      <c r="G394" s="22" t="str">
        <f t="shared" si="21"/>
        <v/>
      </c>
      <c r="H394" s="5" t="str">
        <f t="shared" si="20"/>
        <v/>
      </c>
    </row>
    <row r="395" spans="1:8" hidden="1" x14ac:dyDescent="0.25">
      <c r="B395" s="23">
        <v>1392</v>
      </c>
      <c r="C395" s="23" t="s">
        <v>430</v>
      </c>
      <c r="D395" s="24" t="str">
        <f t="shared" si="19"/>
        <v>13.3.1Viet</v>
      </c>
      <c r="E395" s="24" t="s">
        <v>619</v>
      </c>
      <c r="F395" s="24" t="s">
        <v>3</v>
      </c>
      <c r="G395" s="24" t="str">
        <f t="shared" si="21"/>
        <v/>
      </c>
      <c r="H395" s="5" t="str">
        <f t="shared" si="20"/>
        <v/>
      </c>
    </row>
    <row r="396" spans="1:8" x14ac:dyDescent="0.25">
      <c r="A396" s="1">
        <v>115</v>
      </c>
      <c r="B396" s="27">
        <v>1393</v>
      </c>
      <c r="C396" s="27" t="s">
        <v>430</v>
      </c>
      <c r="D396" s="28" t="str">
        <f t="shared" si="19"/>
        <v>13.3.1Eng</v>
      </c>
      <c r="E396" s="28" t="s">
        <v>117</v>
      </c>
      <c r="F396" s="28" t="s">
        <v>4</v>
      </c>
      <c r="G396" s="28" t="str">
        <f t="shared" si="21"/>
        <v/>
      </c>
      <c r="H396" s="5" t="str">
        <f t="shared" si="20"/>
        <v/>
      </c>
    </row>
    <row r="397" spans="1:8" hidden="1" x14ac:dyDescent="0.25">
      <c r="B397" s="25">
        <v>1394</v>
      </c>
      <c r="C397" s="25" t="s">
        <v>430</v>
      </c>
      <c r="D397" s="26" t="str">
        <f t="shared" si="19"/>
        <v>13.3.1Phon</v>
      </c>
      <c r="E397" s="26" t="s">
        <v>808</v>
      </c>
      <c r="F397" s="26" t="s">
        <v>5</v>
      </c>
      <c r="G397" s="26" t="str">
        <f t="shared" si="21"/>
        <v/>
      </c>
      <c r="H397" s="5" t="str">
        <f t="shared" si="20"/>
        <v/>
      </c>
    </row>
    <row r="398" spans="1:8" hidden="1" x14ac:dyDescent="0.25">
      <c r="B398" s="23">
        <v>1395</v>
      </c>
      <c r="C398" s="23" t="s">
        <v>431</v>
      </c>
      <c r="D398" s="24" t="str">
        <f t="shared" si="19"/>
        <v>13.3.2Viet</v>
      </c>
      <c r="E398" s="24" t="s">
        <v>620</v>
      </c>
      <c r="F398" s="24" t="s">
        <v>3</v>
      </c>
      <c r="G398" s="24" t="str">
        <f t="shared" si="21"/>
        <v/>
      </c>
      <c r="H398" s="5" t="str">
        <f t="shared" si="20"/>
        <v/>
      </c>
    </row>
    <row r="399" spans="1:8" x14ac:dyDescent="0.25">
      <c r="A399" s="1">
        <v>116</v>
      </c>
      <c r="B399" s="27">
        <v>1396</v>
      </c>
      <c r="C399" s="27" t="s">
        <v>431</v>
      </c>
      <c r="D399" s="28" t="str">
        <f t="shared" si="19"/>
        <v>13.3.2Eng</v>
      </c>
      <c r="E399" s="28" t="s">
        <v>215</v>
      </c>
      <c r="F399" s="28" t="s">
        <v>4</v>
      </c>
      <c r="G399" s="28" t="str">
        <f t="shared" si="21"/>
        <v/>
      </c>
      <c r="H399" s="5" t="str">
        <f t="shared" si="20"/>
        <v/>
      </c>
    </row>
    <row r="400" spans="1:8" hidden="1" x14ac:dyDescent="0.25">
      <c r="B400" s="25">
        <v>1397</v>
      </c>
      <c r="C400" s="25" t="s">
        <v>431</v>
      </c>
      <c r="D400" s="26" t="str">
        <f t="shared" si="19"/>
        <v>13.3.2Phon</v>
      </c>
      <c r="E400" s="26" t="s">
        <v>809</v>
      </c>
      <c r="F400" s="26" t="s">
        <v>5</v>
      </c>
      <c r="G400" s="26" t="str">
        <f t="shared" si="21"/>
        <v/>
      </c>
      <c r="H400" s="5" t="str">
        <f t="shared" si="20"/>
        <v/>
      </c>
    </row>
    <row r="401" spans="1:8" hidden="1" x14ac:dyDescent="0.25">
      <c r="B401" s="23">
        <v>1398</v>
      </c>
      <c r="C401" s="23" t="s">
        <v>432</v>
      </c>
      <c r="D401" s="24" t="str">
        <f t="shared" si="19"/>
        <v>13.3.3Viet</v>
      </c>
      <c r="E401" s="24" t="s">
        <v>621</v>
      </c>
      <c r="F401" s="24" t="s">
        <v>3</v>
      </c>
      <c r="G401" s="24" t="str">
        <f t="shared" si="21"/>
        <v/>
      </c>
      <c r="H401" s="5" t="str">
        <f t="shared" si="20"/>
        <v/>
      </c>
    </row>
    <row r="402" spans="1:8" x14ac:dyDescent="0.25">
      <c r="A402" s="1">
        <v>117</v>
      </c>
      <c r="B402" s="27">
        <v>1399</v>
      </c>
      <c r="C402" s="27" t="s">
        <v>432</v>
      </c>
      <c r="D402" s="28" t="str">
        <f t="shared" si="19"/>
        <v>13.3.3Eng</v>
      </c>
      <c r="E402" s="28" t="s">
        <v>118</v>
      </c>
      <c r="F402" s="28" t="s">
        <v>4</v>
      </c>
      <c r="G402" s="28" t="str">
        <f t="shared" si="21"/>
        <v/>
      </c>
      <c r="H402" s="5" t="str">
        <f t="shared" si="20"/>
        <v/>
      </c>
    </row>
    <row r="403" spans="1:8" hidden="1" x14ac:dyDescent="0.25">
      <c r="B403" s="25">
        <v>1400</v>
      </c>
      <c r="C403" s="25" t="s">
        <v>432</v>
      </c>
      <c r="D403" s="26" t="str">
        <f t="shared" si="19"/>
        <v>13.3.3Phon</v>
      </c>
      <c r="E403" s="26" t="s">
        <v>810</v>
      </c>
      <c r="F403" s="26" t="s">
        <v>5</v>
      </c>
      <c r="G403" s="26" t="str">
        <f t="shared" si="21"/>
        <v/>
      </c>
      <c r="H403" s="5" t="str">
        <f t="shared" si="20"/>
        <v/>
      </c>
    </row>
    <row r="404" spans="1:8" hidden="1" x14ac:dyDescent="0.25">
      <c r="B404" s="19">
        <v>1401</v>
      </c>
      <c r="C404" s="19">
        <v>14</v>
      </c>
      <c r="D404" s="20" t="str">
        <f t="shared" si="19"/>
        <v>14Struc0</v>
      </c>
      <c r="E404" s="20" t="s">
        <v>271</v>
      </c>
      <c r="F404" s="20" t="s">
        <v>502</v>
      </c>
      <c r="G404" s="20" t="str">
        <f t="shared" si="21"/>
        <v/>
      </c>
      <c r="H404" s="5" t="str">
        <f t="shared" si="20"/>
        <v/>
      </c>
    </row>
    <row r="405" spans="1:8" hidden="1" x14ac:dyDescent="0.25">
      <c r="B405" s="21">
        <v>1402</v>
      </c>
      <c r="C405" s="21" t="s">
        <v>48</v>
      </c>
      <c r="D405" s="22" t="str">
        <f t="shared" si="19"/>
        <v>14.1Struc</v>
      </c>
      <c r="E405" s="22" t="s">
        <v>271</v>
      </c>
      <c r="F405" s="22" t="s">
        <v>11</v>
      </c>
      <c r="G405" s="22" t="str">
        <f t="shared" si="21"/>
        <v/>
      </c>
      <c r="H405" s="5" t="str">
        <f t="shared" si="20"/>
        <v/>
      </c>
    </row>
    <row r="406" spans="1:8" hidden="1" x14ac:dyDescent="0.25">
      <c r="B406" s="23">
        <v>1403</v>
      </c>
      <c r="C406" s="23" t="s">
        <v>433</v>
      </c>
      <c r="D406" s="24" t="str">
        <f t="shared" si="19"/>
        <v>14.1.1Viet</v>
      </c>
      <c r="E406" s="24" t="s">
        <v>622</v>
      </c>
      <c r="F406" s="24" t="s">
        <v>3</v>
      </c>
      <c r="G406" s="24" t="str">
        <f t="shared" si="21"/>
        <v/>
      </c>
      <c r="H406" s="5" t="str">
        <f t="shared" si="20"/>
        <v/>
      </c>
    </row>
    <row r="407" spans="1:8" x14ac:dyDescent="0.25">
      <c r="A407" s="1">
        <v>118</v>
      </c>
      <c r="B407" s="27">
        <v>1404</v>
      </c>
      <c r="C407" s="27" t="s">
        <v>433</v>
      </c>
      <c r="D407" s="28" t="str">
        <f t="shared" si="19"/>
        <v>14.1.1Eng</v>
      </c>
      <c r="E407" s="28" t="s">
        <v>119</v>
      </c>
      <c r="F407" s="28" t="s">
        <v>4</v>
      </c>
      <c r="G407" s="28" t="str">
        <f t="shared" si="21"/>
        <v/>
      </c>
      <c r="H407" s="5" t="str">
        <f t="shared" si="20"/>
        <v/>
      </c>
    </row>
    <row r="408" spans="1:8" hidden="1" x14ac:dyDescent="0.25">
      <c r="B408" s="25">
        <v>1405</v>
      </c>
      <c r="C408" s="25" t="s">
        <v>433</v>
      </c>
      <c r="D408" s="26" t="str">
        <f t="shared" si="19"/>
        <v>14.1.1Phon</v>
      </c>
      <c r="E408" s="26" t="s">
        <v>811</v>
      </c>
      <c r="F408" s="26" t="s">
        <v>5</v>
      </c>
      <c r="G408" s="26" t="str">
        <f t="shared" si="21"/>
        <v/>
      </c>
      <c r="H408" s="5" t="str">
        <f t="shared" si="20"/>
        <v/>
      </c>
    </row>
    <row r="409" spans="1:8" hidden="1" x14ac:dyDescent="0.25">
      <c r="B409" s="23">
        <v>1406</v>
      </c>
      <c r="C409" s="23" t="s">
        <v>434</v>
      </c>
      <c r="D409" s="24" t="str">
        <f t="shared" si="19"/>
        <v>14.1.2Viet</v>
      </c>
      <c r="E409" s="24" t="s">
        <v>623</v>
      </c>
      <c r="F409" s="24" t="s">
        <v>3</v>
      </c>
      <c r="G409" s="24" t="str">
        <f t="shared" si="21"/>
        <v/>
      </c>
      <c r="H409" s="5" t="str">
        <f t="shared" si="20"/>
        <v/>
      </c>
    </row>
    <row r="410" spans="1:8" x14ac:dyDescent="0.25">
      <c r="A410" s="1">
        <v>119</v>
      </c>
      <c r="B410" s="27">
        <v>1407</v>
      </c>
      <c r="C410" s="27" t="s">
        <v>434</v>
      </c>
      <c r="D410" s="28" t="str">
        <f t="shared" si="19"/>
        <v>14.1.2Eng</v>
      </c>
      <c r="E410" s="28" t="s">
        <v>120</v>
      </c>
      <c r="F410" s="28" t="s">
        <v>4</v>
      </c>
      <c r="G410" s="28" t="str">
        <f t="shared" si="21"/>
        <v/>
      </c>
      <c r="H410" s="5" t="str">
        <f t="shared" si="20"/>
        <v/>
      </c>
    </row>
    <row r="411" spans="1:8" hidden="1" x14ac:dyDescent="0.25">
      <c r="B411" s="25">
        <v>1408</v>
      </c>
      <c r="C411" s="25" t="s">
        <v>434</v>
      </c>
      <c r="D411" s="26" t="str">
        <f t="shared" si="19"/>
        <v>14.1.2Phon</v>
      </c>
      <c r="E411" s="26" t="s">
        <v>812</v>
      </c>
      <c r="F411" s="26" t="s">
        <v>5</v>
      </c>
      <c r="G411" s="26" t="str">
        <f t="shared" si="21"/>
        <v/>
      </c>
      <c r="H411" s="5" t="str">
        <f t="shared" si="20"/>
        <v/>
      </c>
    </row>
    <row r="412" spans="1:8" hidden="1" x14ac:dyDescent="0.25">
      <c r="B412" s="23">
        <v>1409</v>
      </c>
      <c r="C412" s="23" t="s">
        <v>435</v>
      </c>
      <c r="D412" s="24" t="str">
        <f t="shared" si="19"/>
        <v>14.1.3Viet</v>
      </c>
      <c r="E412" s="24" t="s">
        <v>624</v>
      </c>
      <c r="F412" s="24" t="s">
        <v>3</v>
      </c>
      <c r="G412" s="24" t="str">
        <f t="shared" si="21"/>
        <v/>
      </c>
      <c r="H412" s="5" t="str">
        <f t="shared" si="20"/>
        <v/>
      </c>
    </row>
    <row r="413" spans="1:8" x14ac:dyDescent="0.25">
      <c r="A413" s="1">
        <v>120</v>
      </c>
      <c r="B413" s="27">
        <v>1410</v>
      </c>
      <c r="C413" s="27" t="s">
        <v>435</v>
      </c>
      <c r="D413" s="28" t="str">
        <f t="shared" si="19"/>
        <v>14.1.3Eng</v>
      </c>
      <c r="E413" s="28" t="s">
        <v>216</v>
      </c>
      <c r="F413" s="28" t="s">
        <v>4</v>
      </c>
      <c r="G413" s="28" t="str">
        <f t="shared" si="21"/>
        <v/>
      </c>
      <c r="H413" s="5" t="str">
        <f t="shared" si="20"/>
        <v/>
      </c>
    </row>
    <row r="414" spans="1:8" hidden="1" x14ac:dyDescent="0.25">
      <c r="B414" s="25">
        <v>1411</v>
      </c>
      <c r="C414" s="25" t="s">
        <v>435</v>
      </c>
      <c r="D414" s="26" t="str">
        <f t="shared" si="19"/>
        <v>14.1.3Phon</v>
      </c>
      <c r="E414" s="26" t="s">
        <v>813</v>
      </c>
      <c r="F414" s="26" t="s">
        <v>5</v>
      </c>
      <c r="G414" s="26" t="str">
        <f t="shared" si="21"/>
        <v/>
      </c>
      <c r="H414" s="5" t="str">
        <f t="shared" si="20"/>
        <v/>
      </c>
    </row>
    <row r="415" spans="1:8" hidden="1" x14ac:dyDescent="0.25">
      <c r="B415" s="21">
        <v>1412</v>
      </c>
      <c r="C415" s="21" t="s">
        <v>49</v>
      </c>
      <c r="D415" s="22" t="str">
        <f t="shared" si="19"/>
        <v>14.2Struc</v>
      </c>
      <c r="E415" s="22" t="s">
        <v>306</v>
      </c>
      <c r="F415" s="22" t="s">
        <v>11</v>
      </c>
      <c r="G415" s="22" t="str">
        <f t="shared" si="21"/>
        <v/>
      </c>
      <c r="H415" s="5" t="str">
        <f t="shared" si="20"/>
        <v/>
      </c>
    </row>
    <row r="416" spans="1:8" hidden="1" x14ac:dyDescent="0.25">
      <c r="B416" s="23">
        <v>1413</v>
      </c>
      <c r="C416" s="23" t="s">
        <v>436</v>
      </c>
      <c r="D416" s="24" t="str">
        <f t="shared" si="19"/>
        <v>14.2.1Viet</v>
      </c>
      <c r="E416" s="24" t="s">
        <v>625</v>
      </c>
      <c r="F416" s="24" t="s">
        <v>3</v>
      </c>
      <c r="G416" s="24" t="str">
        <f t="shared" si="21"/>
        <v/>
      </c>
      <c r="H416" s="5" t="str">
        <f t="shared" si="20"/>
        <v/>
      </c>
    </row>
    <row r="417" spans="1:8" x14ac:dyDescent="0.25">
      <c r="A417" s="1">
        <v>121</v>
      </c>
      <c r="B417" s="27">
        <v>1414</v>
      </c>
      <c r="C417" s="27" t="s">
        <v>436</v>
      </c>
      <c r="D417" s="28" t="str">
        <f t="shared" si="19"/>
        <v>14.2.1Eng</v>
      </c>
      <c r="E417" s="28" t="s">
        <v>217</v>
      </c>
      <c r="F417" s="28" t="s">
        <v>4</v>
      </c>
      <c r="G417" s="28" t="str">
        <f t="shared" si="21"/>
        <v/>
      </c>
      <c r="H417" s="5" t="str">
        <f t="shared" si="20"/>
        <v/>
      </c>
    </row>
    <row r="418" spans="1:8" hidden="1" x14ac:dyDescent="0.25">
      <c r="B418" s="25">
        <v>1415</v>
      </c>
      <c r="C418" s="25" t="s">
        <v>436</v>
      </c>
      <c r="D418" s="26" t="str">
        <f t="shared" si="19"/>
        <v>14.2.1Phon</v>
      </c>
      <c r="E418" s="26" t="s">
        <v>814</v>
      </c>
      <c r="F418" s="26" t="s">
        <v>5</v>
      </c>
      <c r="G418" s="26" t="str">
        <f t="shared" si="21"/>
        <v/>
      </c>
      <c r="H418" s="5" t="str">
        <f t="shared" si="20"/>
        <v/>
      </c>
    </row>
    <row r="419" spans="1:8" hidden="1" x14ac:dyDescent="0.25">
      <c r="B419" s="23">
        <v>1416</v>
      </c>
      <c r="C419" s="23" t="s">
        <v>437</v>
      </c>
      <c r="D419" s="24" t="str">
        <f t="shared" si="19"/>
        <v>14.2.2Viet</v>
      </c>
      <c r="E419" s="24" t="s">
        <v>626</v>
      </c>
      <c r="F419" s="24" t="s">
        <v>3</v>
      </c>
      <c r="G419" s="24" t="str">
        <f t="shared" si="21"/>
        <v/>
      </c>
      <c r="H419" s="5" t="str">
        <f t="shared" si="20"/>
        <v/>
      </c>
    </row>
    <row r="420" spans="1:8" x14ac:dyDescent="0.25">
      <c r="A420" s="1">
        <v>122</v>
      </c>
      <c r="B420" s="27">
        <v>1417</v>
      </c>
      <c r="C420" s="27" t="s">
        <v>437</v>
      </c>
      <c r="D420" s="28" t="str">
        <f t="shared" si="19"/>
        <v>14.2.2Eng</v>
      </c>
      <c r="E420" s="28" t="s">
        <v>218</v>
      </c>
      <c r="F420" s="28" t="s">
        <v>4</v>
      </c>
      <c r="G420" s="28" t="str">
        <f t="shared" si="21"/>
        <v/>
      </c>
      <c r="H420" s="5" t="str">
        <f t="shared" si="20"/>
        <v/>
      </c>
    </row>
    <row r="421" spans="1:8" hidden="1" x14ac:dyDescent="0.25">
      <c r="B421" s="25">
        <v>1418</v>
      </c>
      <c r="C421" s="25" t="s">
        <v>437</v>
      </c>
      <c r="D421" s="26" t="str">
        <f t="shared" si="19"/>
        <v>14.2.2Phon</v>
      </c>
      <c r="E421" s="26" t="s">
        <v>815</v>
      </c>
      <c r="F421" s="26" t="s">
        <v>5</v>
      </c>
      <c r="G421" s="26" t="str">
        <f t="shared" si="21"/>
        <v/>
      </c>
      <c r="H421" s="5" t="str">
        <f t="shared" si="20"/>
        <v/>
      </c>
    </row>
    <row r="422" spans="1:8" hidden="1" x14ac:dyDescent="0.25">
      <c r="B422" s="23">
        <v>1419</v>
      </c>
      <c r="C422" s="23" t="s">
        <v>438</v>
      </c>
      <c r="D422" s="24" t="str">
        <f t="shared" si="19"/>
        <v>14.2.3Viet</v>
      </c>
      <c r="E422" s="24" t="s">
        <v>627</v>
      </c>
      <c r="F422" s="24" t="s">
        <v>3</v>
      </c>
      <c r="G422" s="24" t="str">
        <f t="shared" si="21"/>
        <v/>
      </c>
      <c r="H422" s="5" t="str">
        <f t="shared" si="20"/>
        <v/>
      </c>
    </row>
    <row r="423" spans="1:8" x14ac:dyDescent="0.25">
      <c r="A423" s="1">
        <v>123</v>
      </c>
      <c r="B423" s="27">
        <v>1420</v>
      </c>
      <c r="C423" s="27" t="s">
        <v>438</v>
      </c>
      <c r="D423" s="28" t="str">
        <f t="shared" si="19"/>
        <v>14.2.3Eng</v>
      </c>
      <c r="E423" s="28" t="s">
        <v>219</v>
      </c>
      <c r="F423" s="28" t="s">
        <v>4</v>
      </c>
      <c r="G423" s="28" t="str">
        <f t="shared" si="21"/>
        <v/>
      </c>
      <c r="H423" s="5" t="str">
        <f t="shared" si="20"/>
        <v/>
      </c>
    </row>
    <row r="424" spans="1:8" hidden="1" x14ac:dyDescent="0.25">
      <c r="B424" s="25">
        <v>1421</v>
      </c>
      <c r="C424" s="25" t="s">
        <v>438</v>
      </c>
      <c r="D424" s="26" t="str">
        <f t="shared" si="19"/>
        <v>14.2.3Phon</v>
      </c>
      <c r="E424" s="26" t="s">
        <v>816</v>
      </c>
      <c r="F424" s="26" t="s">
        <v>5</v>
      </c>
      <c r="G424" s="26" t="str">
        <f t="shared" si="21"/>
        <v/>
      </c>
      <c r="H424" s="5" t="str">
        <f t="shared" si="20"/>
        <v/>
      </c>
    </row>
    <row r="425" spans="1:8" hidden="1" x14ac:dyDescent="0.25">
      <c r="B425" s="23">
        <v>1422</v>
      </c>
      <c r="C425" s="23" t="s">
        <v>439</v>
      </c>
      <c r="D425" s="24" t="str">
        <f t="shared" si="19"/>
        <v>14.2.4Viet</v>
      </c>
      <c r="E425" s="24" t="s">
        <v>628</v>
      </c>
      <c r="F425" s="24" t="s">
        <v>3</v>
      </c>
      <c r="G425" s="24" t="str">
        <f t="shared" si="21"/>
        <v/>
      </c>
      <c r="H425" s="5" t="str">
        <f t="shared" si="20"/>
        <v/>
      </c>
    </row>
    <row r="426" spans="1:8" x14ac:dyDescent="0.25">
      <c r="A426" s="1">
        <v>124</v>
      </c>
      <c r="B426" s="27">
        <v>1423</v>
      </c>
      <c r="C426" s="27" t="s">
        <v>439</v>
      </c>
      <c r="D426" s="28" t="str">
        <f t="shared" si="19"/>
        <v>14.2.4Eng</v>
      </c>
      <c r="E426" s="28" t="s">
        <v>220</v>
      </c>
      <c r="F426" s="28" t="s">
        <v>4</v>
      </c>
      <c r="G426" s="28" t="str">
        <f t="shared" si="21"/>
        <v/>
      </c>
      <c r="H426" s="5" t="str">
        <f t="shared" si="20"/>
        <v/>
      </c>
    </row>
    <row r="427" spans="1:8" hidden="1" x14ac:dyDescent="0.25">
      <c r="B427" s="25">
        <v>1424</v>
      </c>
      <c r="C427" s="25" t="s">
        <v>439</v>
      </c>
      <c r="D427" s="26" t="str">
        <f t="shared" si="19"/>
        <v>14.2.4Phon</v>
      </c>
      <c r="E427" s="26" t="s">
        <v>817</v>
      </c>
      <c r="F427" s="26" t="s">
        <v>5</v>
      </c>
      <c r="G427" s="26" t="str">
        <f t="shared" si="21"/>
        <v/>
      </c>
      <c r="H427" s="5" t="str">
        <f t="shared" si="20"/>
        <v/>
      </c>
    </row>
    <row r="428" spans="1:8" hidden="1" x14ac:dyDescent="0.25">
      <c r="B428" s="21">
        <v>1425</v>
      </c>
      <c r="C428" s="21" t="s">
        <v>50</v>
      </c>
      <c r="D428" s="22" t="str">
        <f t="shared" si="19"/>
        <v>14.3Struc</v>
      </c>
      <c r="E428" s="22" t="s">
        <v>307</v>
      </c>
      <c r="F428" s="22" t="s">
        <v>11</v>
      </c>
      <c r="G428" s="22" t="str">
        <f t="shared" si="21"/>
        <v/>
      </c>
      <c r="H428" s="5" t="str">
        <f t="shared" si="20"/>
        <v/>
      </c>
    </row>
    <row r="429" spans="1:8" hidden="1" x14ac:dyDescent="0.25">
      <c r="B429" s="23">
        <v>1426</v>
      </c>
      <c r="C429" s="23" t="s">
        <v>440</v>
      </c>
      <c r="D429" s="24" t="str">
        <f t="shared" si="19"/>
        <v>14.3.1Viet</v>
      </c>
      <c r="E429" s="24" t="s">
        <v>629</v>
      </c>
      <c r="F429" s="24" t="s">
        <v>3</v>
      </c>
      <c r="G429" s="24" t="str">
        <f t="shared" si="21"/>
        <v/>
      </c>
      <c r="H429" s="5" t="str">
        <f t="shared" si="20"/>
        <v/>
      </c>
    </row>
    <row r="430" spans="1:8" x14ac:dyDescent="0.25">
      <c r="A430" s="1">
        <v>125</v>
      </c>
      <c r="B430" s="27">
        <v>1427</v>
      </c>
      <c r="C430" s="27" t="s">
        <v>440</v>
      </c>
      <c r="D430" s="28" t="str">
        <f t="shared" si="19"/>
        <v>14.3.1Eng</v>
      </c>
      <c r="E430" s="28" t="s">
        <v>121</v>
      </c>
      <c r="F430" s="28" t="s">
        <v>4</v>
      </c>
      <c r="G430" s="28" t="str">
        <f t="shared" si="21"/>
        <v/>
      </c>
      <c r="H430" s="5" t="str">
        <f t="shared" si="20"/>
        <v/>
      </c>
    </row>
    <row r="431" spans="1:8" hidden="1" x14ac:dyDescent="0.25">
      <c r="B431" s="25">
        <v>1428</v>
      </c>
      <c r="C431" s="25" t="s">
        <v>440</v>
      </c>
      <c r="D431" s="26" t="str">
        <f t="shared" si="19"/>
        <v>14.3.1Phon</v>
      </c>
      <c r="E431" s="26" t="s">
        <v>818</v>
      </c>
      <c r="F431" s="26" t="s">
        <v>5</v>
      </c>
      <c r="G431" s="26" t="str">
        <f t="shared" si="21"/>
        <v/>
      </c>
      <c r="H431" s="5" t="str">
        <f t="shared" si="20"/>
        <v/>
      </c>
    </row>
    <row r="432" spans="1:8" hidden="1" x14ac:dyDescent="0.25">
      <c r="B432" s="23">
        <v>1429</v>
      </c>
      <c r="C432" s="23" t="s">
        <v>441</v>
      </c>
      <c r="D432" s="24" t="str">
        <f t="shared" si="19"/>
        <v>14.3.2Viet</v>
      </c>
      <c r="E432" s="24" t="s">
        <v>630</v>
      </c>
      <c r="F432" s="24" t="s">
        <v>3</v>
      </c>
      <c r="G432" s="24" t="str">
        <f t="shared" si="21"/>
        <v/>
      </c>
      <c r="H432" s="5" t="str">
        <f t="shared" si="20"/>
        <v/>
      </c>
    </row>
    <row r="433" spans="1:8" x14ac:dyDescent="0.25">
      <c r="A433" s="1">
        <v>126</v>
      </c>
      <c r="B433" s="27">
        <v>1430</v>
      </c>
      <c r="C433" s="27" t="s">
        <v>441</v>
      </c>
      <c r="D433" s="28" t="str">
        <f t="shared" si="19"/>
        <v>14.3.2Eng</v>
      </c>
      <c r="E433" s="28" t="s">
        <v>122</v>
      </c>
      <c r="F433" s="28" t="s">
        <v>4</v>
      </c>
      <c r="G433" s="28" t="str">
        <f t="shared" si="21"/>
        <v/>
      </c>
      <c r="H433" s="5" t="str">
        <f t="shared" si="20"/>
        <v/>
      </c>
    </row>
    <row r="434" spans="1:8" hidden="1" x14ac:dyDescent="0.25">
      <c r="B434" s="25">
        <v>1431</v>
      </c>
      <c r="C434" s="25" t="s">
        <v>441</v>
      </c>
      <c r="D434" s="26" t="str">
        <f t="shared" si="19"/>
        <v>14.3.2Phon</v>
      </c>
      <c r="E434" s="26" t="s">
        <v>819</v>
      </c>
      <c r="F434" s="26" t="s">
        <v>5</v>
      </c>
      <c r="G434" s="26" t="str">
        <f t="shared" si="21"/>
        <v/>
      </c>
      <c r="H434" s="5" t="str">
        <f t="shared" si="20"/>
        <v/>
      </c>
    </row>
    <row r="435" spans="1:8" hidden="1" x14ac:dyDescent="0.25">
      <c r="B435" s="23">
        <v>1432</v>
      </c>
      <c r="C435" s="23" t="s">
        <v>442</v>
      </c>
      <c r="D435" s="24" t="str">
        <f t="shared" si="19"/>
        <v>14.3.3Viet</v>
      </c>
      <c r="E435" s="24" t="s">
        <v>631</v>
      </c>
      <c r="F435" s="24" t="s">
        <v>3</v>
      </c>
      <c r="G435" s="24" t="str">
        <f t="shared" si="21"/>
        <v/>
      </c>
      <c r="H435" s="5" t="str">
        <f t="shared" si="20"/>
        <v/>
      </c>
    </row>
    <row r="436" spans="1:8" x14ac:dyDescent="0.25">
      <c r="A436" s="1">
        <v>127</v>
      </c>
      <c r="B436" s="27">
        <v>1433</v>
      </c>
      <c r="C436" s="27" t="s">
        <v>442</v>
      </c>
      <c r="D436" s="28" t="str">
        <f t="shared" si="19"/>
        <v>14.3.3Eng</v>
      </c>
      <c r="E436" s="28" t="s">
        <v>123</v>
      </c>
      <c r="F436" s="28" t="s">
        <v>4</v>
      </c>
      <c r="G436" s="28" t="str">
        <f t="shared" si="21"/>
        <v/>
      </c>
      <c r="H436" s="5" t="str">
        <f t="shared" si="20"/>
        <v/>
      </c>
    </row>
    <row r="437" spans="1:8" hidden="1" x14ac:dyDescent="0.25">
      <c r="B437" s="25">
        <v>1434</v>
      </c>
      <c r="C437" s="25" t="s">
        <v>442</v>
      </c>
      <c r="D437" s="26" t="str">
        <f t="shared" si="19"/>
        <v>14.3.3Phon</v>
      </c>
      <c r="E437" s="26" t="s">
        <v>820</v>
      </c>
      <c r="F437" s="26" t="s">
        <v>5</v>
      </c>
      <c r="G437" s="26" t="str">
        <f t="shared" si="21"/>
        <v/>
      </c>
      <c r="H437" s="5" t="str">
        <f t="shared" si="20"/>
        <v/>
      </c>
    </row>
    <row r="438" spans="1:8" hidden="1" x14ac:dyDescent="0.25">
      <c r="B438" s="23">
        <v>1435</v>
      </c>
      <c r="C438" s="23" t="s">
        <v>443</v>
      </c>
      <c r="D438" s="24" t="str">
        <f t="shared" si="19"/>
        <v>14.3.4Viet</v>
      </c>
      <c r="E438" s="24" t="s">
        <v>632</v>
      </c>
      <c r="F438" s="24" t="s">
        <v>3</v>
      </c>
      <c r="G438" s="24" t="str">
        <f t="shared" si="21"/>
        <v/>
      </c>
      <c r="H438" s="5" t="str">
        <f t="shared" si="20"/>
        <v/>
      </c>
    </row>
    <row r="439" spans="1:8" x14ac:dyDescent="0.25">
      <c r="A439" s="1">
        <v>128</v>
      </c>
      <c r="B439" s="27">
        <v>1436</v>
      </c>
      <c r="C439" s="27" t="s">
        <v>443</v>
      </c>
      <c r="D439" s="28" t="str">
        <f t="shared" si="19"/>
        <v>14.3.4Eng</v>
      </c>
      <c r="E439" s="28" t="s">
        <v>124</v>
      </c>
      <c r="F439" s="28" t="s">
        <v>4</v>
      </c>
      <c r="G439" s="28" t="str">
        <f t="shared" si="21"/>
        <v/>
      </c>
      <c r="H439" s="5" t="str">
        <f t="shared" si="20"/>
        <v/>
      </c>
    </row>
    <row r="440" spans="1:8" hidden="1" x14ac:dyDescent="0.25">
      <c r="B440" s="25">
        <v>1437</v>
      </c>
      <c r="C440" s="25" t="s">
        <v>443</v>
      </c>
      <c r="D440" s="26" t="str">
        <f t="shared" si="19"/>
        <v>14.3.4Phon</v>
      </c>
      <c r="E440" s="26" t="s">
        <v>821</v>
      </c>
      <c r="F440" s="26" t="s">
        <v>5</v>
      </c>
      <c r="G440" s="26" t="str">
        <f t="shared" si="21"/>
        <v/>
      </c>
      <c r="H440" s="5" t="str">
        <f t="shared" si="20"/>
        <v/>
      </c>
    </row>
    <row r="441" spans="1:8" hidden="1" x14ac:dyDescent="0.25">
      <c r="B441" s="19">
        <v>1438</v>
      </c>
      <c r="C441" s="19">
        <v>15</v>
      </c>
      <c r="D441" s="20" t="str">
        <f t="shared" si="19"/>
        <v>15Struc0</v>
      </c>
      <c r="E441" s="20" t="s">
        <v>272</v>
      </c>
      <c r="F441" s="20" t="s">
        <v>502</v>
      </c>
      <c r="G441" s="20" t="str">
        <f t="shared" si="21"/>
        <v/>
      </c>
      <c r="H441" s="5" t="str">
        <f t="shared" si="20"/>
        <v/>
      </c>
    </row>
    <row r="442" spans="1:8" hidden="1" x14ac:dyDescent="0.25">
      <c r="B442" s="21">
        <v>1439</v>
      </c>
      <c r="C442" s="21" t="s">
        <v>51</v>
      </c>
      <c r="D442" s="22" t="str">
        <f t="shared" si="19"/>
        <v>15.1Struc</v>
      </c>
      <c r="E442" s="22" t="s">
        <v>272</v>
      </c>
      <c r="F442" s="22" t="s">
        <v>11</v>
      </c>
      <c r="G442" s="22" t="str">
        <f t="shared" si="21"/>
        <v/>
      </c>
      <c r="H442" s="5" t="str">
        <f t="shared" si="20"/>
        <v/>
      </c>
    </row>
    <row r="443" spans="1:8" hidden="1" x14ac:dyDescent="0.25">
      <c r="B443" s="23">
        <v>1440</v>
      </c>
      <c r="C443" s="23" t="s">
        <v>444</v>
      </c>
      <c r="D443" s="24" t="str">
        <f t="shared" si="19"/>
        <v>15.1.1Viet</v>
      </c>
      <c r="E443" s="24" t="s">
        <v>633</v>
      </c>
      <c r="F443" s="24" t="s">
        <v>3</v>
      </c>
      <c r="G443" s="24" t="str">
        <f t="shared" si="21"/>
        <v/>
      </c>
      <c r="H443" s="5" t="str">
        <f t="shared" si="20"/>
        <v/>
      </c>
    </row>
    <row r="444" spans="1:8" x14ac:dyDescent="0.25">
      <c r="A444" s="1">
        <v>129</v>
      </c>
      <c r="B444" s="27">
        <v>1441</v>
      </c>
      <c r="C444" s="27" t="s">
        <v>444</v>
      </c>
      <c r="D444" s="28" t="str">
        <f t="shared" si="19"/>
        <v>15.1.1Eng</v>
      </c>
      <c r="E444" s="28" t="s">
        <v>221</v>
      </c>
      <c r="F444" s="28" t="s">
        <v>4</v>
      </c>
      <c r="G444" s="28" t="str">
        <f t="shared" si="21"/>
        <v/>
      </c>
      <c r="H444" s="5" t="str">
        <f t="shared" si="20"/>
        <v/>
      </c>
    </row>
    <row r="445" spans="1:8" hidden="1" x14ac:dyDescent="0.25">
      <c r="B445" s="25">
        <v>1442</v>
      </c>
      <c r="C445" s="25" t="s">
        <v>444</v>
      </c>
      <c r="D445" s="26" t="str">
        <f t="shared" si="19"/>
        <v>15.1.1Phon</v>
      </c>
      <c r="E445" s="26" t="s">
        <v>822</v>
      </c>
      <c r="F445" s="26" t="s">
        <v>5</v>
      </c>
      <c r="G445" s="26" t="str">
        <f t="shared" si="21"/>
        <v/>
      </c>
      <c r="H445" s="5" t="str">
        <f t="shared" si="20"/>
        <v/>
      </c>
    </row>
    <row r="446" spans="1:8" hidden="1" x14ac:dyDescent="0.25">
      <c r="B446" s="23">
        <v>1443</v>
      </c>
      <c r="C446" s="23" t="s">
        <v>445</v>
      </c>
      <c r="D446" s="24" t="str">
        <f t="shared" si="19"/>
        <v>15.1.2Viet</v>
      </c>
      <c r="E446" s="24" t="s">
        <v>634</v>
      </c>
      <c r="F446" s="24" t="s">
        <v>3</v>
      </c>
      <c r="G446" s="24" t="str">
        <f t="shared" si="21"/>
        <v/>
      </c>
      <c r="H446" s="5" t="str">
        <f t="shared" si="20"/>
        <v/>
      </c>
    </row>
    <row r="447" spans="1:8" x14ac:dyDescent="0.25">
      <c r="A447" s="1">
        <v>130</v>
      </c>
      <c r="B447" s="27">
        <v>1444</v>
      </c>
      <c r="C447" s="27" t="s">
        <v>445</v>
      </c>
      <c r="D447" s="28" t="str">
        <f t="shared" si="19"/>
        <v>15.1.2Eng</v>
      </c>
      <c r="E447" s="28" t="s">
        <v>222</v>
      </c>
      <c r="F447" s="28" t="s">
        <v>4</v>
      </c>
      <c r="G447" s="28" t="str">
        <f t="shared" si="21"/>
        <v/>
      </c>
      <c r="H447" s="5" t="str">
        <f t="shared" si="20"/>
        <v/>
      </c>
    </row>
    <row r="448" spans="1:8" hidden="1" x14ac:dyDescent="0.25">
      <c r="B448" s="25">
        <v>1445</v>
      </c>
      <c r="C448" s="25" t="s">
        <v>445</v>
      </c>
      <c r="D448" s="26" t="str">
        <f t="shared" si="19"/>
        <v>15.1.2Phon</v>
      </c>
      <c r="E448" s="26" t="s">
        <v>823</v>
      </c>
      <c r="F448" s="26" t="s">
        <v>5</v>
      </c>
      <c r="G448" s="26" t="str">
        <f t="shared" si="21"/>
        <v/>
      </c>
      <c r="H448" s="5" t="str">
        <f t="shared" si="20"/>
        <v/>
      </c>
    </row>
    <row r="449" spans="1:8" hidden="1" x14ac:dyDescent="0.25">
      <c r="B449" s="23">
        <v>1446</v>
      </c>
      <c r="C449" s="23" t="s">
        <v>446</v>
      </c>
      <c r="D449" s="24" t="str">
        <f t="shared" si="19"/>
        <v>15.1.3Viet</v>
      </c>
      <c r="E449" s="24" t="s">
        <v>635</v>
      </c>
      <c r="F449" s="24" t="s">
        <v>3</v>
      </c>
      <c r="G449" s="24" t="str">
        <f t="shared" si="21"/>
        <v/>
      </c>
      <c r="H449" s="5" t="str">
        <f t="shared" si="20"/>
        <v/>
      </c>
    </row>
    <row r="450" spans="1:8" x14ac:dyDescent="0.25">
      <c r="A450" s="1">
        <v>131</v>
      </c>
      <c r="B450" s="27">
        <v>1447</v>
      </c>
      <c r="C450" s="27" t="s">
        <v>446</v>
      </c>
      <c r="D450" s="28" t="str">
        <f t="shared" si="19"/>
        <v>15.1.3Eng</v>
      </c>
      <c r="E450" s="28" t="s">
        <v>223</v>
      </c>
      <c r="F450" s="28" t="s">
        <v>4</v>
      </c>
      <c r="G450" s="28" t="str">
        <f t="shared" si="21"/>
        <v/>
      </c>
      <c r="H450" s="5" t="str">
        <f t="shared" si="20"/>
        <v/>
      </c>
    </row>
    <row r="451" spans="1:8" hidden="1" x14ac:dyDescent="0.25">
      <c r="B451" s="25">
        <v>1448</v>
      </c>
      <c r="C451" s="25" t="s">
        <v>446</v>
      </c>
      <c r="D451" s="26" t="str">
        <f t="shared" si="19"/>
        <v>15.1.3Phon</v>
      </c>
      <c r="E451" s="26" t="s">
        <v>824</v>
      </c>
      <c r="F451" s="26" t="s">
        <v>5</v>
      </c>
      <c r="G451" s="26" t="str">
        <f t="shared" si="21"/>
        <v/>
      </c>
      <c r="H451" s="5" t="str">
        <f t="shared" si="20"/>
        <v/>
      </c>
    </row>
    <row r="452" spans="1:8" hidden="1" x14ac:dyDescent="0.25">
      <c r="B452" s="23">
        <v>1449</v>
      </c>
      <c r="C452" s="23" t="s">
        <v>447</v>
      </c>
      <c r="D452" s="24" t="str">
        <f t="shared" ref="D452:D515" si="22">C452&amp;F452</f>
        <v>15.1.4Viet</v>
      </c>
      <c r="E452" s="24" t="s">
        <v>636</v>
      </c>
      <c r="F452" s="24" t="s">
        <v>3</v>
      </c>
      <c r="G452" s="24" t="str">
        <f t="shared" si="21"/>
        <v/>
      </c>
      <c r="H452" s="5" t="str">
        <f t="shared" si="20"/>
        <v/>
      </c>
    </row>
    <row r="453" spans="1:8" x14ac:dyDescent="0.25">
      <c r="A453" s="1">
        <v>132</v>
      </c>
      <c r="B453" s="27">
        <v>1450</v>
      </c>
      <c r="C453" s="27" t="s">
        <v>447</v>
      </c>
      <c r="D453" s="28" t="str">
        <f t="shared" si="22"/>
        <v>15.1.4Eng</v>
      </c>
      <c r="E453" s="28" t="s">
        <v>125</v>
      </c>
      <c r="F453" s="28" t="s">
        <v>4</v>
      </c>
      <c r="G453" s="28" t="str">
        <f t="shared" si="21"/>
        <v/>
      </c>
      <c r="H453" s="5" t="str">
        <f t="shared" si="20"/>
        <v/>
      </c>
    </row>
    <row r="454" spans="1:8" hidden="1" x14ac:dyDescent="0.25">
      <c r="B454" s="25">
        <v>1451</v>
      </c>
      <c r="C454" s="25" t="s">
        <v>447</v>
      </c>
      <c r="D454" s="26" t="str">
        <f t="shared" si="22"/>
        <v>15.1.4Phon</v>
      </c>
      <c r="E454" s="26" t="s">
        <v>825</v>
      </c>
      <c r="F454" s="26" t="s">
        <v>5</v>
      </c>
      <c r="G454" s="26" t="str">
        <f t="shared" si="21"/>
        <v/>
      </c>
      <c r="H454" s="5" t="str">
        <f t="shared" ref="H454:H517" si="23">IFERROR(LEFT(RIGHT(I454,LEN(I454)-32),LEN(RIGHT(I454,LEN(I454)-32))-17),"")</f>
        <v/>
      </c>
    </row>
    <row r="455" spans="1:8" hidden="1" x14ac:dyDescent="0.25">
      <c r="B455" s="21">
        <v>1452</v>
      </c>
      <c r="C455" s="21" t="s">
        <v>52</v>
      </c>
      <c r="D455" s="22" t="str">
        <f t="shared" si="22"/>
        <v>15.2Struc</v>
      </c>
      <c r="E455" s="22" t="s">
        <v>308</v>
      </c>
      <c r="F455" s="22" t="s">
        <v>11</v>
      </c>
      <c r="G455" s="22" t="str">
        <f t="shared" si="21"/>
        <v/>
      </c>
      <c r="H455" s="5" t="str">
        <f t="shared" si="23"/>
        <v/>
      </c>
    </row>
    <row r="456" spans="1:8" hidden="1" x14ac:dyDescent="0.25">
      <c r="B456" s="23">
        <v>1453</v>
      </c>
      <c r="C456" s="23" t="s">
        <v>448</v>
      </c>
      <c r="D456" s="24" t="str">
        <f t="shared" si="22"/>
        <v>15.2.1Viet</v>
      </c>
      <c r="E456" s="24" t="s">
        <v>637</v>
      </c>
      <c r="F456" s="24" t="s">
        <v>3</v>
      </c>
      <c r="G456" s="24" t="str">
        <f t="shared" si="21"/>
        <v/>
      </c>
      <c r="H456" s="5" t="str">
        <f t="shared" si="23"/>
        <v/>
      </c>
    </row>
    <row r="457" spans="1:8" x14ac:dyDescent="0.25">
      <c r="A457" s="1">
        <v>133</v>
      </c>
      <c r="B457" s="27">
        <v>1454</v>
      </c>
      <c r="C457" s="27" t="s">
        <v>448</v>
      </c>
      <c r="D457" s="28" t="str">
        <f t="shared" si="22"/>
        <v>15.2.1Eng</v>
      </c>
      <c r="E457" s="28" t="s">
        <v>126</v>
      </c>
      <c r="F457" s="28" t="s">
        <v>4</v>
      </c>
      <c r="G457" s="28" t="str">
        <f t="shared" ref="G457:G520" si="24">IF(H457="","","https://docs.google.com/uc?export=download&amp;id="&amp;H457)</f>
        <v/>
      </c>
      <c r="H457" s="5" t="str">
        <f t="shared" si="23"/>
        <v/>
      </c>
    </row>
    <row r="458" spans="1:8" hidden="1" x14ac:dyDescent="0.25">
      <c r="B458" s="25">
        <v>1455</v>
      </c>
      <c r="C458" s="25" t="s">
        <v>448</v>
      </c>
      <c r="D458" s="26" t="str">
        <f t="shared" si="22"/>
        <v>15.2.1Phon</v>
      </c>
      <c r="E458" s="26" t="s">
        <v>826</v>
      </c>
      <c r="F458" s="26" t="s">
        <v>5</v>
      </c>
      <c r="G458" s="26" t="str">
        <f t="shared" si="24"/>
        <v/>
      </c>
      <c r="H458" s="5" t="str">
        <f t="shared" si="23"/>
        <v/>
      </c>
    </row>
    <row r="459" spans="1:8" hidden="1" x14ac:dyDescent="0.25">
      <c r="B459" s="23">
        <v>1456</v>
      </c>
      <c r="C459" s="23" t="s">
        <v>449</v>
      </c>
      <c r="D459" s="24" t="str">
        <f t="shared" si="22"/>
        <v>15.2.2Viet</v>
      </c>
      <c r="E459" s="24" t="s">
        <v>638</v>
      </c>
      <c r="F459" s="24" t="s">
        <v>3</v>
      </c>
      <c r="G459" s="24" t="str">
        <f t="shared" si="24"/>
        <v/>
      </c>
      <c r="H459" s="5" t="str">
        <f t="shared" si="23"/>
        <v/>
      </c>
    </row>
    <row r="460" spans="1:8" x14ac:dyDescent="0.25">
      <c r="A460" s="1">
        <v>134</v>
      </c>
      <c r="B460" s="27">
        <v>1457</v>
      </c>
      <c r="C460" s="27" t="s">
        <v>449</v>
      </c>
      <c r="D460" s="28" t="str">
        <f t="shared" si="22"/>
        <v>15.2.2Eng</v>
      </c>
      <c r="E460" s="28" t="s">
        <v>505</v>
      </c>
      <c r="F460" s="28" t="s">
        <v>4</v>
      </c>
      <c r="G460" s="28" t="str">
        <f t="shared" si="24"/>
        <v/>
      </c>
      <c r="H460" s="5" t="str">
        <f t="shared" si="23"/>
        <v/>
      </c>
    </row>
    <row r="461" spans="1:8" hidden="1" x14ac:dyDescent="0.25">
      <c r="B461" s="25">
        <v>1458</v>
      </c>
      <c r="C461" s="25" t="s">
        <v>449</v>
      </c>
      <c r="D461" s="26" t="str">
        <f t="shared" si="22"/>
        <v>15.2.2Phon</v>
      </c>
      <c r="E461" s="26" t="s">
        <v>827</v>
      </c>
      <c r="F461" s="26" t="s">
        <v>5</v>
      </c>
      <c r="G461" s="26" t="str">
        <f t="shared" si="24"/>
        <v/>
      </c>
      <c r="H461" s="5" t="str">
        <f t="shared" si="23"/>
        <v/>
      </c>
    </row>
    <row r="462" spans="1:8" hidden="1" x14ac:dyDescent="0.25">
      <c r="B462" s="23">
        <v>1459</v>
      </c>
      <c r="C462" s="23" t="s">
        <v>450</v>
      </c>
      <c r="D462" s="24" t="str">
        <f t="shared" si="22"/>
        <v>15.2.3Viet</v>
      </c>
      <c r="E462" s="24" t="s">
        <v>639</v>
      </c>
      <c r="F462" s="24" t="s">
        <v>3</v>
      </c>
      <c r="G462" s="24" t="str">
        <f t="shared" si="24"/>
        <v/>
      </c>
      <c r="H462" s="5" t="str">
        <f t="shared" si="23"/>
        <v/>
      </c>
    </row>
    <row r="463" spans="1:8" x14ac:dyDescent="0.25">
      <c r="A463" s="1">
        <v>135</v>
      </c>
      <c r="B463" s="27">
        <v>1460</v>
      </c>
      <c r="C463" s="27" t="s">
        <v>450</v>
      </c>
      <c r="D463" s="28" t="str">
        <f t="shared" si="22"/>
        <v>15.2.3Eng</v>
      </c>
      <c r="E463" s="28" t="s">
        <v>127</v>
      </c>
      <c r="F463" s="28" t="s">
        <v>4</v>
      </c>
      <c r="G463" s="28" t="str">
        <f t="shared" si="24"/>
        <v/>
      </c>
      <c r="H463" s="5" t="str">
        <f t="shared" si="23"/>
        <v/>
      </c>
    </row>
    <row r="464" spans="1:8" hidden="1" x14ac:dyDescent="0.25">
      <c r="B464" s="25">
        <v>1461</v>
      </c>
      <c r="C464" s="25" t="s">
        <v>450</v>
      </c>
      <c r="D464" s="26" t="str">
        <f t="shared" si="22"/>
        <v>15.2.3Phon</v>
      </c>
      <c r="E464" s="26" t="s">
        <v>828</v>
      </c>
      <c r="F464" s="26" t="s">
        <v>5</v>
      </c>
      <c r="G464" s="26" t="str">
        <f t="shared" si="24"/>
        <v/>
      </c>
      <c r="H464" s="5" t="str">
        <f t="shared" si="23"/>
        <v/>
      </c>
    </row>
    <row r="465" spans="1:8" hidden="1" x14ac:dyDescent="0.25">
      <c r="B465" s="21">
        <v>1462</v>
      </c>
      <c r="C465" s="21" t="s">
        <v>53</v>
      </c>
      <c r="D465" s="22" t="str">
        <f t="shared" si="22"/>
        <v>15.3Struc</v>
      </c>
      <c r="E465" s="22" t="s">
        <v>128</v>
      </c>
      <c r="F465" s="22" t="s">
        <v>11</v>
      </c>
      <c r="G465" s="22" t="str">
        <f t="shared" si="24"/>
        <v/>
      </c>
      <c r="H465" s="5" t="str">
        <f t="shared" si="23"/>
        <v/>
      </c>
    </row>
    <row r="466" spans="1:8" hidden="1" x14ac:dyDescent="0.25">
      <c r="B466" s="23">
        <v>1463</v>
      </c>
      <c r="C466" s="23" t="s">
        <v>451</v>
      </c>
      <c r="D466" s="24" t="str">
        <f t="shared" si="22"/>
        <v>15.3.1Viet</v>
      </c>
      <c r="E466" s="24" t="s">
        <v>640</v>
      </c>
      <c r="F466" s="24" t="s">
        <v>3</v>
      </c>
      <c r="G466" s="24" t="str">
        <f t="shared" si="24"/>
        <v/>
      </c>
      <c r="H466" s="5" t="str">
        <f t="shared" si="23"/>
        <v/>
      </c>
    </row>
    <row r="467" spans="1:8" x14ac:dyDescent="0.25">
      <c r="A467" s="1">
        <v>136</v>
      </c>
      <c r="B467" s="27">
        <v>1464</v>
      </c>
      <c r="C467" s="27" t="s">
        <v>451</v>
      </c>
      <c r="D467" s="28" t="str">
        <f t="shared" si="22"/>
        <v>15.3.1Eng</v>
      </c>
      <c r="E467" s="28" t="s">
        <v>129</v>
      </c>
      <c r="F467" s="28" t="s">
        <v>4</v>
      </c>
      <c r="G467" s="28" t="str">
        <f t="shared" si="24"/>
        <v/>
      </c>
      <c r="H467" s="5" t="str">
        <f t="shared" si="23"/>
        <v/>
      </c>
    </row>
    <row r="468" spans="1:8" hidden="1" x14ac:dyDescent="0.25">
      <c r="B468" s="25">
        <v>1465</v>
      </c>
      <c r="C468" s="25" t="s">
        <v>451</v>
      </c>
      <c r="D468" s="26" t="str">
        <f t="shared" si="22"/>
        <v>15.3.1Phon</v>
      </c>
      <c r="E468" s="26" t="s">
        <v>829</v>
      </c>
      <c r="F468" s="26" t="s">
        <v>5</v>
      </c>
      <c r="G468" s="26" t="str">
        <f t="shared" si="24"/>
        <v/>
      </c>
      <c r="H468" s="5" t="str">
        <f t="shared" si="23"/>
        <v/>
      </c>
    </row>
    <row r="469" spans="1:8" hidden="1" x14ac:dyDescent="0.25">
      <c r="B469" s="23">
        <v>1466</v>
      </c>
      <c r="C469" s="23" t="s">
        <v>452</v>
      </c>
      <c r="D469" s="24" t="str">
        <f t="shared" si="22"/>
        <v>15.3.2Viet</v>
      </c>
      <c r="E469" s="24" t="s">
        <v>641</v>
      </c>
      <c r="F469" s="24" t="s">
        <v>3</v>
      </c>
      <c r="G469" s="24" t="str">
        <f t="shared" si="24"/>
        <v/>
      </c>
      <c r="H469" s="5" t="str">
        <f t="shared" si="23"/>
        <v/>
      </c>
    </row>
    <row r="470" spans="1:8" x14ac:dyDescent="0.25">
      <c r="A470" s="1">
        <v>137</v>
      </c>
      <c r="B470" s="27">
        <v>1467</v>
      </c>
      <c r="C470" s="27" t="s">
        <v>452</v>
      </c>
      <c r="D470" s="28" t="str">
        <f t="shared" si="22"/>
        <v>15.3.2Eng</v>
      </c>
      <c r="E470" s="28" t="s">
        <v>224</v>
      </c>
      <c r="F470" s="28" t="s">
        <v>4</v>
      </c>
      <c r="G470" s="28" t="str">
        <f t="shared" si="24"/>
        <v/>
      </c>
      <c r="H470" s="5" t="str">
        <f t="shared" si="23"/>
        <v/>
      </c>
    </row>
    <row r="471" spans="1:8" hidden="1" x14ac:dyDescent="0.25">
      <c r="B471" s="25">
        <v>1468</v>
      </c>
      <c r="C471" s="25" t="s">
        <v>452</v>
      </c>
      <c r="D471" s="26" t="str">
        <f t="shared" si="22"/>
        <v>15.3.2Phon</v>
      </c>
      <c r="E471" s="26" t="s">
        <v>830</v>
      </c>
      <c r="F471" s="26" t="s">
        <v>5</v>
      </c>
      <c r="G471" s="26" t="str">
        <f t="shared" si="24"/>
        <v/>
      </c>
      <c r="H471" s="5" t="str">
        <f t="shared" si="23"/>
        <v/>
      </c>
    </row>
    <row r="472" spans="1:8" hidden="1" x14ac:dyDescent="0.25">
      <c r="B472" s="23">
        <v>1469</v>
      </c>
      <c r="C472" s="23" t="s">
        <v>453</v>
      </c>
      <c r="D472" s="24" t="str">
        <f t="shared" si="22"/>
        <v>15.3.3Viet</v>
      </c>
      <c r="E472" s="24" t="s">
        <v>642</v>
      </c>
      <c r="F472" s="24" t="s">
        <v>3</v>
      </c>
      <c r="G472" s="24" t="str">
        <f t="shared" si="24"/>
        <v/>
      </c>
      <c r="H472" s="5" t="str">
        <f t="shared" si="23"/>
        <v/>
      </c>
    </row>
    <row r="473" spans="1:8" x14ac:dyDescent="0.25">
      <c r="A473" s="1">
        <v>138</v>
      </c>
      <c r="B473" s="27">
        <v>1470</v>
      </c>
      <c r="C473" s="27" t="s">
        <v>453</v>
      </c>
      <c r="D473" s="28" t="str">
        <f t="shared" si="22"/>
        <v>15.3.3Eng</v>
      </c>
      <c r="E473" s="28" t="s">
        <v>225</v>
      </c>
      <c r="F473" s="28" t="s">
        <v>4</v>
      </c>
      <c r="G473" s="28" t="str">
        <f t="shared" si="24"/>
        <v/>
      </c>
      <c r="H473" s="5" t="str">
        <f t="shared" si="23"/>
        <v/>
      </c>
    </row>
    <row r="474" spans="1:8" hidden="1" x14ac:dyDescent="0.25">
      <c r="B474" s="25">
        <v>1471</v>
      </c>
      <c r="C474" s="25" t="s">
        <v>453</v>
      </c>
      <c r="D474" s="26" t="str">
        <f t="shared" si="22"/>
        <v>15.3.3Phon</v>
      </c>
      <c r="E474" s="26" t="s">
        <v>831</v>
      </c>
      <c r="F474" s="26" t="s">
        <v>5</v>
      </c>
      <c r="G474" s="26" t="str">
        <f t="shared" si="24"/>
        <v/>
      </c>
      <c r="H474" s="5" t="str">
        <f t="shared" si="23"/>
        <v/>
      </c>
    </row>
    <row r="475" spans="1:8" hidden="1" x14ac:dyDescent="0.25">
      <c r="B475" s="19">
        <v>1472</v>
      </c>
      <c r="C475" s="19">
        <v>16</v>
      </c>
      <c r="D475" s="20" t="str">
        <f t="shared" si="22"/>
        <v>16Struc0</v>
      </c>
      <c r="E475" s="20" t="s">
        <v>273</v>
      </c>
      <c r="F475" s="20" t="s">
        <v>502</v>
      </c>
      <c r="G475" s="20" t="str">
        <f t="shared" si="24"/>
        <v/>
      </c>
      <c r="H475" s="5" t="str">
        <f t="shared" si="23"/>
        <v/>
      </c>
    </row>
    <row r="476" spans="1:8" hidden="1" x14ac:dyDescent="0.25">
      <c r="B476" s="21">
        <v>1473</v>
      </c>
      <c r="C476" s="21" t="s">
        <v>54</v>
      </c>
      <c r="D476" s="22" t="str">
        <f t="shared" si="22"/>
        <v>16.1Struc</v>
      </c>
      <c r="E476" s="22" t="s">
        <v>309</v>
      </c>
      <c r="F476" s="22" t="s">
        <v>11</v>
      </c>
      <c r="G476" s="22" t="str">
        <f t="shared" si="24"/>
        <v/>
      </c>
      <c r="H476" s="5" t="str">
        <f t="shared" si="23"/>
        <v/>
      </c>
    </row>
    <row r="477" spans="1:8" hidden="1" x14ac:dyDescent="0.25">
      <c r="B477" s="23">
        <v>1474</v>
      </c>
      <c r="C477" s="23" t="s">
        <v>454</v>
      </c>
      <c r="D477" s="24" t="str">
        <f t="shared" si="22"/>
        <v>16.1.1Viet</v>
      </c>
      <c r="E477" s="24" t="s">
        <v>643</v>
      </c>
      <c r="F477" s="24" t="s">
        <v>3</v>
      </c>
      <c r="G477" s="24" t="str">
        <f t="shared" si="24"/>
        <v/>
      </c>
      <c r="H477" s="5" t="str">
        <f t="shared" si="23"/>
        <v/>
      </c>
    </row>
    <row r="478" spans="1:8" x14ac:dyDescent="0.25">
      <c r="A478" s="1">
        <v>139</v>
      </c>
      <c r="B478" s="27">
        <v>1475</v>
      </c>
      <c r="C478" s="27" t="s">
        <v>454</v>
      </c>
      <c r="D478" s="28" t="str">
        <f t="shared" si="22"/>
        <v>16.1.1Eng</v>
      </c>
      <c r="E478" s="28" t="s">
        <v>226</v>
      </c>
      <c r="F478" s="28" t="s">
        <v>4</v>
      </c>
      <c r="G478" s="28" t="str">
        <f t="shared" si="24"/>
        <v/>
      </c>
      <c r="H478" s="5" t="str">
        <f t="shared" si="23"/>
        <v/>
      </c>
    </row>
    <row r="479" spans="1:8" hidden="1" x14ac:dyDescent="0.25">
      <c r="B479" s="25">
        <v>1476</v>
      </c>
      <c r="C479" s="25" t="s">
        <v>454</v>
      </c>
      <c r="D479" s="26" t="str">
        <f t="shared" si="22"/>
        <v>16.1.1Phon</v>
      </c>
      <c r="E479" s="26" t="s">
        <v>832</v>
      </c>
      <c r="F479" s="26" t="s">
        <v>5</v>
      </c>
      <c r="G479" s="26" t="str">
        <f t="shared" si="24"/>
        <v/>
      </c>
      <c r="H479" s="5" t="str">
        <f t="shared" si="23"/>
        <v/>
      </c>
    </row>
    <row r="480" spans="1:8" hidden="1" x14ac:dyDescent="0.25">
      <c r="B480" s="23">
        <v>1477</v>
      </c>
      <c r="C480" s="23" t="s">
        <v>455</v>
      </c>
      <c r="D480" s="24" t="str">
        <f t="shared" si="22"/>
        <v>16.1.2Viet</v>
      </c>
      <c r="E480" s="24" t="s">
        <v>644</v>
      </c>
      <c r="F480" s="24" t="s">
        <v>3</v>
      </c>
      <c r="G480" s="24" t="str">
        <f t="shared" si="24"/>
        <v/>
      </c>
      <c r="H480" s="5" t="str">
        <f t="shared" si="23"/>
        <v/>
      </c>
    </row>
    <row r="481" spans="1:8" x14ac:dyDescent="0.25">
      <c r="A481" s="1">
        <v>140</v>
      </c>
      <c r="B481" s="27">
        <v>1478</v>
      </c>
      <c r="C481" s="27" t="s">
        <v>455</v>
      </c>
      <c r="D481" s="28" t="str">
        <f t="shared" si="22"/>
        <v>16.1.2Eng</v>
      </c>
      <c r="E481" s="28" t="s">
        <v>130</v>
      </c>
      <c r="F481" s="28" t="s">
        <v>4</v>
      </c>
      <c r="G481" s="28" t="str">
        <f t="shared" si="24"/>
        <v/>
      </c>
      <c r="H481" s="5" t="str">
        <f t="shared" si="23"/>
        <v/>
      </c>
    </row>
    <row r="482" spans="1:8" hidden="1" x14ac:dyDescent="0.25">
      <c r="B482" s="25">
        <v>1479</v>
      </c>
      <c r="C482" s="25" t="s">
        <v>455</v>
      </c>
      <c r="D482" s="26" t="str">
        <f t="shared" si="22"/>
        <v>16.1.2Phon</v>
      </c>
      <c r="E482" s="26" t="s">
        <v>833</v>
      </c>
      <c r="F482" s="26" t="s">
        <v>5</v>
      </c>
      <c r="G482" s="26" t="str">
        <f t="shared" si="24"/>
        <v/>
      </c>
      <c r="H482" s="5" t="str">
        <f t="shared" si="23"/>
        <v/>
      </c>
    </row>
    <row r="483" spans="1:8" hidden="1" x14ac:dyDescent="0.25">
      <c r="B483" s="23">
        <v>1480</v>
      </c>
      <c r="C483" s="23" t="s">
        <v>456</v>
      </c>
      <c r="D483" s="24" t="str">
        <f t="shared" si="22"/>
        <v>16.1.3Viet</v>
      </c>
      <c r="E483" s="24" t="s">
        <v>645</v>
      </c>
      <c r="F483" s="24" t="s">
        <v>3</v>
      </c>
      <c r="G483" s="24" t="str">
        <f t="shared" si="24"/>
        <v/>
      </c>
      <c r="H483" s="5" t="str">
        <f t="shared" si="23"/>
        <v/>
      </c>
    </row>
    <row r="484" spans="1:8" x14ac:dyDescent="0.25">
      <c r="A484" s="1">
        <v>141</v>
      </c>
      <c r="B484" s="27">
        <v>1481</v>
      </c>
      <c r="C484" s="27" t="s">
        <v>456</v>
      </c>
      <c r="D484" s="28" t="str">
        <f t="shared" si="22"/>
        <v>16.1.3Eng</v>
      </c>
      <c r="E484" s="28" t="s">
        <v>131</v>
      </c>
      <c r="F484" s="28" t="s">
        <v>4</v>
      </c>
      <c r="G484" s="28" t="str">
        <f t="shared" si="24"/>
        <v/>
      </c>
      <c r="H484" s="5" t="str">
        <f t="shared" si="23"/>
        <v/>
      </c>
    </row>
    <row r="485" spans="1:8" hidden="1" x14ac:dyDescent="0.25">
      <c r="B485" s="25">
        <v>1482</v>
      </c>
      <c r="C485" s="25" t="s">
        <v>456</v>
      </c>
      <c r="D485" s="26" t="str">
        <f t="shared" si="22"/>
        <v>16.1.3Phon</v>
      </c>
      <c r="E485" s="26" t="s">
        <v>834</v>
      </c>
      <c r="F485" s="26" t="s">
        <v>5</v>
      </c>
      <c r="G485" s="26" t="str">
        <f t="shared" si="24"/>
        <v/>
      </c>
      <c r="H485" s="5" t="str">
        <f t="shared" si="23"/>
        <v/>
      </c>
    </row>
    <row r="486" spans="1:8" hidden="1" x14ac:dyDescent="0.25">
      <c r="B486" s="23">
        <v>1483</v>
      </c>
      <c r="C486" s="23" t="s">
        <v>457</v>
      </c>
      <c r="D486" s="24" t="str">
        <f t="shared" si="22"/>
        <v>16.1.4Viet</v>
      </c>
      <c r="E486" s="24" t="s">
        <v>646</v>
      </c>
      <c r="F486" s="24" t="s">
        <v>3</v>
      </c>
      <c r="G486" s="24" t="str">
        <f t="shared" si="24"/>
        <v/>
      </c>
      <c r="H486" s="5" t="str">
        <f t="shared" si="23"/>
        <v/>
      </c>
    </row>
    <row r="487" spans="1:8" x14ac:dyDescent="0.25">
      <c r="A487" s="1">
        <v>142</v>
      </c>
      <c r="B487" s="27">
        <v>1484</v>
      </c>
      <c r="C487" s="27" t="s">
        <v>457</v>
      </c>
      <c r="D487" s="28" t="str">
        <f t="shared" si="22"/>
        <v>16.1.4Eng</v>
      </c>
      <c r="E487" s="28" t="s">
        <v>132</v>
      </c>
      <c r="F487" s="28" t="s">
        <v>4</v>
      </c>
      <c r="G487" s="28" t="str">
        <f t="shared" si="24"/>
        <v/>
      </c>
      <c r="H487" s="5" t="str">
        <f t="shared" si="23"/>
        <v/>
      </c>
    </row>
    <row r="488" spans="1:8" hidden="1" x14ac:dyDescent="0.25">
      <c r="B488" s="25">
        <v>1485</v>
      </c>
      <c r="C488" s="25" t="s">
        <v>457</v>
      </c>
      <c r="D488" s="26" t="str">
        <f t="shared" si="22"/>
        <v>16.1.4Phon</v>
      </c>
      <c r="E488" s="26" t="s">
        <v>835</v>
      </c>
      <c r="F488" s="26" t="s">
        <v>5</v>
      </c>
      <c r="G488" s="26" t="str">
        <f t="shared" si="24"/>
        <v/>
      </c>
      <c r="H488" s="5" t="str">
        <f t="shared" si="23"/>
        <v/>
      </c>
    </row>
    <row r="489" spans="1:8" hidden="1" x14ac:dyDescent="0.25">
      <c r="B489" s="21">
        <v>1486</v>
      </c>
      <c r="C489" s="21" t="s">
        <v>55</v>
      </c>
      <c r="D489" s="22" t="str">
        <f t="shared" si="22"/>
        <v>16.2Struc</v>
      </c>
      <c r="E489" s="22" t="s">
        <v>310</v>
      </c>
      <c r="F489" s="22" t="s">
        <v>11</v>
      </c>
      <c r="G489" s="22" t="str">
        <f t="shared" si="24"/>
        <v/>
      </c>
      <c r="H489" s="5" t="str">
        <f t="shared" si="23"/>
        <v/>
      </c>
    </row>
    <row r="490" spans="1:8" hidden="1" x14ac:dyDescent="0.25">
      <c r="B490" s="23">
        <v>1487</v>
      </c>
      <c r="C490" s="23" t="s">
        <v>458</v>
      </c>
      <c r="D490" s="24" t="str">
        <f t="shared" si="22"/>
        <v>16.2.1Viet</v>
      </c>
      <c r="E490" s="24" t="s">
        <v>647</v>
      </c>
      <c r="F490" s="24" t="s">
        <v>3</v>
      </c>
      <c r="G490" s="24" t="str">
        <f t="shared" si="24"/>
        <v/>
      </c>
      <c r="H490" s="5" t="str">
        <f t="shared" si="23"/>
        <v/>
      </c>
    </row>
    <row r="491" spans="1:8" x14ac:dyDescent="0.25">
      <c r="A491" s="1">
        <v>143</v>
      </c>
      <c r="B491" s="27">
        <v>1488</v>
      </c>
      <c r="C491" s="27" t="s">
        <v>458</v>
      </c>
      <c r="D491" s="28" t="str">
        <f t="shared" si="22"/>
        <v>16.2.1Eng</v>
      </c>
      <c r="E491" s="28" t="s">
        <v>227</v>
      </c>
      <c r="F491" s="28" t="s">
        <v>4</v>
      </c>
      <c r="G491" s="28" t="str">
        <f t="shared" si="24"/>
        <v/>
      </c>
      <c r="H491" s="5" t="str">
        <f t="shared" si="23"/>
        <v/>
      </c>
    </row>
    <row r="492" spans="1:8" hidden="1" x14ac:dyDescent="0.25">
      <c r="B492" s="25">
        <v>1489</v>
      </c>
      <c r="C492" s="25" t="s">
        <v>458</v>
      </c>
      <c r="D492" s="26" t="str">
        <f t="shared" si="22"/>
        <v>16.2.1Phon</v>
      </c>
      <c r="E492" s="26" t="s">
        <v>836</v>
      </c>
      <c r="F492" s="26" t="s">
        <v>5</v>
      </c>
      <c r="G492" s="26" t="str">
        <f t="shared" si="24"/>
        <v/>
      </c>
      <c r="H492" s="5" t="str">
        <f t="shared" si="23"/>
        <v/>
      </c>
    </row>
    <row r="493" spans="1:8" hidden="1" x14ac:dyDescent="0.25">
      <c r="B493" s="23">
        <v>1490</v>
      </c>
      <c r="C493" s="23" t="s">
        <v>459</v>
      </c>
      <c r="D493" s="24" t="str">
        <f t="shared" si="22"/>
        <v>16.2.2Viet</v>
      </c>
      <c r="E493" s="24" t="s">
        <v>648</v>
      </c>
      <c r="F493" s="24" t="s">
        <v>3</v>
      </c>
      <c r="G493" s="24" t="str">
        <f t="shared" si="24"/>
        <v/>
      </c>
      <c r="H493" s="5" t="str">
        <f t="shared" si="23"/>
        <v/>
      </c>
    </row>
    <row r="494" spans="1:8" x14ac:dyDescent="0.25">
      <c r="A494" s="1">
        <v>144</v>
      </c>
      <c r="B494" s="27">
        <v>1491</v>
      </c>
      <c r="C494" s="27" t="s">
        <v>459</v>
      </c>
      <c r="D494" s="28" t="str">
        <f t="shared" si="22"/>
        <v>16.2.2Eng</v>
      </c>
      <c r="E494" s="28" t="s">
        <v>228</v>
      </c>
      <c r="F494" s="28" t="s">
        <v>4</v>
      </c>
      <c r="G494" s="28" t="str">
        <f t="shared" si="24"/>
        <v/>
      </c>
      <c r="H494" s="5" t="str">
        <f t="shared" si="23"/>
        <v/>
      </c>
    </row>
    <row r="495" spans="1:8" hidden="1" x14ac:dyDescent="0.25">
      <c r="B495" s="25">
        <v>1492</v>
      </c>
      <c r="C495" s="25" t="s">
        <v>459</v>
      </c>
      <c r="D495" s="26" t="str">
        <f t="shared" si="22"/>
        <v>16.2.2Phon</v>
      </c>
      <c r="E495" s="26" t="s">
        <v>837</v>
      </c>
      <c r="F495" s="26" t="s">
        <v>5</v>
      </c>
      <c r="G495" s="26" t="str">
        <f t="shared" si="24"/>
        <v/>
      </c>
      <c r="H495" s="5" t="str">
        <f t="shared" si="23"/>
        <v/>
      </c>
    </row>
    <row r="496" spans="1:8" hidden="1" x14ac:dyDescent="0.25">
      <c r="B496" s="23">
        <v>1493</v>
      </c>
      <c r="C496" s="23" t="s">
        <v>460</v>
      </c>
      <c r="D496" s="24" t="str">
        <f t="shared" si="22"/>
        <v>16.2.3Viet</v>
      </c>
      <c r="E496" s="24" t="s">
        <v>649</v>
      </c>
      <c r="F496" s="24" t="s">
        <v>3</v>
      </c>
      <c r="G496" s="24" t="str">
        <f t="shared" si="24"/>
        <v/>
      </c>
      <c r="H496" s="5" t="str">
        <f t="shared" si="23"/>
        <v/>
      </c>
    </row>
    <row r="497" spans="1:8" x14ac:dyDescent="0.25">
      <c r="A497" s="1">
        <v>145</v>
      </c>
      <c r="B497" s="27">
        <v>1494</v>
      </c>
      <c r="C497" s="27" t="s">
        <v>460</v>
      </c>
      <c r="D497" s="28" t="str">
        <f t="shared" si="22"/>
        <v>16.2.3Eng</v>
      </c>
      <c r="E497" s="28" t="s">
        <v>229</v>
      </c>
      <c r="F497" s="28" t="s">
        <v>4</v>
      </c>
      <c r="G497" s="28" t="str">
        <f t="shared" si="24"/>
        <v/>
      </c>
      <c r="H497" s="5" t="str">
        <f t="shared" si="23"/>
        <v/>
      </c>
    </row>
    <row r="498" spans="1:8" hidden="1" x14ac:dyDescent="0.25">
      <c r="B498" s="25">
        <v>1495</v>
      </c>
      <c r="C498" s="25" t="s">
        <v>460</v>
      </c>
      <c r="D498" s="26" t="str">
        <f t="shared" si="22"/>
        <v>16.2.3Phon</v>
      </c>
      <c r="E498" s="26" t="s">
        <v>838</v>
      </c>
      <c r="F498" s="26" t="s">
        <v>5</v>
      </c>
      <c r="G498" s="26" t="str">
        <f t="shared" si="24"/>
        <v/>
      </c>
      <c r="H498" s="5" t="str">
        <f t="shared" si="23"/>
        <v/>
      </c>
    </row>
    <row r="499" spans="1:8" hidden="1" x14ac:dyDescent="0.25">
      <c r="B499" s="23">
        <v>1496</v>
      </c>
      <c r="C499" s="23" t="s">
        <v>461</v>
      </c>
      <c r="D499" s="24" t="str">
        <f t="shared" si="22"/>
        <v>16.2.4Viet</v>
      </c>
      <c r="E499" s="24" t="s">
        <v>650</v>
      </c>
      <c r="F499" s="24" t="s">
        <v>3</v>
      </c>
      <c r="G499" s="24" t="str">
        <f t="shared" si="24"/>
        <v/>
      </c>
      <c r="H499" s="5" t="str">
        <f t="shared" si="23"/>
        <v/>
      </c>
    </row>
    <row r="500" spans="1:8" x14ac:dyDescent="0.25">
      <c r="A500" s="1">
        <v>146</v>
      </c>
      <c r="B500" s="27">
        <v>1497</v>
      </c>
      <c r="C500" s="27" t="s">
        <v>461</v>
      </c>
      <c r="D500" s="28" t="str">
        <f t="shared" si="22"/>
        <v>16.2.4Eng</v>
      </c>
      <c r="E500" s="28" t="s">
        <v>230</v>
      </c>
      <c r="F500" s="28" t="s">
        <v>4</v>
      </c>
      <c r="G500" s="28" t="str">
        <f t="shared" si="24"/>
        <v/>
      </c>
      <c r="H500" s="5" t="str">
        <f t="shared" si="23"/>
        <v/>
      </c>
    </row>
    <row r="501" spans="1:8" hidden="1" x14ac:dyDescent="0.25">
      <c r="B501" s="25">
        <v>1498</v>
      </c>
      <c r="C501" s="25" t="s">
        <v>461</v>
      </c>
      <c r="D501" s="26" t="str">
        <f t="shared" si="22"/>
        <v>16.2.4Phon</v>
      </c>
      <c r="E501" s="26" t="s">
        <v>839</v>
      </c>
      <c r="F501" s="26" t="s">
        <v>5</v>
      </c>
      <c r="G501" s="26" t="str">
        <f t="shared" si="24"/>
        <v/>
      </c>
      <c r="H501" s="5" t="str">
        <f t="shared" si="23"/>
        <v/>
      </c>
    </row>
    <row r="502" spans="1:8" hidden="1" x14ac:dyDescent="0.25">
      <c r="B502" s="21">
        <v>1499</v>
      </c>
      <c r="C502" s="21" t="s">
        <v>56</v>
      </c>
      <c r="D502" s="22" t="str">
        <f t="shared" si="22"/>
        <v>16.3Struc</v>
      </c>
      <c r="E502" s="22" t="s">
        <v>311</v>
      </c>
      <c r="F502" s="22" t="s">
        <v>11</v>
      </c>
      <c r="G502" s="22" t="str">
        <f t="shared" si="24"/>
        <v/>
      </c>
      <c r="H502" s="5" t="str">
        <f t="shared" si="23"/>
        <v/>
      </c>
    </row>
    <row r="503" spans="1:8" hidden="1" x14ac:dyDescent="0.25">
      <c r="B503" s="23">
        <v>1500</v>
      </c>
      <c r="C503" s="23" t="s">
        <v>462</v>
      </c>
      <c r="D503" s="24" t="str">
        <f t="shared" si="22"/>
        <v>16.3.1Viet</v>
      </c>
      <c r="E503" s="24" t="s">
        <v>651</v>
      </c>
      <c r="F503" s="24" t="s">
        <v>3</v>
      </c>
      <c r="G503" s="24" t="str">
        <f t="shared" si="24"/>
        <v/>
      </c>
      <c r="H503" s="5" t="str">
        <f t="shared" si="23"/>
        <v/>
      </c>
    </row>
    <row r="504" spans="1:8" x14ac:dyDescent="0.25">
      <c r="A504" s="1">
        <v>147</v>
      </c>
      <c r="B504" s="27">
        <v>1501</v>
      </c>
      <c r="C504" s="27" t="s">
        <v>462</v>
      </c>
      <c r="D504" s="28" t="str">
        <f t="shared" si="22"/>
        <v>16.3.1Eng</v>
      </c>
      <c r="E504" s="28" t="s">
        <v>133</v>
      </c>
      <c r="F504" s="28" t="s">
        <v>4</v>
      </c>
      <c r="G504" s="28" t="str">
        <f t="shared" si="24"/>
        <v/>
      </c>
      <c r="H504" s="5" t="str">
        <f t="shared" si="23"/>
        <v/>
      </c>
    </row>
    <row r="505" spans="1:8" hidden="1" x14ac:dyDescent="0.25">
      <c r="B505" s="25">
        <v>1502</v>
      </c>
      <c r="C505" s="25" t="s">
        <v>462</v>
      </c>
      <c r="D505" s="26" t="str">
        <f t="shared" si="22"/>
        <v>16.3.1Phon</v>
      </c>
      <c r="E505" s="26" t="s">
        <v>840</v>
      </c>
      <c r="F505" s="26" t="s">
        <v>5</v>
      </c>
      <c r="G505" s="26" t="str">
        <f t="shared" si="24"/>
        <v/>
      </c>
      <c r="H505" s="5" t="str">
        <f t="shared" si="23"/>
        <v/>
      </c>
    </row>
    <row r="506" spans="1:8" hidden="1" x14ac:dyDescent="0.25">
      <c r="B506" s="23">
        <v>1503</v>
      </c>
      <c r="C506" s="23" t="s">
        <v>463</v>
      </c>
      <c r="D506" s="24" t="str">
        <f t="shared" si="22"/>
        <v>16.3.2Viet</v>
      </c>
      <c r="E506" s="24" t="s">
        <v>652</v>
      </c>
      <c r="F506" s="24" t="s">
        <v>3</v>
      </c>
      <c r="G506" s="24" t="str">
        <f t="shared" si="24"/>
        <v/>
      </c>
      <c r="H506" s="5" t="str">
        <f t="shared" si="23"/>
        <v/>
      </c>
    </row>
    <row r="507" spans="1:8" x14ac:dyDescent="0.25">
      <c r="A507" s="1">
        <v>148</v>
      </c>
      <c r="B507" s="27">
        <v>1504</v>
      </c>
      <c r="C507" s="27" t="s">
        <v>463</v>
      </c>
      <c r="D507" s="28" t="str">
        <f t="shared" si="22"/>
        <v>16.3.2Eng</v>
      </c>
      <c r="E507" s="28" t="s">
        <v>231</v>
      </c>
      <c r="F507" s="28" t="s">
        <v>4</v>
      </c>
      <c r="G507" s="28" t="str">
        <f t="shared" si="24"/>
        <v/>
      </c>
      <c r="H507" s="5" t="str">
        <f t="shared" si="23"/>
        <v/>
      </c>
    </row>
    <row r="508" spans="1:8" hidden="1" x14ac:dyDescent="0.25">
      <c r="B508" s="25">
        <v>1505</v>
      </c>
      <c r="C508" s="25" t="s">
        <v>463</v>
      </c>
      <c r="D508" s="26" t="str">
        <f t="shared" si="22"/>
        <v>16.3.2Phon</v>
      </c>
      <c r="E508" s="26" t="s">
        <v>841</v>
      </c>
      <c r="F508" s="26" t="s">
        <v>5</v>
      </c>
      <c r="G508" s="26" t="str">
        <f t="shared" si="24"/>
        <v/>
      </c>
      <c r="H508" s="5" t="str">
        <f t="shared" si="23"/>
        <v/>
      </c>
    </row>
    <row r="509" spans="1:8" hidden="1" x14ac:dyDescent="0.25">
      <c r="B509" s="23">
        <v>1506</v>
      </c>
      <c r="C509" s="23" t="s">
        <v>464</v>
      </c>
      <c r="D509" s="24" t="str">
        <f t="shared" si="22"/>
        <v>16.3.3Viet</v>
      </c>
      <c r="E509" s="24" t="s">
        <v>653</v>
      </c>
      <c r="F509" s="24" t="s">
        <v>3</v>
      </c>
      <c r="G509" s="24" t="str">
        <f t="shared" si="24"/>
        <v/>
      </c>
      <c r="H509" s="5" t="str">
        <f t="shared" si="23"/>
        <v/>
      </c>
    </row>
    <row r="510" spans="1:8" x14ac:dyDescent="0.25">
      <c r="A510" s="1">
        <v>149</v>
      </c>
      <c r="B510" s="27">
        <v>1507</v>
      </c>
      <c r="C510" s="27" t="s">
        <v>464</v>
      </c>
      <c r="D510" s="28" t="str">
        <f t="shared" si="22"/>
        <v>16.3.3Eng</v>
      </c>
      <c r="E510" s="28" t="s">
        <v>232</v>
      </c>
      <c r="F510" s="28" t="s">
        <v>4</v>
      </c>
      <c r="G510" s="28" t="str">
        <f t="shared" si="24"/>
        <v/>
      </c>
      <c r="H510" s="5" t="str">
        <f t="shared" si="23"/>
        <v/>
      </c>
    </row>
    <row r="511" spans="1:8" hidden="1" x14ac:dyDescent="0.25">
      <c r="B511" s="25">
        <v>1508</v>
      </c>
      <c r="C511" s="25" t="s">
        <v>464</v>
      </c>
      <c r="D511" s="26" t="str">
        <f t="shared" si="22"/>
        <v>16.3.3Phon</v>
      </c>
      <c r="E511" s="26" t="s">
        <v>842</v>
      </c>
      <c r="F511" s="26" t="s">
        <v>5</v>
      </c>
      <c r="G511" s="26" t="str">
        <f t="shared" si="24"/>
        <v/>
      </c>
      <c r="H511" s="5" t="str">
        <f t="shared" si="23"/>
        <v/>
      </c>
    </row>
    <row r="512" spans="1:8" hidden="1" x14ac:dyDescent="0.25">
      <c r="B512" s="23">
        <v>1509</v>
      </c>
      <c r="C512" s="23" t="s">
        <v>465</v>
      </c>
      <c r="D512" s="24" t="str">
        <f t="shared" si="22"/>
        <v>16.3.4Viet</v>
      </c>
      <c r="E512" s="24" t="s">
        <v>654</v>
      </c>
      <c r="F512" s="24" t="s">
        <v>3</v>
      </c>
      <c r="G512" s="24" t="str">
        <f t="shared" si="24"/>
        <v/>
      </c>
      <c r="H512" s="5" t="str">
        <f t="shared" si="23"/>
        <v/>
      </c>
    </row>
    <row r="513" spans="1:8" x14ac:dyDescent="0.25">
      <c r="A513" s="1">
        <v>150</v>
      </c>
      <c r="B513" s="27">
        <v>1510</v>
      </c>
      <c r="C513" s="27" t="s">
        <v>465</v>
      </c>
      <c r="D513" s="28" t="str">
        <f t="shared" si="22"/>
        <v>16.3.4Eng</v>
      </c>
      <c r="E513" s="28" t="s">
        <v>233</v>
      </c>
      <c r="F513" s="28" t="s">
        <v>4</v>
      </c>
      <c r="G513" s="28" t="str">
        <f t="shared" si="24"/>
        <v/>
      </c>
      <c r="H513" s="5" t="str">
        <f t="shared" si="23"/>
        <v/>
      </c>
    </row>
    <row r="514" spans="1:8" hidden="1" x14ac:dyDescent="0.25">
      <c r="B514" s="25">
        <v>1511</v>
      </c>
      <c r="C514" s="25" t="s">
        <v>465</v>
      </c>
      <c r="D514" s="26" t="str">
        <f t="shared" si="22"/>
        <v>16.3.4Phon</v>
      </c>
      <c r="E514" s="26" t="s">
        <v>843</v>
      </c>
      <c r="F514" s="26" t="s">
        <v>5</v>
      </c>
      <c r="G514" s="26" t="str">
        <f t="shared" si="24"/>
        <v/>
      </c>
      <c r="H514" s="5" t="str">
        <f t="shared" si="23"/>
        <v/>
      </c>
    </row>
    <row r="515" spans="1:8" hidden="1" x14ac:dyDescent="0.25">
      <c r="B515" s="19">
        <v>1512</v>
      </c>
      <c r="C515" s="19">
        <v>17</v>
      </c>
      <c r="D515" s="20" t="str">
        <f t="shared" si="22"/>
        <v>17Struc0</v>
      </c>
      <c r="E515" s="20" t="s">
        <v>274</v>
      </c>
      <c r="F515" s="20" t="s">
        <v>502</v>
      </c>
      <c r="G515" s="20" t="str">
        <f t="shared" si="24"/>
        <v/>
      </c>
      <c r="H515" s="5" t="str">
        <f t="shared" si="23"/>
        <v/>
      </c>
    </row>
    <row r="516" spans="1:8" hidden="1" x14ac:dyDescent="0.25">
      <c r="B516" s="21">
        <v>1513</v>
      </c>
      <c r="C516" s="21" t="s">
        <v>57</v>
      </c>
      <c r="D516" s="22" t="str">
        <f t="shared" ref="D516:D579" si="25">C516&amp;F516</f>
        <v>17.1Struc</v>
      </c>
      <c r="E516" s="22" t="s">
        <v>312</v>
      </c>
      <c r="F516" s="22" t="s">
        <v>11</v>
      </c>
      <c r="G516" s="22" t="str">
        <f t="shared" si="24"/>
        <v/>
      </c>
      <c r="H516" s="5" t="str">
        <f t="shared" si="23"/>
        <v/>
      </c>
    </row>
    <row r="517" spans="1:8" hidden="1" x14ac:dyDescent="0.25">
      <c r="B517" s="23">
        <v>1514</v>
      </c>
      <c r="C517" s="23" t="s">
        <v>466</v>
      </c>
      <c r="D517" s="24" t="str">
        <f t="shared" si="25"/>
        <v>17.1.1Viet</v>
      </c>
      <c r="E517" s="24" t="s">
        <v>655</v>
      </c>
      <c r="F517" s="24" t="s">
        <v>3</v>
      </c>
      <c r="G517" s="24" t="str">
        <f t="shared" si="24"/>
        <v/>
      </c>
      <c r="H517" s="5" t="str">
        <f t="shared" si="23"/>
        <v/>
      </c>
    </row>
    <row r="518" spans="1:8" x14ac:dyDescent="0.25">
      <c r="A518" s="1">
        <v>151</v>
      </c>
      <c r="B518" s="27">
        <v>1515</v>
      </c>
      <c r="C518" s="27" t="s">
        <v>466</v>
      </c>
      <c r="D518" s="28" t="str">
        <f t="shared" si="25"/>
        <v>17.1.1Eng</v>
      </c>
      <c r="E518" s="28" t="s">
        <v>234</v>
      </c>
      <c r="F518" s="28" t="s">
        <v>4</v>
      </c>
      <c r="G518" s="28" t="str">
        <f t="shared" si="24"/>
        <v/>
      </c>
      <c r="H518" s="5" t="str">
        <f t="shared" ref="H518:H581" si="26">IFERROR(LEFT(RIGHT(I518,LEN(I518)-32),LEN(RIGHT(I518,LEN(I518)-32))-17),"")</f>
        <v/>
      </c>
    </row>
    <row r="519" spans="1:8" hidden="1" x14ac:dyDescent="0.25">
      <c r="B519" s="25">
        <v>1516</v>
      </c>
      <c r="C519" s="25" t="s">
        <v>466</v>
      </c>
      <c r="D519" s="26" t="str">
        <f t="shared" si="25"/>
        <v>17.1.1Phon</v>
      </c>
      <c r="E519" s="26" t="s">
        <v>844</v>
      </c>
      <c r="F519" s="26" t="s">
        <v>5</v>
      </c>
      <c r="G519" s="26" t="str">
        <f t="shared" si="24"/>
        <v/>
      </c>
      <c r="H519" s="5" t="str">
        <f t="shared" si="26"/>
        <v/>
      </c>
    </row>
    <row r="520" spans="1:8" hidden="1" x14ac:dyDescent="0.25">
      <c r="B520" s="23">
        <v>1517</v>
      </c>
      <c r="C520" s="23" t="s">
        <v>467</v>
      </c>
      <c r="D520" s="24" t="str">
        <f t="shared" si="25"/>
        <v>17.1.2Viet</v>
      </c>
      <c r="E520" s="24" t="s">
        <v>656</v>
      </c>
      <c r="F520" s="24" t="s">
        <v>3</v>
      </c>
      <c r="G520" s="24" t="str">
        <f t="shared" si="24"/>
        <v/>
      </c>
      <c r="H520" s="5" t="str">
        <f t="shared" si="26"/>
        <v/>
      </c>
    </row>
    <row r="521" spans="1:8" x14ac:dyDescent="0.25">
      <c r="A521" s="1">
        <v>152</v>
      </c>
      <c r="B521" s="27">
        <v>1518</v>
      </c>
      <c r="C521" s="27" t="s">
        <v>467</v>
      </c>
      <c r="D521" s="28" t="str">
        <f t="shared" si="25"/>
        <v>17.1.2Eng</v>
      </c>
      <c r="E521" s="28" t="s">
        <v>235</v>
      </c>
      <c r="F521" s="28" t="s">
        <v>4</v>
      </c>
      <c r="G521" s="28" t="str">
        <f t="shared" ref="G521:G584" si="27">IF(H521="","","https://docs.google.com/uc?export=download&amp;id="&amp;H521)</f>
        <v/>
      </c>
      <c r="H521" s="5" t="str">
        <f t="shared" si="26"/>
        <v/>
      </c>
    </row>
    <row r="522" spans="1:8" hidden="1" x14ac:dyDescent="0.25">
      <c r="B522" s="25">
        <v>1519</v>
      </c>
      <c r="C522" s="25" t="s">
        <v>467</v>
      </c>
      <c r="D522" s="26" t="str">
        <f t="shared" si="25"/>
        <v>17.1.2Phon</v>
      </c>
      <c r="E522" s="26" t="s">
        <v>845</v>
      </c>
      <c r="F522" s="26" t="s">
        <v>5</v>
      </c>
      <c r="G522" s="26" t="str">
        <f t="shared" si="27"/>
        <v/>
      </c>
      <c r="H522" s="5" t="str">
        <f t="shared" si="26"/>
        <v/>
      </c>
    </row>
    <row r="523" spans="1:8" hidden="1" x14ac:dyDescent="0.25">
      <c r="B523" s="23">
        <v>1520</v>
      </c>
      <c r="C523" s="23" t="s">
        <v>468</v>
      </c>
      <c r="D523" s="24" t="str">
        <f t="shared" si="25"/>
        <v>17.1.3Viet</v>
      </c>
      <c r="E523" s="24" t="s">
        <v>657</v>
      </c>
      <c r="F523" s="24" t="s">
        <v>3</v>
      </c>
      <c r="G523" s="24" t="str">
        <f t="shared" si="27"/>
        <v/>
      </c>
      <c r="H523" s="5" t="str">
        <f t="shared" si="26"/>
        <v/>
      </c>
    </row>
    <row r="524" spans="1:8" x14ac:dyDescent="0.25">
      <c r="A524" s="1">
        <v>153</v>
      </c>
      <c r="B524" s="27">
        <v>1521</v>
      </c>
      <c r="C524" s="27" t="s">
        <v>468</v>
      </c>
      <c r="D524" s="28" t="str">
        <f t="shared" si="25"/>
        <v>17.1.3Eng</v>
      </c>
      <c r="E524" s="28" t="s">
        <v>236</v>
      </c>
      <c r="F524" s="28" t="s">
        <v>4</v>
      </c>
      <c r="G524" s="28" t="str">
        <f t="shared" si="27"/>
        <v/>
      </c>
      <c r="H524" s="5" t="str">
        <f t="shared" si="26"/>
        <v/>
      </c>
    </row>
    <row r="525" spans="1:8" hidden="1" x14ac:dyDescent="0.25">
      <c r="B525" s="25">
        <v>1522</v>
      </c>
      <c r="C525" s="25" t="s">
        <v>468</v>
      </c>
      <c r="D525" s="26" t="str">
        <f t="shared" si="25"/>
        <v>17.1.3Phon</v>
      </c>
      <c r="E525" s="26" t="s">
        <v>846</v>
      </c>
      <c r="F525" s="26" t="s">
        <v>5</v>
      </c>
      <c r="G525" s="26" t="str">
        <f t="shared" si="27"/>
        <v/>
      </c>
      <c r="H525" s="5" t="str">
        <f t="shared" si="26"/>
        <v/>
      </c>
    </row>
    <row r="526" spans="1:8" hidden="1" x14ac:dyDescent="0.25">
      <c r="B526" s="23">
        <v>1523</v>
      </c>
      <c r="C526" s="23" t="s">
        <v>469</v>
      </c>
      <c r="D526" s="24" t="str">
        <f t="shared" si="25"/>
        <v>17.1.4Viet</v>
      </c>
      <c r="E526" s="24" t="s">
        <v>658</v>
      </c>
      <c r="F526" s="24" t="s">
        <v>3</v>
      </c>
      <c r="G526" s="24" t="str">
        <f t="shared" si="27"/>
        <v/>
      </c>
      <c r="H526" s="5" t="str">
        <f t="shared" si="26"/>
        <v/>
      </c>
    </row>
    <row r="527" spans="1:8" x14ac:dyDescent="0.25">
      <c r="A527" s="1">
        <v>154</v>
      </c>
      <c r="B527" s="27">
        <v>1524</v>
      </c>
      <c r="C527" s="27" t="s">
        <v>469</v>
      </c>
      <c r="D527" s="28" t="str">
        <f t="shared" si="25"/>
        <v>17.1.4Eng</v>
      </c>
      <c r="E527" s="28" t="s">
        <v>237</v>
      </c>
      <c r="F527" s="28" t="s">
        <v>4</v>
      </c>
      <c r="G527" s="28" t="str">
        <f t="shared" si="27"/>
        <v/>
      </c>
      <c r="H527" s="5" t="str">
        <f t="shared" si="26"/>
        <v/>
      </c>
    </row>
    <row r="528" spans="1:8" hidden="1" x14ac:dyDescent="0.25">
      <c r="B528" s="25">
        <v>1525</v>
      </c>
      <c r="C528" s="25" t="s">
        <v>469</v>
      </c>
      <c r="D528" s="26" t="str">
        <f t="shared" si="25"/>
        <v>17.1.4Phon</v>
      </c>
      <c r="E528" s="26" t="s">
        <v>847</v>
      </c>
      <c r="F528" s="26" t="s">
        <v>5</v>
      </c>
      <c r="G528" s="26" t="str">
        <f t="shared" si="27"/>
        <v/>
      </c>
      <c r="H528" s="5" t="str">
        <f t="shared" si="26"/>
        <v/>
      </c>
    </row>
    <row r="529" spans="1:8" hidden="1" x14ac:dyDescent="0.25">
      <c r="B529" s="21">
        <v>1526</v>
      </c>
      <c r="C529" s="21" t="s">
        <v>58</v>
      </c>
      <c r="D529" s="22" t="str">
        <f t="shared" si="25"/>
        <v>17.2Struc</v>
      </c>
      <c r="E529" s="22" t="s">
        <v>313</v>
      </c>
      <c r="F529" s="22" t="s">
        <v>11</v>
      </c>
      <c r="G529" s="22" t="str">
        <f t="shared" si="27"/>
        <v/>
      </c>
      <c r="H529" s="5" t="str">
        <f t="shared" si="26"/>
        <v/>
      </c>
    </row>
    <row r="530" spans="1:8" hidden="1" x14ac:dyDescent="0.25">
      <c r="B530" s="23">
        <v>1527</v>
      </c>
      <c r="C530" s="23" t="s">
        <v>470</v>
      </c>
      <c r="D530" s="24" t="str">
        <f t="shared" si="25"/>
        <v>17.2.1Viet</v>
      </c>
      <c r="E530" s="24" t="s">
        <v>659</v>
      </c>
      <c r="F530" s="24" t="s">
        <v>3</v>
      </c>
      <c r="G530" s="24" t="str">
        <f t="shared" si="27"/>
        <v/>
      </c>
      <c r="H530" s="5" t="str">
        <f t="shared" si="26"/>
        <v/>
      </c>
    </row>
    <row r="531" spans="1:8" x14ac:dyDescent="0.25">
      <c r="A531" s="1">
        <v>155</v>
      </c>
      <c r="B531" s="27">
        <v>1528</v>
      </c>
      <c r="C531" s="27" t="s">
        <v>470</v>
      </c>
      <c r="D531" s="28" t="str">
        <f t="shared" si="25"/>
        <v>17.2.1Eng</v>
      </c>
      <c r="E531" s="28" t="s">
        <v>238</v>
      </c>
      <c r="F531" s="28" t="s">
        <v>4</v>
      </c>
      <c r="G531" s="28" t="str">
        <f t="shared" si="27"/>
        <v/>
      </c>
      <c r="H531" s="5" t="str">
        <f t="shared" si="26"/>
        <v/>
      </c>
    </row>
    <row r="532" spans="1:8" hidden="1" x14ac:dyDescent="0.25">
      <c r="B532" s="25">
        <v>1529</v>
      </c>
      <c r="C532" s="25" t="s">
        <v>470</v>
      </c>
      <c r="D532" s="26" t="str">
        <f t="shared" si="25"/>
        <v>17.2.1Phon</v>
      </c>
      <c r="E532" s="26" t="s">
        <v>848</v>
      </c>
      <c r="F532" s="26" t="s">
        <v>5</v>
      </c>
      <c r="G532" s="26" t="str">
        <f t="shared" si="27"/>
        <v/>
      </c>
      <c r="H532" s="5" t="str">
        <f t="shared" si="26"/>
        <v/>
      </c>
    </row>
    <row r="533" spans="1:8" hidden="1" x14ac:dyDescent="0.25">
      <c r="B533" s="23">
        <v>1530</v>
      </c>
      <c r="C533" s="23" t="s">
        <v>471</v>
      </c>
      <c r="D533" s="24" t="str">
        <f t="shared" si="25"/>
        <v>17.2.2Viet</v>
      </c>
      <c r="E533" s="24" t="s">
        <v>660</v>
      </c>
      <c r="F533" s="24" t="s">
        <v>3</v>
      </c>
      <c r="G533" s="24" t="str">
        <f t="shared" si="27"/>
        <v/>
      </c>
      <c r="H533" s="5" t="str">
        <f t="shared" si="26"/>
        <v/>
      </c>
    </row>
    <row r="534" spans="1:8" x14ac:dyDescent="0.25">
      <c r="A534" s="1">
        <v>156</v>
      </c>
      <c r="B534" s="27">
        <v>1531</v>
      </c>
      <c r="C534" s="27" t="s">
        <v>471</v>
      </c>
      <c r="D534" s="28" t="str">
        <f t="shared" si="25"/>
        <v>17.2.2Eng</v>
      </c>
      <c r="E534" s="28" t="s">
        <v>239</v>
      </c>
      <c r="F534" s="28" t="s">
        <v>4</v>
      </c>
      <c r="G534" s="28" t="str">
        <f t="shared" si="27"/>
        <v/>
      </c>
      <c r="H534" s="5" t="str">
        <f t="shared" si="26"/>
        <v/>
      </c>
    </row>
    <row r="535" spans="1:8" hidden="1" x14ac:dyDescent="0.25">
      <c r="B535" s="25">
        <v>1532</v>
      </c>
      <c r="C535" s="25" t="s">
        <v>471</v>
      </c>
      <c r="D535" s="26" t="str">
        <f t="shared" si="25"/>
        <v>17.2.2Phon</v>
      </c>
      <c r="E535" s="26" t="s">
        <v>849</v>
      </c>
      <c r="F535" s="26" t="s">
        <v>5</v>
      </c>
      <c r="G535" s="26" t="str">
        <f t="shared" si="27"/>
        <v/>
      </c>
      <c r="H535" s="5" t="str">
        <f t="shared" si="26"/>
        <v/>
      </c>
    </row>
    <row r="536" spans="1:8" hidden="1" x14ac:dyDescent="0.25">
      <c r="B536" s="23">
        <v>1533</v>
      </c>
      <c r="C536" s="23" t="s">
        <v>472</v>
      </c>
      <c r="D536" s="24" t="str">
        <f t="shared" si="25"/>
        <v>17.2.3Viet</v>
      </c>
      <c r="E536" s="24" t="s">
        <v>661</v>
      </c>
      <c r="F536" s="24" t="s">
        <v>3</v>
      </c>
      <c r="G536" s="24" t="str">
        <f t="shared" si="27"/>
        <v/>
      </c>
      <c r="H536" s="5" t="str">
        <f t="shared" si="26"/>
        <v/>
      </c>
    </row>
    <row r="537" spans="1:8" x14ac:dyDescent="0.25">
      <c r="A537" s="1">
        <v>157</v>
      </c>
      <c r="B537" s="27">
        <v>1534</v>
      </c>
      <c r="C537" s="27" t="s">
        <v>472</v>
      </c>
      <c r="D537" s="28" t="str">
        <f t="shared" si="25"/>
        <v>17.2.3Eng</v>
      </c>
      <c r="E537" s="28" t="s">
        <v>240</v>
      </c>
      <c r="F537" s="28" t="s">
        <v>4</v>
      </c>
      <c r="G537" s="28" t="str">
        <f t="shared" si="27"/>
        <v/>
      </c>
      <c r="H537" s="5" t="str">
        <f t="shared" si="26"/>
        <v/>
      </c>
    </row>
    <row r="538" spans="1:8" hidden="1" x14ac:dyDescent="0.25">
      <c r="B538" s="25">
        <v>1535</v>
      </c>
      <c r="C538" s="25" t="s">
        <v>472</v>
      </c>
      <c r="D538" s="26" t="str">
        <f t="shared" si="25"/>
        <v>17.2.3Phon</v>
      </c>
      <c r="E538" s="26" t="s">
        <v>850</v>
      </c>
      <c r="F538" s="26" t="s">
        <v>5</v>
      </c>
      <c r="G538" s="26" t="str">
        <f t="shared" si="27"/>
        <v/>
      </c>
      <c r="H538" s="5" t="str">
        <f t="shared" si="26"/>
        <v/>
      </c>
    </row>
    <row r="539" spans="1:8" hidden="1" x14ac:dyDescent="0.25">
      <c r="B539" s="21">
        <v>1536</v>
      </c>
      <c r="C539" s="21" t="s">
        <v>59</v>
      </c>
      <c r="D539" s="22" t="str">
        <f t="shared" si="25"/>
        <v>17.3Struc</v>
      </c>
      <c r="E539" s="22" t="s">
        <v>314</v>
      </c>
      <c r="F539" s="22" t="s">
        <v>11</v>
      </c>
      <c r="G539" s="22" t="str">
        <f t="shared" si="27"/>
        <v/>
      </c>
      <c r="H539" s="5" t="str">
        <f t="shared" si="26"/>
        <v/>
      </c>
    </row>
    <row r="540" spans="1:8" hidden="1" x14ac:dyDescent="0.25">
      <c r="B540" s="23">
        <v>1537</v>
      </c>
      <c r="C540" s="23" t="s">
        <v>473</v>
      </c>
      <c r="D540" s="24" t="str">
        <f t="shared" si="25"/>
        <v>17.3.1Viet</v>
      </c>
      <c r="E540" s="24" t="s">
        <v>662</v>
      </c>
      <c r="F540" s="24" t="s">
        <v>3</v>
      </c>
      <c r="G540" s="24" t="str">
        <f t="shared" si="27"/>
        <v/>
      </c>
      <c r="H540" s="5" t="str">
        <f t="shared" si="26"/>
        <v/>
      </c>
    </row>
    <row r="541" spans="1:8" x14ac:dyDescent="0.25">
      <c r="A541" s="1">
        <v>158</v>
      </c>
      <c r="B541" s="27">
        <v>1538</v>
      </c>
      <c r="C541" s="27" t="s">
        <v>473</v>
      </c>
      <c r="D541" s="28" t="str">
        <f t="shared" si="25"/>
        <v>17.3.1Eng</v>
      </c>
      <c r="E541" s="28" t="s">
        <v>241</v>
      </c>
      <c r="F541" s="28" t="s">
        <v>4</v>
      </c>
      <c r="G541" s="28" t="str">
        <f t="shared" si="27"/>
        <v/>
      </c>
      <c r="H541" s="5" t="str">
        <f t="shared" si="26"/>
        <v/>
      </c>
    </row>
    <row r="542" spans="1:8" hidden="1" x14ac:dyDescent="0.25">
      <c r="B542" s="25">
        <v>1539</v>
      </c>
      <c r="C542" s="25" t="s">
        <v>473</v>
      </c>
      <c r="D542" s="26" t="str">
        <f t="shared" si="25"/>
        <v>17.3.1Phon</v>
      </c>
      <c r="E542" s="26" t="s">
        <v>851</v>
      </c>
      <c r="F542" s="26" t="s">
        <v>5</v>
      </c>
      <c r="G542" s="26" t="str">
        <f t="shared" si="27"/>
        <v/>
      </c>
      <c r="H542" s="5" t="str">
        <f t="shared" si="26"/>
        <v/>
      </c>
    </row>
    <row r="543" spans="1:8" hidden="1" x14ac:dyDescent="0.25">
      <c r="B543" s="23">
        <v>1540</v>
      </c>
      <c r="C543" s="23" t="s">
        <v>474</v>
      </c>
      <c r="D543" s="24" t="str">
        <f t="shared" si="25"/>
        <v>17.3.2Viet</v>
      </c>
      <c r="E543" s="24" t="s">
        <v>663</v>
      </c>
      <c r="F543" s="24" t="s">
        <v>3</v>
      </c>
      <c r="G543" s="24" t="str">
        <f t="shared" si="27"/>
        <v/>
      </c>
      <c r="H543" s="5" t="str">
        <f t="shared" si="26"/>
        <v/>
      </c>
    </row>
    <row r="544" spans="1:8" x14ac:dyDescent="0.25">
      <c r="A544" s="1">
        <v>159</v>
      </c>
      <c r="B544" s="27">
        <v>1541</v>
      </c>
      <c r="C544" s="27" t="s">
        <v>474</v>
      </c>
      <c r="D544" s="28" t="str">
        <f t="shared" si="25"/>
        <v>17.3.2Eng</v>
      </c>
      <c r="E544" s="28" t="s">
        <v>242</v>
      </c>
      <c r="F544" s="28" t="s">
        <v>4</v>
      </c>
      <c r="G544" s="28" t="str">
        <f t="shared" si="27"/>
        <v/>
      </c>
      <c r="H544" s="5" t="str">
        <f t="shared" si="26"/>
        <v/>
      </c>
    </row>
    <row r="545" spans="1:8" hidden="1" x14ac:dyDescent="0.25">
      <c r="B545" s="25">
        <v>1542</v>
      </c>
      <c r="C545" s="25" t="s">
        <v>474</v>
      </c>
      <c r="D545" s="26" t="str">
        <f t="shared" si="25"/>
        <v>17.3.2Phon</v>
      </c>
      <c r="E545" s="26" t="s">
        <v>852</v>
      </c>
      <c r="F545" s="26" t="s">
        <v>5</v>
      </c>
      <c r="G545" s="26" t="str">
        <f t="shared" si="27"/>
        <v/>
      </c>
      <c r="H545" s="5" t="str">
        <f t="shared" si="26"/>
        <v/>
      </c>
    </row>
    <row r="546" spans="1:8" hidden="1" x14ac:dyDescent="0.25">
      <c r="B546" s="23">
        <v>1543</v>
      </c>
      <c r="C546" s="23" t="s">
        <v>475</v>
      </c>
      <c r="D546" s="24" t="str">
        <f t="shared" si="25"/>
        <v>17.3.3Viet</v>
      </c>
      <c r="E546" s="24" t="s">
        <v>664</v>
      </c>
      <c r="F546" s="24" t="s">
        <v>3</v>
      </c>
      <c r="G546" s="24" t="str">
        <f t="shared" si="27"/>
        <v/>
      </c>
      <c r="H546" s="5" t="str">
        <f t="shared" si="26"/>
        <v/>
      </c>
    </row>
    <row r="547" spans="1:8" x14ac:dyDescent="0.25">
      <c r="A547" s="1">
        <v>160</v>
      </c>
      <c r="B547" s="27">
        <v>1544</v>
      </c>
      <c r="C547" s="27" t="s">
        <v>475</v>
      </c>
      <c r="D547" s="28" t="str">
        <f t="shared" si="25"/>
        <v>17.3.3Eng</v>
      </c>
      <c r="E547" s="28" t="s">
        <v>243</v>
      </c>
      <c r="F547" s="28" t="s">
        <v>4</v>
      </c>
      <c r="G547" s="28" t="str">
        <f t="shared" si="27"/>
        <v/>
      </c>
      <c r="H547" s="5" t="str">
        <f t="shared" si="26"/>
        <v/>
      </c>
    </row>
    <row r="548" spans="1:8" hidden="1" x14ac:dyDescent="0.25">
      <c r="B548" s="25">
        <v>1545</v>
      </c>
      <c r="C548" s="25" t="s">
        <v>475</v>
      </c>
      <c r="D548" s="26" t="str">
        <f t="shared" si="25"/>
        <v>17.3.3Phon</v>
      </c>
      <c r="E548" s="26" t="s">
        <v>853</v>
      </c>
      <c r="F548" s="26" t="s">
        <v>5</v>
      </c>
      <c r="G548" s="26" t="str">
        <f t="shared" si="27"/>
        <v/>
      </c>
      <c r="H548" s="5" t="str">
        <f t="shared" si="26"/>
        <v/>
      </c>
    </row>
    <row r="549" spans="1:8" hidden="1" x14ac:dyDescent="0.25">
      <c r="B549" s="19">
        <v>1546</v>
      </c>
      <c r="C549" s="19">
        <v>18</v>
      </c>
      <c r="D549" s="20" t="str">
        <f t="shared" si="25"/>
        <v>18Struc0</v>
      </c>
      <c r="E549" s="20" t="s">
        <v>275</v>
      </c>
      <c r="F549" s="20" t="s">
        <v>502</v>
      </c>
      <c r="G549" s="20" t="str">
        <f t="shared" si="27"/>
        <v/>
      </c>
      <c r="H549" s="5" t="str">
        <f t="shared" si="26"/>
        <v/>
      </c>
    </row>
    <row r="550" spans="1:8" hidden="1" x14ac:dyDescent="0.25">
      <c r="B550" s="21">
        <v>1547</v>
      </c>
      <c r="C550" s="21" t="s">
        <v>60</v>
      </c>
      <c r="D550" s="22" t="str">
        <f t="shared" si="25"/>
        <v>18.1Struc</v>
      </c>
      <c r="E550" s="22" t="s">
        <v>275</v>
      </c>
      <c r="F550" s="22" t="s">
        <v>11</v>
      </c>
      <c r="G550" s="22" t="str">
        <f t="shared" si="27"/>
        <v/>
      </c>
      <c r="H550" s="5" t="str">
        <f t="shared" si="26"/>
        <v/>
      </c>
    </row>
    <row r="551" spans="1:8" hidden="1" x14ac:dyDescent="0.25">
      <c r="B551" s="23">
        <v>1548</v>
      </c>
      <c r="C551" s="23" t="s">
        <v>476</v>
      </c>
      <c r="D551" s="24" t="str">
        <f t="shared" si="25"/>
        <v>18.1.1Viet</v>
      </c>
      <c r="E551" s="24" t="s">
        <v>665</v>
      </c>
      <c r="F551" s="24" t="s">
        <v>3</v>
      </c>
      <c r="G551" s="24" t="str">
        <f t="shared" si="27"/>
        <v/>
      </c>
      <c r="H551" s="5" t="str">
        <f t="shared" si="26"/>
        <v/>
      </c>
    </row>
    <row r="552" spans="1:8" x14ac:dyDescent="0.25">
      <c r="A552" s="1">
        <v>161</v>
      </c>
      <c r="B552" s="27">
        <v>1549</v>
      </c>
      <c r="C552" s="27" t="s">
        <v>476</v>
      </c>
      <c r="D552" s="28" t="str">
        <f t="shared" si="25"/>
        <v>18.1.1Eng</v>
      </c>
      <c r="E552" s="28" t="s">
        <v>134</v>
      </c>
      <c r="F552" s="28" t="s">
        <v>4</v>
      </c>
      <c r="G552" s="28" t="str">
        <f t="shared" si="27"/>
        <v/>
      </c>
      <c r="H552" s="5" t="str">
        <f t="shared" si="26"/>
        <v/>
      </c>
    </row>
    <row r="553" spans="1:8" hidden="1" x14ac:dyDescent="0.25">
      <c r="B553" s="25">
        <v>1550</v>
      </c>
      <c r="C553" s="25" t="s">
        <v>476</v>
      </c>
      <c r="D553" s="26" t="str">
        <f t="shared" si="25"/>
        <v>18.1.1Phon</v>
      </c>
      <c r="E553" s="26" t="s">
        <v>854</v>
      </c>
      <c r="F553" s="26" t="s">
        <v>5</v>
      </c>
      <c r="G553" s="26" t="str">
        <f t="shared" si="27"/>
        <v/>
      </c>
      <c r="H553" s="5" t="str">
        <f t="shared" si="26"/>
        <v/>
      </c>
    </row>
    <row r="554" spans="1:8" hidden="1" x14ac:dyDescent="0.25">
      <c r="B554" s="23">
        <v>1551</v>
      </c>
      <c r="C554" s="23" t="s">
        <v>477</v>
      </c>
      <c r="D554" s="24" t="str">
        <f t="shared" si="25"/>
        <v>18.1.2Viet</v>
      </c>
      <c r="E554" s="24" t="s">
        <v>666</v>
      </c>
      <c r="F554" s="24" t="s">
        <v>3</v>
      </c>
      <c r="G554" s="24" t="str">
        <f t="shared" si="27"/>
        <v/>
      </c>
      <c r="H554" s="5" t="str">
        <f t="shared" si="26"/>
        <v/>
      </c>
    </row>
    <row r="555" spans="1:8" x14ac:dyDescent="0.25">
      <c r="A555" s="1">
        <v>162</v>
      </c>
      <c r="B555" s="27">
        <v>1552</v>
      </c>
      <c r="C555" s="27" t="s">
        <v>477</v>
      </c>
      <c r="D555" s="28" t="str">
        <f t="shared" si="25"/>
        <v>18.1.2Eng</v>
      </c>
      <c r="E555" s="28" t="s">
        <v>244</v>
      </c>
      <c r="F555" s="28" t="s">
        <v>4</v>
      </c>
      <c r="G555" s="28" t="str">
        <f t="shared" si="27"/>
        <v/>
      </c>
      <c r="H555" s="5" t="str">
        <f t="shared" si="26"/>
        <v/>
      </c>
    </row>
    <row r="556" spans="1:8" hidden="1" x14ac:dyDescent="0.25">
      <c r="B556" s="25">
        <v>1553</v>
      </c>
      <c r="C556" s="25" t="s">
        <v>477</v>
      </c>
      <c r="D556" s="26" t="str">
        <f t="shared" si="25"/>
        <v>18.1.2Phon</v>
      </c>
      <c r="E556" s="26" t="s">
        <v>855</v>
      </c>
      <c r="F556" s="26" t="s">
        <v>5</v>
      </c>
      <c r="G556" s="26" t="str">
        <f t="shared" si="27"/>
        <v/>
      </c>
      <c r="H556" s="5" t="str">
        <f t="shared" si="26"/>
        <v/>
      </c>
    </row>
    <row r="557" spans="1:8" hidden="1" x14ac:dyDescent="0.25">
      <c r="B557" s="23">
        <v>1554</v>
      </c>
      <c r="C557" s="23" t="s">
        <v>478</v>
      </c>
      <c r="D557" s="24" t="str">
        <f t="shared" si="25"/>
        <v>18.1.3Viet</v>
      </c>
      <c r="E557" s="24" t="s">
        <v>667</v>
      </c>
      <c r="F557" s="24" t="s">
        <v>3</v>
      </c>
      <c r="G557" s="24" t="str">
        <f t="shared" si="27"/>
        <v/>
      </c>
      <c r="H557" s="5" t="str">
        <f t="shared" si="26"/>
        <v/>
      </c>
    </row>
    <row r="558" spans="1:8" x14ac:dyDescent="0.25">
      <c r="A558" s="1">
        <v>163</v>
      </c>
      <c r="B558" s="27">
        <v>1555</v>
      </c>
      <c r="C558" s="27" t="s">
        <v>478</v>
      </c>
      <c r="D558" s="28" t="str">
        <f t="shared" si="25"/>
        <v>18.1.3Eng</v>
      </c>
      <c r="E558" s="28" t="s">
        <v>135</v>
      </c>
      <c r="F558" s="28" t="s">
        <v>4</v>
      </c>
      <c r="G558" s="28" t="str">
        <f t="shared" si="27"/>
        <v/>
      </c>
      <c r="H558" s="5" t="str">
        <f t="shared" si="26"/>
        <v/>
      </c>
    </row>
    <row r="559" spans="1:8" hidden="1" x14ac:dyDescent="0.25">
      <c r="B559" s="25">
        <v>1556</v>
      </c>
      <c r="C559" s="25" t="s">
        <v>478</v>
      </c>
      <c r="D559" s="26" t="str">
        <f t="shared" si="25"/>
        <v>18.1.3Phon</v>
      </c>
      <c r="E559" s="26" t="s">
        <v>856</v>
      </c>
      <c r="F559" s="26" t="s">
        <v>5</v>
      </c>
      <c r="G559" s="26" t="str">
        <f t="shared" si="27"/>
        <v/>
      </c>
      <c r="H559" s="5" t="str">
        <f t="shared" si="26"/>
        <v/>
      </c>
    </row>
    <row r="560" spans="1:8" hidden="1" x14ac:dyDescent="0.25">
      <c r="B560" s="23">
        <v>1557</v>
      </c>
      <c r="C560" s="23" t="s">
        <v>479</v>
      </c>
      <c r="D560" s="24" t="str">
        <f t="shared" si="25"/>
        <v>18.1.4Viet</v>
      </c>
      <c r="E560" s="24" t="s">
        <v>668</v>
      </c>
      <c r="F560" s="24" t="s">
        <v>3</v>
      </c>
      <c r="G560" s="24" t="str">
        <f t="shared" si="27"/>
        <v/>
      </c>
      <c r="H560" s="5" t="str">
        <f t="shared" si="26"/>
        <v/>
      </c>
    </row>
    <row r="561" spans="1:8" x14ac:dyDescent="0.25">
      <c r="A561" s="1">
        <v>164</v>
      </c>
      <c r="B561" s="27">
        <v>1558</v>
      </c>
      <c r="C561" s="27" t="s">
        <v>479</v>
      </c>
      <c r="D561" s="28" t="str">
        <f t="shared" si="25"/>
        <v>18.1.4Eng</v>
      </c>
      <c r="E561" s="28" t="s">
        <v>245</v>
      </c>
      <c r="F561" s="28" t="s">
        <v>4</v>
      </c>
      <c r="G561" s="28" t="str">
        <f t="shared" si="27"/>
        <v/>
      </c>
      <c r="H561" s="5" t="str">
        <f t="shared" si="26"/>
        <v/>
      </c>
    </row>
    <row r="562" spans="1:8" hidden="1" x14ac:dyDescent="0.25">
      <c r="B562" s="25">
        <v>1559</v>
      </c>
      <c r="C562" s="25" t="s">
        <v>479</v>
      </c>
      <c r="D562" s="26" t="str">
        <f t="shared" si="25"/>
        <v>18.1.4Phon</v>
      </c>
      <c r="E562" s="26" t="s">
        <v>857</v>
      </c>
      <c r="F562" s="26" t="s">
        <v>5</v>
      </c>
      <c r="G562" s="26" t="str">
        <f t="shared" si="27"/>
        <v/>
      </c>
      <c r="H562" s="5" t="str">
        <f t="shared" si="26"/>
        <v/>
      </c>
    </row>
    <row r="563" spans="1:8" hidden="1" x14ac:dyDescent="0.25">
      <c r="B563" s="21">
        <v>1560</v>
      </c>
      <c r="C563" s="21" t="s">
        <v>61</v>
      </c>
      <c r="D563" s="22" t="str">
        <f t="shared" si="25"/>
        <v>18.2Struc</v>
      </c>
      <c r="E563" s="22" t="s">
        <v>315</v>
      </c>
      <c r="F563" s="22" t="s">
        <v>11</v>
      </c>
      <c r="G563" s="22" t="str">
        <f t="shared" si="27"/>
        <v/>
      </c>
      <c r="H563" s="5" t="str">
        <f t="shared" si="26"/>
        <v/>
      </c>
    </row>
    <row r="564" spans="1:8" hidden="1" x14ac:dyDescent="0.25">
      <c r="B564" s="23">
        <v>1561</v>
      </c>
      <c r="C564" s="23" t="s">
        <v>480</v>
      </c>
      <c r="D564" s="24" t="str">
        <f t="shared" si="25"/>
        <v>18.2.1Viet</v>
      </c>
      <c r="E564" s="24" t="s">
        <v>669</v>
      </c>
      <c r="F564" s="24" t="s">
        <v>3</v>
      </c>
      <c r="G564" s="24" t="str">
        <f t="shared" si="27"/>
        <v/>
      </c>
      <c r="H564" s="5" t="str">
        <f t="shared" si="26"/>
        <v/>
      </c>
    </row>
    <row r="565" spans="1:8" x14ac:dyDescent="0.25">
      <c r="A565" s="1">
        <v>165</v>
      </c>
      <c r="B565" s="27">
        <v>1562</v>
      </c>
      <c r="C565" s="27" t="s">
        <v>480</v>
      </c>
      <c r="D565" s="28" t="str">
        <f t="shared" si="25"/>
        <v>18.2.1Eng</v>
      </c>
      <c r="E565" s="28" t="s">
        <v>246</v>
      </c>
      <c r="F565" s="28" t="s">
        <v>4</v>
      </c>
      <c r="G565" s="28" t="str">
        <f t="shared" si="27"/>
        <v/>
      </c>
      <c r="H565" s="5" t="str">
        <f t="shared" si="26"/>
        <v/>
      </c>
    </row>
    <row r="566" spans="1:8" hidden="1" x14ac:dyDescent="0.25">
      <c r="B566" s="25">
        <v>1563</v>
      </c>
      <c r="C566" s="25" t="s">
        <v>480</v>
      </c>
      <c r="D566" s="26" t="str">
        <f t="shared" si="25"/>
        <v>18.2.1Phon</v>
      </c>
      <c r="E566" s="26" t="s">
        <v>858</v>
      </c>
      <c r="F566" s="26" t="s">
        <v>5</v>
      </c>
      <c r="G566" s="26" t="str">
        <f t="shared" si="27"/>
        <v/>
      </c>
      <c r="H566" s="5" t="str">
        <f t="shared" si="26"/>
        <v/>
      </c>
    </row>
    <row r="567" spans="1:8" hidden="1" x14ac:dyDescent="0.25">
      <c r="B567" s="23">
        <v>1564</v>
      </c>
      <c r="C567" s="23" t="s">
        <v>481</v>
      </c>
      <c r="D567" s="24" t="str">
        <f t="shared" si="25"/>
        <v>18.2.2Viet</v>
      </c>
      <c r="E567" s="24" t="s">
        <v>670</v>
      </c>
      <c r="F567" s="24" t="s">
        <v>3</v>
      </c>
      <c r="G567" s="24" t="str">
        <f t="shared" si="27"/>
        <v/>
      </c>
      <c r="H567" s="5" t="str">
        <f t="shared" si="26"/>
        <v/>
      </c>
    </row>
    <row r="568" spans="1:8" x14ac:dyDescent="0.25">
      <c r="A568" s="1">
        <v>166</v>
      </c>
      <c r="B568" s="27">
        <v>1565</v>
      </c>
      <c r="C568" s="27" t="s">
        <v>481</v>
      </c>
      <c r="D568" s="28" t="str">
        <f t="shared" si="25"/>
        <v>18.2.2Eng</v>
      </c>
      <c r="E568" s="28" t="s">
        <v>136</v>
      </c>
      <c r="F568" s="28" t="s">
        <v>4</v>
      </c>
      <c r="G568" s="28" t="str">
        <f t="shared" si="27"/>
        <v/>
      </c>
      <c r="H568" s="5" t="str">
        <f t="shared" si="26"/>
        <v/>
      </c>
    </row>
    <row r="569" spans="1:8" hidden="1" x14ac:dyDescent="0.25">
      <c r="B569" s="25">
        <v>1566</v>
      </c>
      <c r="C569" s="25" t="s">
        <v>481</v>
      </c>
      <c r="D569" s="26" t="str">
        <f t="shared" si="25"/>
        <v>18.2.2Phon</v>
      </c>
      <c r="E569" s="26" t="s">
        <v>859</v>
      </c>
      <c r="F569" s="26" t="s">
        <v>5</v>
      </c>
      <c r="G569" s="26" t="str">
        <f t="shared" si="27"/>
        <v/>
      </c>
      <c r="H569" s="5" t="str">
        <f t="shared" si="26"/>
        <v/>
      </c>
    </row>
    <row r="570" spans="1:8" hidden="1" x14ac:dyDescent="0.25">
      <c r="B570" s="23">
        <v>1567</v>
      </c>
      <c r="C570" s="23" t="s">
        <v>482</v>
      </c>
      <c r="D570" s="24" t="str">
        <f t="shared" si="25"/>
        <v>18.2.3Viet</v>
      </c>
      <c r="E570" s="24" t="s">
        <v>671</v>
      </c>
      <c r="F570" s="24" t="s">
        <v>3</v>
      </c>
      <c r="G570" s="24" t="str">
        <f t="shared" si="27"/>
        <v/>
      </c>
      <c r="H570" s="5" t="str">
        <f t="shared" si="26"/>
        <v/>
      </c>
    </row>
    <row r="571" spans="1:8" x14ac:dyDescent="0.25">
      <c r="A571" s="1">
        <v>167</v>
      </c>
      <c r="B571" s="27">
        <v>1568</v>
      </c>
      <c r="C571" s="27" t="s">
        <v>482</v>
      </c>
      <c r="D571" s="28" t="str">
        <f t="shared" si="25"/>
        <v>18.2.3Eng</v>
      </c>
      <c r="E571" s="28" t="s">
        <v>137</v>
      </c>
      <c r="F571" s="28" t="s">
        <v>4</v>
      </c>
      <c r="G571" s="28" t="str">
        <f t="shared" si="27"/>
        <v/>
      </c>
      <c r="H571" s="5" t="str">
        <f t="shared" si="26"/>
        <v/>
      </c>
    </row>
    <row r="572" spans="1:8" hidden="1" x14ac:dyDescent="0.25">
      <c r="B572" s="25">
        <v>1569</v>
      </c>
      <c r="C572" s="25" t="s">
        <v>482</v>
      </c>
      <c r="D572" s="26" t="str">
        <f t="shared" si="25"/>
        <v>18.2.3Phon</v>
      </c>
      <c r="E572" s="26" t="s">
        <v>860</v>
      </c>
      <c r="F572" s="26" t="s">
        <v>5</v>
      </c>
      <c r="G572" s="26" t="str">
        <f t="shared" si="27"/>
        <v/>
      </c>
      <c r="H572" s="5" t="str">
        <f t="shared" si="26"/>
        <v/>
      </c>
    </row>
    <row r="573" spans="1:8" hidden="1" x14ac:dyDescent="0.25">
      <c r="B573" s="23">
        <v>1570</v>
      </c>
      <c r="C573" s="23" t="s">
        <v>483</v>
      </c>
      <c r="D573" s="24" t="str">
        <f t="shared" si="25"/>
        <v>18.2.4Viet</v>
      </c>
      <c r="E573" s="24" t="s">
        <v>672</v>
      </c>
      <c r="F573" s="24" t="s">
        <v>3</v>
      </c>
      <c r="G573" s="24" t="str">
        <f t="shared" si="27"/>
        <v/>
      </c>
      <c r="H573" s="5" t="str">
        <f t="shared" si="26"/>
        <v/>
      </c>
    </row>
    <row r="574" spans="1:8" x14ac:dyDescent="0.25">
      <c r="A574" s="1">
        <v>168</v>
      </c>
      <c r="B574" s="27">
        <v>1571</v>
      </c>
      <c r="C574" s="27" t="s">
        <v>483</v>
      </c>
      <c r="D574" s="28" t="str">
        <f t="shared" si="25"/>
        <v>18.2.4Eng</v>
      </c>
      <c r="E574" s="28" t="s">
        <v>138</v>
      </c>
      <c r="F574" s="28" t="s">
        <v>4</v>
      </c>
      <c r="G574" s="28" t="str">
        <f t="shared" si="27"/>
        <v/>
      </c>
      <c r="H574" s="5" t="str">
        <f t="shared" si="26"/>
        <v/>
      </c>
    </row>
    <row r="575" spans="1:8" hidden="1" x14ac:dyDescent="0.25">
      <c r="B575" s="25">
        <v>1572</v>
      </c>
      <c r="C575" s="25" t="s">
        <v>483</v>
      </c>
      <c r="D575" s="26" t="str">
        <f t="shared" si="25"/>
        <v>18.2.4Phon</v>
      </c>
      <c r="E575" s="26" t="s">
        <v>861</v>
      </c>
      <c r="F575" s="26" t="s">
        <v>5</v>
      </c>
      <c r="G575" s="26" t="str">
        <f t="shared" si="27"/>
        <v/>
      </c>
      <c r="H575" s="5" t="str">
        <f t="shared" si="26"/>
        <v/>
      </c>
    </row>
    <row r="576" spans="1:8" hidden="1" x14ac:dyDescent="0.25">
      <c r="B576" s="21">
        <v>1573</v>
      </c>
      <c r="C576" s="21" t="s">
        <v>62</v>
      </c>
      <c r="D576" s="22" t="str">
        <f t="shared" si="25"/>
        <v>18.3Struc</v>
      </c>
      <c r="E576" s="22" t="s">
        <v>316</v>
      </c>
      <c r="F576" s="22" t="s">
        <v>11</v>
      </c>
      <c r="G576" s="22" t="str">
        <f t="shared" si="27"/>
        <v/>
      </c>
      <c r="H576" s="5" t="str">
        <f t="shared" si="26"/>
        <v/>
      </c>
    </row>
    <row r="577" spans="1:8" hidden="1" x14ac:dyDescent="0.25">
      <c r="B577" s="23">
        <v>1574</v>
      </c>
      <c r="C577" s="23" t="s">
        <v>484</v>
      </c>
      <c r="D577" s="24" t="str">
        <f t="shared" si="25"/>
        <v>18.3.1Viet</v>
      </c>
      <c r="E577" s="24" t="s">
        <v>673</v>
      </c>
      <c r="F577" s="24" t="s">
        <v>3</v>
      </c>
      <c r="G577" s="24" t="str">
        <f t="shared" si="27"/>
        <v/>
      </c>
      <c r="H577" s="5" t="str">
        <f t="shared" si="26"/>
        <v/>
      </c>
    </row>
    <row r="578" spans="1:8" x14ac:dyDescent="0.25">
      <c r="A578" s="1">
        <v>169</v>
      </c>
      <c r="B578" s="27">
        <v>1575</v>
      </c>
      <c r="C578" s="27" t="s">
        <v>484</v>
      </c>
      <c r="D578" s="28" t="str">
        <f t="shared" si="25"/>
        <v>18.3.1Eng</v>
      </c>
      <c r="E578" s="28" t="s">
        <v>247</v>
      </c>
      <c r="F578" s="28" t="s">
        <v>4</v>
      </c>
      <c r="G578" s="28" t="str">
        <f t="shared" si="27"/>
        <v/>
      </c>
      <c r="H578" s="5" t="str">
        <f t="shared" si="26"/>
        <v/>
      </c>
    </row>
    <row r="579" spans="1:8" hidden="1" x14ac:dyDescent="0.25">
      <c r="B579" s="25">
        <v>1576</v>
      </c>
      <c r="C579" s="25" t="s">
        <v>484</v>
      </c>
      <c r="D579" s="26" t="str">
        <f t="shared" si="25"/>
        <v>18.3.1Phon</v>
      </c>
      <c r="E579" s="26" t="s">
        <v>862</v>
      </c>
      <c r="F579" s="26" t="s">
        <v>5</v>
      </c>
      <c r="G579" s="26" t="str">
        <f t="shared" si="27"/>
        <v/>
      </c>
      <c r="H579" s="5" t="str">
        <f t="shared" si="26"/>
        <v/>
      </c>
    </row>
    <row r="580" spans="1:8" hidden="1" x14ac:dyDescent="0.25">
      <c r="B580" s="23">
        <v>1577</v>
      </c>
      <c r="C580" s="23" t="s">
        <v>485</v>
      </c>
      <c r="D580" s="24" t="str">
        <f t="shared" ref="D580:D634" si="28">C580&amp;F580</f>
        <v>18.3.2Viet</v>
      </c>
      <c r="E580" s="24" t="s">
        <v>674</v>
      </c>
      <c r="F580" s="24" t="s">
        <v>3</v>
      </c>
      <c r="G580" s="24" t="str">
        <f t="shared" si="27"/>
        <v/>
      </c>
      <c r="H580" s="5" t="str">
        <f t="shared" si="26"/>
        <v/>
      </c>
    </row>
    <row r="581" spans="1:8" x14ac:dyDescent="0.25">
      <c r="A581" s="1">
        <v>170</v>
      </c>
      <c r="B581" s="27">
        <v>1578</v>
      </c>
      <c r="C581" s="27" t="s">
        <v>485</v>
      </c>
      <c r="D581" s="28" t="str">
        <f t="shared" si="28"/>
        <v>18.3.2Eng</v>
      </c>
      <c r="E581" s="28" t="s">
        <v>139</v>
      </c>
      <c r="F581" s="28" t="s">
        <v>4</v>
      </c>
      <c r="G581" s="28" t="str">
        <f t="shared" si="27"/>
        <v/>
      </c>
      <c r="H581" s="5" t="str">
        <f t="shared" si="26"/>
        <v/>
      </c>
    </row>
    <row r="582" spans="1:8" hidden="1" x14ac:dyDescent="0.25">
      <c r="B582" s="25">
        <v>1579</v>
      </c>
      <c r="C582" s="25" t="s">
        <v>485</v>
      </c>
      <c r="D582" s="26" t="str">
        <f t="shared" si="28"/>
        <v>18.3.2Phon</v>
      </c>
      <c r="E582" s="26" t="s">
        <v>863</v>
      </c>
      <c r="F582" s="26" t="s">
        <v>5</v>
      </c>
      <c r="G582" s="26" t="str">
        <f t="shared" si="27"/>
        <v/>
      </c>
      <c r="H582" s="5" t="str">
        <f t="shared" ref="H582:H634" si="29">IFERROR(LEFT(RIGHT(I582,LEN(I582)-32),LEN(RIGHT(I582,LEN(I582)-32))-17),"")</f>
        <v/>
      </c>
    </row>
    <row r="583" spans="1:8" hidden="1" x14ac:dyDescent="0.25">
      <c r="B583" s="23">
        <v>1580</v>
      </c>
      <c r="C583" s="23" t="s">
        <v>486</v>
      </c>
      <c r="D583" s="24" t="str">
        <f t="shared" si="28"/>
        <v>18.3.3Viet</v>
      </c>
      <c r="E583" s="24" t="s">
        <v>675</v>
      </c>
      <c r="F583" s="24" t="s">
        <v>3</v>
      </c>
      <c r="G583" s="24" t="str">
        <f t="shared" si="27"/>
        <v/>
      </c>
      <c r="H583" s="5" t="str">
        <f t="shared" si="29"/>
        <v/>
      </c>
    </row>
    <row r="584" spans="1:8" x14ac:dyDescent="0.25">
      <c r="A584" s="1">
        <v>171</v>
      </c>
      <c r="B584" s="27">
        <v>1581</v>
      </c>
      <c r="C584" s="27" t="s">
        <v>486</v>
      </c>
      <c r="D584" s="28" t="str">
        <f t="shared" si="28"/>
        <v>18.3.3Eng</v>
      </c>
      <c r="E584" s="28" t="s">
        <v>248</v>
      </c>
      <c r="F584" s="28" t="s">
        <v>4</v>
      </c>
      <c r="G584" s="28" t="str">
        <f t="shared" si="27"/>
        <v/>
      </c>
      <c r="H584" s="5" t="str">
        <f t="shared" si="29"/>
        <v/>
      </c>
    </row>
    <row r="585" spans="1:8" hidden="1" x14ac:dyDescent="0.25">
      <c r="B585" s="25">
        <v>1582</v>
      </c>
      <c r="C585" s="25" t="s">
        <v>486</v>
      </c>
      <c r="D585" s="26" t="str">
        <f t="shared" si="28"/>
        <v>18.3.3Phon</v>
      </c>
      <c r="E585" s="26" t="s">
        <v>864</v>
      </c>
      <c r="F585" s="26" t="s">
        <v>5</v>
      </c>
      <c r="G585" s="26" t="str">
        <f t="shared" ref="G585:G634" si="30">IF(H585="","","https://docs.google.com/uc?export=download&amp;id="&amp;H585)</f>
        <v/>
      </c>
      <c r="H585" s="5" t="str">
        <f t="shared" si="29"/>
        <v/>
      </c>
    </row>
    <row r="586" spans="1:8" hidden="1" x14ac:dyDescent="0.25">
      <c r="B586" s="23">
        <v>1583</v>
      </c>
      <c r="C586" s="23" t="s">
        <v>487</v>
      </c>
      <c r="D586" s="24" t="str">
        <f t="shared" si="28"/>
        <v>18.3.4Viet</v>
      </c>
      <c r="E586" s="24" t="s">
        <v>676</v>
      </c>
      <c r="F586" s="24" t="s">
        <v>3</v>
      </c>
      <c r="G586" s="24" t="str">
        <f t="shared" si="30"/>
        <v/>
      </c>
      <c r="H586" s="5" t="str">
        <f t="shared" si="29"/>
        <v/>
      </c>
    </row>
    <row r="587" spans="1:8" x14ac:dyDescent="0.25">
      <c r="A587" s="1">
        <v>172</v>
      </c>
      <c r="B587" s="27">
        <v>1584</v>
      </c>
      <c r="C587" s="27" t="s">
        <v>487</v>
      </c>
      <c r="D587" s="28" t="str">
        <f t="shared" si="28"/>
        <v>18.3.4Eng</v>
      </c>
      <c r="E587" s="28" t="s">
        <v>249</v>
      </c>
      <c r="F587" s="28" t="s">
        <v>4</v>
      </c>
      <c r="G587" s="28" t="str">
        <f t="shared" si="30"/>
        <v/>
      </c>
      <c r="H587" s="5" t="str">
        <f t="shared" si="29"/>
        <v/>
      </c>
    </row>
    <row r="588" spans="1:8" hidden="1" x14ac:dyDescent="0.25">
      <c r="B588" s="25">
        <v>1585</v>
      </c>
      <c r="C588" s="25" t="s">
        <v>487</v>
      </c>
      <c r="D588" s="26" t="str">
        <f t="shared" si="28"/>
        <v>18.3.4Phon</v>
      </c>
      <c r="E588" s="26" t="s">
        <v>865</v>
      </c>
      <c r="F588" s="26" t="s">
        <v>5</v>
      </c>
      <c r="G588" s="26" t="str">
        <f t="shared" si="30"/>
        <v/>
      </c>
      <c r="H588" s="5" t="str">
        <f t="shared" si="29"/>
        <v/>
      </c>
    </row>
    <row r="589" spans="1:8" hidden="1" x14ac:dyDescent="0.25">
      <c r="B589" s="19">
        <v>1586</v>
      </c>
      <c r="C589" s="19">
        <v>19</v>
      </c>
      <c r="D589" s="20" t="str">
        <f t="shared" si="28"/>
        <v>19Struc0</v>
      </c>
      <c r="E589" s="20" t="s">
        <v>276</v>
      </c>
      <c r="F589" s="20" t="s">
        <v>502</v>
      </c>
      <c r="G589" s="20" t="str">
        <f t="shared" si="30"/>
        <v/>
      </c>
      <c r="H589" s="5" t="str">
        <f t="shared" si="29"/>
        <v/>
      </c>
    </row>
    <row r="590" spans="1:8" hidden="1" x14ac:dyDescent="0.25">
      <c r="B590" s="21">
        <v>1587</v>
      </c>
      <c r="C590" s="21" t="s">
        <v>63</v>
      </c>
      <c r="D590" s="22" t="str">
        <f t="shared" si="28"/>
        <v>19.1Struc</v>
      </c>
      <c r="E590" s="22" t="s">
        <v>317</v>
      </c>
      <c r="F590" s="22" t="s">
        <v>11</v>
      </c>
      <c r="G590" s="22" t="str">
        <f t="shared" si="30"/>
        <v/>
      </c>
      <c r="H590" s="5" t="str">
        <f t="shared" si="29"/>
        <v/>
      </c>
    </row>
    <row r="591" spans="1:8" hidden="1" x14ac:dyDescent="0.25">
      <c r="B591" s="23">
        <v>1588</v>
      </c>
      <c r="C591" s="23" t="s">
        <v>488</v>
      </c>
      <c r="D591" s="24" t="str">
        <f t="shared" si="28"/>
        <v>19.1.1Viet</v>
      </c>
      <c r="E591" s="24" t="s">
        <v>677</v>
      </c>
      <c r="F591" s="24" t="s">
        <v>3</v>
      </c>
      <c r="G591" s="24" t="str">
        <f t="shared" si="30"/>
        <v/>
      </c>
      <c r="H591" s="5" t="str">
        <f t="shared" si="29"/>
        <v/>
      </c>
    </row>
    <row r="592" spans="1:8" x14ac:dyDescent="0.25">
      <c r="A592" s="1">
        <v>173</v>
      </c>
      <c r="B592" s="27">
        <v>1589</v>
      </c>
      <c r="C592" s="27" t="s">
        <v>488</v>
      </c>
      <c r="D592" s="28" t="str">
        <f t="shared" si="28"/>
        <v>19.1.1Eng</v>
      </c>
      <c r="E592" s="28" t="s">
        <v>250</v>
      </c>
      <c r="F592" s="28" t="s">
        <v>4</v>
      </c>
      <c r="G592" s="28" t="str">
        <f t="shared" si="30"/>
        <v/>
      </c>
      <c r="H592" s="5" t="str">
        <f t="shared" si="29"/>
        <v/>
      </c>
    </row>
    <row r="593" spans="1:8" hidden="1" x14ac:dyDescent="0.25">
      <c r="B593" s="25">
        <v>1590</v>
      </c>
      <c r="C593" s="25" t="s">
        <v>488</v>
      </c>
      <c r="D593" s="26" t="str">
        <f t="shared" si="28"/>
        <v>19.1.1Phon</v>
      </c>
      <c r="E593" s="26" t="s">
        <v>866</v>
      </c>
      <c r="F593" s="26" t="s">
        <v>5</v>
      </c>
      <c r="G593" s="26" t="str">
        <f t="shared" si="30"/>
        <v/>
      </c>
      <c r="H593" s="5" t="str">
        <f t="shared" si="29"/>
        <v/>
      </c>
    </row>
    <row r="594" spans="1:8" hidden="1" x14ac:dyDescent="0.25">
      <c r="B594" s="23">
        <v>1591</v>
      </c>
      <c r="C594" s="23" t="s">
        <v>489</v>
      </c>
      <c r="D594" s="24" t="str">
        <f t="shared" si="28"/>
        <v>19.1.2Viet</v>
      </c>
      <c r="E594" s="24" t="s">
        <v>678</v>
      </c>
      <c r="F594" s="24" t="s">
        <v>3</v>
      </c>
      <c r="G594" s="24" t="str">
        <f t="shared" si="30"/>
        <v/>
      </c>
      <c r="H594" s="5" t="str">
        <f t="shared" si="29"/>
        <v/>
      </c>
    </row>
    <row r="595" spans="1:8" x14ac:dyDescent="0.25">
      <c r="A595" s="1">
        <v>174</v>
      </c>
      <c r="B595" s="27">
        <v>1592</v>
      </c>
      <c r="C595" s="27" t="s">
        <v>489</v>
      </c>
      <c r="D595" s="28" t="str">
        <f t="shared" si="28"/>
        <v>19.1.2Eng</v>
      </c>
      <c r="E595" s="28" t="s">
        <v>251</v>
      </c>
      <c r="F595" s="28" t="s">
        <v>4</v>
      </c>
      <c r="G595" s="28" t="str">
        <f t="shared" si="30"/>
        <v/>
      </c>
      <c r="H595" s="5" t="str">
        <f t="shared" si="29"/>
        <v/>
      </c>
    </row>
    <row r="596" spans="1:8" hidden="1" x14ac:dyDescent="0.25">
      <c r="B596" s="25">
        <v>1593</v>
      </c>
      <c r="C596" s="25" t="s">
        <v>489</v>
      </c>
      <c r="D596" s="26" t="str">
        <f t="shared" si="28"/>
        <v>19.1.2Phon</v>
      </c>
      <c r="E596" s="26" t="s">
        <v>867</v>
      </c>
      <c r="F596" s="26" t="s">
        <v>5</v>
      </c>
      <c r="G596" s="26" t="str">
        <f t="shared" si="30"/>
        <v/>
      </c>
      <c r="H596" s="5" t="str">
        <f t="shared" si="29"/>
        <v/>
      </c>
    </row>
    <row r="597" spans="1:8" hidden="1" x14ac:dyDescent="0.25">
      <c r="B597" s="23">
        <v>1594</v>
      </c>
      <c r="C597" s="23" t="s">
        <v>490</v>
      </c>
      <c r="D597" s="24" t="str">
        <f t="shared" si="28"/>
        <v>19.1.3Viet</v>
      </c>
      <c r="E597" s="24" t="s">
        <v>679</v>
      </c>
      <c r="F597" s="24" t="s">
        <v>3</v>
      </c>
      <c r="G597" s="24" t="str">
        <f t="shared" si="30"/>
        <v/>
      </c>
      <c r="H597" s="5" t="str">
        <f t="shared" si="29"/>
        <v/>
      </c>
    </row>
    <row r="598" spans="1:8" x14ac:dyDescent="0.25">
      <c r="A598" s="1">
        <v>175</v>
      </c>
      <c r="B598" s="27">
        <v>1595</v>
      </c>
      <c r="C598" s="27" t="s">
        <v>490</v>
      </c>
      <c r="D598" s="28" t="str">
        <f t="shared" si="28"/>
        <v>19.1.3Eng</v>
      </c>
      <c r="E598" s="28" t="s">
        <v>140</v>
      </c>
      <c r="F598" s="28" t="s">
        <v>4</v>
      </c>
      <c r="G598" s="28" t="str">
        <f t="shared" si="30"/>
        <v/>
      </c>
      <c r="H598" s="5" t="str">
        <f t="shared" si="29"/>
        <v/>
      </c>
    </row>
    <row r="599" spans="1:8" hidden="1" x14ac:dyDescent="0.25">
      <c r="B599" s="25">
        <v>1596</v>
      </c>
      <c r="C599" s="25" t="s">
        <v>490</v>
      </c>
      <c r="D599" s="26" t="str">
        <f t="shared" si="28"/>
        <v>19.1.3Phon</v>
      </c>
      <c r="E599" s="26" t="s">
        <v>868</v>
      </c>
      <c r="F599" s="26" t="s">
        <v>5</v>
      </c>
      <c r="G599" s="26" t="str">
        <f t="shared" si="30"/>
        <v/>
      </c>
      <c r="H599" s="5" t="str">
        <f t="shared" si="29"/>
        <v/>
      </c>
    </row>
    <row r="600" spans="1:8" hidden="1" x14ac:dyDescent="0.25">
      <c r="B600" s="23">
        <v>1597</v>
      </c>
      <c r="C600" s="23" t="s">
        <v>491</v>
      </c>
      <c r="D600" s="24" t="str">
        <f t="shared" si="28"/>
        <v>19.1.4Viet</v>
      </c>
      <c r="E600" s="24" t="s">
        <v>680</v>
      </c>
      <c r="F600" s="24" t="s">
        <v>3</v>
      </c>
      <c r="G600" s="24" t="str">
        <f t="shared" si="30"/>
        <v/>
      </c>
      <c r="H600" s="5" t="str">
        <f t="shared" si="29"/>
        <v/>
      </c>
    </row>
    <row r="601" spans="1:8" x14ac:dyDescent="0.25">
      <c r="A601" s="1">
        <v>176</v>
      </c>
      <c r="B601" s="27">
        <v>1598</v>
      </c>
      <c r="C601" s="27" t="s">
        <v>491</v>
      </c>
      <c r="D601" s="28" t="str">
        <f t="shared" si="28"/>
        <v>19.1.4Eng</v>
      </c>
      <c r="E601" s="28" t="s">
        <v>252</v>
      </c>
      <c r="F601" s="28" t="s">
        <v>4</v>
      </c>
      <c r="G601" s="28" t="str">
        <f t="shared" si="30"/>
        <v/>
      </c>
      <c r="H601" s="5" t="str">
        <f t="shared" si="29"/>
        <v/>
      </c>
    </row>
    <row r="602" spans="1:8" hidden="1" x14ac:dyDescent="0.25">
      <c r="B602" s="25">
        <v>1599</v>
      </c>
      <c r="C602" s="25" t="s">
        <v>491</v>
      </c>
      <c r="D602" s="26" t="str">
        <f t="shared" si="28"/>
        <v>19.1.4Phon</v>
      </c>
      <c r="E602" s="26" t="s">
        <v>869</v>
      </c>
      <c r="F602" s="26" t="s">
        <v>5</v>
      </c>
      <c r="G602" s="26" t="str">
        <f t="shared" si="30"/>
        <v/>
      </c>
      <c r="H602" s="5" t="str">
        <f t="shared" si="29"/>
        <v/>
      </c>
    </row>
    <row r="603" spans="1:8" hidden="1" x14ac:dyDescent="0.25">
      <c r="B603" s="23">
        <v>1600</v>
      </c>
      <c r="C603" s="23" t="s">
        <v>492</v>
      </c>
      <c r="D603" s="24" t="str">
        <f t="shared" si="28"/>
        <v>19.1.5Viet</v>
      </c>
      <c r="E603" s="24" t="s">
        <v>681</v>
      </c>
      <c r="F603" s="24" t="s">
        <v>3</v>
      </c>
      <c r="G603" s="24" t="str">
        <f t="shared" si="30"/>
        <v/>
      </c>
      <c r="H603" s="5" t="str">
        <f t="shared" si="29"/>
        <v/>
      </c>
    </row>
    <row r="604" spans="1:8" x14ac:dyDescent="0.25">
      <c r="A604" s="1">
        <v>177</v>
      </c>
      <c r="B604" s="27">
        <v>1601</v>
      </c>
      <c r="C604" s="27" t="s">
        <v>492</v>
      </c>
      <c r="D604" s="28" t="str">
        <f t="shared" si="28"/>
        <v>19.1.5Eng</v>
      </c>
      <c r="E604" s="28" t="s">
        <v>141</v>
      </c>
      <c r="F604" s="28" t="s">
        <v>4</v>
      </c>
      <c r="G604" s="28" t="str">
        <f t="shared" si="30"/>
        <v/>
      </c>
      <c r="H604" s="5" t="str">
        <f t="shared" si="29"/>
        <v/>
      </c>
    </row>
    <row r="605" spans="1:8" hidden="1" x14ac:dyDescent="0.25">
      <c r="B605" s="25">
        <v>1602</v>
      </c>
      <c r="C605" s="25" t="s">
        <v>492</v>
      </c>
      <c r="D605" s="26" t="str">
        <f t="shared" si="28"/>
        <v>19.1.5Phon</v>
      </c>
      <c r="E605" s="26" t="s">
        <v>870</v>
      </c>
      <c r="F605" s="26" t="s">
        <v>5</v>
      </c>
      <c r="G605" s="26" t="str">
        <f t="shared" si="30"/>
        <v/>
      </c>
      <c r="H605" s="5" t="str">
        <f t="shared" si="29"/>
        <v/>
      </c>
    </row>
    <row r="606" spans="1:8" hidden="1" x14ac:dyDescent="0.25">
      <c r="B606" s="21">
        <v>1603</v>
      </c>
      <c r="C606" s="21" t="s">
        <v>64</v>
      </c>
      <c r="D606" s="22" t="str">
        <f t="shared" si="28"/>
        <v>19.2Struc</v>
      </c>
      <c r="E606" s="22" t="s">
        <v>318</v>
      </c>
      <c r="F606" s="22" t="s">
        <v>11</v>
      </c>
      <c r="G606" s="22" t="str">
        <f t="shared" si="30"/>
        <v/>
      </c>
      <c r="H606" s="5" t="str">
        <f t="shared" si="29"/>
        <v/>
      </c>
    </row>
    <row r="607" spans="1:8" hidden="1" x14ac:dyDescent="0.25">
      <c r="B607" s="23">
        <v>1604</v>
      </c>
      <c r="C607" s="23" t="s">
        <v>493</v>
      </c>
      <c r="D607" s="24" t="str">
        <f t="shared" si="28"/>
        <v>19.2.1Viet</v>
      </c>
      <c r="E607" s="24" t="s">
        <v>682</v>
      </c>
      <c r="F607" s="24" t="s">
        <v>3</v>
      </c>
      <c r="G607" s="24" t="str">
        <f t="shared" si="30"/>
        <v/>
      </c>
      <c r="H607" s="5" t="str">
        <f t="shared" si="29"/>
        <v/>
      </c>
    </row>
    <row r="608" spans="1:8" x14ac:dyDescent="0.25">
      <c r="A608" s="1">
        <v>178</v>
      </c>
      <c r="B608" s="27">
        <v>1605</v>
      </c>
      <c r="C608" s="27" t="s">
        <v>493</v>
      </c>
      <c r="D608" s="28" t="str">
        <f t="shared" si="28"/>
        <v>19.2.1Eng</v>
      </c>
      <c r="E608" s="28" t="s">
        <v>253</v>
      </c>
      <c r="F608" s="28" t="s">
        <v>4</v>
      </c>
      <c r="G608" s="28" t="str">
        <f t="shared" si="30"/>
        <v/>
      </c>
      <c r="H608" s="5" t="str">
        <f t="shared" si="29"/>
        <v/>
      </c>
    </row>
    <row r="609" spans="1:8" hidden="1" x14ac:dyDescent="0.25">
      <c r="B609" s="25">
        <v>1606</v>
      </c>
      <c r="C609" s="25" t="s">
        <v>493</v>
      </c>
      <c r="D609" s="26" t="str">
        <f t="shared" si="28"/>
        <v>19.2.1Phon</v>
      </c>
      <c r="E609" s="26" t="s">
        <v>871</v>
      </c>
      <c r="F609" s="26" t="s">
        <v>5</v>
      </c>
      <c r="G609" s="26" t="str">
        <f t="shared" si="30"/>
        <v/>
      </c>
      <c r="H609" s="5" t="str">
        <f t="shared" si="29"/>
        <v/>
      </c>
    </row>
    <row r="610" spans="1:8" hidden="1" x14ac:dyDescent="0.25">
      <c r="B610" s="23">
        <v>1607</v>
      </c>
      <c r="C610" s="23" t="s">
        <v>494</v>
      </c>
      <c r="D610" s="24" t="str">
        <f t="shared" si="28"/>
        <v>19.2.2Viet</v>
      </c>
      <c r="E610" s="24" t="s">
        <v>683</v>
      </c>
      <c r="F610" s="24" t="s">
        <v>3</v>
      </c>
      <c r="G610" s="24" t="str">
        <f t="shared" si="30"/>
        <v/>
      </c>
      <c r="H610" s="5" t="str">
        <f t="shared" si="29"/>
        <v/>
      </c>
    </row>
    <row r="611" spans="1:8" x14ac:dyDescent="0.25">
      <c r="A611" s="1">
        <v>179</v>
      </c>
      <c r="B611" s="27">
        <v>1608</v>
      </c>
      <c r="C611" s="27" t="s">
        <v>494</v>
      </c>
      <c r="D611" s="28" t="str">
        <f t="shared" si="28"/>
        <v>19.2.2Eng</v>
      </c>
      <c r="E611" s="28" t="s">
        <v>254</v>
      </c>
      <c r="F611" s="28" t="s">
        <v>4</v>
      </c>
      <c r="G611" s="28" t="str">
        <f t="shared" si="30"/>
        <v/>
      </c>
      <c r="H611" s="5" t="str">
        <f t="shared" si="29"/>
        <v/>
      </c>
    </row>
    <row r="612" spans="1:8" hidden="1" x14ac:dyDescent="0.25">
      <c r="B612" s="25">
        <v>1609</v>
      </c>
      <c r="C612" s="25" t="s">
        <v>494</v>
      </c>
      <c r="D612" s="26" t="str">
        <f t="shared" si="28"/>
        <v>19.2.2Phon</v>
      </c>
      <c r="E612" s="26" t="s">
        <v>872</v>
      </c>
      <c r="F612" s="26" t="s">
        <v>5</v>
      </c>
      <c r="G612" s="26" t="str">
        <f t="shared" si="30"/>
        <v/>
      </c>
      <c r="H612" s="5" t="str">
        <f t="shared" si="29"/>
        <v/>
      </c>
    </row>
    <row r="613" spans="1:8" hidden="1" x14ac:dyDescent="0.25">
      <c r="B613" s="23">
        <v>1610</v>
      </c>
      <c r="C613" s="23" t="s">
        <v>495</v>
      </c>
      <c r="D613" s="24" t="str">
        <f t="shared" si="28"/>
        <v>19.2.3Viet</v>
      </c>
      <c r="E613" s="24" t="s">
        <v>684</v>
      </c>
      <c r="F613" s="24" t="s">
        <v>3</v>
      </c>
      <c r="G613" s="24" t="str">
        <f t="shared" si="30"/>
        <v/>
      </c>
      <c r="H613" s="5" t="str">
        <f t="shared" si="29"/>
        <v/>
      </c>
    </row>
    <row r="614" spans="1:8" x14ac:dyDescent="0.25">
      <c r="A614" s="1">
        <v>180</v>
      </c>
      <c r="B614" s="27">
        <v>1611</v>
      </c>
      <c r="C614" s="27" t="s">
        <v>495</v>
      </c>
      <c r="D614" s="28" t="str">
        <f t="shared" si="28"/>
        <v>19.2.3Eng</v>
      </c>
      <c r="E614" s="28" t="s">
        <v>255</v>
      </c>
      <c r="F614" s="28" t="s">
        <v>4</v>
      </c>
      <c r="G614" s="28" t="str">
        <f t="shared" si="30"/>
        <v/>
      </c>
      <c r="H614" s="5" t="str">
        <f t="shared" si="29"/>
        <v/>
      </c>
    </row>
    <row r="615" spans="1:8" hidden="1" x14ac:dyDescent="0.25">
      <c r="B615" s="25">
        <v>1612</v>
      </c>
      <c r="C615" s="25" t="s">
        <v>495</v>
      </c>
      <c r="D615" s="26" t="str">
        <f t="shared" si="28"/>
        <v>19.2.3Phon</v>
      </c>
      <c r="E615" s="26" t="s">
        <v>873</v>
      </c>
      <c r="F615" s="26" t="s">
        <v>5</v>
      </c>
      <c r="G615" s="26" t="str">
        <f t="shared" si="30"/>
        <v/>
      </c>
      <c r="H615" s="5" t="str">
        <f t="shared" si="29"/>
        <v/>
      </c>
    </row>
    <row r="616" spans="1:8" hidden="1" x14ac:dyDescent="0.25">
      <c r="B616" s="23">
        <v>1613</v>
      </c>
      <c r="C616" s="23" t="s">
        <v>496</v>
      </c>
      <c r="D616" s="24" t="str">
        <f t="shared" si="28"/>
        <v>19.2.4Viet</v>
      </c>
      <c r="E616" s="24" t="s">
        <v>685</v>
      </c>
      <c r="F616" s="24" t="s">
        <v>3</v>
      </c>
      <c r="G616" s="24" t="str">
        <f t="shared" si="30"/>
        <v/>
      </c>
      <c r="H616" s="5" t="str">
        <f t="shared" si="29"/>
        <v/>
      </c>
    </row>
    <row r="617" spans="1:8" x14ac:dyDescent="0.25">
      <c r="A617" s="1">
        <v>181</v>
      </c>
      <c r="B617" s="27">
        <v>1614</v>
      </c>
      <c r="C617" s="27" t="s">
        <v>496</v>
      </c>
      <c r="D617" s="28" t="str">
        <f t="shared" si="28"/>
        <v>19.2.4Eng</v>
      </c>
      <c r="E617" s="28" t="s">
        <v>256</v>
      </c>
      <c r="F617" s="28" t="s">
        <v>4</v>
      </c>
      <c r="G617" s="28" t="str">
        <f t="shared" si="30"/>
        <v/>
      </c>
      <c r="H617" s="5" t="str">
        <f t="shared" si="29"/>
        <v/>
      </c>
    </row>
    <row r="618" spans="1:8" hidden="1" x14ac:dyDescent="0.25">
      <c r="B618" s="25">
        <v>1615</v>
      </c>
      <c r="C618" s="25" t="s">
        <v>496</v>
      </c>
      <c r="D618" s="26" t="str">
        <f t="shared" si="28"/>
        <v>19.2.4Phon</v>
      </c>
      <c r="E618" s="26" t="s">
        <v>874</v>
      </c>
      <c r="F618" s="26" t="s">
        <v>5</v>
      </c>
      <c r="G618" s="26" t="str">
        <f t="shared" si="30"/>
        <v/>
      </c>
      <c r="H618" s="5" t="str">
        <f t="shared" si="29"/>
        <v/>
      </c>
    </row>
    <row r="619" spans="1:8" hidden="1" x14ac:dyDescent="0.25">
      <c r="B619" s="21">
        <v>1616</v>
      </c>
      <c r="C619" s="21" t="s">
        <v>65</v>
      </c>
      <c r="D619" s="22" t="str">
        <f t="shared" si="28"/>
        <v>19.3Struc</v>
      </c>
      <c r="E619" s="22" t="s">
        <v>142</v>
      </c>
      <c r="F619" s="22" t="s">
        <v>11</v>
      </c>
      <c r="G619" s="22" t="str">
        <f t="shared" si="30"/>
        <v/>
      </c>
      <c r="H619" s="5" t="str">
        <f t="shared" si="29"/>
        <v/>
      </c>
    </row>
    <row r="620" spans="1:8" hidden="1" x14ac:dyDescent="0.25">
      <c r="B620" s="23">
        <v>1617</v>
      </c>
      <c r="C620" s="23" t="s">
        <v>497</v>
      </c>
      <c r="D620" s="24" t="str">
        <f t="shared" si="28"/>
        <v>19.3.1Viet</v>
      </c>
      <c r="E620" s="24" t="s">
        <v>686</v>
      </c>
      <c r="F620" s="24" t="s">
        <v>3</v>
      </c>
      <c r="G620" s="24" t="str">
        <f t="shared" si="30"/>
        <v/>
      </c>
      <c r="H620" s="5" t="str">
        <f t="shared" si="29"/>
        <v/>
      </c>
    </row>
    <row r="621" spans="1:8" x14ac:dyDescent="0.25">
      <c r="A621" s="1">
        <v>182</v>
      </c>
      <c r="B621" s="27">
        <v>1618</v>
      </c>
      <c r="C621" s="27" t="s">
        <v>497</v>
      </c>
      <c r="D621" s="28" t="str">
        <f t="shared" si="28"/>
        <v>19.3.1Eng</v>
      </c>
      <c r="E621" s="28" t="s">
        <v>257</v>
      </c>
      <c r="F621" s="28" t="s">
        <v>4</v>
      </c>
      <c r="G621" s="28" t="str">
        <f t="shared" si="30"/>
        <v/>
      </c>
      <c r="H621" s="5" t="str">
        <f t="shared" si="29"/>
        <v/>
      </c>
    </row>
    <row r="622" spans="1:8" hidden="1" x14ac:dyDescent="0.25">
      <c r="B622" s="25">
        <v>1619</v>
      </c>
      <c r="C622" s="25" t="s">
        <v>497</v>
      </c>
      <c r="D622" s="26" t="str">
        <f t="shared" si="28"/>
        <v>19.3.1Phon</v>
      </c>
      <c r="E622" s="26" t="s">
        <v>875</v>
      </c>
      <c r="F622" s="26" t="s">
        <v>5</v>
      </c>
      <c r="G622" s="26" t="str">
        <f t="shared" si="30"/>
        <v/>
      </c>
      <c r="H622" s="5" t="str">
        <f t="shared" si="29"/>
        <v/>
      </c>
    </row>
    <row r="623" spans="1:8" hidden="1" x14ac:dyDescent="0.25">
      <c r="B623" s="23">
        <v>1620</v>
      </c>
      <c r="C623" s="23" t="s">
        <v>498</v>
      </c>
      <c r="D623" s="24" t="str">
        <f t="shared" si="28"/>
        <v>19.3.2Viet</v>
      </c>
      <c r="E623" s="24" t="s">
        <v>687</v>
      </c>
      <c r="F623" s="24" t="s">
        <v>3</v>
      </c>
      <c r="G623" s="24" t="str">
        <f t="shared" si="30"/>
        <v/>
      </c>
      <c r="H623" s="5" t="str">
        <f t="shared" si="29"/>
        <v/>
      </c>
    </row>
    <row r="624" spans="1:8" x14ac:dyDescent="0.25">
      <c r="A624" s="1">
        <v>183</v>
      </c>
      <c r="B624" s="27">
        <v>1621</v>
      </c>
      <c r="C624" s="27" t="s">
        <v>498</v>
      </c>
      <c r="D624" s="28" t="str">
        <f t="shared" si="28"/>
        <v>19.3.2Eng</v>
      </c>
      <c r="E624" s="28" t="s">
        <v>258</v>
      </c>
      <c r="F624" s="28" t="s">
        <v>4</v>
      </c>
      <c r="G624" s="28" t="str">
        <f t="shared" si="30"/>
        <v/>
      </c>
      <c r="H624" s="5" t="str">
        <f t="shared" si="29"/>
        <v/>
      </c>
    </row>
    <row r="625" spans="1:8" hidden="1" x14ac:dyDescent="0.25">
      <c r="B625" s="25">
        <v>1622</v>
      </c>
      <c r="C625" s="25" t="s">
        <v>498</v>
      </c>
      <c r="D625" s="26" t="str">
        <f t="shared" si="28"/>
        <v>19.3.2Phon</v>
      </c>
      <c r="E625" s="26" t="s">
        <v>876</v>
      </c>
      <c r="F625" s="26" t="s">
        <v>5</v>
      </c>
      <c r="G625" s="26" t="str">
        <f t="shared" si="30"/>
        <v/>
      </c>
      <c r="H625" s="5" t="str">
        <f t="shared" si="29"/>
        <v/>
      </c>
    </row>
    <row r="626" spans="1:8" hidden="1" x14ac:dyDescent="0.25">
      <c r="B626" s="23">
        <v>1623</v>
      </c>
      <c r="C626" s="23" t="s">
        <v>499</v>
      </c>
      <c r="D626" s="24" t="str">
        <f t="shared" si="28"/>
        <v>19.3.3Viet</v>
      </c>
      <c r="E626" s="24" t="s">
        <v>688</v>
      </c>
      <c r="F626" s="24" t="s">
        <v>3</v>
      </c>
      <c r="G626" s="24" t="str">
        <f t="shared" si="30"/>
        <v/>
      </c>
      <c r="H626" s="5" t="str">
        <f t="shared" si="29"/>
        <v/>
      </c>
    </row>
    <row r="627" spans="1:8" x14ac:dyDescent="0.25">
      <c r="A627" s="1">
        <v>184</v>
      </c>
      <c r="B627" s="27">
        <v>1624</v>
      </c>
      <c r="C627" s="27" t="s">
        <v>499</v>
      </c>
      <c r="D627" s="28" t="str">
        <f t="shared" si="28"/>
        <v>19.3.3Eng</v>
      </c>
      <c r="E627" s="28" t="s">
        <v>143</v>
      </c>
      <c r="F627" s="28" t="s">
        <v>4</v>
      </c>
      <c r="G627" s="28" t="str">
        <f t="shared" si="30"/>
        <v/>
      </c>
      <c r="H627" s="5" t="str">
        <f t="shared" si="29"/>
        <v/>
      </c>
    </row>
    <row r="628" spans="1:8" hidden="1" x14ac:dyDescent="0.25">
      <c r="B628" s="25">
        <v>1625</v>
      </c>
      <c r="C628" s="25" t="s">
        <v>499</v>
      </c>
      <c r="D628" s="26" t="str">
        <f t="shared" si="28"/>
        <v>19.3.3Phon</v>
      </c>
      <c r="E628" s="26" t="s">
        <v>877</v>
      </c>
      <c r="F628" s="26" t="s">
        <v>5</v>
      </c>
      <c r="G628" s="26" t="str">
        <f t="shared" si="30"/>
        <v/>
      </c>
      <c r="H628" s="5" t="str">
        <f t="shared" si="29"/>
        <v/>
      </c>
    </row>
    <row r="629" spans="1:8" hidden="1" x14ac:dyDescent="0.25">
      <c r="B629" s="23">
        <v>1626</v>
      </c>
      <c r="C629" s="23" t="s">
        <v>500</v>
      </c>
      <c r="D629" s="24" t="str">
        <f t="shared" si="28"/>
        <v>19.3.4Viet</v>
      </c>
      <c r="E629" s="24" t="s">
        <v>689</v>
      </c>
      <c r="F629" s="24" t="s">
        <v>3</v>
      </c>
      <c r="G629" s="24" t="str">
        <f t="shared" si="30"/>
        <v/>
      </c>
      <c r="H629" s="5" t="str">
        <f t="shared" si="29"/>
        <v/>
      </c>
    </row>
    <row r="630" spans="1:8" x14ac:dyDescent="0.25">
      <c r="A630" s="1">
        <v>185</v>
      </c>
      <c r="B630" s="27">
        <v>1627</v>
      </c>
      <c r="C630" s="27" t="s">
        <v>500</v>
      </c>
      <c r="D630" s="28" t="str">
        <f t="shared" si="28"/>
        <v>19.3.4Eng</v>
      </c>
      <c r="E630" s="28" t="s">
        <v>144</v>
      </c>
      <c r="F630" s="28" t="s">
        <v>4</v>
      </c>
      <c r="G630" s="28" t="str">
        <f t="shared" si="30"/>
        <v/>
      </c>
      <c r="H630" s="5" t="str">
        <f t="shared" si="29"/>
        <v/>
      </c>
    </row>
    <row r="631" spans="1:8" hidden="1" x14ac:dyDescent="0.25">
      <c r="B631" s="25">
        <v>1628</v>
      </c>
      <c r="C631" s="25" t="s">
        <v>500</v>
      </c>
      <c r="D631" s="26" t="str">
        <f t="shared" si="28"/>
        <v>19.3.4Phon</v>
      </c>
      <c r="E631" s="26" t="s">
        <v>878</v>
      </c>
      <c r="F631" s="26" t="s">
        <v>5</v>
      </c>
      <c r="G631" s="26" t="str">
        <f t="shared" si="30"/>
        <v/>
      </c>
      <c r="H631" s="5" t="str">
        <f t="shared" si="29"/>
        <v/>
      </c>
    </row>
    <row r="632" spans="1:8" hidden="1" x14ac:dyDescent="0.25">
      <c r="B632" s="23">
        <v>1629</v>
      </c>
      <c r="C632" s="23" t="s">
        <v>501</v>
      </c>
      <c r="D632" s="24" t="str">
        <f t="shared" si="28"/>
        <v>19.3.5Viet</v>
      </c>
      <c r="E632" s="24" t="s">
        <v>690</v>
      </c>
      <c r="F632" s="24" t="s">
        <v>3</v>
      </c>
      <c r="G632" s="24" t="str">
        <f t="shared" si="30"/>
        <v/>
      </c>
      <c r="H632" s="5" t="str">
        <f t="shared" si="29"/>
        <v/>
      </c>
    </row>
    <row r="633" spans="1:8" x14ac:dyDescent="0.25">
      <c r="A633" s="1">
        <v>186</v>
      </c>
      <c r="B633" s="27">
        <v>1630</v>
      </c>
      <c r="C633" s="27" t="s">
        <v>501</v>
      </c>
      <c r="D633" s="28" t="str">
        <f t="shared" si="28"/>
        <v>19.3.5Eng</v>
      </c>
      <c r="E633" s="28" t="s">
        <v>145</v>
      </c>
      <c r="F633" s="28" t="s">
        <v>4</v>
      </c>
      <c r="G633" s="28" t="str">
        <f t="shared" si="30"/>
        <v/>
      </c>
      <c r="H633" s="5" t="str">
        <f t="shared" si="29"/>
        <v/>
      </c>
    </row>
    <row r="634" spans="1:8" hidden="1" x14ac:dyDescent="0.25">
      <c r="B634" s="25">
        <v>1631</v>
      </c>
      <c r="C634" s="25" t="s">
        <v>501</v>
      </c>
      <c r="D634" s="26" t="str">
        <f t="shared" si="28"/>
        <v>19.3.5Phon</v>
      </c>
      <c r="E634" s="26" t="s">
        <v>879</v>
      </c>
      <c r="F634" s="26" t="s">
        <v>5</v>
      </c>
      <c r="G634" s="26" t="str">
        <f t="shared" si="30"/>
        <v/>
      </c>
      <c r="H634" s="5" t="str">
        <f t="shared" si="29"/>
        <v/>
      </c>
    </row>
  </sheetData>
  <autoFilter ref="A3:J634" xr:uid="{409C9D1B-A452-401C-9733-8750E50DAAFC}">
    <filterColumn colId="5">
      <filters>
        <filter val="Eng"/>
      </filters>
    </filterColumn>
  </autoFilter>
  <conditionalFormatting sqref="J1:J1048576">
    <cfRule type="duplicateValues" dxfId="5" priority="4"/>
  </conditionalFormatting>
  <conditionalFormatting sqref="I8:I250">
    <cfRule type="duplicateValues" dxfId="4" priority="5"/>
  </conditionalFormatting>
  <conditionalFormatting sqref="A251 A3:A6 A1 A8 A11 A14 A18 A21 A24 A28 A31 A34 A37 A41 A44 A54 A57 A64 A67 A77 A80 A83 A86 A90 A93 A96 A103 A106 A116 A119 A123 A126 A129 A132 A136 A139 A142 A145 A148 A158 A161 A169 A172 A175 A179 A182 A185 A189 A192 A195 A199 A202 A205 A209 A213 A217 A219 A229 A239 A242 A245 A248 A253:A255 A257:A258 A260:A261 A263:A265 A267:A268 A270:A271 A273:A276 A278:A279 A281:A282 A284:A286 A288:A289 A291:A292 A294:A296 A298:A299 A301:A302 A304:A307 A309:A310 A312:A313 A315:A316 A318:A320 A322:A323 A325:A326 A328:A330 A332:A333 A335:A336 A338:A341 A343:A344 A346:A347 A349:A351 A353:A354 A356:A357 A359:A360 A362:A364 A366:A367 A369:A370 A372:A375 A377:A378 A380:A381 A383:A385 A387:A388 A390:A391 A393:A395 A397:A398 A400:A401 A403:A406 A408:A409 A411:A412 A414:A416 A418:A419 A421:A422 A424:A425 A427:A429 A431:A432 A434:A435 A437:A438 A440:A443 A445:A446 A448:A449 A451:A452 A454:A456 A458:A459 A461:A462 A464:A466 A468:A469 A471:A472 A474:A477 A479:A480 A482:A483 A485:A486 A488:A490 A492:A493 A495:A496 A498:A499 A501:A503 A505:A506 A508:A509 A511:A512 A514:A517 A519:A520 A522:A523 A525:A526 A528:A530 A532:A533 A535:A536 A538:A540 A542:A543 A545:A546 A548:A551 A553:A554 A556:A557 A559:A560 A562:A564 A566:A567 A569:A570 A572:A573 A575:A577 A579:A580 A582:A583 A585:A586 A588:A591 A593:A594 A596:A597 A599:A600 A602:A603 A605:A607 A609:A610 A612:A613 A615:A616 A618:A620 A622:A623 A625:A626 A628:A629 A631:A632 A634:A1048576">
    <cfRule type="duplicateValues" dxfId="3" priority="2"/>
  </conditionalFormatting>
  <conditionalFormatting sqref="A7 A78:A79 A146:A147 A240:A241 A9:A10 A12:A13 A15:A17 A19:A20 A22:A23 A25:A27 A29:A30 A32:A33 A35:A36 A38:A40 A42:A43 A45:A53 A55:A56 A58:A63 A65:A66 A68:A76 A81:A82 A84:A85 A87:A89 A91:A92 A94:A95 A97:A102 A104:A105 A107:A115 A117:A118 A120:A122 A124:A125 A127:A128 A130:A131 A133:A135 A137:A138 A140:A141 A143:A144 A149:A157 A159:A160 A162:A168 A170:A171 A173:A174 A176:A178 A180:A181 A183:A184 A186:A188 A190:A191 A193:A194 A196:A198 A200:A201 A203:A204 A206:A208 A210:A212 A214:A216 A218 A220:A228 A230:A238 A243:A244 A246:A247 A249:A250 A252 A256 A259 A262 A266 A269 A272 A277 A280 A283 A287 A290 A293 A297 A300 A303 A308 A311 A314 A317 A321 A324 A327 A331 A334 A337 A342 A345 A348 A352 A355 A358 A361 A365 A368 A371 A376 A379 A382 A386 A389 A392 A396 A399 A402 A407 A410 A413 A417 A420 A423 A426 A430 A433 A436 A439 A444 A447 A450 A453 A457 A460 A463 A467 A470 A473 A478 A481 A484 A487 A491 A494 A497 A500 A504 A507 A510 A513 A518 A521 A524 A527 A531 A534 A537 A541 A544 A547 A552 A555 A558 A561 A565 A568 A571 A574 A578 A581 A584 A587 A592 A595 A598 A601 A604 A608 A611 A614 A617 A621 A624 A627 A630 A633">
    <cfRule type="duplicateValues" dxfId="2" priority="3"/>
  </conditionalFormatting>
  <conditionalFormatting sqref="I251:I1048576 I1:I5 I7">
    <cfRule type="duplicateValues" dxfId="1" priority="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0291B-7D61-4F66-87A2-BCE4B8C6F943}">
  <dimension ref="B2:E9"/>
  <sheetViews>
    <sheetView tabSelected="1" workbookViewId="0">
      <selection activeCell="C9" sqref="C9"/>
    </sheetView>
  </sheetViews>
  <sheetFormatPr defaultRowHeight="13.8" x14ac:dyDescent="0.25"/>
  <cols>
    <col min="2" max="2" width="12.19921875" style="1" bestFit="1" customWidth="1"/>
    <col min="3" max="3" width="75.8984375" bestFit="1" customWidth="1"/>
    <col min="5" max="5" width="74.296875" bestFit="1" customWidth="1"/>
  </cols>
  <sheetData>
    <row r="2" spans="2:5" x14ac:dyDescent="0.25">
      <c r="B2" s="2" t="s">
        <v>0</v>
      </c>
      <c r="C2" s="6" t="s">
        <v>9</v>
      </c>
      <c r="D2" s="1" t="s">
        <v>8</v>
      </c>
      <c r="E2" s="3" t="s">
        <v>10</v>
      </c>
    </row>
    <row r="3" spans="2:5" x14ac:dyDescent="0.25">
      <c r="B3" s="9" t="s">
        <v>909</v>
      </c>
      <c r="C3" s="7" t="str">
        <f>IF(D3="","","https://docs.google.com/uc?export=download&amp;id="&amp;D3)</f>
        <v>https://docs.google.com/uc?export=download&amp;id=1WlhJy02xnijddD6N5koDbDTVZ9DK7Pim</v>
      </c>
      <c r="D3" s="8" t="str">
        <f t="shared" ref="D3:D6" si="0">IFERROR(LEFT(RIGHT(E3,LEN(E3)-32),LEN(RIGHT(E3,LEN(E3)-32))-17),"")</f>
        <v>1WlhJy02xnijddD6N5koDbDTVZ9DK7Pim</v>
      </c>
      <c r="E3" s="8" t="s">
        <v>915</v>
      </c>
    </row>
    <row r="4" spans="2:5" x14ac:dyDescent="0.25">
      <c r="B4" s="9" t="s">
        <v>910</v>
      </c>
      <c r="C4" s="7" t="str">
        <f t="shared" ref="C4:C6" si="1">IF(D4="","","https://docs.google.com/uc?export=download&amp;id="&amp;D4)</f>
        <v>https://docs.google.com/uc?export=download&amp;id=1izmrYLQ5y8-Yg_iuxc2cfxPP3WCabhgI</v>
      </c>
      <c r="D4" s="8" t="str">
        <f t="shared" si="0"/>
        <v>1izmrYLQ5y8-Yg_iuxc2cfxPP3WCabhgI</v>
      </c>
      <c r="E4" s="8" t="s">
        <v>916</v>
      </c>
    </row>
    <row r="5" spans="2:5" x14ac:dyDescent="0.25">
      <c r="B5" s="9" t="s">
        <v>911</v>
      </c>
      <c r="C5" s="7" t="str">
        <f t="shared" si="1"/>
        <v>https://docs.google.com/uc?export=download&amp;id=1bad3ljMqU25cudXPEEEpDi0NGJH4dHoY</v>
      </c>
      <c r="D5" s="8" t="str">
        <f t="shared" si="0"/>
        <v>1bad3ljMqU25cudXPEEEpDi0NGJH4dHoY</v>
      </c>
      <c r="E5" s="8" t="s">
        <v>917</v>
      </c>
    </row>
    <row r="6" spans="2:5" x14ac:dyDescent="0.25">
      <c r="B6" s="9" t="s">
        <v>912</v>
      </c>
      <c r="C6" s="7" t="str">
        <f t="shared" si="1"/>
        <v>https://docs.google.com/uc?export=download&amp;id=1qIcvRICDzWjgJhXewvFVlDrS4UYH3CMm</v>
      </c>
      <c r="D6" s="8" t="str">
        <f t="shared" si="0"/>
        <v>1qIcvRICDzWjgJhXewvFVlDrS4UYH3CMm</v>
      </c>
      <c r="E6" s="8" t="s">
        <v>918</v>
      </c>
    </row>
    <row r="7" spans="2:5" x14ac:dyDescent="0.25">
      <c r="B7" s="9" t="s">
        <v>913</v>
      </c>
      <c r="C7" s="7" t="str">
        <f t="shared" ref="C7:C8" si="2">IF(D7="","","https://docs.google.com/uc?export=download&amp;id="&amp;D7)</f>
        <v>https://docs.google.com/uc?export=download&amp;id=1N4roV4yHCjVyCJiZpJEFJj4jBdJ5HZ-V</v>
      </c>
      <c r="D7" s="8" t="str">
        <f t="shared" ref="D7:D9" si="3">IFERROR(LEFT(RIGHT(E7,LEN(E7)-32),LEN(RIGHT(E7,LEN(E7)-32))-17),"")</f>
        <v>1N4roV4yHCjVyCJiZpJEFJj4jBdJ5HZ-V</v>
      </c>
      <c r="E7" s="8" t="s">
        <v>919</v>
      </c>
    </row>
    <row r="8" spans="2:5" x14ac:dyDescent="0.25">
      <c r="B8" s="9" t="s">
        <v>880</v>
      </c>
      <c r="C8" s="7" t="str">
        <f t="shared" si="2"/>
        <v>https://docs.google.com/uc?export=download&amp;id=1N80QBg7OQeIG0WLaO-ifS4SgW4XBoBQS</v>
      </c>
      <c r="D8" s="8" t="str">
        <f t="shared" si="3"/>
        <v>1N80QBg7OQeIG0WLaO-ifS4SgW4XBoBQS</v>
      </c>
      <c r="E8" s="8" t="s">
        <v>920</v>
      </c>
    </row>
    <row r="9" spans="2:5" x14ac:dyDescent="0.25">
      <c r="B9" s="9" t="s">
        <v>929</v>
      </c>
      <c r="C9" s="7" t="str">
        <f t="shared" ref="C9" si="4">IF(D9="","","https://docs.google.com/uc?export=download&amp;id="&amp;D9)</f>
        <v>https://docs.google.com/uc?export=download&amp;id=1KWi178kmcCSx14Bq34wTXven07Y7-pws</v>
      </c>
      <c r="D9" s="8" t="str">
        <f t="shared" si="3"/>
        <v>1KWi178kmcCSx14Bq34wTXven07Y7-pws</v>
      </c>
      <c r="E9" t="s">
        <v>928</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1D948-479B-4B09-9139-09BEE512E2E7}">
  <dimension ref="B2:E4"/>
  <sheetViews>
    <sheetView workbookViewId="0">
      <selection activeCell="C12" sqref="C12"/>
    </sheetView>
  </sheetViews>
  <sheetFormatPr defaultRowHeight="13.8" x14ac:dyDescent="0.25"/>
  <cols>
    <col min="2" max="2" width="11.3984375" bestFit="1" customWidth="1"/>
    <col min="3" max="3" width="75.69921875" bestFit="1" customWidth="1"/>
    <col min="5" max="5" width="74.796875" bestFit="1" customWidth="1"/>
  </cols>
  <sheetData>
    <row r="2" spans="2:5" x14ac:dyDescent="0.25">
      <c r="B2" s="2" t="s">
        <v>0</v>
      </c>
      <c r="C2" s="6" t="s">
        <v>9</v>
      </c>
      <c r="D2" s="1" t="s">
        <v>8</v>
      </c>
      <c r="E2" s="3" t="s">
        <v>10</v>
      </c>
    </row>
    <row r="3" spans="2:5" x14ac:dyDescent="0.25">
      <c r="B3" s="9" t="s">
        <v>67</v>
      </c>
      <c r="C3" s="7" t="str">
        <f>IF(D3="","","https://docs.google.com/uc?export=download&amp;id="&amp;D3)</f>
        <v/>
      </c>
      <c r="D3" s="8" t="str">
        <f t="shared" ref="D3" si="0">IFERROR(LEFT(RIGHT(E3,LEN(E3)-32),LEN(RIGHT(E3,LEN(E3)-32))-17),"")</f>
        <v/>
      </c>
      <c r="E3" s="8"/>
    </row>
    <row r="4" spans="2:5" x14ac:dyDescent="0.25">
      <c r="B4" s="9" t="s">
        <v>66</v>
      </c>
      <c r="C4" s="7" t="str">
        <f>IF(D4="","","https://docs.google.com/uc?export=download&amp;id="&amp;D4)</f>
        <v/>
      </c>
      <c r="D4" s="8" t="str">
        <f t="shared" ref="D4" si="1">IFERROR(LEFT(RIGHT(E4,LEN(E4)-32),LEN(RIGHT(E4,LEN(E4)-32))-17),"")</f>
        <v/>
      </c>
      <c r="E4"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055BF-F702-4B6A-BC96-7718E75F032C}">
  <dimension ref="A1:J359"/>
  <sheetViews>
    <sheetView topLeftCell="C4" zoomScale="86" zoomScaleNormal="86" workbookViewId="0">
      <selection activeCell="F20" sqref="F19:F20"/>
    </sheetView>
  </sheetViews>
  <sheetFormatPr defaultRowHeight="13.8" x14ac:dyDescent="0.25"/>
  <cols>
    <col min="1" max="1" width="4.796875" hidden="1" customWidth="1"/>
    <col min="2" max="2" width="6.796875" hidden="1" customWidth="1"/>
    <col min="3" max="3" width="7.09765625" style="1" customWidth="1"/>
    <col min="4" max="4" width="7.09765625" customWidth="1"/>
    <col min="5" max="5" width="43.19921875" customWidth="1"/>
    <col min="6" max="6" width="40.5" customWidth="1"/>
  </cols>
  <sheetData>
    <row r="1" spans="1:10" ht="17.399999999999999" customHeight="1" x14ac:dyDescent="0.25">
      <c r="B1" t="s">
        <v>6</v>
      </c>
      <c r="C1" s="13">
        <v>1</v>
      </c>
      <c r="D1" s="3"/>
    </row>
    <row r="2" spans="1:10" x14ac:dyDescent="0.25">
      <c r="B2" t="s">
        <v>7</v>
      </c>
      <c r="C2" s="13">
        <v>186</v>
      </c>
      <c r="D2" s="3"/>
    </row>
    <row r="3" spans="1:10" x14ac:dyDescent="0.25">
      <c r="C3" s="14" t="s">
        <v>1</v>
      </c>
      <c r="D3" s="4" t="s">
        <v>1</v>
      </c>
      <c r="E3" s="4" t="s">
        <v>3</v>
      </c>
      <c r="F3" s="4" t="s">
        <v>4</v>
      </c>
    </row>
    <row r="4" spans="1:10" x14ac:dyDescent="0.25">
      <c r="A4">
        <f>C1</f>
        <v>1</v>
      </c>
      <c r="B4">
        <f t="shared" ref="B4:B67" ca="1" si="0">IF(A4="","",RANDBETWEEN($C$1,$C$2))</f>
        <v>88</v>
      </c>
      <c r="C4" s="1">
        <f ca="1">IFERROR($C$1-1+_xlfn.RANK.EQ(B4,$B$4:$B$189)+COUNTIF(B$4:$B4,B4)-1,"")</f>
        <v>104</v>
      </c>
      <c r="D4" s="1" t="str">
        <f ca="1">IFERROR(VLOOKUP(C4,'Question structure'!A:E,3,0),"")</f>
        <v>12.2.3</v>
      </c>
      <c r="E4" t="str">
        <f ca="1">IFERROR(VLOOKUP(D4&amp;"Viet",'Question structure'!D:H,2,0),"")</f>
        <v>Buổi họp sẽ kéo dài trong bao lâu?</v>
      </c>
      <c r="F4" t="str">
        <f ca="1">IFERROR(VLOOKUP(D4&amp;"Eng",'Question structure'!D:H,2,0),"")</f>
        <v>How long will the meeting last?</v>
      </c>
    </row>
    <row r="5" spans="1:10" x14ac:dyDescent="0.25">
      <c r="A5">
        <f>IFERROR(IF(A4+1&gt;$C$2,"",A4+1),"")</f>
        <v>2</v>
      </c>
      <c r="B5">
        <f t="shared" ca="1" si="0"/>
        <v>132</v>
      </c>
      <c r="C5" s="1">
        <f ca="1">IFERROR($C$1-1+_xlfn.RANK.EQ(B5,$B$4:$B$78)+COUNTIF(B$4:$B5,B5)-1,"")</f>
        <v>28</v>
      </c>
      <c r="D5" s="1" t="str">
        <f ca="1">IFERROR(VLOOKUP(C5,'Question structure'!A:E,3,0),"")</f>
        <v>3.2.3</v>
      </c>
      <c r="E5" t="str">
        <f ca="1">IFERROR(VLOOKUP(D5&amp;"Viet",'Question structure'!D:H,2,0),"")</f>
        <v>Cậu có muốn ở lại ăn tối không?</v>
      </c>
      <c r="F5" t="str">
        <f ca="1">IFERROR(VLOOKUP(D5&amp;"Eng",'Question structure'!D:H,2,0),"")</f>
        <v>Do you want to stay for dinner?</v>
      </c>
    </row>
    <row r="6" spans="1:10" x14ac:dyDescent="0.25">
      <c r="A6">
        <f t="shared" ref="A6:A69" si="1">IFERROR(IF(A5+1&gt;$C$2,"",A5+1),"")</f>
        <v>3</v>
      </c>
      <c r="B6">
        <f t="shared" ca="1" si="0"/>
        <v>66</v>
      </c>
      <c r="C6" s="1">
        <f ca="1">IFERROR($C$1-1+_xlfn.RANK.EQ(B6,$B$4:$B$78)+COUNTIF(B$4:$B6,B6)-1,"")</f>
        <v>57</v>
      </c>
      <c r="D6" s="1" t="str">
        <f ca="1">IFERROR(VLOOKUP(C6,'Question structure'!A:E,3,0),"")</f>
        <v>7.2.3</v>
      </c>
      <c r="E6" t="str">
        <f ca="1">IFERROR(VLOOKUP(D6&amp;"Viet",'Question structure'!D:H,2,0),"")</f>
        <v>Cậu định tổ chức tiệc à?</v>
      </c>
      <c r="F6" t="str">
        <f ca="1">IFERROR(VLOOKUP(D6&amp;"Eng",'Question structure'!D:H,2,0),"")</f>
        <v>Are you planning to throw a party?</v>
      </c>
    </row>
    <row r="7" spans="1:10" x14ac:dyDescent="0.25">
      <c r="A7">
        <f t="shared" si="1"/>
        <v>4</v>
      </c>
      <c r="B7">
        <f t="shared" ca="1" si="0"/>
        <v>112</v>
      </c>
      <c r="C7" s="1">
        <f ca="1">IFERROR($C$1-1+_xlfn.RANK.EQ(B7,$B$4:$B$78)+COUNTIF(B$4:$B7,B7)-1,"")</f>
        <v>38</v>
      </c>
      <c r="D7" s="1" t="str">
        <f ca="1">IFERROR(VLOOKUP(C7,'Question structure'!A:E,3,0),"")</f>
        <v>4.2.2</v>
      </c>
      <c r="E7" t="str">
        <f ca="1">IFERROR(VLOOKUP(D7&amp;"Viet",'Question structure'!D:H,2,0),"")</f>
        <v>Cậu muốn tôi nói gì với anh ấy?</v>
      </c>
      <c r="F7" t="str">
        <f ca="1">IFERROR(VLOOKUP(D7&amp;"Eng",'Question structure'!D:H,2,0),"")</f>
        <v>What do you want me to say to him?</v>
      </c>
    </row>
    <row r="8" spans="1:10" x14ac:dyDescent="0.25">
      <c r="A8">
        <f t="shared" si="1"/>
        <v>5</v>
      </c>
      <c r="B8">
        <f t="shared" ca="1" si="0"/>
        <v>4</v>
      </c>
      <c r="C8" s="1">
        <f ca="1">IFERROR($C$1-1+_xlfn.RANK.EQ(B8,$B$4:$B$78)+COUNTIF(B$4:$B8,B8)-1,"")</f>
        <v>73</v>
      </c>
      <c r="D8" s="1" t="str">
        <f ca="1">IFERROR(VLOOKUP(C8,'Question structure'!A:E,3,0),"")</f>
        <v>9.1.4</v>
      </c>
      <c r="E8" t="str">
        <f ca="1">IFERROR(VLOOKUP(D8&amp;"Viet",'Question structure'!D:H,2,0),"")</f>
        <v>Sao cậu lại ủ rũ thế?</v>
      </c>
      <c r="F8" t="str">
        <f ca="1">IFERROR(VLOOKUP(D8&amp;"Eng",'Question structure'!D:H,2,0),"")</f>
        <v>How come you are so depressed?</v>
      </c>
    </row>
    <row r="9" spans="1:10" x14ac:dyDescent="0.25">
      <c r="A9">
        <f t="shared" si="1"/>
        <v>6</v>
      </c>
      <c r="B9">
        <f t="shared" ca="1" si="0"/>
        <v>142</v>
      </c>
      <c r="C9" s="1">
        <f ca="1">IFERROR($C$1-1+_xlfn.RANK.EQ(B9,$B$4:$B$78)+COUNTIF(B$4:$B9,B9)-1,"")</f>
        <v>20</v>
      </c>
      <c r="D9" s="1" t="str">
        <f ca="1">IFERROR(VLOOKUP(C9,'Question structure'!A:E,3,0),"")</f>
        <v>2.3.1</v>
      </c>
      <c r="E9" t="str">
        <f ca="1">IFERROR(VLOOKUP(D9&amp;"Viet",'Question structure'!D:H,2,0),"")</f>
        <v>Cậu nghĩ tôi nên làm gì?</v>
      </c>
      <c r="F9" t="str">
        <f ca="1">IFERROR(VLOOKUP(D9&amp;"Eng",'Question structure'!D:H,2,0),"")</f>
        <v>What do you think I have to do?</v>
      </c>
    </row>
    <row r="10" spans="1:10" x14ac:dyDescent="0.25">
      <c r="A10">
        <f t="shared" si="1"/>
        <v>7</v>
      </c>
      <c r="B10">
        <f t="shared" ca="1" si="0"/>
        <v>143</v>
      </c>
      <c r="C10" s="1">
        <f ca="1">IFERROR($C$1-1+_xlfn.RANK.EQ(B10,$B$4:$B$78)+COUNTIF(B$4:$B10,B10)-1,"")</f>
        <v>18</v>
      </c>
      <c r="D10" s="1" t="str">
        <f ca="1">IFERROR(VLOOKUP(C10,'Question structure'!A:E,3,0),"")</f>
        <v>2.2.2</v>
      </c>
      <c r="E10" t="str">
        <f ca="1">IFERROR(VLOOKUP(D10&amp;"Viet",'Question structure'!D:H,2,0),"")</f>
        <v>Cậu nghĩ thế nào về đề xuất của anh ta?</v>
      </c>
      <c r="F10" t="str">
        <f ca="1">IFERROR(VLOOKUP(D10&amp;"Eng",'Question structure'!D:H,2,0),"")</f>
        <v>What do you think about his suggestion?</v>
      </c>
    </row>
    <row r="11" spans="1:10" x14ac:dyDescent="0.25">
      <c r="A11">
        <f t="shared" si="1"/>
        <v>8</v>
      </c>
      <c r="B11">
        <f t="shared" ca="1" si="0"/>
        <v>145</v>
      </c>
      <c r="C11" s="1">
        <f ca="1">IFERROR($C$1-1+_xlfn.RANK.EQ(B11,$B$4:$B$78)+COUNTIF(B$4:$B11,B11)-1,"")</f>
        <v>16</v>
      </c>
      <c r="D11" s="1" t="str">
        <f ca="1">IFERROR(VLOOKUP(C11,'Question structure'!A:E,3,0),"")</f>
        <v>2.1.4</v>
      </c>
      <c r="E11" t="str">
        <f ca="1">IFERROR(VLOOKUP(D11&amp;"Viet",'Question structure'!D:H,2,0),"")</f>
        <v>Cậu nghĩ thế nào về cách anh ấy nói chuyện?</v>
      </c>
      <c r="F11" t="str">
        <f ca="1">IFERROR(VLOOKUP(D11&amp;"Eng",'Question structure'!D:H,2,0),"")</f>
        <v>What do you think of the way he talks?</v>
      </c>
    </row>
    <row r="12" spans="1:10" x14ac:dyDescent="0.25">
      <c r="A12">
        <f t="shared" si="1"/>
        <v>9</v>
      </c>
      <c r="B12">
        <f t="shared" ca="1" si="0"/>
        <v>174</v>
      </c>
      <c r="C12" s="1">
        <f ca="1">IFERROR($C$1-1+_xlfn.RANK.EQ(B12,$B$4:$B$78)+COUNTIF(B$4:$B12,B12)-1,"")</f>
        <v>6</v>
      </c>
      <c r="D12" s="1" t="str">
        <f ca="1">IFERROR(VLOOKUP(C12,'Question structure'!A:E,3,0),"")</f>
        <v>1.2.2</v>
      </c>
      <c r="E12" t="str">
        <f ca="1">IFERROR(VLOOKUP(D12&amp;"Viet",'Question structure'!D:H,2,0),"")</f>
        <v>Anh ấy ốm như thế nào?</v>
      </c>
      <c r="F12" t="str">
        <f ca="1">IFERROR(VLOOKUP(D12&amp;"Eng",'Question structure'!D:H,2,0),"")</f>
        <v>How sick is he?</v>
      </c>
      <c r="J12" s="15"/>
    </row>
    <row r="13" spans="1:10" x14ac:dyDescent="0.25">
      <c r="A13">
        <f t="shared" si="1"/>
        <v>10</v>
      </c>
      <c r="B13">
        <f t="shared" ca="1" si="0"/>
        <v>50</v>
      </c>
      <c r="C13" s="1">
        <f ca="1">IFERROR($C$1-1+_xlfn.RANK.EQ(B13,$B$4:$B$78)+COUNTIF(B$4:$B13,B13)-1,"")</f>
        <v>60</v>
      </c>
      <c r="D13" s="1" t="str">
        <f ca="1">IFERROR(VLOOKUP(C13,'Question structure'!A:E,3,0),"")</f>
        <v>7.3.3</v>
      </c>
      <c r="E13" t="str">
        <f ca="1">IFERROR(VLOOKUP(D13&amp;"Viet",'Question structure'!D:H,2,0),"")</f>
        <v>Cậu đã có kế hoạch gì cho ngày sinh nhật chưa?</v>
      </c>
      <c r="F13" t="str">
        <f ca="1">IFERROR(VLOOKUP(D13&amp;"Eng",'Question structure'!D:H,2,0),"")</f>
        <v>Have you made plans for your birthday?</v>
      </c>
      <c r="J13" s="15"/>
    </row>
    <row r="14" spans="1:10" x14ac:dyDescent="0.25">
      <c r="A14">
        <f t="shared" si="1"/>
        <v>11</v>
      </c>
      <c r="B14">
        <f t="shared" ca="1" si="0"/>
        <v>158</v>
      </c>
      <c r="C14" s="1">
        <f ca="1">IFERROR($C$1-1+_xlfn.RANK.EQ(B14,$B$4:$B$78)+COUNTIF(B$4:$B14,B14)-1,"")</f>
        <v>11</v>
      </c>
      <c r="D14" s="1" t="str">
        <f ca="1">IFERROR(VLOOKUP(C14,'Question structure'!A:E,3,0),"")</f>
        <v>1.3.3</v>
      </c>
      <c r="E14" t="str">
        <f ca="1">IFERROR(VLOOKUP(D14&amp;"Viet",'Question structure'!D:H,2,0),"")</f>
        <v>Buổi hẹn của cậu thế nào?</v>
      </c>
      <c r="F14" t="str">
        <f ca="1">IFERROR(VLOOKUP(D14&amp;"Eng",'Question structure'!D:H,2,0),"")</f>
        <v>How was your date?</v>
      </c>
    </row>
    <row r="15" spans="1:10" x14ac:dyDescent="0.25">
      <c r="A15">
        <f t="shared" si="1"/>
        <v>12</v>
      </c>
      <c r="B15">
        <f t="shared" ca="1" si="0"/>
        <v>110</v>
      </c>
      <c r="C15" s="1">
        <f ca="1">IFERROR($C$1-1+_xlfn.RANK.EQ(B15,$B$4:$B$78)+COUNTIF(B$4:$B15,B15)-1,"")</f>
        <v>40</v>
      </c>
      <c r="D15" s="1" t="str">
        <f ca="1">IFERROR(VLOOKUP(C15,'Question structure'!A:E,3,0),"")</f>
        <v>4.3.1</v>
      </c>
      <c r="E15" t="str">
        <f ca="1">IFERROR(VLOOKUP(D15&amp;"Viet",'Question structure'!D:H,2,0),"")</f>
        <v>Cậu muốn anh ấy mang cái gì đến?</v>
      </c>
      <c r="F15" t="str">
        <f ca="1">IFERROR(VLOOKUP(D15&amp;"Eng",'Question structure'!D:H,2,0),"")</f>
        <v>What do you want him to bring?</v>
      </c>
    </row>
    <row r="16" spans="1:10" x14ac:dyDescent="0.25">
      <c r="A16">
        <f t="shared" si="1"/>
        <v>13</v>
      </c>
      <c r="B16">
        <f t="shared" ca="1" si="0"/>
        <v>29</v>
      </c>
      <c r="C16" s="1">
        <f ca="1">IFERROR($C$1-1+_xlfn.RANK.EQ(B16,$B$4:$B$78)+COUNTIF(B$4:$B16,B16)-1,"")</f>
        <v>66</v>
      </c>
      <c r="D16" s="1" t="str">
        <f ca="1">IFERROR(VLOOKUP(C16,'Question structure'!A:E,3,0),"")</f>
        <v>8.2.3</v>
      </c>
      <c r="E16" t="str">
        <f ca="1">IFERROR(VLOOKUP(D16&amp;"Viet",'Question structure'!D:H,2,0),"")</f>
        <v>Tại sao cậu cứ hỏi tôi chuyện đó mãi thế?</v>
      </c>
      <c r="F16" t="str">
        <f ca="1">IFERROR(VLOOKUP(D16&amp;"Eng",'Question structure'!D:H,2,0),"")</f>
        <v>Why do you keep asking me that?</v>
      </c>
    </row>
    <row r="17" spans="1:6" x14ac:dyDescent="0.25">
      <c r="A17">
        <f t="shared" si="1"/>
        <v>14</v>
      </c>
      <c r="B17">
        <f t="shared" ca="1" si="0"/>
        <v>38</v>
      </c>
      <c r="C17" s="1">
        <f ca="1">IFERROR($C$1-1+_xlfn.RANK.EQ(B17,$B$4:$B$78)+COUNTIF(B$4:$B17,B17)-1,"")</f>
        <v>65</v>
      </c>
      <c r="D17" s="1" t="str">
        <f ca="1">IFERROR(VLOOKUP(C17,'Question structure'!A:E,3,0),"")</f>
        <v>8.2.2</v>
      </c>
      <c r="E17" t="str">
        <f ca="1">IFERROR(VLOOKUP(D17&amp;"Viet",'Question structure'!D:H,2,0),"")</f>
        <v>Tại sao cậu cứ làm thế với tôi?</v>
      </c>
      <c r="F17" t="str">
        <f ca="1">IFERROR(VLOOKUP(D17&amp;"Eng",'Question structure'!D:H,2,0),"")</f>
        <v>Why do you keep doing this to me?</v>
      </c>
    </row>
    <row r="18" spans="1:6" ht="12.6" customHeight="1" x14ac:dyDescent="0.25">
      <c r="A18">
        <f t="shared" si="1"/>
        <v>15</v>
      </c>
      <c r="B18">
        <f t="shared" ca="1" si="0"/>
        <v>49</v>
      </c>
      <c r="C18" s="1">
        <f ca="1">IFERROR($C$1-1+_xlfn.RANK.EQ(B18,$B$4:$B$78)+COUNTIF(B$4:$B18,B18)-1,"")</f>
        <v>62</v>
      </c>
      <c r="D18" s="1" t="str">
        <f ca="1">IFERROR(VLOOKUP(C18,'Question structure'!A:E,3,0),"")</f>
        <v>8.1.2</v>
      </c>
      <c r="E18" t="str">
        <f ca="1">IFERROR(VLOOKUP(D18&amp;"Viet",'Question structure'!D:H,2,0),"")</f>
        <v>Tại sao cậu bối rối vậy?</v>
      </c>
      <c r="F18" t="str">
        <f ca="1">IFERROR(VLOOKUP(D18&amp;"Eng",'Question structure'!D:H,2,0),"")</f>
        <v>Why are you so confused?</v>
      </c>
    </row>
    <row r="19" spans="1:6" x14ac:dyDescent="0.25">
      <c r="A19">
        <f t="shared" si="1"/>
        <v>16</v>
      </c>
      <c r="B19">
        <f t="shared" ca="1" si="0"/>
        <v>109</v>
      </c>
      <c r="C19" s="1">
        <f ca="1">IFERROR($C$1-1+_xlfn.RANK.EQ(B19,$B$4:$B$78)+COUNTIF(B$4:$B19,B19)-1,"")</f>
        <v>41</v>
      </c>
      <c r="D19" s="1" t="str">
        <f ca="1">IFERROR(VLOOKUP(C19,'Question structure'!A:E,3,0),"")</f>
        <v>4.3.2</v>
      </c>
      <c r="E19" t="str">
        <f ca="1">IFERROR(VLOOKUP(D19&amp;"Viet",'Question structure'!D:H,2,0),"")</f>
        <v>Cậu muốn anh ấy cho cậu xem cái gì?</v>
      </c>
      <c r="F19" t="str">
        <f ca="1">IFERROR(VLOOKUP(D19&amp;"Eng",'Question structure'!D:H,2,0),"")</f>
        <v>What do you want him to show you?</v>
      </c>
    </row>
    <row r="20" spans="1:6" x14ac:dyDescent="0.25">
      <c r="A20">
        <f t="shared" si="1"/>
        <v>17</v>
      </c>
      <c r="B20">
        <f t="shared" ca="1" si="0"/>
        <v>61</v>
      </c>
      <c r="C20" s="1">
        <f ca="1">IFERROR($C$1-1+_xlfn.RANK.EQ(B20,$B$4:$B$78)+COUNTIF(B$4:$B20,B20)-1,"")</f>
        <v>58</v>
      </c>
      <c r="D20" s="1" t="str">
        <f ca="1">IFERROR(VLOOKUP(C20,'Question structure'!A:E,3,0),"")</f>
        <v>7.3.1</v>
      </c>
      <c r="E20" t="str">
        <f ca="1">IFERROR(VLOOKUP(D20&amp;"Viet",'Question structure'!D:H,2,0),"")</f>
        <v>Ngày mai cậu có kế hoạch gì không?</v>
      </c>
      <c r="F20" t="str">
        <f ca="1">IFERROR(VLOOKUP(D20&amp;"Eng",'Question structure'!D:H,2,0),"")</f>
        <v>Do you have plans for tomorrow?</v>
      </c>
    </row>
    <row r="21" spans="1:6" x14ac:dyDescent="0.25">
      <c r="A21">
        <f t="shared" si="1"/>
        <v>18</v>
      </c>
      <c r="B21">
        <f t="shared" ca="1" si="0"/>
        <v>150</v>
      </c>
      <c r="C21" s="1">
        <f ca="1">IFERROR($C$1-1+_xlfn.RANK.EQ(B21,$B$4:$B$78)+COUNTIF(B$4:$B21,B21)-1,"")</f>
        <v>15</v>
      </c>
      <c r="D21" s="1" t="str">
        <f ca="1">IFERROR(VLOOKUP(C21,'Question structure'!A:E,3,0),"")</f>
        <v>2.1.3</v>
      </c>
      <c r="E21" t="str">
        <f ca="1">IFERROR(VLOOKUP(D21&amp;"Viet",'Question structure'!D:H,2,0),"")</f>
        <v>Cậu nghĩ thế nào về kế hoạch của tôi?</v>
      </c>
      <c r="F21" t="str">
        <f ca="1">IFERROR(VLOOKUP(D21&amp;"Eng",'Question structure'!D:H,2,0),"")</f>
        <v>What do you think of my plan?</v>
      </c>
    </row>
    <row r="22" spans="1:6" x14ac:dyDescent="0.25">
      <c r="A22">
        <f t="shared" si="1"/>
        <v>19</v>
      </c>
      <c r="B22">
        <f t="shared" ca="1" si="0"/>
        <v>75</v>
      </c>
      <c r="C22" s="1">
        <f ca="1">IFERROR($C$1-1+_xlfn.RANK.EQ(B22,$B$4:$B$78)+COUNTIF(B$4:$B22,B22)-1,"")</f>
        <v>53</v>
      </c>
      <c r="D22" s="1" t="str">
        <f ca="1">IFERROR(VLOOKUP(C22,'Question structure'!A:E,3,0),"")</f>
        <v>7.1.2</v>
      </c>
      <c r="E22" t="str">
        <f ca="1">IFERROR(VLOOKUP(D22&amp;"Viet",'Question structure'!D:H,2,0),"")</f>
        <v>Cậu định sẽ làm thế nào với thái độ của cô ấy?</v>
      </c>
      <c r="F22" t="str">
        <f ca="1">IFERROR(VLOOKUP(D22&amp;"Eng",'Question structure'!D:H,2,0),"")</f>
        <v>What are you going to do about her attitude?</v>
      </c>
    </row>
    <row r="23" spans="1:6" x14ac:dyDescent="0.25">
      <c r="A23">
        <f t="shared" si="1"/>
        <v>20</v>
      </c>
      <c r="B23">
        <f t="shared" ca="1" si="0"/>
        <v>154</v>
      </c>
      <c r="C23" s="1">
        <f ca="1">IFERROR($C$1-1+_xlfn.RANK.EQ(B23,$B$4:$B$78)+COUNTIF(B$4:$B23,B23)-1,"")</f>
        <v>13</v>
      </c>
      <c r="D23" s="1" t="str">
        <f ca="1">IFERROR(VLOOKUP(C23,'Question structure'!A:E,3,0),"")</f>
        <v>2.1.1</v>
      </c>
      <c r="E23" t="str">
        <f ca="1">IFERROR(VLOOKUP(D23&amp;"Viet",'Question structure'!D:H,2,0),"")</f>
        <v>Cậu nghĩ thế nào về anh ấy?</v>
      </c>
      <c r="F23" t="str">
        <f ca="1">IFERROR(VLOOKUP(D23&amp;"Eng",'Question structure'!D:H,2,0),"")</f>
        <v>What do you think of him?</v>
      </c>
    </row>
    <row r="24" spans="1:6" x14ac:dyDescent="0.25">
      <c r="A24">
        <f t="shared" si="1"/>
        <v>21</v>
      </c>
      <c r="B24">
        <f t="shared" ca="1" si="0"/>
        <v>112</v>
      </c>
      <c r="C24" s="1">
        <f ca="1">IFERROR($C$1-1+_xlfn.RANK.EQ(B24,$B$4:$B$78)+COUNTIF(B$4:$B24,B24)-1,"")</f>
        <v>39</v>
      </c>
      <c r="D24" s="1" t="str">
        <f ca="1">IFERROR(VLOOKUP(C24,'Question structure'!A:E,3,0),"")</f>
        <v>4.2.3</v>
      </c>
      <c r="E24" t="str">
        <f ca="1">IFERROR(VLOOKUP(D24&amp;"Viet",'Question structure'!D:H,2,0),"")</f>
        <v>Cậu muốn tôi mang theo gì?</v>
      </c>
      <c r="F24" t="str">
        <f ca="1">IFERROR(VLOOKUP(D24&amp;"Eng",'Question structure'!D:H,2,0),"")</f>
        <v>What do you want me to bring?</v>
      </c>
    </row>
    <row r="25" spans="1:6" x14ac:dyDescent="0.25">
      <c r="A25">
        <f t="shared" si="1"/>
        <v>22</v>
      </c>
      <c r="B25">
        <f t="shared" ca="1" si="0"/>
        <v>108</v>
      </c>
      <c r="C25" s="1">
        <f ca="1">IFERROR($C$1-1+_xlfn.RANK.EQ(B25,$B$4:$B$78)+COUNTIF(B$4:$B25,B25)-1,"")</f>
        <v>42</v>
      </c>
      <c r="D25" s="1" t="str">
        <f ca="1">IFERROR(VLOOKUP(C25,'Question structure'!A:E,3,0),"")</f>
        <v>4.3.3</v>
      </c>
      <c r="E25" t="str">
        <f ca="1">IFERROR(VLOOKUP(D25&amp;"Viet",'Question structure'!D:H,2,0),"")</f>
        <v>Cậu muốn cô ấy chứng minh điều gì?</v>
      </c>
      <c r="F25" t="str">
        <f ca="1">IFERROR(VLOOKUP(D25&amp;"Eng",'Question structure'!D:H,2,0),"")</f>
        <v>What do you want her to prove?</v>
      </c>
    </row>
    <row r="26" spans="1:6" x14ac:dyDescent="0.25">
      <c r="A26">
        <f t="shared" si="1"/>
        <v>23</v>
      </c>
      <c r="B26">
        <f t="shared" ca="1" si="0"/>
        <v>114</v>
      </c>
      <c r="C26" s="1">
        <f ca="1">IFERROR($C$1-1+_xlfn.RANK.EQ(B26,$B$4:$B$78)+COUNTIF(B$4:$B26,B26)-1,"")</f>
        <v>35</v>
      </c>
      <c r="D26" s="1" t="str">
        <f ca="1">IFERROR(VLOOKUP(C26,'Question structure'!A:E,3,0),"")</f>
        <v>4.1.2</v>
      </c>
      <c r="E26" t="str">
        <f ca="1">IFERROR(VLOOKUP(D26&amp;"Viet",'Question structure'!D:H,2,0),"")</f>
        <v>Cậu muốn biết gì?</v>
      </c>
      <c r="F26" t="str">
        <f ca="1">IFERROR(VLOOKUP(D26&amp;"Eng",'Question structure'!D:H,2,0),"")</f>
        <v>What do you want to know?</v>
      </c>
    </row>
    <row r="27" spans="1:6" x14ac:dyDescent="0.25">
      <c r="A27">
        <f t="shared" si="1"/>
        <v>24</v>
      </c>
      <c r="B27">
        <f t="shared" ca="1" si="0"/>
        <v>91</v>
      </c>
      <c r="C27" s="1">
        <f ca="1">IFERROR($C$1-1+_xlfn.RANK.EQ(B27,$B$4:$B$78)+COUNTIF(B$4:$B27,B27)-1,"")</f>
        <v>47</v>
      </c>
      <c r="D27" s="1" t="str">
        <f ca="1">IFERROR(VLOOKUP(C27,'Question structure'!A:E,3,0),"")</f>
        <v>5.2.2</v>
      </c>
      <c r="E27" t="str">
        <f ca="1">IFERROR(VLOOKUP(D27&amp;"Viet",'Question structure'!D:H,2,0),"")</f>
        <v>Cậu nghĩ tôi nên mua cho cô ấy cái gì?</v>
      </c>
      <c r="F27" t="str">
        <f ca="1">IFERROR(VLOOKUP(D27&amp;"Eng",'Question structure'!D:H,2,0),"")</f>
        <v>What do you think I should buy for her?</v>
      </c>
    </row>
    <row r="28" spans="1:6" x14ac:dyDescent="0.25">
      <c r="A28">
        <f t="shared" si="1"/>
        <v>25</v>
      </c>
      <c r="B28">
        <f t="shared" ca="1" si="0"/>
        <v>156</v>
      </c>
      <c r="C28" s="1">
        <f ca="1">IFERROR($C$1-1+_xlfn.RANK.EQ(B28,$B$4:$B$78)+COUNTIF(B$4:$B28,B28)-1,"")</f>
        <v>12</v>
      </c>
      <c r="D28" s="1" t="str">
        <f ca="1">IFERROR(VLOOKUP(C28,'Question structure'!A:E,3,0),"")</f>
        <v>1.3.4</v>
      </c>
      <c r="E28" t="str">
        <f ca="1">IFERROR(VLOOKUP(D28&amp;"Viet",'Question structure'!D:H,2,0),"")</f>
        <v>Chuyến đi của cậu thế nào?</v>
      </c>
      <c r="F28" t="str">
        <f ca="1">IFERROR(VLOOKUP(D28&amp;"Eng",'Question structure'!D:H,2,0),"")</f>
        <v>How was your trip?</v>
      </c>
    </row>
    <row r="29" spans="1:6" x14ac:dyDescent="0.25">
      <c r="A29">
        <f t="shared" si="1"/>
        <v>26</v>
      </c>
      <c r="B29">
        <f t="shared" ca="1" si="0"/>
        <v>132</v>
      </c>
      <c r="C29" s="1">
        <f ca="1">IFERROR($C$1-1+_xlfn.RANK.EQ(B29,$B$4:$B$78)+COUNTIF(B$4:$B29,B29)-1,"")</f>
        <v>29</v>
      </c>
      <c r="D29" s="1" t="str">
        <f ca="1">IFERROR(VLOOKUP(C29,'Question structure'!A:E,3,0),"")</f>
        <v>3.2.4</v>
      </c>
      <c r="E29" t="str">
        <f ca="1">IFERROR(VLOOKUP(D29&amp;"Viet",'Question structure'!D:H,2,0),"")</f>
        <v>Cậu có muốn đi xem phim không?</v>
      </c>
      <c r="F29" t="str">
        <f ca="1">IFERROR(VLOOKUP(D29&amp;"Eng",'Question structure'!D:H,2,0),"")</f>
        <v>Do you want to go to see a movie?</v>
      </c>
    </row>
    <row r="30" spans="1:6" x14ac:dyDescent="0.25">
      <c r="A30">
        <f t="shared" si="1"/>
        <v>27</v>
      </c>
      <c r="B30">
        <f t="shared" ca="1" si="0"/>
        <v>139</v>
      </c>
      <c r="C30" s="1">
        <f ca="1">IFERROR($C$1-1+_xlfn.RANK.EQ(B30,$B$4:$B$78)+COUNTIF(B$4:$B30,B30)-1,"")</f>
        <v>24</v>
      </c>
      <c r="D30" s="1" t="str">
        <f ca="1">IFERROR(VLOOKUP(C30,'Question structure'!A:E,3,0),"")</f>
        <v>3.1.2</v>
      </c>
      <c r="E30" t="str">
        <f ca="1">IFERROR(VLOOKUP(D30&amp;"Viet",'Question structure'!D:H,2,0),"")</f>
        <v>Cậu có muốn giúp tôi không?</v>
      </c>
      <c r="F30" t="str">
        <f ca="1">IFERROR(VLOOKUP(D30&amp;"Eng",'Question structure'!D:H,2,0),"")</f>
        <v>Do you want some help?</v>
      </c>
    </row>
    <row r="31" spans="1:6" x14ac:dyDescent="0.25">
      <c r="A31">
        <f t="shared" si="1"/>
        <v>28</v>
      </c>
      <c r="B31">
        <f t="shared" ca="1" si="0"/>
        <v>153</v>
      </c>
      <c r="C31" s="1">
        <f ca="1">IFERROR($C$1-1+_xlfn.RANK.EQ(B31,$B$4:$B$78)+COUNTIF(B$4:$B31,B31)-1,"")</f>
        <v>14</v>
      </c>
      <c r="D31" s="1" t="str">
        <f ca="1">IFERROR(VLOOKUP(C31,'Question structure'!A:E,3,0),"")</f>
        <v>2.1.2</v>
      </c>
      <c r="E31" t="str">
        <f ca="1">IFERROR(VLOOKUP(D31&amp;"Viet",'Question structure'!D:H,2,0),"")</f>
        <v>Cậu nghĩ thế nào về ý tưởng của tôi?</v>
      </c>
      <c r="F31" t="str">
        <f ca="1">IFERROR(VLOOKUP(D31&amp;"Eng",'Question structure'!D:H,2,0),"")</f>
        <v>What do you think of my idea?</v>
      </c>
    </row>
    <row r="32" spans="1:6" x14ac:dyDescent="0.25">
      <c r="A32">
        <f t="shared" si="1"/>
        <v>29</v>
      </c>
      <c r="B32">
        <f t="shared" ca="1" si="0"/>
        <v>88</v>
      </c>
      <c r="C32" s="1">
        <f ca="1">IFERROR($C$1-1+_xlfn.RANK.EQ(B32,$B$4:$B$78)+COUNTIF(B$4:$B32,B32)-1,"")</f>
        <v>50</v>
      </c>
      <c r="D32" s="1" t="str">
        <f ca="1">IFERROR(VLOOKUP(C32,'Question structure'!A:E,3,0),"")</f>
        <v>6.1.2</v>
      </c>
      <c r="E32" t="str">
        <f ca="1">IFERROR(VLOOKUP(D32&amp;"Viet",'Question structure'!D:H,2,0),"")</f>
        <v>Tôi nên tặng quà gì?</v>
      </c>
      <c r="F32" t="str">
        <f ca="1">IFERROR(VLOOKUP(D32&amp;"Eng",'Question structure'!D:H,2,0),"")</f>
        <v>What am I supposed to give as a gift?</v>
      </c>
    </row>
    <row r="33" spans="1:6" x14ac:dyDescent="0.25">
      <c r="A33">
        <f t="shared" si="1"/>
        <v>30</v>
      </c>
      <c r="B33">
        <f t="shared" ca="1" si="0"/>
        <v>143</v>
      </c>
      <c r="C33" s="1">
        <f ca="1">IFERROR($C$1-1+_xlfn.RANK.EQ(B33,$B$4:$B$78)+COUNTIF(B$4:$B33,B33)-1,"")</f>
        <v>19</v>
      </c>
      <c r="D33" s="1" t="str">
        <f ca="1">IFERROR(VLOOKUP(C33,'Question structure'!A:E,3,0),"")</f>
        <v>2.2.3</v>
      </c>
      <c r="E33" t="str">
        <f ca="1">IFERROR(VLOOKUP(D33&amp;"Viet",'Question structure'!D:H,2,0),"")</f>
        <v>Cậu nghĩ thế nào về bức tranh này?</v>
      </c>
      <c r="F33" t="str">
        <f ca="1">IFERROR(VLOOKUP(D33&amp;"Eng",'Question structure'!D:H,2,0),"")</f>
        <v>What do you think about this picture?</v>
      </c>
    </row>
    <row r="34" spans="1:6" x14ac:dyDescent="0.25">
      <c r="A34">
        <f t="shared" si="1"/>
        <v>31</v>
      </c>
      <c r="B34">
        <f t="shared" ca="1" si="0"/>
        <v>137</v>
      </c>
      <c r="C34" s="1">
        <f ca="1">IFERROR($C$1-1+_xlfn.RANK.EQ(B34,$B$4:$B$78)+COUNTIF(B$4:$B34,B34)-1,"")</f>
        <v>26</v>
      </c>
      <c r="D34" s="1" t="str">
        <f ca="1">IFERROR(VLOOKUP(C34,'Question structure'!A:E,3,0),"")</f>
        <v>3.2.1</v>
      </c>
      <c r="E34" t="str">
        <f ca="1">IFERROR(VLOOKUP(D34&amp;"Viet",'Question structure'!D:H,2,0),"")</f>
        <v>Cậu có muốn đi tắm không?</v>
      </c>
      <c r="F34" t="str">
        <f ca="1">IFERROR(VLOOKUP(D34&amp;"Eng",'Question structure'!D:H,2,0),"")</f>
        <v>Do you want to take a shower?</v>
      </c>
    </row>
    <row r="35" spans="1:6" x14ac:dyDescent="0.25">
      <c r="A35">
        <f t="shared" si="1"/>
        <v>32</v>
      </c>
      <c r="B35">
        <f t="shared" ca="1" si="0"/>
        <v>91</v>
      </c>
      <c r="C35" s="1">
        <f ca="1">IFERROR($C$1-1+_xlfn.RANK.EQ(B35,$B$4:$B$78)+COUNTIF(B$4:$B35,B35)-1,"")</f>
        <v>48</v>
      </c>
      <c r="D35" s="1" t="str">
        <f ca="1">IFERROR(VLOOKUP(C35,'Question structure'!A:E,3,0),"")</f>
        <v>5.2.3</v>
      </c>
      <c r="E35" t="str">
        <f ca="1">IFERROR(VLOOKUP(D35&amp;"Viet",'Question structure'!D:H,2,0),"")</f>
        <v>Cậu nghĩ tôi nên giới thiệu cái gì?</v>
      </c>
      <c r="F35" t="str">
        <f ca="1">IFERROR(VLOOKUP(D35&amp;"Eng",'Question structure'!D:H,2,0),"")</f>
        <v>What do you think I should recommend?</v>
      </c>
    </row>
    <row r="36" spans="1:6" x14ac:dyDescent="0.25">
      <c r="A36">
        <f t="shared" si="1"/>
        <v>33</v>
      </c>
      <c r="B36">
        <f t="shared" ca="1" si="0"/>
        <v>86</v>
      </c>
      <c r="C36" s="1">
        <f ca="1">IFERROR($C$1-1+_xlfn.RANK.EQ(B36,$B$4:$B$78)+COUNTIF(B$4:$B36,B36)-1,"")</f>
        <v>51</v>
      </c>
      <c r="D36" s="1" t="str">
        <f ca="1">IFERROR(VLOOKUP(C36,'Question structure'!A:E,3,0),"")</f>
        <v>6.1.3</v>
      </c>
      <c r="E36" t="str">
        <f ca="1">IFERROR(VLOOKUP(D36&amp;"Viet",'Question structure'!D:H,2,0),"")</f>
        <v>Tôi nên nói chuyện với anh ấy về chủ đề gì?</v>
      </c>
      <c r="F36" t="str">
        <f ca="1">IFERROR(VLOOKUP(D36&amp;"Eng",'Question structure'!D:H,2,0),"")</f>
        <v>What am I supposed to talk to him about?</v>
      </c>
    </row>
    <row r="37" spans="1:6" x14ac:dyDescent="0.25">
      <c r="A37">
        <f t="shared" si="1"/>
        <v>34</v>
      </c>
      <c r="B37">
        <f t="shared" ca="1" si="0"/>
        <v>41</v>
      </c>
      <c r="C37" s="1">
        <f ca="1">IFERROR($C$1-1+_xlfn.RANK.EQ(B37,$B$4:$B$78)+COUNTIF(B$4:$B37,B37)-1,"")</f>
        <v>64</v>
      </c>
      <c r="D37" s="1" t="str">
        <f ca="1">IFERROR(VLOOKUP(C37,'Question structure'!A:E,3,0),"")</f>
        <v>8.2.1</v>
      </c>
      <c r="E37" t="str">
        <f ca="1">IFERROR(VLOOKUP(D37&amp;"Viet",'Question structure'!D:H,2,0),"")</f>
        <v>Tại sao cậu muốn biết?</v>
      </c>
      <c r="F37" t="str">
        <f ca="1">IFERROR(VLOOKUP(D37&amp;"Eng",'Question structure'!D:H,2,0),"")</f>
        <v>Why do you want to know?</v>
      </c>
    </row>
    <row r="38" spans="1:6" x14ac:dyDescent="0.25">
      <c r="A38">
        <f t="shared" si="1"/>
        <v>35</v>
      </c>
      <c r="B38">
        <f t="shared" ca="1" si="0"/>
        <v>141</v>
      </c>
      <c r="C38" s="1">
        <f ca="1">IFERROR($C$1-1+_xlfn.RANK.EQ(B38,$B$4:$B$78)+COUNTIF(B$4:$B38,B38)-1,"")</f>
        <v>21</v>
      </c>
      <c r="D38" s="1" t="str">
        <f ca="1">IFERROR(VLOOKUP(C38,'Question structure'!A:E,3,0),"")</f>
        <v>2.3.2</v>
      </c>
      <c r="E38" t="str">
        <f ca="1">IFERROR(VLOOKUP(D38&amp;"Viet",'Question structure'!D:H,2,0),"")</f>
        <v>Cậu nghĩ anh ấy muốn ăn gì?</v>
      </c>
      <c r="F38" t="str">
        <f ca="1">IFERROR(VLOOKUP(D38&amp;"Eng",'Question structure'!D:H,2,0),"")</f>
        <v>What do you think he wants to eat?</v>
      </c>
    </row>
    <row r="39" spans="1:6" x14ac:dyDescent="0.25">
      <c r="A39">
        <f t="shared" si="1"/>
        <v>36</v>
      </c>
      <c r="B39">
        <f t="shared" ca="1" si="0"/>
        <v>125</v>
      </c>
      <c r="C39" s="1">
        <f ca="1">IFERROR($C$1-1+_xlfn.RANK.EQ(B39,$B$4:$B$78)+COUNTIF(B$4:$B39,B39)-1,"")</f>
        <v>31</v>
      </c>
      <c r="D39" s="1" t="str">
        <f ca="1">IFERROR(VLOOKUP(C39,'Question structure'!A:E,3,0),"")</f>
        <v>3.3.2</v>
      </c>
      <c r="E39" t="str">
        <f ca="1">IFERROR(VLOOKUP(D39&amp;"Viet",'Question structure'!D:H,2,0),"")</f>
        <v>Cậu có muốn tôi giúp không?</v>
      </c>
      <c r="F39" t="str">
        <f ca="1">IFERROR(VLOOKUP(D39&amp;"Eng",'Question structure'!D:H,2,0),"")</f>
        <v>Do you want me to help you?</v>
      </c>
    </row>
    <row r="40" spans="1:6" x14ac:dyDescent="0.25">
      <c r="A40">
        <f t="shared" si="1"/>
        <v>37</v>
      </c>
      <c r="B40">
        <f t="shared" ca="1" si="0"/>
        <v>122</v>
      </c>
      <c r="C40" s="1">
        <f ca="1">IFERROR($C$1-1+_xlfn.RANK.EQ(B40,$B$4:$B$78)+COUNTIF(B$4:$B40,B40)-1,"")</f>
        <v>32</v>
      </c>
      <c r="D40" s="1" t="str">
        <f ca="1">IFERROR(VLOOKUP(C40,'Question structure'!A:E,3,0),"")</f>
        <v>3.3.3</v>
      </c>
      <c r="E40" t="str">
        <f ca="1">IFERROR(VLOOKUP(D40&amp;"Viet",'Question structure'!D:H,2,0),"")</f>
        <v>Cậu có muốn tôi mua đồ uống cho cậu không?</v>
      </c>
      <c r="F40" t="str">
        <f ca="1">IFERROR(VLOOKUP(D40&amp;"Eng",'Question structure'!D:H,2,0),"")</f>
        <v>Do you want me to buy a drink?</v>
      </c>
    </row>
    <row r="41" spans="1:6" x14ac:dyDescent="0.25">
      <c r="A41">
        <f t="shared" si="1"/>
        <v>38</v>
      </c>
      <c r="B41">
        <f t="shared" ca="1" si="0"/>
        <v>20</v>
      </c>
      <c r="C41" s="1">
        <f ca="1">IFERROR($C$1-1+_xlfn.RANK.EQ(B41,$B$4:$B$78)+COUNTIF(B$4:$B41,B41)-1,"")</f>
        <v>70</v>
      </c>
      <c r="D41" s="1" t="str">
        <f ca="1">IFERROR(VLOOKUP(C41,'Question structure'!A:E,3,0),"")</f>
        <v>9.1.1</v>
      </c>
      <c r="E41" t="str">
        <f ca="1">IFERROR(VLOOKUP(D41&amp;"Viet",'Question structure'!D:H,2,0),"")</f>
        <v>Sao cậu lại hào phóng thế?</v>
      </c>
      <c r="F41" t="str">
        <f ca="1">IFERROR(VLOOKUP(D41&amp;"Eng",'Question structure'!D:H,2,0),"")</f>
        <v>How come you are so generous?</v>
      </c>
    </row>
    <row r="42" spans="1:6" x14ac:dyDescent="0.25">
      <c r="A42">
        <f t="shared" si="1"/>
        <v>39</v>
      </c>
      <c r="B42">
        <f t="shared" ca="1" si="0"/>
        <v>48</v>
      </c>
      <c r="C42" s="1">
        <f ca="1">IFERROR($C$1-1+_xlfn.RANK.EQ(B42,$B$4:$B$78)+COUNTIF(B$4:$B42,B42)-1,"")</f>
        <v>63</v>
      </c>
      <c r="D42" s="1" t="str">
        <f ca="1">IFERROR(VLOOKUP(C42,'Question structure'!A:E,3,0),"")</f>
        <v>8.1.3</v>
      </c>
      <c r="E42" t="str">
        <f ca="1">IFERROR(VLOOKUP(D42&amp;"Viet",'Question structure'!D:H,2,0),"")</f>
        <v>Sao cậu ăn diện thể</v>
      </c>
      <c r="F42" t="str">
        <f ca="1">IFERROR(VLOOKUP(D42&amp;"Eng",'Question structure'!D:H,2,0),"")</f>
        <v>Why are you so dressed up?</v>
      </c>
    </row>
    <row r="43" spans="1:6" x14ac:dyDescent="0.25">
      <c r="A43">
        <f t="shared" si="1"/>
        <v>40</v>
      </c>
      <c r="B43">
        <f t="shared" ca="1" si="0"/>
        <v>3</v>
      </c>
      <c r="C43" s="1">
        <f ca="1">IFERROR($C$1-1+_xlfn.RANK.EQ(B43,$B$4:$B$78)+COUNTIF(B$4:$B43,B43)-1,"")</f>
        <v>74</v>
      </c>
      <c r="D43" s="1" t="str">
        <f ca="1">IFERROR(VLOOKUP(C43,'Question structure'!A:E,3,0),"")</f>
        <v>9.2.1</v>
      </c>
      <c r="E43" t="str">
        <f ca="1">IFERROR(VLOOKUP(D43&amp;"Viet",'Question structure'!D:H,2,0),"")</f>
        <v>Sao cậu lại tô son?</v>
      </c>
      <c r="F43" t="str">
        <f ca="1">IFERROR(VLOOKUP(D43&amp;"Eng",'Question structure'!D:H,2,0),"")</f>
        <v>How come you put lipstick on?</v>
      </c>
    </row>
    <row r="44" spans="1:6" x14ac:dyDescent="0.25">
      <c r="A44">
        <f t="shared" si="1"/>
        <v>41</v>
      </c>
      <c r="B44">
        <f t="shared" ca="1" si="0"/>
        <v>3</v>
      </c>
      <c r="C44" s="1">
        <f ca="1">IFERROR($C$1-1+_xlfn.RANK.EQ(B44,$B$4:$B$78)+COUNTIF(B$4:$B44,B44)-1,"")</f>
        <v>75</v>
      </c>
      <c r="D44" s="1" t="str">
        <f ca="1">IFERROR(VLOOKUP(C44,'Question structure'!A:E,3,0),"")</f>
        <v>9.2.2</v>
      </c>
      <c r="E44" t="str">
        <f ca="1">IFERROR(VLOOKUP(D44&amp;"Viet",'Question structure'!D:H,2,0),"")</f>
        <v>Sao cậu lại biết rõ về tôi như vậy?</v>
      </c>
      <c r="F44" t="str">
        <f ca="1">IFERROR(VLOOKUP(D44&amp;"Eng",'Question structure'!D:H,2,0),"")</f>
        <v>How come you know so much about me?</v>
      </c>
    </row>
    <row r="45" spans="1:6" x14ac:dyDescent="0.25">
      <c r="A45">
        <f t="shared" si="1"/>
        <v>42</v>
      </c>
      <c r="B45">
        <f t="shared" ca="1" si="0"/>
        <v>144</v>
      </c>
      <c r="C45" s="1">
        <f ca="1">IFERROR($C$1-1+_xlfn.RANK.EQ(B45,$B$4:$B$78)+COUNTIF(B$4:$B45,B45)-1,"")</f>
        <v>17</v>
      </c>
      <c r="D45" s="1" t="str">
        <f ca="1">IFERROR(VLOOKUP(C45,'Question structure'!A:E,3,0),"")</f>
        <v>2.2.1</v>
      </c>
      <c r="E45" t="str">
        <f ca="1">IFERROR(VLOOKUP(D45&amp;"Viet",'Question structure'!D:H,2,0),"")</f>
        <v>Cậu nghĩ thế nào về điều đó?</v>
      </c>
      <c r="F45" t="str">
        <f ca="1">IFERROR(VLOOKUP(D45&amp;"Eng",'Question structure'!D:H,2,0),"")</f>
        <v>What do you think about that?</v>
      </c>
    </row>
    <row r="46" spans="1:6" x14ac:dyDescent="0.25">
      <c r="A46">
        <f t="shared" si="1"/>
        <v>43</v>
      </c>
      <c r="B46">
        <f t="shared" ca="1" si="0"/>
        <v>8</v>
      </c>
      <c r="C46" s="1">
        <f ca="1">IFERROR($C$1-1+_xlfn.RANK.EQ(B46,$B$4:$B$78)+COUNTIF(B$4:$B46,B46)-1,"")</f>
        <v>72</v>
      </c>
      <c r="D46" s="1" t="str">
        <f ca="1">IFERROR(VLOOKUP(C46,'Question structure'!A:E,3,0),"")</f>
        <v>9.1.3</v>
      </c>
      <c r="E46" t="str">
        <f ca="1">IFERROR(VLOOKUP(D46&amp;"Viet",'Question structure'!D:H,2,0),"")</f>
        <v>Sao cậu nói xấu tôi?</v>
      </c>
      <c r="F46" t="str">
        <f ca="1">IFERROR(VLOOKUP(D46&amp;"Eng",'Question structure'!D:H,2,0),"")</f>
        <v>How come you are calling me bad names?</v>
      </c>
    </row>
    <row r="47" spans="1:6" x14ac:dyDescent="0.25">
      <c r="A47">
        <f t="shared" si="1"/>
        <v>44</v>
      </c>
      <c r="B47">
        <f t="shared" ca="1" si="0"/>
        <v>113</v>
      </c>
      <c r="C47" s="1">
        <f ca="1">IFERROR($C$1-1+_xlfn.RANK.EQ(B47,$B$4:$B$78)+COUNTIF(B$4:$B47,B47)-1,"")</f>
        <v>36</v>
      </c>
      <c r="D47" s="1" t="str">
        <f ca="1">IFERROR(VLOOKUP(C47,'Question structure'!A:E,3,0),"")</f>
        <v>4.1.3</v>
      </c>
      <c r="E47" t="str">
        <f ca="1">IFERROR(VLOOKUP(D47&amp;"Viet",'Question structure'!D:H,2,0),"")</f>
        <v>Cậu muốn nói gì với tôi?</v>
      </c>
      <c r="F47" t="str">
        <f ca="1">IFERROR(VLOOKUP(D47&amp;"Eng",'Question structure'!D:H,2,0),"")</f>
        <v>What do you want to say to me?</v>
      </c>
    </row>
    <row r="48" spans="1:6" x14ac:dyDescent="0.25">
      <c r="A48">
        <f t="shared" si="1"/>
        <v>45</v>
      </c>
      <c r="B48">
        <f t="shared" ca="1" si="0"/>
        <v>136</v>
      </c>
      <c r="C48" s="1">
        <f ca="1">IFERROR($C$1-1+_xlfn.RANK.EQ(B48,$B$4:$B$78)+COUNTIF(B$4:$B48,B48)-1,"")</f>
        <v>27</v>
      </c>
      <c r="D48" s="1" t="str">
        <f ca="1">IFERROR(VLOOKUP(C48,'Question structure'!A:E,3,0),"")</f>
        <v>3.2.2</v>
      </c>
      <c r="E48" t="str">
        <f ca="1">IFERROR(VLOOKUP(D48&amp;"Viet",'Question structure'!D:H,2,0),"")</f>
        <v>Cậu có muốn đi với tôi không?</v>
      </c>
      <c r="F48" t="str">
        <f ca="1">IFERROR(VLOOKUP(D48&amp;"Eng",'Question structure'!D:H,2,0),"")</f>
        <v>Do you want to come with me?</v>
      </c>
    </row>
    <row r="49" spans="1:6" x14ac:dyDescent="0.25">
      <c r="A49">
        <f t="shared" si="1"/>
        <v>46</v>
      </c>
      <c r="B49">
        <f t="shared" ca="1" si="0"/>
        <v>96</v>
      </c>
      <c r="C49" s="1">
        <f ca="1">IFERROR($C$1-1+_xlfn.RANK.EQ(B49,$B$4:$B$78)+COUNTIF(B$4:$B49,B49)-1,"")</f>
        <v>45</v>
      </c>
      <c r="D49" s="1" t="str">
        <f ca="1">IFERROR(VLOOKUP(C49,'Question structure'!A:E,3,0),"")</f>
        <v>5.1.3</v>
      </c>
      <c r="E49" t="str">
        <f ca="1">IFERROR(VLOOKUP(D49&amp;"Viet",'Question structure'!D:H,2,0),"")</f>
        <v>Tôi nên chuẩn bị gì cho chuyện đó?</v>
      </c>
      <c r="F49" t="str">
        <f ca="1">IFERROR(VLOOKUP(D49&amp;"Eng",'Question structure'!D:H,2,0),"")</f>
        <v>What should I prepare for that?</v>
      </c>
    </row>
    <row r="50" spans="1:6" x14ac:dyDescent="0.25">
      <c r="A50">
        <f t="shared" si="1"/>
        <v>47</v>
      </c>
      <c r="B50">
        <f t="shared" ca="1" si="0"/>
        <v>70</v>
      </c>
      <c r="C50" s="1">
        <f ca="1">IFERROR($C$1-1+_xlfn.RANK.EQ(B50,$B$4:$B$78)+COUNTIF(B$4:$B50,B50)-1,"")</f>
        <v>55</v>
      </c>
      <c r="D50" s="1" t="str">
        <f ca="1">IFERROR(VLOOKUP(C50,'Question structure'!A:E,3,0),"")</f>
        <v>7.2.1</v>
      </c>
      <c r="E50" t="str">
        <f ca="1">IFERROR(VLOOKUP(D50&amp;"Viet",'Question structure'!D:H,2,0),"")</f>
        <v>Cậu có định làm nó không?</v>
      </c>
      <c r="F50" t="str">
        <f ca="1">IFERROR(VLOOKUP(D50&amp;"Eng",'Question structure'!D:H,2,0),"")</f>
        <v>Are you planning to do it?</v>
      </c>
    </row>
    <row r="51" spans="1:6" x14ac:dyDescent="0.25">
      <c r="A51">
        <f t="shared" si="1"/>
        <v>48</v>
      </c>
      <c r="B51">
        <f t="shared" ca="1" si="0"/>
        <v>184</v>
      </c>
      <c r="C51" s="1">
        <f ca="1">IFERROR($C$1-1+_xlfn.RANK.EQ(B51,$B$4:$B$78)+COUNTIF(B$4:$B51,B51)-1,"")</f>
        <v>1</v>
      </c>
      <c r="D51" s="1" t="str">
        <f ca="1">IFERROR(VLOOKUP(C51,'Question structure'!A:E,3,0),"")</f>
        <v>1.1.1</v>
      </c>
      <c r="E51" t="str">
        <f ca="1">IFERROR(VLOOKUP(D51&amp;"Viet",'Question structure'!D:H,2,0),"")</f>
        <v>Thời tiết thế nào?</v>
      </c>
      <c r="F51" t="str">
        <f ca="1">IFERROR(VLOOKUP(D51&amp;"Eng",'Question structure'!D:H,2,0),"")</f>
        <v>How is the weather?</v>
      </c>
    </row>
    <row r="52" spans="1:6" x14ac:dyDescent="0.25">
      <c r="A52">
        <f t="shared" si="1"/>
        <v>49</v>
      </c>
      <c r="B52">
        <f t="shared" ca="1" si="0"/>
        <v>116</v>
      </c>
      <c r="C52" s="1">
        <f ca="1">IFERROR($C$1-1+_xlfn.RANK.EQ(B52,$B$4:$B$78)+COUNTIF(B$4:$B52,B52)-1,"")</f>
        <v>34</v>
      </c>
      <c r="D52" s="1" t="str">
        <f ca="1">IFERROR(VLOOKUP(C52,'Question structure'!A:E,3,0),"")</f>
        <v>4.1.1</v>
      </c>
      <c r="E52" t="str">
        <f ca="1">IFERROR(VLOOKUP(D52&amp;"Viet",'Question structure'!D:H,2,0),"")</f>
        <v>Cậu muốn làm gì?</v>
      </c>
      <c r="F52" t="str">
        <f ca="1">IFERROR(VLOOKUP(D52&amp;"Eng",'Question structure'!D:H,2,0),"")</f>
        <v>What do you want to do?</v>
      </c>
    </row>
    <row r="53" spans="1:6" x14ac:dyDescent="0.25">
      <c r="A53">
        <f t="shared" si="1"/>
        <v>50</v>
      </c>
      <c r="B53">
        <f t="shared" ca="1" si="0"/>
        <v>113</v>
      </c>
      <c r="C53" s="1">
        <f ca="1">IFERROR($C$1-1+_xlfn.RANK.EQ(B53,$B$4:$B$78)+COUNTIF(B$4:$B53,B53)-1,"")</f>
        <v>37</v>
      </c>
      <c r="D53" s="1" t="str">
        <f ca="1">IFERROR(VLOOKUP(C53,'Question structure'!A:E,3,0),"")</f>
        <v>4.2.1</v>
      </c>
      <c r="E53" t="str">
        <f ca="1">IFERROR(VLOOKUP(D53&amp;"Viet",'Question structure'!D:H,2,0),"")</f>
        <v>Cậu muốn tôi mặc cái gì?</v>
      </c>
      <c r="F53" t="str">
        <f ca="1">IFERROR(VLOOKUP(D53&amp;"Eng",'Question structure'!D:H,2,0),"")</f>
        <v>What do you want me to put on?</v>
      </c>
    </row>
    <row r="54" spans="1:6" x14ac:dyDescent="0.25">
      <c r="A54">
        <f t="shared" si="1"/>
        <v>51</v>
      </c>
      <c r="B54">
        <f t="shared" ca="1" si="0"/>
        <v>178</v>
      </c>
      <c r="C54" s="1">
        <f ca="1">IFERROR($C$1-1+_xlfn.RANK.EQ(B54,$B$4:$B$78)+COUNTIF(B$4:$B54,B54)-1,"")</f>
        <v>5</v>
      </c>
      <c r="D54" s="1" t="str">
        <f ca="1">IFERROR(VLOOKUP(C54,'Question structure'!A:E,3,0),"")</f>
        <v>1.2.1</v>
      </c>
      <c r="E54" t="str">
        <f ca="1">IFERROR(VLOOKUP(D54&amp;"Viet",'Question structure'!D:H,2,0),"")</f>
        <v>Nó tệ đến mức nào?</v>
      </c>
      <c r="F54" t="str">
        <f ca="1">IFERROR(VLOOKUP(D54&amp;"Eng",'Question structure'!D:H,2,0),"")</f>
        <v>How bad is it?</v>
      </c>
    </row>
    <row r="55" spans="1:6" x14ac:dyDescent="0.25">
      <c r="A55">
        <f t="shared" si="1"/>
        <v>52</v>
      </c>
      <c r="B55">
        <f t="shared" ca="1" si="0"/>
        <v>118</v>
      </c>
      <c r="C55" s="1">
        <f ca="1">IFERROR($C$1-1+_xlfn.RANK.EQ(B55,$B$4:$B$78)+COUNTIF(B$4:$B55,B55)-1,"")</f>
        <v>33</v>
      </c>
      <c r="D55" s="1" t="str">
        <f ca="1">IFERROR(VLOOKUP(C55,'Question structure'!A:E,3,0),"")</f>
        <v>3.3.4</v>
      </c>
      <c r="E55" t="str">
        <f ca="1">IFERROR(VLOOKUP(D55&amp;"Viet",'Question structure'!D:H,2,0),"")</f>
        <v>Cậu có muốn tôi lái xe đưa cậu về không?</v>
      </c>
      <c r="F55" t="str">
        <f ca="1">IFERROR(VLOOKUP(D55&amp;"Eng",'Question structure'!D:H,2,0),"")</f>
        <v>Do you want me to drive you home?</v>
      </c>
    </row>
    <row r="56" spans="1:6" x14ac:dyDescent="0.25">
      <c r="A56">
        <f t="shared" si="1"/>
        <v>53</v>
      </c>
      <c r="B56">
        <f t="shared" ca="1" si="0"/>
        <v>60</v>
      </c>
      <c r="C56" s="1">
        <f ca="1">IFERROR($C$1-1+_xlfn.RANK.EQ(B56,$B$4:$B$78)+COUNTIF(B$4:$B56,B56)-1,"")</f>
        <v>59</v>
      </c>
      <c r="D56" s="1" t="str">
        <f ca="1">IFERROR(VLOOKUP(C56,'Question structure'!A:E,3,0),"")</f>
        <v>7.3.2</v>
      </c>
      <c r="E56" t="str">
        <f ca="1">IFERROR(VLOOKUP(D56&amp;"Viet",'Question structure'!D:H,2,0),"")</f>
        <v>Tối nay cậu có hẹn không?</v>
      </c>
      <c r="F56" t="str">
        <f ca="1">IFERROR(VLOOKUP(D56&amp;"Eng",'Question structure'!D:H,2,0),"")</f>
        <v>Do you have plans for this evening?</v>
      </c>
    </row>
    <row r="57" spans="1:6" x14ac:dyDescent="0.25">
      <c r="A57">
        <f t="shared" si="1"/>
        <v>54</v>
      </c>
      <c r="B57">
        <f t="shared" ca="1" si="0"/>
        <v>183</v>
      </c>
      <c r="C57" s="1">
        <f ca="1">IFERROR($C$1-1+_xlfn.RANK.EQ(B57,$B$4:$B$78)+COUNTIF(B$4:$B57,B57)-1,"")</f>
        <v>2</v>
      </c>
      <c r="D57" s="1" t="str">
        <f ca="1">IFERROR(VLOOKUP(C57,'Question structure'!A:E,3,0),"")</f>
        <v>1.1.2</v>
      </c>
      <c r="E57" t="str">
        <f ca="1">IFERROR(VLOOKUP(D57&amp;"Viet",'Question structure'!D:H,2,0),"")</f>
        <v>Anh ấy khoẻ chứ?</v>
      </c>
      <c r="F57" t="str">
        <f ca="1">IFERROR(VLOOKUP(D57&amp;"Eng",'Question structure'!D:H,2,0),"")</f>
        <v>How is he?</v>
      </c>
    </row>
    <row r="58" spans="1:6" x14ac:dyDescent="0.25">
      <c r="A58">
        <f t="shared" si="1"/>
        <v>55</v>
      </c>
      <c r="B58">
        <f t="shared" ca="1" si="0"/>
        <v>141</v>
      </c>
      <c r="C58" s="1">
        <f ca="1">IFERROR($C$1-1+_xlfn.RANK.EQ(B58,$B$4:$B$78)+COUNTIF(B$4:$B58,B58)-1,"")</f>
        <v>22</v>
      </c>
      <c r="D58" s="1" t="str">
        <f ca="1">IFERROR(VLOOKUP(C58,'Question structure'!A:E,3,0),"")</f>
        <v>2.3.3</v>
      </c>
      <c r="E58" t="str">
        <f ca="1">IFERROR(VLOOKUP(D58&amp;"Viet",'Question structure'!D:H,2,0),"")</f>
        <v>Cậu nghĩ chúng ta nên làm gì?</v>
      </c>
      <c r="F58" t="str">
        <f ca="1">IFERROR(VLOOKUP(D58&amp;"Eng",'Question structure'!D:H,2,0),"")</f>
        <v>What do you think we should do?</v>
      </c>
    </row>
    <row r="59" spans="1:6" x14ac:dyDescent="0.25">
      <c r="A59">
        <f t="shared" si="1"/>
        <v>56</v>
      </c>
      <c r="B59">
        <f t="shared" ca="1" si="0"/>
        <v>179</v>
      </c>
      <c r="C59" s="1">
        <f ca="1">IFERROR($C$1-1+_xlfn.RANK.EQ(B59,$B$4:$B$78)+COUNTIF(B$4:$B59,B59)-1,"")</f>
        <v>4</v>
      </c>
      <c r="D59" s="1" t="str">
        <f ca="1">IFERROR(VLOOKUP(C59,'Question structure'!A:E,3,0),"")</f>
        <v>1.1.4</v>
      </c>
      <c r="E59" t="str">
        <f ca="1">IFERROR(VLOOKUP(D59&amp;"Viet",'Question structure'!D:H,2,0),"")</f>
        <v>Cậu dạo này thế nào?</v>
      </c>
      <c r="F59" t="str">
        <f ca="1">IFERROR(VLOOKUP(D59&amp;"Eng",'Question structure'!D:H,2,0),"")</f>
        <v>How are you doing?</v>
      </c>
    </row>
    <row r="60" spans="1:6" x14ac:dyDescent="0.25">
      <c r="A60">
        <f t="shared" si="1"/>
        <v>57</v>
      </c>
      <c r="B60">
        <f t="shared" ca="1" si="0"/>
        <v>24</v>
      </c>
      <c r="C60" s="1">
        <f ca="1">IFERROR($C$1-1+_xlfn.RANK.EQ(B60,$B$4:$B$78)+COUNTIF(B$4:$B60,B60)-1,"")</f>
        <v>68</v>
      </c>
      <c r="D60" s="1" t="str">
        <f ca="1">IFERROR(VLOOKUP(C60,'Question structure'!A:E,3,0),"")</f>
        <v>8.3.2</v>
      </c>
      <c r="E60" t="str">
        <f ca="1">IFERROR(VLOOKUP(D60&amp;"Viet",'Question structure'!D:H,2,0),"")</f>
        <v>Tại sao cậu gọi cho tôi muộn thế?</v>
      </c>
      <c r="F60" t="str">
        <f ca="1">IFERROR(VLOOKUP(D60&amp;"Eng",'Question structure'!D:H,2,0),"")</f>
        <v>Why did you call me so late?</v>
      </c>
    </row>
    <row r="61" spans="1:6" x14ac:dyDescent="0.25">
      <c r="A61">
        <f t="shared" si="1"/>
        <v>58</v>
      </c>
      <c r="B61">
        <f t="shared" ca="1" si="0"/>
        <v>130</v>
      </c>
      <c r="C61" s="1">
        <f ca="1">IFERROR($C$1-1+_xlfn.RANK.EQ(B61,$B$4:$B$78)+COUNTIF(B$4:$B61,B61)-1,"")</f>
        <v>30</v>
      </c>
      <c r="D61" s="1" t="str">
        <f ca="1">IFERROR(VLOOKUP(C61,'Question structure'!A:E,3,0),"")</f>
        <v>3.3.1</v>
      </c>
      <c r="E61" t="str">
        <f ca="1">IFERROR(VLOOKUP(D61&amp;"Viet",'Question structure'!D:H,2,0),"")</f>
        <v>Cậu có muốn tôi xử lý anh ta không?</v>
      </c>
      <c r="F61" t="str">
        <f ca="1">IFERROR(VLOOKUP(D61&amp;"Eng",'Question structure'!D:H,2,0),"")</f>
        <v>Do you want me to deal with him?</v>
      </c>
    </row>
    <row r="62" spans="1:6" x14ac:dyDescent="0.25">
      <c r="A62">
        <f t="shared" si="1"/>
        <v>59</v>
      </c>
      <c r="B62">
        <f t="shared" ca="1" si="0"/>
        <v>166</v>
      </c>
      <c r="C62" s="1">
        <f ca="1">IFERROR($C$1-1+_xlfn.RANK.EQ(B62,$B$4:$B$78)+COUNTIF(B$4:$B62,B62)-1,"")</f>
        <v>10</v>
      </c>
      <c r="D62" s="1" t="str">
        <f ca="1">IFERROR(VLOOKUP(C62,'Question structure'!A:E,3,0),"")</f>
        <v>1.3.2</v>
      </c>
      <c r="E62" t="str">
        <f ca="1">IFERROR(VLOOKUP(D62&amp;"Viet",'Question structure'!D:H,2,0),"")</f>
        <v>Đêm qua thế nào?</v>
      </c>
      <c r="F62" t="str">
        <f ca="1">IFERROR(VLOOKUP(D62&amp;"Eng",'Question structure'!D:H,2,0),"")</f>
        <v>How was your night?</v>
      </c>
    </row>
    <row r="63" spans="1:6" x14ac:dyDescent="0.25">
      <c r="A63">
        <f t="shared" si="1"/>
        <v>60</v>
      </c>
      <c r="B63">
        <f t="shared" ca="1" si="0"/>
        <v>106</v>
      </c>
      <c r="C63" s="1">
        <f ca="1">IFERROR($C$1-1+_xlfn.RANK.EQ(B63,$B$4:$B$78)+COUNTIF(B$4:$B63,B63)-1,"")</f>
        <v>43</v>
      </c>
      <c r="D63" s="1" t="str">
        <f ca="1">IFERROR(VLOOKUP(C63,'Question structure'!A:E,3,0),"")</f>
        <v>5.1.1</v>
      </c>
      <c r="E63" t="str">
        <f ca="1">IFERROR(VLOOKUP(D63&amp;"Viet",'Question structure'!D:H,2,0),"")</f>
        <v>Tôi nên làm gì với nó?</v>
      </c>
      <c r="F63" t="str">
        <f ca="1">IFERROR(VLOOKUP(D63&amp;"Eng",'Question structure'!D:H,2,0),"")</f>
        <v>What should I do with it?</v>
      </c>
    </row>
    <row r="64" spans="1:6" x14ac:dyDescent="0.25">
      <c r="A64">
        <f t="shared" si="1"/>
        <v>61</v>
      </c>
      <c r="B64">
        <f t="shared" ca="1" si="0"/>
        <v>171</v>
      </c>
      <c r="C64" s="1">
        <f ca="1">IFERROR($C$1-1+_xlfn.RANK.EQ(B64,$B$4:$B$78)+COUNTIF(B$4:$B64,B64)-1,"")</f>
        <v>8</v>
      </c>
      <c r="D64" s="1" t="str">
        <f ca="1">IFERROR(VLOOKUP(C64,'Question structure'!A:E,3,0),"")</f>
        <v>1.2.4</v>
      </c>
      <c r="E64" t="str">
        <f ca="1">IFERROR(VLOOKUP(D64&amp;"Viet",'Question structure'!D:H,2,0),"")</f>
        <v>Nó khó đến mức nào?</v>
      </c>
      <c r="F64" t="str">
        <f ca="1">IFERROR(VLOOKUP(D64&amp;"Eng",'Question structure'!D:H,2,0),"")</f>
        <v>How difficult is it?</v>
      </c>
    </row>
    <row r="65" spans="1:6" x14ac:dyDescent="0.25">
      <c r="A65">
        <f t="shared" si="1"/>
        <v>62</v>
      </c>
      <c r="B65">
        <f t="shared" ca="1" si="0"/>
        <v>139</v>
      </c>
      <c r="C65" s="1">
        <f ca="1">IFERROR($C$1-1+_xlfn.RANK.EQ(B65,$B$4:$B$78)+COUNTIF(B$4:$B65,B65)-1,"")</f>
        <v>25</v>
      </c>
      <c r="D65" s="1" t="str">
        <f ca="1">IFERROR(VLOOKUP(C65,'Question structure'!A:E,3,0),"")</f>
        <v>3.1.3</v>
      </c>
      <c r="E65" t="str">
        <f ca="1">IFERROR(VLOOKUP(D65&amp;"Viet",'Question structure'!D:H,2,0),"")</f>
        <v>Cậu có muốn ăn thêm không?</v>
      </c>
      <c r="F65" t="str">
        <f ca="1">IFERROR(VLOOKUP(D65&amp;"Eng",'Question structure'!D:H,2,0),"")</f>
        <v>Do you want some more?</v>
      </c>
    </row>
    <row r="66" spans="1:6" x14ac:dyDescent="0.25">
      <c r="A66">
        <f t="shared" si="1"/>
        <v>63</v>
      </c>
      <c r="B66">
        <f t="shared" ca="1" si="0"/>
        <v>50</v>
      </c>
      <c r="C66" s="1">
        <f ca="1">IFERROR($C$1-1+_xlfn.RANK.EQ(B66,$B$4:$B$78)+COUNTIF(B$4:$B66,B66)-1,"")</f>
        <v>61</v>
      </c>
      <c r="D66" s="1" t="str">
        <f ca="1">IFERROR(VLOOKUP(C66,'Question structure'!A:E,3,0),"")</f>
        <v>8.1.1</v>
      </c>
      <c r="E66" t="str">
        <f ca="1">IFERROR(VLOOKUP(D66&amp;"Viet",'Question structure'!D:H,2,0),"")</f>
        <v>Tại sao cậu buồn?</v>
      </c>
      <c r="F66" t="str">
        <f ca="1">IFERROR(VLOOKUP(D66&amp;"Eng",'Question structure'!D:H,2,0),"")</f>
        <v>Why are you upset?</v>
      </c>
    </row>
    <row r="67" spans="1:6" x14ac:dyDescent="0.25">
      <c r="A67">
        <f t="shared" si="1"/>
        <v>64</v>
      </c>
      <c r="B67">
        <f t="shared" ca="1" si="0"/>
        <v>21</v>
      </c>
      <c r="C67" s="1">
        <f ca="1">IFERROR($C$1-1+_xlfn.RANK.EQ(B67,$B$4:$B$78)+COUNTIF(B$4:$B67,B67)-1,"")</f>
        <v>69</v>
      </c>
      <c r="D67" s="1" t="str">
        <f ca="1">IFERROR(VLOOKUP(C67,'Question structure'!A:E,3,0),"")</f>
        <v>8.3.3</v>
      </c>
      <c r="E67" t="str">
        <f ca="1">IFERROR(VLOOKUP(D67&amp;"Viet",'Question structure'!D:H,2,0),"")</f>
        <v>Tại sao cậu lại nói cho tôi sự thật?</v>
      </c>
      <c r="F67" t="str">
        <f ca="1">IFERROR(VLOOKUP(D67&amp;"Eng",'Question structure'!D:H,2,0),"")</f>
        <v>Why did you tell me the truth?</v>
      </c>
    </row>
    <row r="68" spans="1:6" x14ac:dyDescent="0.25">
      <c r="A68">
        <f t="shared" si="1"/>
        <v>65</v>
      </c>
      <c r="B68">
        <f t="shared" ref="B68:B131" ca="1" si="2">IF(A68="","",RANDBETWEEN($C$1,$C$2))</f>
        <v>15</v>
      </c>
      <c r="C68" s="1">
        <f ca="1">IFERROR($C$1-1+_xlfn.RANK.EQ(B68,$B$4:$B$78)+COUNTIF(B$4:$B68,B68)-1,"")</f>
        <v>71</v>
      </c>
      <c r="D68" s="1" t="str">
        <f ca="1">IFERROR(VLOOKUP(C68,'Question structure'!A:E,3,0),"")</f>
        <v>9.1.2</v>
      </c>
      <c r="E68" t="str">
        <f ca="1">IFERROR(VLOOKUP(D68&amp;"Viet",'Question structure'!D:H,2,0),"")</f>
        <v>Sao cậu lại ốm thế?</v>
      </c>
      <c r="F68" t="str">
        <f ca="1">IFERROR(VLOOKUP(D68&amp;"Eng",'Question structure'!D:H,2,0),"")</f>
        <v>How come you are so sick?</v>
      </c>
    </row>
    <row r="69" spans="1:6" x14ac:dyDescent="0.25">
      <c r="A69">
        <f t="shared" si="1"/>
        <v>66</v>
      </c>
      <c r="B69">
        <f t="shared" ca="1" si="2"/>
        <v>86</v>
      </c>
      <c r="C69" s="1">
        <f ca="1">IFERROR($C$1-1+_xlfn.RANK.EQ(B69,$B$4:$B$78)+COUNTIF(B$4:$B69,B69)-1,"")</f>
        <v>52</v>
      </c>
      <c r="D69" s="1" t="str">
        <f ca="1">IFERROR(VLOOKUP(C69,'Question structure'!A:E,3,0),"")</f>
        <v>7.1.1</v>
      </c>
      <c r="E69" t="str">
        <f ca="1">IFERROR(VLOOKUP(D69&amp;"Viet",'Question structure'!D:H,2,0),"")</f>
        <v>Cậu dự định sẽ làm gì vào Giáng sinh?</v>
      </c>
      <c r="F69" t="str">
        <f ca="1">IFERROR(VLOOKUP(D69&amp;"Eng",'Question structure'!D:H,2,0),"")</f>
        <v>What are you going to do on Christmas?</v>
      </c>
    </row>
    <row r="70" spans="1:6" x14ac:dyDescent="0.25">
      <c r="A70">
        <f t="shared" ref="A70:A133" si="3">IFERROR(IF(A69+1&gt;$C$2,"",A69+1),"")</f>
        <v>67</v>
      </c>
      <c r="B70">
        <f t="shared" ca="1" si="2"/>
        <v>28</v>
      </c>
      <c r="C70" s="1">
        <f ca="1">IFERROR($C$1-1+_xlfn.RANK.EQ(B70,$B$4:$B$78)+COUNTIF(B$4:$B70,B70)-1,"")</f>
        <v>67</v>
      </c>
      <c r="D70" s="1" t="str">
        <f ca="1">IFERROR(VLOOKUP(C70,'Question structure'!A:E,3,0),"")</f>
        <v>8.3.1</v>
      </c>
      <c r="E70" t="str">
        <f ca="1">IFERROR(VLOOKUP(D70&amp;"Viet",'Question structure'!D:H,2,0),"")</f>
        <v>Tại sao cậu lại nói dối tôi?</v>
      </c>
      <c r="F70" t="str">
        <f ca="1">IFERROR(VLOOKUP(D70&amp;"Eng",'Question structure'!D:H,2,0),"")</f>
        <v>Why did you lie to me?</v>
      </c>
    </row>
    <row r="71" spans="1:6" x14ac:dyDescent="0.25">
      <c r="A71">
        <f t="shared" si="3"/>
        <v>68</v>
      </c>
      <c r="B71">
        <f t="shared" ca="1" si="2"/>
        <v>140</v>
      </c>
      <c r="C71" s="1">
        <f ca="1">IFERROR($C$1-1+_xlfn.RANK.EQ(B71,$B$4:$B$78)+COUNTIF(B$4:$B71,B71)-1,"")</f>
        <v>23</v>
      </c>
      <c r="D71" s="1" t="str">
        <f ca="1">IFERROR(VLOOKUP(C71,'Question structure'!A:E,3,0),"")</f>
        <v>3.1.1</v>
      </c>
      <c r="E71" t="str">
        <f ca="1">IFERROR(VLOOKUP(D71&amp;"Viet",'Question structure'!D:H,2,0),"")</f>
        <v>Cậu có muốn uống Coca không?</v>
      </c>
      <c r="F71" t="str">
        <f ca="1">IFERROR(VLOOKUP(D71&amp;"Eng",'Question structure'!D:H,2,0),"")</f>
        <v>Do you want some coke?</v>
      </c>
    </row>
    <row r="72" spans="1:6" x14ac:dyDescent="0.25">
      <c r="A72">
        <f t="shared" si="3"/>
        <v>69</v>
      </c>
      <c r="B72">
        <f t="shared" ca="1" si="2"/>
        <v>106</v>
      </c>
      <c r="C72" s="1">
        <f ca="1">IFERROR($C$1-1+_xlfn.RANK.EQ(B72,$B$4:$B$78)+COUNTIF(B$4:$B72,B72)-1,"")</f>
        <v>44</v>
      </c>
      <c r="D72" s="1" t="str">
        <f ca="1">IFERROR(VLOOKUP(C72,'Question structure'!A:E,3,0),"")</f>
        <v>5.1.2</v>
      </c>
      <c r="E72" t="str">
        <f ca="1">IFERROR(VLOOKUP(D72&amp;"Viet",'Question structure'!D:H,2,0),"")</f>
        <v>Tôi nên xếp đồ gì vào hành lý xách tay?</v>
      </c>
      <c r="F72" t="str">
        <f ca="1">IFERROR(VLOOKUP(D72&amp;"Eng",'Question structure'!D:H,2,0),"")</f>
        <v>What should I pack in my carry-on?</v>
      </c>
    </row>
    <row r="73" spans="1:6" x14ac:dyDescent="0.25">
      <c r="A73">
        <f t="shared" si="3"/>
        <v>70</v>
      </c>
      <c r="B73">
        <f t="shared" ca="1" si="2"/>
        <v>182</v>
      </c>
      <c r="C73" s="1">
        <f ca="1">IFERROR($C$1-1+_xlfn.RANK.EQ(B73,$B$4:$B$78)+COUNTIF(B$4:$B73,B73)-1,"")</f>
        <v>3</v>
      </c>
      <c r="D73" s="1" t="str">
        <f ca="1">IFERROR(VLOOKUP(C73,'Question structure'!A:E,3,0),"")</f>
        <v>1.1.3</v>
      </c>
      <c r="E73" t="str">
        <f ca="1">IFERROR(VLOOKUP(D73&amp;"Viet",'Question structure'!D:H,2,0),"")</f>
        <v>Dự án đang được tiến hành như thế nào rồi?</v>
      </c>
      <c r="F73" t="str">
        <f ca="1">IFERROR(VLOOKUP(D73&amp;"Eng",'Question structure'!D:H,2,0),"")</f>
        <v>How is the project going?</v>
      </c>
    </row>
    <row r="74" spans="1:6" x14ac:dyDescent="0.25">
      <c r="A74">
        <f t="shared" si="3"/>
        <v>71</v>
      </c>
      <c r="B74">
        <f t="shared" ca="1" si="2"/>
        <v>74</v>
      </c>
      <c r="C74" s="1">
        <f ca="1">IFERROR($C$1-1+_xlfn.RANK.EQ(B74,$B$4:$B$78)+COUNTIF(B$4:$B74,B74)-1,"")</f>
        <v>54</v>
      </c>
      <c r="D74" s="1" t="str">
        <f ca="1">IFERROR(VLOOKUP(C74,'Question structure'!A:E,3,0),"")</f>
        <v>7.1.3</v>
      </c>
      <c r="E74" t="str">
        <f ca="1">IFERROR(VLOOKUP(D74&amp;"Viet",'Question structure'!D:H,2,0),"")</f>
        <v>Cậu định sẽ xin vào ngành gì?</v>
      </c>
      <c r="F74" t="str">
        <f ca="1">IFERROR(VLOOKUP(D74&amp;"Eng",'Question structure'!D:H,2,0),"")</f>
        <v>What are you going to apply for?</v>
      </c>
    </row>
    <row r="75" spans="1:6" x14ac:dyDescent="0.25">
      <c r="A75">
        <f t="shared" si="3"/>
        <v>72</v>
      </c>
      <c r="B75">
        <f t="shared" ca="1" si="2"/>
        <v>94</v>
      </c>
      <c r="C75" s="1">
        <f ca="1">IFERROR($C$1-1+_xlfn.RANK.EQ(B75,$B$4:$B$78)+COUNTIF(B$4:$B75,B75)-1,"")</f>
        <v>46</v>
      </c>
      <c r="D75" s="1" t="str">
        <f ca="1">IFERROR(VLOOKUP(C75,'Question structure'!A:E,3,0),"")</f>
        <v>5.2.1</v>
      </c>
      <c r="E75" t="str">
        <f ca="1">IFERROR(VLOOKUP(D75&amp;"Viet",'Question structure'!D:H,2,0),"")</f>
        <v>Cậu nghĩ tôi nên chú trọng đến điều gì?</v>
      </c>
      <c r="F75" t="str">
        <f ca="1">IFERROR(VLOOKUP(D75&amp;"Eng",'Question structure'!D:H,2,0),"")</f>
        <v>What do you think I should attend to?</v>
      </c>
    </row>
    <row r="76" spans="1:6" x14ac:dyDescent="0.25">
      <c r="A76">
        <f t="shared" si="3"/>
        <v>73</v>
      </c>
      <c r="B76">
        <f t="shared" ca="1" si="2"/>
        <v>68</v>
      </c>
      <c r="C76" s="1">
        <f ca="1">IFERROR($C$1-1+_xlfn.RANK.EQ(B76,$B$4:$B$78)+COUNTIF(B$4:$B76,B76)-1,"")</f>
        <v>56</v>
      </c>
      <c r="D76" s="1" t="str">
        <f ca="1">IFERROR(VLOOKUP(C76,'Question structure'!A:E,3,0),"")</f>
        <v>7.2.2</v>
      </c>
      <c r="E76" t="str">
        <f ca="1">IFERROR(VLOOKUP(D76&amp;"Viet",'Question structure'!D:H,2,0),"")</f>
        <v>Cậu có định hỗ trợ anh ấy không?</v>
      </c>
      <c r="F76" t="str">
        <f ca="1">IFERROR(VLOOKUP(D76&amp;"Eng",'Question structure'!D:H,2,0),"")</f>
        <v>Are you planning to assist him?</v>
      </c>
    </row>
    <row r="77" spans="1:6" x14ac:dyDescent="0.25">
      <c r="A77">
        <f t="shared" si="3"/>
        <v>74</v>
      </c>
      <c r="B77">
        <f t="shared" ca="1" si="2"/>
        <v>170</v>
      </c>
      <c r="C77" s="1">
        <f ca="1">IFERROR($C$1-1+_xlfn.RANK.EQ(B77,$B$4:$B$78)+COUNTIF(B$4:$B77,B77)-1,"")</f>
        <v>9</v>
      </c>
      <c r="D77" s="1" t="str">
        <f ca="1">IFERROR(VLOOKUP(C77,'Question structure'!A:E,3,0),"")</f>
        <v>1.3.1</v>
      </c>
      <c r="E77" t="str">
        <f ca="1">IFERROR(VLOOKUP(D77&amp;"Viet",'Question structure'!D:H,2,0),"")</f>
        <v>Ngày hôm nay của cậu thế nào?</v>
      </c>
      <c r="F77" t="str">
        <f ca="1">IFERROR(VLOOKUP(D77&amp;"Eng",'Question structure'!D:H,2,0),"")</f>
        <v>How was your day?</v>
      </c>
    </row>
    <row r="78" spans="1:6" x14ac:dyDescent="0.25">
      <c r="A78">
        <f t="shared" si="3"/>
        <v>75</v>
      </c>
      <c r="B78">
        <f t="shared" ca="1" si="2"/>
        <v>173</v>
      </c>
      <c r="C78" s="1">
        <f ca="1">IFERROR($C$1-1+_xlfn.RANK.EQ(B78,$B$4:$B$78)+COUNTIF(B$4:$B78,B78)-1,"")</f>
        <v>7</v>
      </c>
      <c r="D78" s="1" t="str">
        <f ca="1">IFERROR(VLOOKUP(C78,'Question structure'!A:E,3,0),"")</f>
        <v>1.2.3</v>
      </c>
      <c r="E78" t="str">
        <f ca="1">IFERROR(VLOOKUP(D78&amp;"Viet",'Question structure'!D:H,2,0),"")</f>
        <v>Cô ấy đẹp đến mức nào?</v>
      </c>
      <c r="F78" t="str">
        <f ca="1">IFERROR(VLOOKUP(D78&amp;"Eng",'Question structure'!D:H,2,0),"")</f>
        <v>How beautiful is she?</v>
      </c>
    </row>
    <row r="79" spans="1:6" x14ac:dyDescent="0.25">
      <c r="A79">
        <f t="shared" si="3"/>
        <v>76</v>
      </c>
      <c r="B79">
        <f t="shared" ca="1" si="2"/>
        <v>95</v>
      </c>
      <c r="C79" s="1" t="str">
        <f ca="1">IFERROR($C$1-1+_xlfn.RANK.EQ(B79,$B$4:$B$78)+COUNTIF(B$4:$B79,B79)-1,"")</f>
        <v/>
      </c>
      <c r="D79" s="1" t="str">
        <f ca="1">IFERROR(VLOOKUP(C79,'Question structure'!A:E,3,0),"")</f>
        <v/>
      </c>
      <c r="E79" t="str">
        <f ca="1">IFERROR(VLOOKUP(D79&amp;"Viet",'Question structure'!D:H,2,0),"")</f>
        <v/>
      </c>
      <c r="F79" t="str">
        <f ca="1">IFERROR(VLOOKUP(D79&amp;"Eng",'Question structure'!D:H,2,0),"")</f>
        <v/>
      </c>
    </row>
    <row r="80" spans="1:6" x14ac:dyDescent="0.25">
      <c r="A80">
        <f t="shared" si="3"/>
        <v>77</v>
      </c>
      <c r="B80">
        <f t="shared" ca="1" si="2"/>
        <v>152</v>
      </c>
      <c r="C80" s="1" t="str">
        <f ca="1">IFERROR($C$1-1+_xlfn.RANK.EQ(B80,$B$4:$B$78)+COUNTIF(B$4:$B80,B80)-1,"")</f>
        <v/>
      </c>
      <c r="D80" s="1" t="str">
        <f ca="1">IFERROR(VLOOKUP(C80,'Question structure'!A:E,3,0),"")</f>
        <v/>
      </c>
      <c r="E80" t="str">
        <f ca="1">IFERROR(VLOOKUP(D80&amp;"Viet",'Question structure'!D:H,2,0),"")</f>
        <v/>
      </c>
      <c r="F80" t="str">
        <f ca="1">IFERROR(VLOOKUP(D80&amp;"Eng",'Question structure'!D:H,2,0),"")</f>
        <v/>
      </c>
    </row>
    <row r="81" spans="1:6" x14ac:dyDescent="0.25">
      <c r="A81">
        <f t="shared" si="3"/>
        <v>78</v>
      </c>
      <c r="B81">
        <f t="shared" ca="1" si="2"/>
        <v>34</v>
      </c>
      <c r="C81" s="1" t="str">
        <f ca="1">IFERROR($C$1-1+_xlfn.RANK.EQ(B81,$B$4:$B$78)+COUNTIF(B$4:$B81,B81)-1,"")</f>
        <v/>
      </c>
      <c r="D81" s="1" t="str">
        <f ca="1">IFERROR(VLOOKUP(C81,'Question structure'!A:E,3,0),"")</f>
        <v/>
      </c>
      <c r="E81" t="str">
        <f ca="1">IFERROR(VLOOKUP(D81&amp;"Viet",'Question structure'!D:H,2,0),"")</f>
        <v/>
      </c>
      <c r="F81" t="str">
        <f ca="1">IFERROR(VLOOKUP(D81&amp;"Eng",'Question structure'!D:H,2,0),"")</f>
        <v/>
      </c>
    </row>
    <row r="82" spans="1:6" x14ac:dyDescent="0.25">
      <c r="A82">
        <f t="shared" si="3"/>
        <v>79</v>
      </c>
      <c r="B82">
        <f t="shared" ca="1" si="2"/>
        <v>135</v>
      </c>
      <c r="C82" s="1" t="str">
        <f ca="1">IFERROR($C$1-1+_xlfn.RANK.EQ(B82,$B$4:$B$78)+COUNTIF(B$4:$B82,B82)-1,"")</f>
        <v/>
      </c>
      <c r="D82" s="1" t="str">
        <f ca="1">IFERROR(VLOOKUP(C82,'Question structure'!A:E,3,0),"")</f>
        <v/>
      </c>
      <c r="E82" t="str">
        <f ca="1">IFERROR(VLOOKUP(D82&amp;"Viet",'Question structure'!D:H,2,0),"")</f>
        <v/>
      </c>
      <c r="F82" t="str">
        <f ca="1">IFERROR(VLOOKUP(D82&amp;"Eng",'Question structure'!D:H,2,0),"")</f>
        <v/>
      </c>
    </row>
    <row r="83" spans="1:6" x14ac:dyDescent="0.25">
      <c r="A83">
        <f t="shared" si="3"/>
        <v>80</v>
      </c>
      <c r="B83">
        <f t="shared" ca="1" si="2"/>
        <v>138</v>
      </c>
      <c r="C83" s="1" t="str">
        <f ca="1">IFERROR($C$1-1+_xlfn.RANK.EQ(B83,$B$4:$B$78)+COUNTIF(B$4:$B83,B83)-1,"")</f>
        <v/>
      </c>
      <c r="D83" s="1" t="str">
        <f ca="1">IFERROR(VLOOKUP(C83,'Question structure'!A:E,3,0),"")</f>
        <v/>
      </c>
      <c r="E83" t="str">
        <f ca="1">IFERROR(VLOOKUP(D83&amp;"Viet",'Question structure'!D:H,2,0),"")</f>
        <v/>
      </c>
      <c r="F83" t="str">
        <f ca="1">IFERROR(VLOOKUP(D83&amp;"Eng",'Question structure'!D:H,2,0),"")</f>
        <v/>
      </c>
    </row>
    <row r="84" spans="1:6" x14ac:dyDescent="0.25">
      <c r="A84">
        <f t="shared" si="3"/>
        <v>81</v>
      </c>
      <c r="B84">
        <f t="shared" ca="1" si="2"/>
        <v>72</v>
      </c>
      <c r="C84" s="1" t="str">
        <f ca="1">IFERROR($C$1-1+_xlfn.RANK.EQ(B84,$B$4:$B$78)+COUNTIF(B$4:$B84,B84)-1,"")</f>
        <v/>
      </c>
      <c r="D84" s="1" t="str">
        <f ca="1">IFERROR(VLOOKUP(C84,'Question structure'!A:E,3,0),"")</f>
        <v/>
      </c>
      <c r="E84" t="str">
        <f ca="1">IFERROR(VLOOKUP(D84&amp;"Viet",'Question structure'!D:H,2,0),"")</f>
        <v/>
      </c>
      <c r="F84" t="str">
        <f ca="1">IFERROR(VLOOKUP(D84&amp;"Eng",'Question structure'!D:H,2,0),"")</f>
        <v/>
      </c>
    </row>
    <row r="85" spans="1:6" x14ac:dyDescent="0.25">
      <c r="A85">
        <f t="shared" si="3"/>
        <v>82</v>
      </c>
      <c r="B85">
        <f t="shared" ca="1" si="2"/>
        <v>183</v>
      </c>
      <c r="C85" s="1">
        <f ca="1">IFERROR($C$1-1+_xlfn.RANK.EQ(B85,$B$4:$B$78)+COUNTIF(B$4:$B85,B85)-1,"")</f>
        <v>3</v>
      </c>
      <c r="D85" s="1" t="str">
        <f ca="1">IFERROR(VLOOKUP(C85,'Question structure'!A:E,3,0),"")</f>
        <v>1.1.3</v>
      </c>
      <c r="E85" t="str">
        <f ca="1">IFERROR(VLOOKUP(D85&amp;"Viet",'Question structure'!D:H,2,0),"")</f>
        <v>Dự án đang được tiến hành như thế nào rồi?</v>
      </c>
      <c r="F85" t="str">
        <f ca="1">IFERROR(VLOOKUP(D85&amp;"Eng",'Question structure'!D:H,2,0),"")</f>
        <v>How is the project going?</v>
      </c>
    </row>
    <row r="86" spans="1:6" x14ac:dyDescent="0.25">
      <c r="A86">
        <f t="shared" si="3"/>
        <v>83</v>
      </c>
      <c r="B86">
        <f t="shared" ca="1" si="2"/>
        <v>94</v>
      </c>
      <c r="C86" s="1">
        <f ca="1">IFERROR($C$1-1+_xlfn.RANK.EQ(B86,$B$4:$B$78)+COUNTIF(B$4:$B86,B86)-1,"")</f>
        <v>47</v>
      </c>
      <c r="D86" s="1" t="str">
        <f ca="1">IFERROR(VLOOKUP(C86,'Question structure'!A:E,3,0),"")</f>
        <v>5.2.2</v>
      </c>
      <c r="E86" t="str">
        <f ca="1">IFERROR(VLOOKUP(D86&amp;"Viet",'Question structure'!D:H,2,0),"")</f>
        <v>Cậu nghĩ tôi nên mua cho cô ấy cái gì?</v>
      </c>
      <c r="F86" t="str">
        <f ca="1">IFERROR(VLOOKUP(D86&amp;"Eng",'Question structure'!D:H,2,0),"")</f>
        <v>What do you think I should buy for her?</v>
      </c>
    </row>
    <row r="87" spans="1:6" x14ac:dyDescent="0.25">
      <c r="A87">
        <f t="shared" si="3"/>
        <v>84</v>
      </c>
      <c r="B87">
        <f t="shared" ca="1" si="2"/>
        <v>147</v>
      </c>
      <c r="C87" s="1" t="str">
        <f ca="1">IFERROR($C$1-1+_xlfn.RANK.EQ(B87,$B$4:$B$78)+COUNTIF(B$4:$B87,B87)-1,"")</f>
        <v/>
      </c>
      <c r="D87" s="1" t="str">
        <f ca="1">IFERROR(VLOOKUP(C87,'Question structure'!A:E,3,0),"")</f>
        <v/>
      </c>
      <c r="E87" t="str">
        <f ca="1">IFERROR(VLOOKUP(D87&amp;"Viet",'Question structure'!D:H,2,0),"")</f>
        <v/>
      </c>
      <c r="F87" t="str">
        <f ca="1">IFERROR(VLOOKUP(D87&amp;"Eng",'Question structure'!D:H,2,0),"")</f>
        <v/>
      </c>
    </row>
    <row r="88" spans="1:6" x14ac:dyDescent="0.25">
      <c r="A88">
        <f t="shared" si="3"/>
        <v>85</v>
      </c>
      <c r="B88">
        <f t="shared" ca="1" si="2"/>
        <v>9</v>
      </c>
      <c r="C88" s="1" t="str">
        <f ca="1">IFERROR($C$1-1+_xlfn.RANK.EQ(B88,$B$4:$B$78)+COUNTIF(B$4:$B88,B88)-1,"")</f>
        <v/>
      </c>
      <c r="D88" s="1" t="str">
        <f ca="1">IFERROR(VLOOKUP(C88,'Question structure'!A:E,3,0),"")</f>
        <v/>
      </c>
      <c r="E88" t="str">
        <f ca="1">IFERROR(VLOOKUP(D88&amp;"Viet",'Question structure'!D:H,2,0),"")</f>
        <v/>
      </c>
      <c r="F88" t="str">
        <f ca="1">IFERROR(VLOOKUP(D88&amp;"Eng",'Question structure'!D:H,2,0),"")</f>
        <v/>
      </c>
    </row>
    <row r="89" spans="1:6" x14ac:dyDescent="0.25">
      <c r="A89">
        <f t="shared" si="3"/>
        <v>86</v>
      </c>
      <c r="B89">
        <f t="shared" ca="1" si="2"/>
        <v>19</v>
      </c>
      <c r="C89" s="1" t="str">
        <f ca="1">IFERROR($C$1-1+_xlfn.RANK.EQ(B89,$B$4:$B$78)+COUNTIF(B$4:$B89,B89)-1,"")</f>
        <v/>
      </c>
      <c r="D89" s="1" t="str">
        <f ca="1">IFERROR(VLOOKUP(C89,'Question structure'!A:E,3,0),"")</f>
        <v/>
      </c>
      <c r="E89" t="str">
        <f ca="1">IFERROR(VLOOKUP(D89&amp;"Viet",'Question structure'!D:H,2,0),"")</f>
        <v/>
      </c>
      <c r="F89" t="str">
        <f ca="1">IFERROR(VLOOKUP(D89&amp;"Eng",'Question structure'!D:H,2,0),"")</f>
        <v/>
      </c>
    </row>
    <row r="90" spans="1:6" x14ac:dyDescent="0.25">
      <c r="A90">
        <f t="shared" si="3"/>
        <v>87</v>
      </c>
      <c r="B90">
        <f t="shared" ca="1" si="2"/>
        <v>140</v>
      </c>
      <c r="C90" s="1">
        <f ca="1">IFERROR($C$1-1+_xlfn.RANK.EQ(B90,$B$4:$B$78)+COUNTIF(B$4:$B90,B90)-1,"")</f>
        <v>24</v>
      </c>
      <c r="D90" s="1" t="str">
        <f ca="1">IFERROR(VLOOKUP(C90,'Question structure'!A:E,3,0),"")</f>
        <v>3.1.2</v>
      </c>
      <c r="E90" t="str">
        <f ca="1">IFERROR(VLOOKUP(D90&amp;"Viet",'Question structure'!D:H,2,0),"")</f>
        <v>Cậu có muốn giúp tôi không?</v>
      </c>
      <c r="F90" t="str">
        <f ca="1">IFERROR(VLOOKUP(D90&amp;"Eng",'Question structure'!D:H,2,0),"")</f>
        <v>Do you want some help?</v>
      </c>
    </row>
    <row r="91" spans="1:6" x14ac:dyDescent="0.25">
      <c r="A91">
        <f t="shared" si="3"/>
        <v>88</v>
      </c>
      <c r="B91">
        <f t="shared" ca="1" si="2"/>
        <v>130</v>
      </c>
      <c r="C91" s="1">
        <f ca="1">IFERROR($C$1-1+_xlfn.RANK.EQ(B91,$B$4:$B$78)+COUNTIF(B$4:$B91,B91)-1,"")</f>
        <v>31</v>
      </c>
      <c r="D91" s="1" t="str">
        <f ca="1">IFERROR(VLOOKUP(C91,'Question structure'!A:E,3,0),"")</f>
        <v>3.3.2</v>
      </c>
      <c r="E91" t="str">
        <f ca="1">IFERROR(VLOOKUP(D91&amp;"Viet",'Question structure'!D:H,2,0),"")</f>
        <v>Cậu có muốn tôi giúp không?</v>
      </c>
      <c r="F91" t="str">
        <f ca="1">IFERROR(VLOOKUP(D91&amp;"Eng",'Question structure'!D:H,2,0),"")</f>
        <v>Do you want me to help you?</v>
      </c>
    </row>
    <row r="92" spans="1:6" x14ac:dyDescent="0.25">
      <c r="A92">
        <f t="shared" si="3"/>
        <v>89</v>
      </c>
      <c r="B92">
        <f t="shared" ca="1" si="2"/>
        <v>13</v>
      </c>
      <c r="C92" s="1" t="str">
        <f ca="1">IFERROR($C$1-1+_xlfn.RANK.EQ(B92,$B$4:$B$78)+COUNTIF(B$4:$B92,B92)-1,"")</f>
        <v/>
      </c>
      <c r="D92" s="1" t="str">
        <f ca="1">IFERROR(VLOOKUP(C92,'Question structure'!A:E,3,0),"")</f>
        <v/>
      </c>
      <c r="E92" t="str">
        <f ca="1">IFERROR(VLOOKUP(D92&amp;"Viet",'Question structure'!D:H,2,0),"")</f>
        <v/>
      </c>
      <c r="F92" t="str">
        <f ca="1">IFERROR(VLOOKUP(D92&amp;"Eng",'Question structure'!D:H,2,0),"")</f>
        <v/>
      </c>
    </row>
    <row r="93" spans="1:6" x14ac:dyDescent="0.25">
      <c r="A93">
        <f t="shared" si="3"/>
        <v>90</v>
      </c>
      <c r="B93">
        <f t="shared" ca="1" si="2"/>
        <v>116</v>
      </c>
      <c r="C93" s="1">
        <f ca="1">IFERROR($C$1-1+_xlfn.RANK.EQ(B93,$B$4:$B$78)+COUNTIF(B$4:$B93,B93)-1,"")</f>
        <v>35</v>
      </c>
      <c r="D93" s="1" t="str">
        <f ca="1">IFERROR(VLOOKUP(C93,'Question structure'!A:E,3,0),"")</f>
        <v>4.1.2</v>
      </c>
      <c r="E93" t="str">
        <f ca="1">IFERROR(VLOOKUP(D93&amp;"Viet",'Question structure'!D:H,2,0),"")</f>
        <v>Cậu muốn biết gì?</v>
      </c>
      <c r="F93" t="str">
        <f ca="1">IFERROR(VLOOKUP(D93&amp;"Eng",'Question structure'!D:H,2,0),"")</f>
        <v>What do you want to know?</v>
      </c>
    </row>
    <row r="94" spans="1:6" x14ac:dyDescent="0.25">
      <c r="A94">
        <f t="shared" si="3"/>
        <v>91</v>
      </c>
      <c r="B94">
        <f t="shared" ca="1" si="2"/>
        <v>44</v>
      </c>
      <c r="C94" s="1" t="str">
        <f ca="1">IFERROR($C$1-1+_xlfn.RANK.EQ(B94,$B$4:$B$78)+COUNTIF(B$4:$B94,B94)-1,"")</f>
        <v/>
      </c>
      <c r="D94" s="1" t="str">
        <f ca="1">IFERROR(VLOOKUP(C94,'Question structure'!A:E,3,0),"")</f>
        <v/>
      </c>
      <c r="E94" t="str">
        <f ca="1">IFERROR(VLOOKUP(D94&amp;"Viet",'Question structure'!D:H,2,0),"")</f>
        <v/>
      </c>
      <c r="F94" t="str">
        <f ca="1">IFERROR(VLOOKUP(D94&amp;"Eng",'Question structure'!D:H,2,0),"")</f>
        <v/>
      </c>
    </row>
    <row r="95" spans="1:6" x14ac:dyDescent="0.25">
      <c r="A95">
        <f t="shared" si="3"/>
        <v>92</v>
      </c>
      <c r="B95">
        <f t="shared" ca="1" si="2"/>
        <v>85</v>
      </c>
      <c r="C95" s="1" t="str">
        <f ca="1">IFERROR($C$1-1+_xlfn.RANK.EQ(B95,$B$4:$B$78)+COUNTIF(B$4:$B95,B95)-1,"")</f>
        <v/>
      </c>
      <c r="D95" s="1" t="str">
        <f ca="1">IFERROR(VLOOKUP(C95,'Question structure'!A:E,3,0),"")</f>
        <v/>
      </c>
      <c r="E95" t="str">
        <f ca="1">IFERROR(VLOOKUP(D95&amp;"Viet",'Question structure'!D:H,2,0),"")</f>
        <v/>
      </c>
      <c r="F95" t="str">
        <f ca="1">IFERROR(VLOOKUP(D95&amp;"Eng",'Question structure'!D:H,2,0),"")</f>
        <v/>
      </c>
    </row>
    <row r="96" spans="1:6" x14ac:dyDescent="0.25">
      <c r="A96">
        <f t="shared" si="3"/>
        <v>93</v>
      </c>
      <c r="B96">
        <f t="shared" ca="1" si="2"/>
        <v>135</v>
      </c>
      <c r="C96" s="1" t="str">
        <f ca="1">IFERROR($C$1-1+_xlfn.RANK.EQ(B96,$B$4:$B$78)+COUNTIF(B$4:$B96,B96)-1,"")</f>
        <v/>
      </c>
      <c r="D96" s="1" t="str">
        <f ca="1">IFERROR(VLOOKUP(C96,'Question structure'!A:E,3,0),"")</f>
        <v/>
      </c>
      <c r="E96" t="str">
        <f ca="1">IFERROR(VLOOKUP(D96&amp;"Viet",'Question structure'!D:H,2,0),"")</f>
        <v/>
      </c>
      <c r="F96" t="str">
        <f ca="1">IFERROR(VLOOKUP(D96&amp;"Eng",'Question structure'!D:H,2,0),"")</f>
        <v/>
      </c>
    </row>
    <row r="97" spans="1:6" x14ac:dyDescent="0.25">
      <c r="A97">
        <f t="shared" si="3"/>
        <v>94</v>
      </c>
      <c r="B97">
        <f t="shared" ca="1" si="2"/>
        <v>95</v>
      </c>
      <c r="C97" s="1" t="str">
        <f ca="1">IFERROR($C$1-1+_xlfn.RANK.EQ(B97,$B$4:$B$78)+COUNTIF(B$4:$B97,B97)-1,"")</f>
        <v/>
      </c>
      <c r="D97" s="1" t="str">
        <f ca="1">IFERROR(VLOOKUP(C97,'Question structure'!A:E,3,0),"")</f>
        <v/>
      </c>
      <c r="E97" t="str">
        <f ca="1">IFERROR(VLOOKUP(D97&amp;"Viet",'Question structure'!D:H,2,0),"")</f>
        <v/>
      </c>
      <c r="F97" t="str">
        <f ca="1">IFERROR(VLOOKUP(D97&amp;"Eng",'Question structure'!D:H,2,0),"")</f>
        <v/>
      </c>
    </row>
    <row r="98" spans="1:6" x14ac:dyDescent="0.25">
      <c r="A98">
        <f t="shared" si="3"/>
        <v>95</v>
      </c>
      <c r="B98">
        <f t="shared" ca="1" si="2"/>
        <v>137</v>
      </c>
      <c r="C98" s="1">
        <f ca="1">IFERROR($C$1-1+_xlfn.RANK.EQ(B98,$B$4:$B$78)+COUNTIF(B$4:$B98,B98)-1,"")</f>
        <v>27</v>
      </c>
      <c r="D98" s="1" t="str">
        <f ca="1">IFERROR(VLOOKUP(C98,'Question structure'!A:E,3,0),"")</f>
        <v>3.2.2</v>
      </c>
      <c r="E98" t="str">
        <f ca="1">IFERROR(VLOOKUP(D98&amp;"Viet",'Question structure'!D:H,2,0),"")</f>
        <v>Cậu có muốn đi với tôi không?</v>
      </c>
      <c r="F98" t="str">
        <f ca="1">IFERROR(VLOOKUP(D98&amp;"Eng",'Question structure'!D:H,2,0),"")</f>
        <v>Do you want to come with me?</v>
      </c>
    </row>
    <row r="99" spans="1:6" x14ac:dyDescent="0.25">
      <c r="A99">
        <f t="shared" si="3"/>
        <v>96</v>
      </c>
      <c r="B99">
        <f t="shared" ca="1" si="2"/>
        <v>144</v>
      </c>
      <c r="C99" s="1">
        <f ca="1">IFERROR($C$1-1+_xlfn.RANK.EQ(B99,$B$4:$B$78)+COUNTIF(B$4:$B99,B99)-1,"")</f>
        <v>18</v>
      </c>
      <c r="D99" s="1" t="str">
        <f ca="1">IFERROR(VLOOKUP(C99,'Question structure'!A:E,3,0),"")</f>
        <v>2.2.2</v>
      </c>
      <c r="E99" t="str">
        <f ca="1">IFERROR(VLOOKUP(D99&amp;"Viet",'Question structure'!D:H,2,0),"")</f>
        <v>Cậu nghĩ thế nào về đề xuất của anh ta?</v>
      </c>
      <c r="F99" t="str">
        <f ca="1">IFERROR(VLOOKUP(D99&amp;"Eng",'Question structure'!D:H,2,0),"")</f>
        <v>What do you think about his suggestion?</v>
      </c>
    </row>
    <row r="100" spans="1:6" x14ac:dyDescent="0.25">
      <c r="A100">
        <f t="shared" si="3"/>
        <v>97</v>
      </c>
      <c r="B100">
        <f t="shared" ca="1" si="2"/>
        <v>87</v>
      </c>
      <c r="C100" s="1" t="str">
        <f ca="1">IFERROR($C$1-1+_xlfn.RANK.EQ(B100,$B$4:$B$78)+COUNTIF(B$4:$B100,B100)-1,"")</f>
        <v/>
      </c>
      <c r="D100" s="1" t="str">
        <f ca="1">IFERROR(VLOOKUP(C100,'Question structure'!A:E,3,0),"")</f>
        <v/>
      </c>
      <c r="E100" t="str">
        <f ca="1">IFERROR(VLOOKUP(D100&amp;"Viet",'Question structure'!D:H,2,0),"")</f>
        <v/>
      </c>
      <c r="F100" t="str">
        <f ca="1">IFERROR(VLOOKUP(D100&amp;"Eng",'Question structure'!D:H,2,0),"")</f>
        <v/>
      </c>
    </row>
    <row r="101" spans="1:6" x14ac:dyDescent="0.25">
      <c r="A101">
        <f t="shared" si="3"/>
        <v>98</v>
      </c>
      <c r="B101">
        <f t="shared" ca="1" si="2"/>
        <v>21</v>
      </c>
      <c r="C101" s="1">
        <f ca="1">IFERROR($C$1-1+_xlfn.RANK.EQ(B101,$B$4:$B$78)+COUNTIF(B$4:$B101,B101)-1,"")</f>
        <v>70</v>
      </c>
      <c r="D101" s="1" t="str">
        <f ca="1">IFERROR(VLOOKUP(C101,'Question structure'!A:E,3,0),"")</f>
        <v>9.1.1</v>
      </c>
      <c r="E101" t="str">
        <f ca="1">IFERROR(VLOOKUP(D101&amp;"Viet",'Question structure'!D:H,2,0),"")</f>
        <v>Sao cậu lại hào phóng thế?</v>
      </c>
      <c r="F101" t="str">
        <f ca="1">IFERROR(VLOOKUP(D101&amp;"Eng",'Question structure'!D:H,2,0),"")</f>
        <v>How come you are so generous?</v>
      </c>
    </row>
    <row r="102" spans="1:6" x14ac:dyDescent="0.25">
      <c r="A102">
        <f t="shared" si="3"/>
        <v>99</v>
      </c>
      <c r="B102">
        <f t="shared" ca="1" si="2"/>
        <v>3</v>
      </c>
      <c r="C102" s="1">
        <f ca="1">IFERROR($C$1-1+_xlfn.RANK.EQ(B102,$B$4:$B$78)+COUNTIF(B$4:$B102,B102)-1,"")</f>
        <v>76</v>
      </c>
      <c r="D102" s="1" t="str">
        <f ca="1">IFERROR(VLOOKUP(C102,'Question structure'!A:E,3,0),"")</f>
        <v>9.2.3</v>
      </c>
      <c r="E102" t="str">
        <f ca="1">IFERROR(VLOOKUP(D102&amp;"Viet",'Question structure'!D:H,2,0),"")</f>
        <v>Sao cậu lại không hẹn hò?</v>
      </c>
      <c r="F102" t="str">
        <f ca="1">IFERROR(VLOOKUP(D102&amp;"Eng",'Question structure'!D:H,2,0),"")</f>
        <v>How come you don't date?</v>
      </c>
    </row>
    <row r="103" spans="1:6" x14ac:dyDescent="0.25">
      <c r="A103">
        <f t="shared" si="3"/>
        <v>100</v>
      </c>
      <c r="B103">
        <f t="shared" ca="1" si="2"/>
        <v>165</v>
      </c>
      <c r="C103" s="1" t="str">
        <f ca="1">IFERROR($C$1-1+_xlfn.RANK.EQ(B103,$B$4:$B$78)+COUNTIF(B$4:$B103,B103)-1,"")</f>
        <v/>
      </c>
      <c r="D103" s="1" t="str">
        <f ca="1">IFERROR(VLOOKUP(C103,'Question structure'!A:E,3,0),"")</f>
        <v/>
      </c>
      <c r="E103" t="str">
        <f ca="1">IFERROR(VLOOKUP(D103&amp;"Viet",'Question structure'!D:H,2,0),"")</f>
        <v/>
      </c>
      <c r="F103" t="str">
        <f ca="1">IFERROR(VLOOKUP(D103&amp;"Eng",'Question structure'!D:H,2,0),"")</f>
        <v/>
      </c>
    </row>
    <row r="104" spans="1:6" x14ac:dyDescent="0.25">
      <c r="A104">
        <f t="shared" si="3"/>
        <v>101</v>
      </c>
      <c r="B104">
        <f t="shared" ca="1" si="2"/>
        <v>174</v>
      </c>
      <c r="C104" s="1">
        <f ca="1">IFERROR($C$1-1+_xlfn.RANK.EQ(B104,$B$4:$B$78)+COUNTIF(B$4:$B104,B104)-1,"")</f>
        <v>7</v>
      </c>
      <c r="D104" s="1" t="str">
        <f ca="1">IFERROR(VLOOKUP(C104,'Question structure'!A:E,3,0),"")</f>
        <v>1.2.3</v>
      </c>
      <c r="E104" t="str">
        <f ca="1">IFERROR(VLOOKUP(D104&amp;"Viet",'Question structure'!D:H,2,0),"")</f>
        <v>Cô ấy đẹp đến mức nào?</v>
      </c>
      <c r="F104" t="str">
        <f ca="1">IFERROR(VLOOKUP(D104&amp;"Eng",'Question structure'!D:H,2,0),"")</f>
        <v>How beautiful is she?</v>
      </c>
    </row>
    <row r="105" spans="1:6" x14ac:dyDescent="0.25">
      <c r="A105">
        <f t="shared" si="3"/>
        <v>102</v>
      </c>
      <c r="B105">
        <f t="shared" ca="1" si="2"/>
        <v>149</v>
      </c>
      <c r="C105" s="1" t="str">
        <f ca="1">IFERROR($C$1-1+_xlfn.RANK.EQ(B105,$B$4:$B$78)+COUNTIF(B$4:$B105,B105)-1,"")</f>
        <v/>
      </c>
      <c r="D105" s="1" t="str">
        <f ca="1">IFERROR(VLOOKUP(C105,'Question structure'!A:E,3,0),"")</f>
        <v/>
      </c>
      <c r="E105" t="str">
        <f ca="1">IFERROR(VLOOKUP(D105&amp;"Viet",'Question structure'!D:H,2,0),"")</f>
        <v/>
      </c>
      <c r="F105" t="str">
        <f ca="1">IFERROR(VLOOKUP(D105&amp;"Eng",'Question structure'!D:H,2,0),"")</f>
        <v/>
      </c>
    </row>
    <row r="106" spans="1:6" x14ac:dyDescent="0.25">
      <c r="A106">
        <f t="shared" si="3"/>
        <v>103</v>
      </c>
      <c r="B106">
        <f t="shared" ca="1" si="2"/>
        <v>15</v>
      </c>
      <c r="C106" s="1">
        <f ca="1">IFERROR($C$1-1+_xlfn.RANK.EQ(B106,$B$4:$B$78)+COUNTIF(B$4:$B106,B106)-1,"")</f>
        <v>72</v>
      </c>
      <c r="D106" s="1" t="str">
        <f ca="1">IFERROR(VLOOKUP(C106,'Question structure'!A:E,3,0),"")</f>
        <v>9.1.3</v>
      </c>
      <c r="E106" t="str">
        <f ca="1">IFERROR(VLOOKUP(D106&amp;"Viet",'Question structure'!D:H,2,0),"")</f>
        <v>Sao cậu nói xấu tôi?</v>
      </c>
      <c r="F106" t="str">
        <f ca="1">IFERROR(VLOOKUP(D106&amp;"Eng",'Question structure'!D:H,2,0),"")</f>
        <v>How come you are calling me bad names?</v>
      </c>
    </row>
    <row r="107" spans="1:6" x14ac:dyDescent="0.25">
      <c r="A107">
        <f t="shared" si="3"/>
        <v>104</v>
      </c>
      <c r="B107">
        <f t="shared" ca="1" si="2"/>
        <v>16</v>
      </c>
      <c r="C107" s="1" t="str">
        <f ca="1">IFERROR($C$1-1+_xlfn.RANK.EQ(B107,$B$4:$B$78)+COUNTIF(B$4:$B107,B107)-1,"")</f>
        <v/>
      </c>
      <c r="D107" s="1" t="str">
        <f ca="1">IFERROR(VLOOKUP(C107,'Question structure'!A:E,3,0),"")</f>
        <v/>
      </c>
      <c r="E107" t="str">
        <f ca="1">IFERROR(VLOOKUP(D107&amp;"Viet",'Question structure'!D:H,2,0),"")</f>
        <v/>
      </c>
      <c r="F107" t="str">
        <f ca="1">IFERROR(VLOOKUP(D107&amp;"Eng",'Question structure'!D:H,2,0),"")</f>
        <v/>
      </c>
    </row>
    <row r="108" spans="1:6" x14ac:dyDescent="0.25">
      <c r="A108">
        <f t="shared" si="3"/>
        <v>105</v>
      </c>
      <c r="B108">
        <f t="shared" ca="1" si="2"/>
        <v>105</v>
      </c>
      <c r="C108" s="1" t="str">
        <f ca="1">IFERROR($C$1-1+_xlfn.RANK.EQ(B108,$B$4:$B$78)+COUNTIF(B$4:$B108,B108)-1,"")</f>
        <v/>
      </c>
      <c r="D108" s="1" t="str">
        <f ca="1">IFERROR(VLOOKUP(C108,'Question structure'!A:E,3,0),"")</f>
        <v/>
      </c>
      <c r="E108" t="str">
        <f ca="1">IFERROR(VLOOKUP(D108&amp;"Viet",'Question structure'!D:H,2,0),"")</f>
        <v/>
      </c>
      <c r="F108" t="str">
        <f ca="1">IFERROR(VLOOKUP(D108&amp;"Eng",'Question structure'!D:H,2,0),"")</f>
        <v/>
      </c>
    </row>
    <row r="109" spans="1:6" x14ac:dyDescent="0.25">
      <c r="A109">
        <f t="shared" si="3"/>
        <v>106</v>
      </c>
      <c r="B109">
        <f t="shared" ca="1" si="2"/>
        <v>145</v>
      </c>
      <c r="C109" s="1">
        <f ca="1">IFERROR($C$1-1+_xlfn.RANK.EQ(B109,$B$4:$B$78)+COUNTIF(B$4:$B109,B109)-1,"")</f>
        <v>17</v>
      </c>
      <c r="D109" s="1" t="str">
        <f ca="1">IFERROR(VLOOKUP(C109,'Question structure'!A:E,3,0),"")</f>
        <v>2.2.1</v>
      </c>
      <c r="E109" t="str">
        <f ca="1">IFERROR(VLOOKUP(D109&amp;"Viet",'Question structure'!D:H,2,0),"")</f>
        <v>Cậu nghĩ thế nào về điều đó?</v>
      </c>
      <c r="F109" t="str">
        <f ca="1">IFERROR(VLOOKUP(D109&amp;"Eng",'Question structure'!D:H,2,0),"")</f>
        <v>What do you think about that?</v>
      </c>
    </row>
    <row r="110" spans="1:6" x14ac:dyDescent="0.25">
      <c r="A110">
        <f t="shared" si="3"/>
        <v>107</v>
      </c>
      <c r="B110">
        <f t="shared" ca="1" si="2"/>
        <v>140</v>
      </c>
      <c r="C110" s="1">
        <f ca="1">IFERROR($C$1-1+_xlfn.RANK.EQ(B110,$B$4:$B$78)+COUNTIF(B$4:$B110,B110)-1,"")</f>
        <v>25</v>
      </c>
      <c r="D110" s="1" t="str">
        <f ca="1">IFERROR(VLOOKUP(C110,'Question structure'!A:E,3,0),"")</f>
        <v>3.1.3</v>
      </c>
      <c r="E110" t="str">
        <f ca="1">IFERROR(VLOOKUP(D110&amp;"Viet",'Question structure'!D:H,2,0),"")</f>
        <v>Cậu có muốn ăn thêm không?</v>
      </c>
      <c r="F110" t="str">
        <f ca="1">IFERROR(VLOOKUP(D110&amp;"Eng",'Question structure'!D:H,2,0),"")</f>
        <v>Do you want some more?</v>
      </c>
    </row>
    <row r="111" spans="1:6" x14ac:dyDescent="0.25">
      <c r="A111">
        <f t="shared" si="3"/>
        <v>108</v>
      </c>
      <c r="B111">
        <f t="shared" ca="1" si="2"/>
        <v>51</v>
      </c>
      <c r="C111" s="1" t="str">
        <f ca="1">IFERROR($C$1-1+_xlfn.RANK.EQ(B111,$B$4:$B$78)+COUNTIF(B$4:$B111,B111)-1,"")</f>
        <v/>
      </c>
      <c r="D111" s="1" t="str">
        <f ca="1">IFERROR(VLOOKUP(C111,'Question structure'!A:E,3,0),"")</f>
        <v/>
      </c>
      <c r="E111" t="str">
        <f ca="1">IFERROR(VLOOKUP(D111&amp;"Viet",'Question structure'!D:H,2,0),"")</f>
        <v/>
      </c>
      <c r="F111" t="str">
        <f ca="1">IFERROR(VLOOKUP(D111&amp;"Eng",'Question structure'!D:H,2,0),"")</f>
        <v/>
      </c>
    </row>
    <row r="112" spans="1:6" x14ac:dyDescent="0.25">
      <c r="A112">
        <f t="shared" si="3"/>
        <v>109</v>
      </c>
      <c r="B112">
        <f t="shared" ca="1" si="2"/>
        <v>82</v>
      </c>
      <c r="C112" s="1" t="str">
        <f ca="1">IFERROR($C$1-1+_xlfn.RANK.EQ(B112,$B$4:$B$78)+COUNTIF(B$4:$B112,B112)-1,"")</f>
        <v/>
      </c>
      <c r="D112" s="1" t="str">
        <f ca="1">IFERROR(VLOOKUP(C112,'Question structure'!A:E,3,0),"")</f>
        <v/>
      </c>
      <c r="E112" t="str">
        <f ca="1">IFERROR(VLOOKUP(D112&amp;"Viet",'Question structure'!D:H,2,0),"")</f>
        <v/>
      </c>
      <c r="F112" t="str">
        <f ca="1">IFERROR(VLOOKUP(D112&amp;"Eng",'Question structure'!D:H,2,0),"")</f>
        <v/>
      </c>
    </row>
    <row r="113" spans="1:6" x14ac:dyDescent="0.25">
      <c r="A113">
        <f t="shared" si="3"/>
        <v>110</v>
      </c>
      <c r="B113">
        <f t="shared" ca="1" si="2"/>
        <v>51</v>
      </c>
      <c r="C113" s="1" t="str">
        <f ca="1">IFERROR($C$1-1+_xlfn.RANK.EQ(B113,$B$4:$B$78)+COUNTIF(B$4:$B113,B113)-1,"")</f>
        <v/>
      </c>
      <c r="D113" s="1" t="str">
        <f ca="1">IFERROR(VLOOKUP(C113,'Question structure'!A:E,3,0),"")</f>
        <v/>
      </c>
      <c r="E113" t="str">
        <f ca="1">IFERROR(VLOOKUP(D113&amp;"Viet",'Question structure'!D:H,2,0),"")</f>
        <v/>
      </c>
      <c r="F113" t="str">
        <f ca="1">IFERROR(VLOOKUP(D113&amp;"Eng",'Question structure'!D:H,2,0),"")</f>
        <v/>
      </c>
    </row>
    <row r="114" spans="1:6" x14ac:dyDescent="0.25">
      <c r="A114">
        <f t="shared" si="3"/>
        <v>111</v>
      </c>
      <c r="B114">
        <f t="shared" ca="1" si="2"/>
        <v>110</v>
      </c>
      <c r="C114" s="1">
        <f ca="1">IFERROR($C$1-1+_xlfn.RANK.EQ(B114,$B$4:$B$78)+COUNTIF(B$4:$B114,B114)-1,"")</f>
        <v>41</v>
      </c>
      <c r="D114" s="1" t="str">
        <f ca="1">IFERROR(VLOOKUP(C114,'Question structure'!A:E,3,0),"")</f>
        <v>4.3.2</v>
      </c>
      <c r="E114" t="str">
        <f ca="1">IFERROR(VLOOKUP(D114&amp;"Viet",'Question structure'!D:H,2,0),"")</f>
        <v>Cậu muốn anh ấy cho cậu xem cái gì?</v>
      </c>
      <c r="F114" t="str">
        <f ca="1">IFERROR(VLOOKUP(D114&amp;"Eng",'Question structure'!D:H,2,0),"")</f>
        <v>What do you want him to show you?</v>
      </c>
    </row>
    <row r="115" spans="1:6" x14ac:dyDescent="0.25">
      <c r="A115">
        <f t="shared" si="3"/>
        <v>112</v>
      </c>
      <c r="B115">
        <f t="shared" ca="1" si="2"/>
        <v>13</v>
      </c>
      <c r="C115" s="1" t="str">
        <f ca="1">IFERROR($C$1-1+_xlfn.RANK.EQ(B115,$B$4:$B$78)+COUNTIF(B$4:$B115,B115)-1,"")</f>
        <v/>
      </c>
      <c r="D115" s="1" t="str">
        <f ca="1">IFERROR(VLOOKUP(C115,'Question structure'!A:E,3,0),"")</f>
        <v/>
      </c>
      <c r="E115" t="str">
        <f ca="1">IFERROR(VLOOKUP(D115&amp;"Viet",'Question structure'!D:H,2,0),"")</f>
        <v/>
      </c>
      <c r="F115" t="str">
        <f ca="1">IFERROR(VLOOKUP(D115&amp;"Eng",'Question structure'!D:H,2,0),"")</f>
        <v/>
      </c>
    </row>
    <row r="116" spans="1:6" x14ac:dyDescent="0.25">
      <c r="A116">
        <f t="shared" si="3"/>
        <v>113</v>
      </c>
      <c r="B116">
        <f t="shared" ca="1" si="2"/>
        <v>89</v>
      </c>
      <c r="C116" s="1" t="str">
        <f ca="1">IFERROR($C$1-1+_xlfn.RANK.EQ(B116,$B$4:$B$78)+COUNTIF(B$4:$B116,B116)-1,"")</f>
        <v/>
      </c>
      <c r="D116" s="1" t="str">
        <f ca="1">IFERROR(VLOOKUP(C116,'Question structure'!A:E,3,0),"")</f>
        <v/>
      </c>
      <c r="E116" t="str">
        <f ca="1">IFERROR(VLOOKUP(D116&amp;"Viet",'Question structure'!D:H,2,0),"")</f>
        <v/>
      </c>
      <c r="F116" t="str">
        <f ca="1">IFERROR(VLOOKUP(D116&amp;"Eng",'Question structure'!D:H,2,0),"")</f>
        <v/>
      </c>
    </row>
    <row r="117" spans="1:6" x14ac:dyDescent="0.25">
      <c r="A117">
        <f t="shared" si="3"/>
        <v>114</v>
      </c>
      <c r="B117">
        <f t="shared" ca="1" si="2"/>
        <v>20</v>
      </c>
      <c r="C117" s="1">
        <f ca="1">IFERROR($C$1-1+_xlfn.RANK.EQ(B117,$B$4:$B$78)+COUNTIF(B$4:$B117,B117)-1,"")</f>
        <v>71</v>
      </c>
      <c r="D117" s="1" t="str">
        <f ca="1">IFERROR(VLOOKUP(C117,'Question structure'!A:E,3,0),"")</f>
        <v>9.1.2</v>
      </c>
      <c r="E117" t="str">
        <f ca="1">IFERROR(VLOOKUP(D117&amp;"Viet",'Question structure'!D:H,2,0),"")</f>
        <v>Sao cậu lại ốm thế?</v>
      </c>
      <c r="F117" t="str">
        <f ca="1">IFERROR(VLOOKUP(D117&amp;"Eng",'Question structure'!D:H,2,0),"")</f>
        <v>How come you are so sick?</v>
      </c>
    </row>
    <row r="118" spans="1:6" x14ac:dyDescent="0.25">
      <c r="A118">
        <f t="shared" si="3"/>
        <v>115</v>
      </c>
      <c r="B118">
        <f t="shared" ca="1" si="2"/>
        <v>63</v>
      </c>
      <c r="C118" s="1" t="str">
        <f ca="1">IFERROR($C$1-1+_xlfn.RANK.EQ(B118,$B$4:$B$78)+COUNTIF(B$4:$B118,B118)-1,"")</f>
        <v/>
      </c>
      <c r="D118" s="1" t="str">
        <f ca="1">IFERROR(VLOOKUP(C118,'Question structure'!A:E,3,0),"")</f>
        <v/>
      </c>
      <c r="E118" t="str">
        <f ca="1">IFERROR(VLOOKUP(D118&amp;"Viet",'Question structure'!D:H,2,0),"")</f>
        <v/>
      </c>
      <c r="F118" t="str">
        <f ca="1">IFERROR(VLOOKUP(D118&amp;"Eng",'Question structure'!D:H,2,0),"")</f>
        <v/>
      </c>
    </row>
    <row r="119" spans="1:6" x14ac:dyDescent="0.25">
      <c r="A119">
        <f t="shared" si="3"/>
        <v>116</v>
      </c>
      <c r="B119">
        <f t="shared" ca="1" si="2"/>
        <v>11</v>
      </c>
      <c r="C119" s="1" t="str">
        <f ca="1">IFERROR($C$1-1+_xlfn.RANK.EQ(B119,$B$4:$B$78)+COUNTIF(B$4:$B119,B119)-1,"")</f>
        <v/>
      </c>
      <c r="D119" s="1" t="str">
        <f ca="1">IFERROR(VLOOKUP(C119,'Question structure'!A:E,3,0),"")</f>
        <v/>
      </c>
      <c r="E119" t="str">
        <f ca="1">IFERROR(VLOOKUP(D119&amp;"Viet",'Question structure'!D:H,2,0),"")</f>
        <v/>
      </c>
      <c r="F119" t="str">
        <f ca="1">IFERROR(VLOOKUP(D119&amp;"Eng",'Question structure'!D:H,2,0),"")</f>
        <v/>
      </c>
    </row>
    <row r="120" spans="1:6" x14ac:dyDescent="0.25">
      <c r="A120">
        <f t="shared" si="3"/>
        <v>117</v>
      </c>
      <c r="B120">
        <f t="shared" ca="1" si="2"/>
        <v>71</v>
      </c>
      <c r="C120" s="1" t="str">
        <f ca="1">IFERROR($C$1-1+_xlfn.RANK.EQ(B120,$B$4:$B$78)+COUNTIF(B$4:$B120,B120)-1,"")</f>
        <v/>
      </c>
      <c r="D120" s="1" t="str">
        <f ca="1">IFERROR(VLOOKUP(C120,'Question structure'!A:E,3,0),"")</f>
        <v/>
      </c>
      <c r="E120" t="str">
        <f ca="1">IFERROR(VLOOKUP(D120&amp;"Viet",'Question structure'!D:H,2,0),"")</f>
        <v/>
      </c>
      <c r="F120" t="str">
        <f ca="1">IFERROR(VLOOKUP(D120&amp;"Eng",'Question structure'!D:H,2,0),"")</f>
        <v/>
      </c>
    </row>
    <row r="121" spans="1:6" x14ac:dyDescent="0.25">
      <c r="A121">
        <f t="shared" si="3"/>
        <v>118</v>
      </c>
      <c r="B121">
        <f t="shared" ca="1" si="2"/>
        <v>170</v>
      </c>
      <c r="C121" s="1">
        <f ca="1">IFERROR($C$1-1+_xlfn.RANK.EQ(B121,$B$4:$B$78)+COUNTIF(B$4:$B121,B121)-1,"")</f>
        <v>10</v>
      </c>
      <c r="D121" s="1" t="str">
        <f ca="1">IFERROR(VLOOKUP(C121,'Question structure'!A:E,3,0),"")</f>
        <v>1.3.2</v>
      </c>
      <c r="E121" t="str">
        <f ca="1">IFERROR(VLOOKUP(D121&amp;"Viet",'Question structure'!D:H,2,0),"")</f>
        <v>Đêm qua thế nào?</v>
      </c>
      <c r="F121" t="str">
        <f ca="1">IFERROR(VLOOKUP(D121&amp;"Eng",'Question structure'!D:H,2,0),"")</f>
        <v>How was your night?</v>
      </c>
    </row>
    <row r="122" spans="1:6" x14ac:dyDescent="0.25">
      <c r="A122">
        <f t="shared" si="3"/>
        <v>119</v>
      </c>
      <c r="B122">
        <f t="shared" ca="1" si="2"/>
        <v>115</v>
      </c>
      <c r="C122" s="1" t="str">
        <f ca="1">IFERROR($C$1-1+_xlfn.RANK.EQ(B122,$B$4:$B$78)+COUNTIF(B$4:$B122,B122)-1,"")</f>
        <v/>
      </c>
      <c r="D122" s="1" t="str">
        <f ca="1">IFERROR(VLOOKUP(C122,'Question structure'!A:E,3,0),"")</f>
        <v/>
      </c>
      <c r="E122" t="str">
        <f ca="1">IFERROR(VLOOKUP(D122&amp;"Viet",'Question structure'!D:H,2,0),"")</f>
        <v/>
      </c>
      <c r="F122" t="str">
        <f ca="1">IFERROR(VLOOKUP(D122&amp;"Eng",'Question structure'!D:H,2,0),"")</f>
        <v/>
      </c>
    </row>
    <row r="123" spans="1:6" x14ac:dyDescent="0.25">
      <c r="A123">
        <f t="shared" si="3"/>
        <v>120</v>
      </c>
      <c r="B123">
        <f t="shared" ca="1" si="2"/>
        <v>11</v>
      </c>
      <c r="C123" s="1" t="str">
        <f ca="1">IFERROR($C$1-1+_xlfn.RANK.EQ(B123,$B$4:$B$78)+COUNTIF(B$4:$B123,B123)-1,"")</f>
        <v/>
      </c>
      <c r="D123" s="1" t="str">
        <f ca="1">IFERROR(VLOOKUP(C123,'Question structure'!A:E,3,0),"")</f>
        <v/>
      </c>
      <c r="E123" t="str">
        <f ca="1">IFERROR(VLOOKUP(D123&amp;"Viet",'Question structure'!D:H,2,0),"")</f>
        <v/>
      </c>
      <c r="F123" t="str">
        <f ca="1">IFERROR(VLOOKUP(D123&amp;"Eng",'Question structure'!D:H,2,0),"")</f>
        <v/>
      </c>
    </row>
    <row r="124" spans="1:6" x14ac:dyDescent="0.25">
      <c r="A124">
        <f t="shared" si="3"/>
        <v>121</v>
      </c>
      <c r="B124">
        <f t="shared" ca="1" si="2"/>
        <v>129</v>
      </c>
      <c r="C124" s="1" t="str">
        <f ca="1">IFERROR($C$1-1+_xlfn.RANK.EQ(B124,$B$4:$B$78)+COUNTIF(B$4:$B124,B124)-1,"")</f>
        <v/>
      </c>
      <c r="D124" s="1" t="str">
        <f ca="1">IFERROR(VLOOKUP(C124,'Question structure'!A:E,3,0),"")</f>
        <v/>
      </c>
      <c r="E124" t="str">
        <f ca="1">IFERROR(VLOOKUP(D124&amp;"Viet",'Question structure'!D:H,2,0),"")</f>
        <v/>
      </c>
      <c r="F124" t="str">
        <f ca="1">IFERROR(VLOOKUP(D124&amp;"Eng",'Question structure'!D:H,2,0),"")</f>
        <v/>
      </c>
    </row>
    <row r="125" spans="1:6" x14ac:dyDescent="0.25">
      <c r="A125">
        <f t="shared" si="3"/>
        <v>122</v>
      </c>
      <c r="B125">
        <f t="shared" ca="1" si="2"/>
        <v>71</v>
      </c>
      <c r="C125" s="1" t="str">
        <f ca="1">IFERROR($C$1-1+_xlfn.RANK.EQ(B125,$B$4:$B$78)+COUNTIF(B$4:$B125,B125)-1,"")</f>
        <v/>
      </c>
      <c r="D125" s="1" t="str">
        <f ca="1">IFERROR(VLOOKUP(C125,'Question structure'!A:E,3,0),"")</f>
        <v/>
      </c>
      <c r="E125" t="str">
        <f ca="1">IFERROR(VLOOKUP(D125&amp;"Viet",'Question structure'!D:H,2,0),"")</f>
        <v/>
      </c>
      <c r="F125" t="str">
        <f ca="1">IFERROR(VLOOKUP(D125&amp;"Eng",'Question structure'!D:H,2,0),"")</f>
        <v/>
      </c>
    </row>
    <row r="126" spans="1:6" x14ac:dyDescent="0.25">
      <c r="A126">
        <f t="shared" si="3"/>
        <v>123</v>
      </c>
      <c r="B126">
        <f t="shared" ca="1" si="2"/>
        <v>79</v>
      </c>
      <c r="C126" s="1" t="str">
        <f ca="1">IFERROR($C$1-1+_xlfn.RANK.EQ(B126,$B$4:$B$78)+COUNTIF(B$4:$B126,B126)-1,"")</f>
        <v/>
      </c>
      <c r="D126" s="1" t="str">
        <f ca="1">IFERROR(VLOOKUP(C126,'Question structure'!A:E,3,0),"")</f>
        <v/>
      </c>
      <c r="E126" t="str">
        <f ca="1">IFERROR(VLOOKUP(D126&amp;"Viet",'Question structure'!D:H,2,0),"")</f>
        <v/>
      </c>
      <c r="F126" t="str">
        <f ca="1">IFERROR(VLOOKUP(D126&amp;"Eng",'Question structure'!D:H,2,0),"")</f>
        <v/>
      </c>
    </row>
    <row r="127" spans="1:6" x14ac:dyDescent="0.25">
      <c r="A127">
        <f t="shared" si="3"/>
        <v>124</v>
      </c>
      <c r="B127">
        <f t="shared" ca="1" si="2"/>
        <v>103</v>
      </c>
      <c r="C127" s="1" t="str">
        <f ca="1">IFERROR($C$1-1+_xlfn.RANK.EQ(B127,$B$4:$B$78)+COUNTIF(B$4:$B127,B127)-1,"")</f>
        <v/>
      </c>
      <c r="D127" s="1" t="str">
        <f ca="1">IFERROR(VLOOKUP(C127,'Question structure'!A:E,3,0),"")</f>
        <v/>
      </c>
      <c r="E127" t="str">
        <f ca="1">IFERROR(VLOOKUP(D127&amp;"Viet",'Question structure'!D:H,2,0),"")</f>
        <v/>
      </c>
      <c r="F127" t="str">
        <f ca="1">IFERROR(VLOOKUP(D127&amp;"Eng",'Question structure'!D:H,2,0),"")</f>
        <v/>
      </c>
    </row>
    <row r="128" spans="1:6" x14ac:dyDescent="0.25">
      <c r="A128">
        <f t="shared" si="3"/>
        <v>125</v>
      </c>
      <c r="B128">
        <f t="shared" ca="1" si="2"/>
        <v>41</v>
      </c>
      <c r="C128" s="1">
        <f ca="1">IFERROR($C$1-1+_xlfn.RANK.EQ(B128,$B$4:$B$78)+COUNTIF(B$4:$B128,B128)-1,"")</f>
        <v>65</v>
      </c>
      <c r="D128" s="1" t="str">
        <f ca="1">IFERROR(VLOOKUP(C128,'Question structure'!A:E,3,0),"")</f>
        <v>8.2.2</v>
      </c>
      <c r="E128" t="str">
        <f ca="1">IFERROR(VLOOKUP(D128&amp;"Viet",'Question structure'!D:H,2,0),"")</f>
        <v>Tại sao cậu cứ làm thế với tôi?</v>
      </c>
      <c r="F128" t="str">
        <f ca="1">IFERROR(VLOOKUP(D128&amp;"Eng",'Question structure'!D:H,2,0),"")</f>
        <v>Why do you keep doing this to me?</v>
      </c>
    </row>
    <row r="129" spans="1:6" x14ac:dyDescent="0.25">
      <c r="A129">
        <f t="shared" si="3"/>
        <v>126</v>
      </c>
      <c r="B129">
        <f t="shared" ca="1" si="2"/>
        <v>156</v>
      </c>
      <c r="C129" s="1">
        <f ca="1">IFERROR($C$1-1+_xlfn.RANK.EQ(B129,$B$4:$B$78)+COUNTIF(B$4:$B129,B129)-1,"")</f>
        <v>13</v>
      </c>
      <c r="D129" s="1" t="str">
        <f ca="1">IFERROR(VLOOKUP(C129,'Question structure'!A:E,3,0),"")</f>
        <v>2.1.1</v>
      </c>
      <c r="E129" t="str">
        <f ca="1">IFERROR(VLOOKUP(D129&amp;"Viet",'Question structure'!D:H,2,0),"")</f>
        <v>Cậu nghĩ thế nào về anh ấy?</v>
      </c>
      <c r="F129" t="str">
        <f ca="1">IFERROR(VLOOKUP(D129&amp;"Eng",'Question structure'!D:H,2,0),"")</f>
        <v>What do you think of him?</v>
      </c>
    </row>
    <row r="130" spans="1:6" x14ac:dyDescent="0.25">
      <c r="A130">
        <f t="shared" si="3"/>
        <v>127</v>
      </c>
      <c r="B130">
        <f t="shared" ca="1" si="2"/>
        <v>128</v>
      </c>
      <c r="C130" s="1" t="str">
        <f ca="1">IFERROR($C$1-1+_xlfn.RANK.EQ(B130,$B$4:$B$78)+COUNTIF(B$4:$B130,B130)-1,"")</f>
        <v/>
      </c>
      <c r="D130" s="1" t="str">
        <f ca="1">IFERROR(VLOOKUP(C130,'Question structure'!A:E,3,0),"")</f>
        <v/>
      </c>
      <c r="E130" t="str">
        <f ca="1">IFERROR(VLOOKUP(D130&amp;"Viet",'Question structure'!D:H,2,0),"")</f>
        <v/>
      </c>
      <c r="F130" t="str">
        <f ca="1">IFERROR(VLOOKUP(D130&amp;"Eng",'Question structure'!D:H,2,0),"")</f>
        <v/>
      </c>
    </row>
    <row r="131" spans="1:6" x14ac:dyDescent="0.25">
      <c r="A131">
        <f t="shared" si="3"/>
        <v>128</v>
      </c>
      <c r="B131">
        <f t="shared" ca="1" si="2"/>
        <v>125</v>
      </c>
      <c r="C131" s="1">
        <f ca="1">IFERROR($C$1-1+_xlfn.RANK.EQ(B131,$B$4:$B$78)+COUNTIF(B$4:$B131,B131)-1,"")</f>
        <v>32</v>
      </c>
      <c r="D131" s="1" t="str">
        <f ca="1">IFERROR(VLOOKUP(C131,'Question structure'!A:E,3,0),"")</f>
        <v>3.3.3</v>
      </c>
      <c r="E131" t="str">
        <f ca="1">IFERROR(VLOOKUP(D131&amp;"Viet",'Question structure'!D:H,2,0),"")</f>
        <v>Cậu có muốn tôi mua đồ uống cho cậu không?</v>
      </c>
      <c r="F131" t="str">
        <f ca="1">IFERROR(VLOOKUP(D131&amp;"Eng",'Question structure'!D:H,2,0),"")</f>
        <v>Do you want me to buy a drink?</v>
      </c>
    </row>
    <row r="132" spans="1:6" x14ac:dyDescent="0.25">
      <c r="A132">
        <f t="shared" si="3"/>
        <v>129</v>
      </c>
      <c r="B132">
        <f t="shared" ref="B132:B195" ca="1" si="4">IF(A132="","",RANDBETWEEN($C$1,$C$2))</f>
        <v>88</v>
      </c>
      <c r="C132" s="1">
        <f ca="1">IFERROR($C$1-1+_xlfn.RANK.EQ(B132,$B$4:$B$78)+COUNTIF(B$4:$B132,B132)-1,"")</f>
        <v>51</v>
      </c>
      <c r="D132" s="1" t="str">
        <f ca="1">IFERROR(VLOOKUP(C132,'Question structure'!A:E,3,0),"")</f>
        <v>6.1.3</v>
      </c>
      <c r="E132" t="str">
        <f ca="1">IFERROR(VLOOKUP(D132&amp;"Viet",'Question structure'!D:H,2,0),"")</f>
        <v>Tôi nên nói chuyện với anh ấy về chủ đề gì?</v>
      </c>
      <c r="F132" t="str">
        <f ca="1">IFERROR(VLOOKUP(D132&amp;"Eng",'Question structure'!D:H,2,0),"")</f>
        <v>What am I supposed to talk to him about?</v>
      </c>
    </row>
    <row r="133" spans="1:6" x14ac:dyDescent="0.25">
      <c r="A133">
        <f t="shared" si="3"/>
        <v>130</v>
      </c>
      <c r="B133">
        <f t="shared" ca="1" si="4"/>
        <v>68</v>
      </c>
      <c r="C133" s="1">
        <f ca="1">IFERROR($C$1-1+_xlfn.RANK.EQ(B133,$B$4:$B$78)+COUNTIF(B$4:$B133,B133)-1,"")</f>
        <v>57</v>
      </c>
      <c r="D133" s="1" t="str">
        <f ca="1">IFERROR(VLOOKUP(C133,'Question structure'!A:E,3,0),"")</f>
        <v>7.2.3</v>
      </c>
      <c r="E133" t="str">
        <f ca="1">IFERROR(VLOOKUP(D133&amp;"Viet",'Question structure'!D:H,2,0),"")</f>
        <v>Cậu định tổ chức tiệc à?</v>
      </c>
      <c r="F133" t="str">
        <f ca="1">IFERROR(VLOOKUP(D133&amp;"Eng",'Question structure'!D:H,2,0),"")</f>
        <v>Are you planning to throw a party?</v>
      </c>
    </row>
    <row r="134" spans="1:6" x14ac:dyDescent="0.25">
      <c r="A134">
        <f t="shared" ref="A134:A197" si="5">IFERROR(IF(A133+1&gt;$C$2,"",A133+1),"")</f>
        <v>131</v>
      </c>
      <c r="B134">
        <f t="shared" ca="1" si="4"/>
        <v>47</v>
      </c>
      <c r="C134" s="1" t="str">
        <f ca="1">IFERROR($C$1-1+_xlfn.RANK.EQ(B134,$B$4:$B$78)+COUNTIF(B$4:$B134,B134)-1,"")</f>
        <v/>
      </c>
      <c r="D134" s="1" t="str">
        <f ca="1">IFERROR(VLOOKUP(C134,'Question structure'!A:E,3,0),"")</f>
        <v/>
      </c>
      <c r="E134" t="str">
        <f ca="1">IFERROR(VLOOKUP(D134&amp;"Viet",'Question structure'!D:H,2,0),"")</f>
        <v/>
      </c>
      <c r="F134" t="str">
        <f ca="1">IFERROR(VLOOKUP(D134&amp;"Eng",'Question structure'!D:H,2,0),"")</f>
        <v/>
      </c>
    </row>
    <row r="135" spans="1:6" x14ac:dyDescent="0.25">
      <c r="A135">
        <f t="shared" si="5"/>
        <v>132</v>
      </c>
      <c r="B135">
        <f t="shared" ca="1" si="4"/>
        <v>119</v>
      </c>
      <c r="C135" s="1" t="str">
        <f ca="1">IFERROR($C$1-1+_xlfn.RANK.EQ(B135,$B$4:$B$78)+COUNTIF(B$4:$B135,B135)-1,"")</f>
        <v/>
      </c>
      <c r="D135" s="1" t="str">
        <f ca="1">IFERROR(VLOOKUP(C135,'Question structure'!A:E,3,0),"")</f>
        <v/>
      </c>
      <c r="E135" t="str">
        <f ca="1">IFERROR(VLOOKUP(D135&amp;"Viet",'Question structure'!D:H,2,0),"")</f>
        <v/>
      </c>
      <c r="F135" t="str">
        <f ca="1">IFERROR(VLOOKUP(D135&amp;"Eng",'Question structure'!D:H,2,0),"")</f>
        <v/>
      </c>
    </row>
    <row r="136" spans="1:6" x14ac:dyDescent="0.25">
      <c r="A136">
        <f t="shared" si="5"/>
        <v>133</v>
      </c>
      <c r="B136">
        <f t="shared" ca="1" si="4"/>
        <v>54</v>
      </c>
      <c r="C136" s="1" t="str">
        <f ca="1">IFERROR($C$1-1+_xlfn.RANK.EQ(B136,$B$4:$B$78)+COUNTIF(B$4:$B136,B136)-1,"")</f>
        <v/>
      </c>
      <c r="D136" s="1" t="str">
        <f ca="1">IFERROR(VLOOKUP(C136,'Question structure'!A:E,3,0),"")</f>
        <v/>
      </c>
      <c r="E136" t="str">
        <f ca="1">IFERROR(VLOOKUP(D136&amp;"Viet",'Question structure'!D:H,2,0),"")</f>
        <v/>
      </c>
      <c r="F136" t="str">
        <f ca="1">IFERROR(VLOOKUP(D136&amp;"Eng",'Question structure'!D:H,2,0),"")</f>
        <v/>
      </c>
    </row>
    <row r="137" spans="1:6" x14ac:dyDescent="0.25">
      <c r="A137">
        <f t="shared" si="5"/>
        <v>134</v>
      </c>
      <c r="B137">
        <f t="shared" ca="1" si="4"/>
        <v>39</v>
      </c>
      <c r="C137" s="1" t="str">
        <f ca="1">IFERROR($C$1-1+_xlfn.RANK.EQ(B137,$B$4:$B$78)+COUNTIF(B$4:$B137,B137)-1,"")</f>
        <v/>
      </c>
      <c r="D137" s="1" t="str">
        <f ca="1">IFERROR(VLOOKUP(C137,'Question structure'!A:E,3,0),"")</f>
        <v/>
      </c>
      <c r="E137" t="str">
        <f ca="1">IFERROR(VLOOKUP(D137&amp;"Viet",'Question structure'!D:H,2,0),"")</f>
        <v/>
      </c>
      <c r="F137" t="str">
        <f ca="1">IFERROR(VLOOKUP(D137&amp;"Eng",'Question structure'!D:H,2,0),"")</f>
        <v/>
      </c>
    </row>
    <row r="138" spans="1:6" x14ac:dyDescent="0.25">
      <c r="A138">
        <f t="shared" si="5"/>
        <v>135</v>
      </c>
      <c r="B138">
        <f t="shared" ca="1" si="4"/>
        <v>138</v>
      </c>
      <c r="C138" s="1" t="str">
        <f ca="1">IFERROR($C$1-1+_xlfn.RANK.EQ(B138,$B$4:$B$78)+COUNTIF(B$4:$B138,B138)-1,"")</f>
        <v/>
      </c>
      <c r="D138" s="1" t="str">
        <f ca="1">IFERROR(VLOOKUP(C138,'Question structure'!A:E,3,0),"")</f>
        <v/>
      </c>
      <c r="E138" t="str">
        <f ca="1">IFERROR(VLOOKUP(D138&amp;"Viet",'Question structure'!D:H,2,0),"")</f>
        <v/>
      </c>
      <c r="F138" t="str">
        <f ca="1">IFERROR(VLOOKUP(D138&amp;"Eng",'Question structure'!D:H,2,0),"")</f>
        <v/>
      </c>
    </row>
    <row r="139" spans="1:6" x14ac:dyDescent="0.25">
      <c r="A139">
        <f t="shared" si="5"/>
        <v>136</v>
      </c>
      <c r="B139">
        <f t="shared" ca="1" si="4"/>
        <v>22</v>
      </c>
      <c r="C139" s="1" t="str">
        <f ca="1">IFERROR($C$1-1+_xlfn.RANK.EQ(B139,$B$4:$B$78)+COUNTIF(B$4:$B139,B139)-1,"")</f>
        <v/>
      </c>
      <c r="D139" s="1" t="str">
        <f ca="1">IFERROR(VLOOKUP(C139,'Question structure'!A:E,3,0),"")</f>
        <v/>
      </c>
      <c r="E139" t="str">
        <f ca="1">IFERROR(VLOOKUP(D139&amp;"Viet",'Question structure'!D:H,2,0),"")</f>
        <v/>
      </c>
      <c r="F139" t="str">
        <f ca="1">IFERROR(VLOOKUP(D139&amp;"Eng",'Question structure'!D:H,2,0),"")</f>
        <v/>
      </c>
    </row>
    <row r="140" spans="1:6" x14ac:dyDescent="0.25">
      <c r="A140">
        <f t="shared" si="5"/>
        <v>137</v>
      </c>
      <c r="B140">
        <f t="shared" ca="1" si="4"/>
        <v>172</v>
      </c>
      <c r="C140" s="1" t="str">
        <f ca="1">IFERROR($C$1-1+_xlfn.RANK.EQ(B140,$B$4:$B$78)+COUNTIF(B$4:$B140,B140)-1,"")</f>
        <v/>
      </c>
      <c r="D140" s="1" t="str">
        <f ca="1">IFERROR(VLOOKUP(C140,'Question structure'!A:E,3,0),"")</f>
        <v/>
      </c>
      <c r="E140" t="str">
        <f ca="1">IFERROR(VLOOKUP(D140&amp;"Viet",'Question structure'!D:H,2,0),"")</f>
        <v/>
      </c>
      <c r="F140" t="str">
        <f ca="1">IFERROR(VLOOKUP(D140&amp;"Eng",'Question structure'!D:H,2,0),"")</f>
        <v/>
      </c>
    </row>
    <row r="141" spans="1:6" x14ac:dyDescent="0.25">
      <c r="A141">
        <f t="shared" si="5"/>
        <v>138</v>
      </c>
      <c r="B141">
        <f t="shared" ca="1" si="4"/>
        <v>76</v>
      </c>
      <c r="C141" s="1" t="str">
        <f ca="1">IFERROR($C$1-1+_xlfn.RANK.EQ(B141,$B$4:$B$78)+COUNTIF(B$4:$B141,B141)-1,"")</f>
        <v/>
      </c>
      <c r="D141" s="1" t="str">
        <f ca="1">IFERROR(VLOOKUP(C141,'Question structure'!A:E,3,0),"")</f>
        <v/>
      </c>
      <c r="E141" t="str">
        <f ca="1">IFERROR(VLOOKUP(D141&amp;"Viet",'Question structure'!D:H,2,0),"")</f>
        <v/>
      </c>
      <c r="F141" t="str">
        <f ca="1">IFERROR(VLOOKUP(D141&amp;"Eng",'Question structure'!D:H,2,0),"")</f>
        <v/>
      </c>
    </row>
    <row r="142" spans="1:6" x14ac:dyDescent="0.25">
      <c r="A142">
        <f t="shared" si="5"/>
        <v>139</v>
      </c>
      <c r="B142">
        <f t="shared" ca="1" si="4"/>
        <v>45</v>
      </c>
      <c r="C142" s="1" t="str">
        <f ca="1">IFERROR($C$1-1+_xlfn.RANK.EQ(B142,$B$4:$B$78)+COUNTIF(B$4:$B142,B142)-1,"")</f>
        <v/>
      </c>
      <c r="D142" s="1" t="str">
        <f ca="1">IFERROR(VLOOKUP(C142,'Question structure'!A:E,3,0),"")</f>
        <v/>
      </c>
      <c r="E142" t="str">
        <f ca="1">IFERROR(VLOOKUP(D142&amp;"Viet",'Question structure'!D:H,2,0),"")</f>
        <v/>
      </c>
      <c r="F142" t="str">
        <f ca="1">IFERROR(VLOOKUP(D142&amp;"Eng",'Question structure'!D:H,2,0),"")</f>
        <v/>
      </c>
    </row>
    <row r="143" spans="1:6" x14ac:dyDescent="0.25">
      <c r="A143">
        <f t="shared" si="5"/>
        <v>140</v>
      </c>
      <c r="B143">
        <f t="shared" ca="1" si="4"/>
        <v>123</v>
      </c>
      <c r="C143" s="1" t="str">
        <f ca="1">IFERROR($C$1-1+_xlfn.RANK.EQ(B143,$B$4:$B$78)+COUNTIF(B$4:$B143,B143)-1,"")</f>
        <v/>
      </c>
      <c r="D143" s="1" t="str">
        <f ca="1">IFERROR(VLOOKUP(C143,'Question structure'!A:E,3,0),"")</f>
        <v/>
      </c>
      <c r="E143" t="str">
        <f ca="1">IFERROR(VLOOKUP(D143&amp;"Viet",'Question structure'!D:H,2,0),"")</f>
        <v/>
      </c>
      <c r="F143" t="str">
        <f ca="1">IFERROR(VLOOKUP(D143&amp;"Eng",'Question structure'!D:H,2,0),"")</f>
        <v/>
      </c>
    </row>
    <row r="144" spans="1:6" x14ac:dyDescent="0.25">
      <c r="A144">
        <f t="shared" si="5"/>
        <v>141</v>
      </c>
      <c r="B144">
        <f t="shared" ca="1" si="4"/>
        <v>29</v>
      </c>
      <c r="C144" s="1">
        <f ca="1">IFERROR($C$1-1+_xlfn.RANK.EQ(B144,$B$4:$B$78)+COUNTIF(B$4:$B144,B144)-1,"")</f>
        <v>67</v>
      </c>
      <c r="D144" s="1" t="str">
        <f ca="1">IFERROR(VLOOKUP(C144,'Question structure'!A:E,3,0),"")</f>
        <v>8.3.1</v>
      </c>
      <c r="E144" t="str">
        <f ca="1">IFERROR(VLOOKUP(D144&amp;"Viet",'Question structure'!D:H,2,0),"")</f>
        <v>Tại sao cậu lại nói dối tôi?</v>
      </c>
      <c r="F144" t="str">
        <f ca="1">IFERROR(VLOOKUP(D144&amp;"Eng",'Question structure'!D:H,2,0),"")</f>
        <v>Why did you lie to me?</v>
      </c>
    </row>
    <row r="145" spans="1:6" x14ac:dyDescent="0.25">
      <c r="A145">
        <f t="shared" si="5"/>
        <v>142</v>
      </c>
      <c r="B145">
        <f t="shared" ca="1" si="4"/>
        <v>184</v>
      </c>
      <c r="C145" s="1">
        <f ca="1">IFERROR($C$1-1+_xlfn.RANK.EQ(B145,$B$4:$B$78)+COUNTIF(B$4:$B145,B145)-1,"")</f>
        <v>2</v>
      </c>
      <c r="D145" s="1" t="str">
        <f ca="1">IFERROR(VLOOKUP(C145,'Question structure'!A:E,3,0),"")</f>
        <v>1.1.2</v>
      </c>
      <c r="E145" t="str">
        <f ca="1">IFERROR(VLOOKUP(D145&amp;"Viet",'Question structure'!D:H,2,0),"")</f>
        <v>Anh ấy khoẻ chứ?</v>
      </c>
      <c r="F145" t="str">
        <f ca="1">IFERROR(VLOOKUP(D145&amp;"Eng",'Question structure'!D:H,2,0),"")</f>
        <v>How is he?</v>
      </c>
    </row>
    <row r="146" spans="1:6" x14ac:dyDescent="0.25">
      <c r="A146">
        <f t="shared" si="5"/>
        <v>143</v>
      </c>
      <c r="B146">
        <f t="shared" ca="1" si="4"/>
        <v>125</v>
      </c>
      <c r="C146" s="1">
        <f ca="1">IFERROR($C$1-1+_xlfn.RANK.EQ(B146,$B$4:$B$78)+COUNTIF(B$4:$B146,B146)-1,"")</f>
        <v>33</v>
      </c>
      <c r="D146" s="1" t="str">
        <f ca="1">IFERROR(VLOOKUP(C146,'Question structure'!A:E,3,0),"")</f>
        <v>3.3.4</v>
      </c>
      <c r="E146" t="str">
        <f ca="1">IFERROR(VLOOKUP(D146&amp;"Viet",'Question structure'!D:H,2,0),"")</f>
        <v>Cậu có muốn tôi lái xe đưa cậu về không?</v>
      </c>
      <c r="F146" t="str">
        <f ca="1">IFERROR(VLOOKUP(D146&amp;"Eng",'Question structure'!D:H,2,0),"")</f>
        <v>Do you want me to drive you home?</v>
      </c>
    </row>
    <row r="147" spans="1:6" x14ac:dyDescent="0.25">
      <c r="A147">
        <f t="shared" si="5"/>
        <v>144</v>
      </c>
      <c r="B147">
        <f t="shared" ca="1" si="4"/>
        <v>50</v>
      </c>
      <c r="C147" s="1">
        <f ca="1">IFERROR($C$1-1+_xlfn.RANK.EQ(B147,$B$4:$B$78)+COUNTIF(B$4:$B147,B147)-1,"")</f>
        <v>62</v>
      </c>
      <c r="D147" s="1" t="str">
        <f ca="1">IFERROR(VLOOKUP(C147,'Question structure'!A:E,3,0),"")</f>
        <v>8.1.2</v>
      </c>
      <c r="E147" t="str">
        <f ca="1">IFERROR(VLOOKUP(D147&amp;"Viet",'Question structure'!D:H,2,0),"")</f>
        <v>Tại sao cậu bối rối vậy?</v>
      </c>
      <c r="F147" t="str">
        <f ca="1">IFERROR(VLOOKUP(D147&amp;"Eng",'Question structure'!D:H,2,0),"")</f>
        <v>Why are you so confused?</v>
      </c>
    </row>
    <row r="148" spans="1:6" x14ac:dyDescent="0.25">
      <c r="A148">
        <f t="shared" si="5"/>
        <v>145</v>
      </c>
      <c r="B148">
        <f t="shared" ca="1" si="4"/>
        <v>27</v>
      </c>
      <c r="C148" s="1" t="str">
        <f ca="1">IFERROR($C$1-1+_xlfn.RANK.EQ(B148,$B$4:$B$78)+COUNTIF(B$4:$B148,B148)-1,"")</f>
        <v/>
      </c>
      <c r="D148" s="1" t="str">
        <f ca="1">IFERROR(VLOOKUP(C148,'Question structure'!A:E,3,0),"")</f>
        <v/>
      </c>
      <c r="E148" t="str">
        <f ca="1">IFERROR(VLOOKUP(D148&amp;"Viet",'Question structure'!D:H,2,0),"")</f>
        <v/>
      </c>
      <c r="F148" t="str">
        <f ca="1">IFERROR(VLOOKUP(D148&amp;"Eng",'Question structure'!D:H,2,0),"")</f>
        <v/>
      </c>
    </row>
    <row r="149" spans="1:6" x14ac:dyDescent="0.25">
      <c r="A149">
        <f t="shared" si="5"/>
        <v>146</v>
      </c>
      <c r="B149">
        <f t="shared" ca="1" si="4"/>
        <v>140</v>
      </c>
      <c r="C149" s="1">
        <f ca="1">IFERROR($C$1-1+_xlfn.RANK.EQ(B149,$B$4:$B$78)+COUNTIF(B$4:$B149,B149)-1,"")</f>
        <v>26</v>
      </c>
      <c r="D149" s="1" t="str">
        <f ca="1">IFERROR(VLOOKUP(C149,'Question structure'!A:E,3,0),"")</f>
        <v>3.2.1</v>
      </c>
      <c r="E149" t="str">
        <f ca="1">IFERROR(VLOOKUP(D149&amp;"Viet",'Question structure'!D:H,2,0),"")</f>
        <v>Cậu có muốn đi tắm không?</v>
      </c>
      <c r="F149" t="str">
        <f ca="1">IFERROR(VLOOKUP(D149&amp;"Eng",'Question structure'!D:H,2,0),"")</f>
        <v>Do you want to take a shower?</v>
      </c>
    </row>
    <row r="150" spans="1:6" x14ac:dyDescent="0.25">
      <c r="A150">
        <f t="shared" si="5"/>
        <v>147</v>
      </c>
      <c r="B150">
        <f t="shared" ca="1" si="4"/>
        <v>62</v>
      </c>
      <c r="C150" s="1" t="str">
        <f ca="1">IFERROR($C$1-1+_xlfn.RANK.EQ(B150,$B$4:$B$78)+COUNTIF(B$4:$B150,B150)-1,"")</f>
        <v/>
      </c>
      <c r="D150" s="1" t="str">
        <f ca="1">IFERROR(VLOOKUP(C150,'Question structure'!A:E,3,0),"")</f>
        <v/>
      </c>
      <c r="E150" t="str">
        <f ca="1">IFERROR(VLOOKUP(D150&amp;"Viet",'Question structure'!D:H,2,0),"")</f>
        <v/>
      </c>
      <c r="F150" t="str">
        <f ca="1">IFERROR(VLOOKUP(D150&amp;"Eng",'Question structure'!D:H,2,0),"")</f>
        <v/>
      </c>
    </row>
    <row r="151" spans="1:6" x14ac:dyDescent="0.25">
      <c r="A151">
        <f t="shared" si="5"/>
        <v>148</v>
      </c>
      <c r="B151">
        <f t="shared" ca="1" si="4"/>
        <v>38</v>
      </c>
      <c r="C151" s="1">
        <f ca="1">IFERROR($C$1-1+_xlfn.RANK.EQ(B151,$B$4:$B$78)+COUNTIF(B$4:$B151,B151)-1,"")</f>
        <v>66</v>
      </c>
      <c r="D151" s="1" t="str">
        <f ca="1">IFERROR(VLOOKUP(C151,'Question structure'!A:E,3,0),"")</f>
        <v>8.2.3</v>
      </c>
      <c r="E151" t="str">
        <f ca="1">IFERROR(VLOOKUP(D151&amp;"Viet",'Question structure'!D:H,2,0),"")</f>
        <v>Tại sao cậu cứ hỏi tôi chuyện đó mãi thế?</v>
      </c>
      <c r="F151" t="str">
        <f ca="1">IFERROR(VLOOKUP(D151&amp;"Eng",'Question structure'!D:H,2,0),"")</f>
        <v>Why do you keep asking me that?</v>
      </c>
    </row>
    <row r="152" spans="1:6" x14ac:dyDescent="0.25">
      <c r="A152">
        <f t="shared" si="5"/>
        <v>149</v>
      </c>
      <c r="B152">
        <f t="shared" ca="1" si="4"/>
        <v>112</v>
      </c>
      <c r="C152" s="1">
        <f ca="1">IFERROR($C$1-1+_xlfn.RANK.EQ(B152,$B$4:$B$78)+COUNTIF(B$4:$B152,B152)-1,"")</f>
        <v>40</v>
      </c>
      <c r="D152" s="1" t="str">
        <f ca="1">IFERROR(VLOOKUP(C152,'Question structure'!A:E,3,0),"")</f>
        <v>4.3.1</v>
      </c>
      <c r="E152" t="str">
        <f ca="1">IFERROR(VLOOKUP(D152&amp;"Viet",'Question structure'!D:H,2,0),"")</f>
        <v>Cậu muốn anh ấy mang cái gì đến?</v>
      </c>
      <c r="F152" t="str">
        <f ca="1">IFERROR(VLOOKUP(D152&amp;"Eng",'Question structure'!D:H,2,0),"")</f>
        <v>What do you want him to bring?</v>
      </c>
    </row>
    <row r="153" spans="1:6" x14ac:dyDescent="0.25">
      <c r="A153">
        <f t="shared" si="5"/>
        <v>150</v>
      </c>
      <c r="B153">
        <f t="shared" ca="1" si="4"/>
        <v>123</v>
      </c>
      <c r="C153" s="1" t="str">
        <f ca="1">IFERROR($C$1-1+_xlfn.RANK.EQ(B153,$B$4:$B$78)+COUNTIF(B$4:$B153,B153)-1,"")</f>
        <v/>
      </c>
      <c r="D153" s="1" t="str">
        <f ca="1">IFERROR(VLOOKUP(C153,'Question structure'!A:E,3,0),"")</f>
        <v/>
      </c>
      <c r="E153" t="str">
        <f ca="1">IFERROR(VLOOKUP(D153&amp;"Viet",'Question structure'!D:H,2,0),"")</f>
        <v/>
      </c>
      <c r="F153" t="str">
        <f ca="1">IFERROR(VLOOKUP(D153&amp;"Eng",'Question structure'!D:H,2,0),"")</f>
        <v/>
      </c>
    </row>
    <row r="154" spans="1:6" x14ac:dyDescent="0.25">
      <c r="A154">
        <f t="shared" si="5"/>
        <v>151</v>
      </c>
      <c r="B154">
        <f t="shared" ca="1" si="4"/>
        <v>93</v>
      </c>
      <c r="C154" s="1" t="str">
        <f ca="1">IFERROR($C$1-1+_xlfn.RANK.EQ(B154,$B$4:$B$78)+COUNTIF(B$4:$B154,B154)-1,"")</f>
        <v/>
      </c>
      <c r="D154" s="1" t="str">
        <f ca="1">IFERROR(VLOOKUP(C154,'Question structure'!A:E,3,0),"")</f>
        <v/>
      </c>
      <c r="E154" t="str">
        <f ca="1">IFERROR(VLOOKUP(D154&amp;"Viet",'Question structure'!D:H,2,0),"")</f>
        <v/>
      </c>
      <c r="F154" t="str">
        <f ca="1">IFERROR(VLOOKUP(D154&amp;"Eng",'Question structure'!D:H,2,0),"")</f>
        <v/>
      </c>
    </row>
    <row r="155" spans="1:6" x14ac:dyDescent="0.25">
      <c r="A155">
        <f t="shared" si="5"/>
        <v>152</v>
      </c>
      <c r="B155">
        <f t="shared" ca="1" si="4"/>
        <v>129</v>
      </c>
      <c r="C155" s="1" t="str">
        <f ca="1">IFERROR($C$1-1+_xlfn.RANK.EQ(B155,$B$4:$B$78)+COUNTIF(B$4:$B155,B155)-1,"")</f>
        <v/>
      </c>
      <c r="D155" s="1" t="str">
        <f ca="1">IFERROR(VLOOKUP(C155,'Question structure'!A:E,3,0),"")</f>
        <v/>
      </c>
      <c r="E155" t="str">
        <f ca="1">IFERROR(VLOOKUP(D155&amp;"Viet",'Question structure'!D:H,2,0),"")</f>
        <v/>
      </c>
      <c r="F155" t="str">
        <f ca="1">IFERROR(VLOOKUP(D155&amp;"Eng",'Question structure'!D:H,2,0),"")</f>
        <v/>
      </c>
    </row>
    <row r="156" spans="1:6" x14ac:dyDescent="0.25">
      <c r="A156">
        <f t="shared" si="5"/>
        <v>153</v>
      </c>
      <c r="B156">
        <f t="shared" ca="1" si="4"/>
        <v>102</v>
      </c>
      <c r="C156" s="1" t="str">
        <f ca="1">IFERROR($C$1-1+_xlfn.RANK.EQ(B156,$B$4:$B$78)+COUNTIF(B$4:$B156,B156)-1,"")</f>
        <v/>
      </c>
      <c r="D156" s="1" t="str">
        <f ca="1">IFERROR(VLOOKUP(C156,'Question structure'!A:E,3,0),"")</f>
        <v/>
      </c>
      <c r="E156" t="str">
        <f ca="1">IFERROR(VLOOKUP(D156&amp;"Viet",'Question structure'!D:H,2,0),"")</f>
        <v/>
      </c>
      <c r="F156" t="str">
        <f ca="1">IFERROR(VLOOKUP(D156&amp;"Eng",'Question structure'!D:H,2,0),"")</f>
        <v/>
      </c>
    </row>
    <row r="157" spans="1:6" x14ac:dyDescent="0.25">
      <c r="A157">
        <f t="shared" si="5"/>
        <v>154</v>
      </c>
      <c r="B157">
        <f t="shared" ca="1" si="4"/>
        <v>50</v>
      </c>
      <c r="C157" s="1">
        <f ca="1">IFERROR($C$1-1+_xlfn.RANK.EQ(B157,$B$4:$B$78)+COUNTIF(B$4:$B157,B157)-1,"")</f>
        <v>63</v>
      </c>
      <c r="D157" s="1" t="str">
        <f ca="1">IFERROR(VLOOKUP(C157,'Question structure'!A:E,3,0),"")</f>
        <v>8.1.3</v>
      </c>
      <c r="E157" t="str">
        <f ca="1">IFERROR(VLOOKUP(D157&amp;"Viet",'Question structure'!D:H,2,0),"")</f>
        <v>Sao cậu ăn diện thể</v>
      </c>
      <c r="F157" t="str">
        <f ca="1">IFERROR(VLOOKUP(D157&amp;"Eng",'Question structure'!D:H,2,0),"")</f>
        <v>Why are you so dressed up?</v>
      </c>
    </row>
    <row r="158" spans="1:6" x14ac:dyDescent="0.25">
      <c r="A158">
        <f t="shared" si="5"/>
        <v>155</v>
      </c>
      <c r="B158">
        <f t="shared" ca="1" si="4"/>
        <v>48</v>
      </c>
      <c r="C158" s="1">
        <f ca="1">IFERROR($C$1-1+_xlfn.RANK.EQ(B158,$B$4:$B$78)+COUNTIF(B$4:$B158,B158)-1,"")</f>
        <v>64</v>
      </c>
      <c r="D158" s="1" t="str">
        <f ca="1">IFERROR(VLOOKUP(C158,'Question structure'!A:E,3,0),"")</f>
        <v>8.2.1</v>
      </c>
      <c r="E158" t="str">
        <f ca="1">IFERROR(VLOOKUP(D158&amp;"Viet",'Question structure'!D:H,2,0),"")</f>
        <v>Tại sao cậu muốn biết?</v>
      </c>
      <c r="F158" t="str">
        <f ca="1">IFERROR(VLOOKUP(D158&amp;"Eng",'Question structure'!D:H,2,0),"")</f>
        <v>Why do you want to know?</v>
      </c>
    </row>
    <row r="159" spans="1:6" x14ac:dyDescent="0.25">
      <c r="A159">
        <f t="shared" si="5"/>
        <v>156</v>
      </c>
      <c r="B159">
        <f t="shared" ca="1" si="4"/>
        <v>50</v>
      </c>
      <c r="C159" s="1">
        <f ca="1">IFERROR($C$1-1+_xlfn.RANK.EQ(B159,$B$4:$B$78)+COUNTIF(B$4:$B159,B159)-1,"")</f>
        <v>64</v>
      </c>
      <c r="D159" s="1" t="str">
        <f ca="1">IFERROR(VLOOKUP(C159,'Question structure'!A:E,3,0),"")</f>
        <v>8.2.1</v>
      </c>
      <c r="E159" t="str">
        <f ca="1">IFERROR(VLOOKUP(D159&amp;"Viet",'Question structure'!D:H,2,0),"")</f>
        <v>Tại sao cậu muốn biết?</v>
      </c>
      <c r="F159" t="str">
        <f ca="1">IFERROR(VLOOKUP(D159&amp;"Eng",'Question structure'!D:H,2,0),"")</f>
        <v>Why do you want to know?</v>
      </c>
    </row>
    <row r="160" spans="1:6" x14ac:dyDescent="0.25">
      <c r="A160">
        <f t="shared" si="5"/>
        <v>157</v>
      </c>
      <c r="B160">
        <f t="shared" ca="1" si="4"/>
        <v>13</v>
      </c>
      <c r="C160" s="1" t="str">
        <f ca="1">IFERROR($C$1-1+_xlfn.RANK.EQ(B160,$B$4:$B$78)+COUNTIF(B$4:$B160,B160)-1,"")</f>
        <v/>
      </c>
      <c r="D160" s="1" t="str">
        <f ca="1">IFERROR(VLOOKUP(C160,'Question structure'!A:E,3,0),"")</f>
        <v/>
      </c>
      <c r="E160" t="str">
        <f ca="1">IFERROR(VLOOKUP(D160&amp;"Viet",'Question structure'!D:H,2,0),"")</f>
        <v/>
      </c>
      <c r="F160" t="str">
        <f ca="1">IFERROR(VLOOKUP(D160&amp;"Eng",'Question structure'!D:H,2,0),"")</f>
        <v/>
      </c>
    </row>
    <row r="161" spans="1:6" x14ac:dyDescent="0.25">
      <c r="A161">
        <f t="shared" si="5"/>
        <v>158</v>
      </c>
      <c r="B161">
        <f t="shared" ca="1" si="4"/>
        <v>109</v>
      </c>
      <c r="C161" s="1">
        <f ca="1">IFERROR($C$1-1+_xlfn.RANK.EQ(B161,$B$4:$B$78)+COUNTIF(B$4:$B161,B161)-1,"")</f>
        <v>42</v>
      </c>
      <c r="D161" s="1" t="str">
        <f ca="1">IFERROR(VLOOKUP(C161,'Question structure'!A:E,3,0),"")</f>
        <v>4.3.3</v>
      </c>
      <c r="E161" t="str">
        <f ca="1">IFERROR(VLOOKUP(D161&amp;"Viet",'Question structure'!D:H,2,0),"")</f>
        <v>Cậu muốn cô ấy chứng minh điều gì?</v>
      </c>
      <c r="F161" t="str">
        <f ca="1">IFERROR(VLOOKUP(D161&amp;"Eng",'Question structure'!D:H,2,0),"")</f>
        <v>What do you want her to prove?</v>
      </c>
    </row>
    <row r="162" spans="1:6" x14ac:dyDescent="0.25">
      <c r="A162">
        <f t="shared" si="5"/>
        <v>159</v>
      </c>
      <c r="B162">
        <f t="shared" ca="1" si="4"/>
        <v>18</v>
      </c>
      <c r="C162" s="1" t="str">
        <f ca="1">IFERROR($C$1-1+_xlfn.RANK.EQ(B162,$B$4:$B$78)+COUNTIF(B$4:$B162,B162)-1,"")</f>
        <v/>
      </c>
      <c r="D162" s="1" t="str">
        <f ca="1">IFERROR(VLOOKUP(C162,'Question structure'!A:E,3,0),"")</f>
        <v/>
      </c>
      <c r="E162" t="str">
        <f ca="1">IFERROR(VLOOKUP(D162&amp;"Viet",'Question structure'!D:H,2,0),"")</f>
        <v/>
      </c>
      <c r="F162" t="str">
        <f ca="1">IFERROR(VLOOKUP(D162&amp;"Eng",'Question structure'!D:H,2,0),"")</f>
        <v/>
      </c>
    </row>
    <row r="163" spans="1:6" x14ac:dyDescent="0.25">
      <c r="A163">
        <f t="shared" si="5"/>
        <v>160</v>
      </c>
      <c r="B163">
        <f t="shared" ca="1" si="4"/>
        <v>35</v>
      </c>
      <c r="C163" s="1" t="str">
        <f ca="1">IFERROR($C$1-1+_xlfn.RANK.EQ(B163,$B$4:$B$78)+COUNTIF(B$4:$B163,B163)-1,"")</f>
        <v/>
      </c>
      <c r="D163" s="1" t="str">
        <f ca="1">IFERROR(VLOOKUP(C163,'Question structure'!A:E,3,0),"")</f>
        <v/>
      </c>
      <c r="E163" t="str">
        <f ca="1">IFERROR(VLOOKUP(D163&amp;"Viet",'Question structure'!D:H,2,0),"")</f>
        <v/>
      </c>
      <c r="F163" t="str">
        <f ca="1">IFERROR(VLOOKUP(D163&amp;"Eng",'Question structure'!D:H,2,0),"")</f>
        <v/>
      </c>
    </row>
    <row r="164" spans="1:6" x14ac:dyDescent="0.25">
      <c r="A164">
        <f t="shared" si="5"/>
        <v>161</v>
      </c>
      <c r="B164">
        <f t="shared" ca="1" si="4"/>
        <v>53</v>
      </c>
      <c r="C164" s="1" t="str">
        <f ca="1">IFERROR($C$1-1+_xlfn.RANK.EQ(B164,$B$4:$B$78)+COUNTIF(B$4:$B164,B164)-1,"")</f>
        <v/>
      </c>
      <c r="D164" s="1" t="str">
        <f ca="1">IFERROR(VLOOKUP(C164,'Question structure'!A:E,3,0),"")</f>
        <v/>
      </c>
      <c r="E164" t="str">
        <f ca="1">IFERROR(VLOOKUP(D164&amp;"Viet",'Question structure'!D:H,2,0),"")</f>
        <v/>
      </c>
      <c r="F164" t="str">
        <f ca="1">IFERROR(VLOOKUP(D164&amp;"Eng",'Question structure'!D:H,2,0),"")</f>
        <v/>
      </c>
    </row>
    <row r="165" spans="1:6" x14ac:dyDescent="0.25">
      <c r="A165">
        <f t="shared" si="5"/>
        <v>162</v>
      </c>
      <c r="B165">
        <f t="shared" ca="1" si="4"/>
        <v>42</v>
      </c>
      <c r="C165" s="1" t="str">
        <f ca="1">IFERROR($C$1-1+_xlfn.RANK.EQ(B165,$B$4:$B$78)+COUNTIF(B$4:$B165,B165)-1,"")</f>
        <v/>
      </c>
      <c r="D165" s="1" t="str">
        <f ca="1">IFERROR(VLOOKUP(C165,'Question structure'!A:E,3,0),"")</f>
        <v/>
      </c>
      <c r="E165" t="str">
        <f ca="1">IFERROR(VLOOKUP(D165&amp;"Viet",'Question structure'!D:H,2,0),"")</f>
        <v/>
      </c>
      <c r="F165" t="str">
        <f ca="1">IFERROR(VLOOKUP(D165&amp;"Eng",'Question structure'!D:H,2,0),"")</f>
        <v/>
      </c>
    </row>
    <row r="166" spans="1:6" x14ac:dyDescent="0.25">
      <c r="A166">
        <f t="shared" si="5"/>
        <v>163</v>
      </c>
      <c r="B166">
        <f t="shared" ca="1" si="4"/>
        <v>52</v>
      </c>
      <c r="C166" s="1" t="str">
        <f ca="1">IFERROR($C$1-1+_xlfn.RANK.EQ(B166,$B$4:$B$78)+COUNTIF(B$4:$B166,B166)-1,"")</f>
        <v/>
      </c>
      <c r="D166" s="1" t="str">
        <f ca="1">IFERROR(VLOOKUP(C166,'Question structure'!A:E,3,0),"")</f>
        <v/>
      </c>
      <c r="E166" t="str">
        <f ca="1">IFERROR(VLOOKUP(D166&amp;"Viet",'Question structure'!D:H,2,0),"")</f>
        <v/>
      </c>
      <c r="F166" t="str">
        <f ca="1">IFERROR(VLOOKUP(D166&amp;"Eng",'Question structure'!D:H,2,0),"")</f>
        <v/>
      </c>
    </row>
    <row r="167" spans="1:6" x14ac:dyDescent="0.25">
      <c r="A167">
        <f t="shared" si="5"/>
        <v>164</v>
      </c>
      <c r="B167">
        <f t="shared" ca="1" si="4"/>
        <v>37</v>
      </c>
      <c r="C167" s="1" t="str">
        <f ca="1">IFERROR($C$1-1+_xlfn.RANK.EQ(B167,$B$4:$B$78)+COUNTIF(B$4:$B167,B167)-1,"")</f>
        <v/>
      </c>
      <c r="D167" s="1" t="str">
        <f ca="1">IFERROR(VLOOKUP(C167,'Question structure'!A:E,3,0),"")</f>
        <v/>
      </c>
      <c r="E167" t="str">
        <f ca="1">IFERROR(VLOOKUP(D167&amp;"Viet",'Question structure'!D:H,2,0),"")</f>
        <v/>
      </c>
      <c r="F167" t="str">
        <f ca="1">IFERROR(VLOOKUP(D167&amp;"Eng",'Question structure'!D:H,2,0),"")</f>
        <v/>
      </c>
    </row>
    <row r="168" spans="1:6" x14ac:dyDescent="0.25">
      <c r="A168">
        <f t="shared" si="5"/>
        <v>165</v>
      </c>
      <c r="B168">
        <f t="shared" ca="1" si="4"/>
        <v>82</v>
      </c>
      <c r="C168" s="1" t="str">
        <f ca="1">IFERROR($C$1-1+_xlfn.RANK.EQ(B168,$B$4:$B$78)+COUNTIF(B$4:$B168,B168)-1,"")</f>
        <v/>
      </c>
      <c r="D168" s="1" t="str">
        <f ca="1">IFERROR(VLOOKUP(C168,'Question structure'!A:E,3,0),"")</f>
        <v/>
      </c>
      <c r="E168" t="str">
        <f ca="1">IFERROR(VLOOKUP(D168&amp;"Viet",'Question structure'!D:H,2,0),"")</f>
        <v/>
      </c>
      <c r="F168" t="str">
        <f ca="1">IFERROR(VLOOKUP(D168&amp;"Eng",'Question structure'!D:H,2,0),"")</f>
        <v/>
      </c>
    </row>
    <row r="169" spans="1:6" x14ac:dyDescent="0.25">
      <c r="A169">
        <f t="shared" si="5"/>
        <v>166</v>
      </c>
      <c r="B169">
        <f t="shared" ca="1" si="4"/>
        <v>111</v>
      </c>
      <c r="C169" s="1" t="str">
        <f ca="1">IFERROR($C$1-1+_xlfn.RANK.EQ(B169,$B$4:$B$78)+COUNTIF(B$4:$B169,B169)-1,"")</f>
        <v/>
      </c>
      <c r="D169" s="1" t="str">
        <f ca="1">IFERROR(VLOOKUP(C169,'Question structure'!A:E,3,0),"")</f>
        <v/>
      </c>
      <c r="E169" t="str">
        <f ca="1">IFERROR(VLOOKUP(D169&amp;"Viet",'Question structure'!D:H,2,0),"")</f>
        <v/>
      </c>
      <c r="F169" t="str">
        <f ca="1">IFERROR(VLOOKUP(D169&amp;"Eng",'Question structure'!D:H,2,0),"")</f>
        <v/>
      </c>
    </row>
    <row r="170" spans="1:6" x14ac:dyDescent="0.25">
      <c r="A170">
        <f t="shared" si="5"/>
        <v>167</v>
      </c>
      <c r="B170">
        <f t="shared" ca="1" si="4"/>
        <v>147</v>
      </c>
      <c r="C170" s="1" t="str">
        <f ca="1">IFERROR($C$1-1+_xlfn.RANK.EQ(B170,$B$4:$B$78)+COUNTIF(B$4:$B170,B170)-1,"")</f>
        <v/>
      </c>
      <c r="D170" s="1" t="str">
        <f ca="1">IFERROR(VLOOKUP(C170,'Question structure'!A:E,3,0),"")</f>
        <v/>
      </c>
      <c r="E170" t="str">
        <f ca="1">IFERROR(VLOOKUP(D170&amp;"Viet",'Question structure'!D:H,2,0),"")</f>
        <v/>
      </c>
      <c r="F170" t="str">
        <f ca="1">IFERROR(VLOOKUP(D170&amp;"Eng",'Question structure'!D:H,2,0),"")</f>
        <v/>
      </c>
    </row>
    <row r="171" spans="1:6" x14ac:dyDescent="0.25">
      <c r="A171">
        <f t="shared" si="5"/>
        <v>168</v>
      </c>
      <c r="B171">
        <f t="shared" ca="1" si="4"/>
        <v>150</v>
      </c>
      <c r="C171" s="1">
        <f ca="1">IFERROR($C$1-1+_xlfn.RANK.EQ(B171,$B$4:$B$78)+COUNTIF(B$4:$B171,B171)-1,"")</f>
        <v>16</v>
      </c>
      <c r="D171" s="1" t="str">
        <f ca="1">IFERROR(VLOOKUP(C171,'Question structure'!A:E,3,0),"")</f>
        <v>2.1.4</v>
      </c>
      <c r="E171" t="str">
        <f ca="1">IFERROR(VLOOKUP(D171&amp;"Viet",'Question structure'!D:H,2,0),"")</f>
        <v>Cậu nghĩ thế nào về cách anh ấy nói chuyện?</v>
      </c>
      <c r="F171" t="str">
        <f ca="1">IFERROR(VLOOKUP(D171&amp;"Eng",'Question structure'!D:H,2,0),"")</f>
        <v>What do you think of the way he talks?</v>
      </c>
    </row>
    <row r="172" spans="1:6" x14ac:dyDescent="0.25">
      <c r="A172">
        <f t="shared" si="5"/>
        <v>169</v>
      </c>
      <c r="B172">
        <f t="shared" ca="1" si="4"/>
        <v>18</v>
      </c>
      <c r="C172" s="1" t="str">
        <f ca="1">IFERROR($C$1-1+_xlfn.RANK.EQ(B172,$B$4:$B$78)+COUNTIF(B$4:$B172,B172)-1,"")</f>
        <v/>
      </c>
      <c r="D172" s="1" t="str">
        <f ca="1">IFERROR(VLOOKUP(C172,'Question structure'!A:E,3,0),"")</f>
        <v/>
      </c>
      <c r="E172" t="str">
        <f ca="1">IFERROR(VLOOKUP(D172&amp;"Viet",'Question structure'!D:H,2,0),"")</f>
        <v/>
      </c>
      <c r="F172" t="str">
        <f ca="1">IFERROR(VLOOKUP(D172&amp;"Eng",'Question structure'!D:H,2,0),"")</f>
        <v/>
      </c>
    </row>
    <row r="173" spans="1:6" x14ac:dyDescent="0.25">
      <c r="A173">
        <f t="shared" si="5"/>
        <v>170</v>
      </c>
      <c r="B173">
        <f t="shared" ca="1" si="4"/>
        <v>48</v>
      </c>
      <c r="C173" s="1">
        <f ca="1">IFERROR($C$1-1+_xlfn.RANK.EQ(B173,$B$4:$B$78)+COUNTIF(B$4:$B173,B173)-1,"")</f>
        <v>65</v>
      </c>
      <c r="D173" s="1" t="str">
        <f ca="1">IFERROR(VLOOKUP(C173,'Question structure'!A:E,3,0),"")</f>
        <v>8.2.2</v>
      </c>
      <c r="E173" t="str">
        <f ca="1">IFERROR(VLOOKUP(D173&amp;"Viet",'Question structure'!D:H,2,0),"")</f>
        <v>Tại sao cậu cứ làm thế với tôi?</v>
      </c>
      <c r="F173" t="str">
        <f ca="1">IFERROR(VLOOKUP(D173&amp;"Eng",'Question structure'!D:H,2,0),"")</f>
        <v>Why do you keep doing this to me?</v>
      </c>
    </row>
    <row r="174" spans="1:6" x14ac:dyDescent="0.25">
      <c r="A174">
        <f t="shared" si="5"/>
        <v>171</v>
      </c>
      <c r="B174">
        <f t="shared" ca="1" si="4"/>
        <v>160</v>
      </c>
      <c r="C174" s="1" t="str">
        <f ca="1">IFERROR($C$1-1+_xlfn.RANK.EQ(B174,$B$4:$B$78)+COUNTIF(B$4:$B174,B174)-1,"")</f>
        <v/>
      </c>
      <c r="D174" s="1" t="str">
        <f ca="1">IFERROR(VLOOKUP(C174,'Question structure'!A:E,3,0),"")</f>
        <v/>
      </c>
      <c r="E174" t="str">
        <f ca="1">IFERROR(VLOOKUP(D174&amp;"Viet",'Question structure'!D:H,2,0),"")</f>
        <v/>
      </c>
      <c r="F174" t="str">
        <f ca="1">IFERROR(VLOOKUP(D174&amp;"Eng",'Question structure'!D:H,2,0),"")</f>
        <v/>
      </c>
    </row>
    <row r="175" spans="1:6" x14ac:dyDescent="0.25">
      <c r="A175">
        <f t="shared" si="5"/>
        <v>172</v>
      </c>
      <c r="B175">
        <f t="shared" ca="1" si="4"/>
        <v>164</v>
      </c>
      <c r="C175" s="1" t="str">
        <f ca="1">IFERROR($C$1-1+_xlfn.RANK.EQ(B175,$B$4:$B$78)+COUNTIF(B$4:$B175,B175)-1,"")</f>
        <v/>
      </c>
      <c r="D175" s="1" t="str">
        <f ca="1">IFERROR(VLOOKUP(C175,'Question structure'!A:E,3,0),"")</f>
        <v/>
      </c>
      <c r="E175" t="str">
        <f ca="1">IFERROR(VLOOKUP(D175&amp;"Viet",'Question structure'!D:H,2,0),"")</f>
        <v/>
      </c>
      <c r="F175" t="str">
        <f ca="1">IFERROR(VLOOKUP(D175&amp;"Eng",'Question structure'!D:H,2,0),"")</f>
        <v/>
      </c>
    </row>
    <row r="176" spans="1:6" x14ac:dyDescent="0.25">
      <c r="A176">
        <f t="shared" si="5"/>
        <v>173</v>
      </c>
      <c r="B176">
        <f t="shared" ca="1" si="4"/>
        <v>149</v>
      </c>
      <c r="C176" s="1" t="str">
        <f ca="1">IFERROR($C$1-1+_xlfn.RANK.EQ(B176,$B$4:$B$78)+COUNTIF(B$4:$B176,B176)-1,"")</f>
        <v/>
      </c>
      <c r="D176" s="1" t="str">
        <f ca="1">IFERROR(VLOOKUP(C176,'Question structure'!A:E,3,0),"")</f>
        <v/>
      </c>
      <c r="E176" t="str">
        <f ca="1">IFERROR(VLOOKUP(D176&amp;"Viet",'Question structure'!D:H,2,0),"")</f>
        <v/>
      </c>
      <c r="F176" t="str">
        <f ca="1">IFERROR(VLOOKUP(D176&amp;"Eng",'Question structure'!D:H,2,0),"")</f>
        <v/>
      </c>
    </row>
    <row r="177" spans="1:6" x14ac:dyDescent="0.25">
      <c r="A177">
        <f t="shared" si="5"/>
        <v>174</v>
      </c>
      <c r="B177">
        <f t="shared" ca="1" si="4"/>
        <v>72</v>
      </c>
      <c r="C177" s="1" t="str">
        <f ca="1">IFERROR($C$1-1+_xlfn.RANK.EQ(B177,$B$4:$B$78)+COUNTIF(B$4:$B177,B177)-1,"")</f>
        <v/>
      </c>
      <c r="D177" s="1" t="str">
        <f ca="1">IFERROR(VLOOKUP(C177,'Question structure'!A:E,3,0),"")</f>
        <v/>
      </c>
      <c r="E177" t="str">
        <f ca="1">IFERROR(VLOOKUP(D177&amp;"Viet",'Question structure'!D:H,2,0),"")</f>
        <v/>
      </c>
      <c r="F177" t="str">
        <f ca="1">IFERROR(VLOOKUP(D177&amp;"Eng",'Question structure'!D:H,2,0),"")</f>
        <v/>
      </c>
    </row>
    <row r="178" spans="1:6" x14ac:dyDescent="0.25">
      <c r="A178">
        <f t="shared" si="5"/>
        <v>175</v>
      </c>
      <c r="B178">
        <f t="shared" ca="1" si="4"/>
        <v>39</v>
      </c>
      <c r="C178" s="1" t="str">
        <f ca="1">IFERROR($C$1-1+_xlfn.RANK.EQ(B178,$B$4:$B$78)+COUNTIF(B$4:$B178,B178)-1,"")</f>
        <v/>
      </c>
      <c r="D178" s="1" t="str">
        <f ca="1">IFERROR(VLOOKUP(C178,'Question structure'!A:E,3,0),"")</f>
        <v/>
      </c>
      <c r="E178" t="str">
        <f ca="1">IFERROR(VLOOKUP(D178&amp;"Viet",'Question structure'!D:H,2,0),"")</f>
        <v/>
      </c>
      <c r="F178" t="str">
        <f ca="1">IFERROR(VLOOKUP(D178&amp;"Eng",'Question structure'!D:H,2,0),"")</f>
        <v/>
      </c>
    </row>
    <row r="179" spans="1:6" x14ac:dyDescent="0.25">
      <c r="A179">
        <f t="shared" si="5"/>
        <v>176</v>
      </c>
      <c r="B179">
        <f t="shared" ca="1" si="4"/>
        <v>27</v>
      </c>
      <c r="C179" s="1" t="str">
        <f ca="1">IFERROR($C$1-1+_xlfn.RANK.EQ(B179,$B$4:$B$78)+COUNTIF(B$4:$B179,B179)-1,"")</f>
        <v/>
      </c>
      <c r="D179" s="1" t="str">
        <f ca="1">IFERROR(VLOOKUP(C179,'Question structure'!A:E,3,0),"")</f>
        <v/>
      </c>
      <c r="E179" t="str">
        <f ca="1">IFERROR(VLOOKUP(D179&amp;"Viet",'Question structure'!D:H,2,0),"")</f>
        <v/>
      </c>
      <c r="F179" t="str">
        <f ca="1">IFERROR(VLOOKUP(D179&amp;"Eng",'Question structure'!D:H,2,0),"")</f>
        <v/>
      </c>
    </row>
    <row r="180" spans="1:6" x14ac:dyDescent="0.25">
      <c r="A180">
        <f t="shared" si="5"/>
        <v>177</v>
      </c>
      <c r="B180">
        <f t="shared" ca="1" si="4"/>
        <v>97</v>
      </c>
      <c r="C180" s="1" t="str">
        <f ca="1">IFERROR($C$1-1+_xlfn.RANK.EQ(B180,$B$4:$B$78)+COUNTIF(B$4:$B180,B180)-1,"")</f>
        <v/>
      </c>
      <c r="D180" s="1" t="str">
        <f ca="1">IFERROR(VLOOKUP(C180,'Question structure'!A:E,3,0),"")</f>
        <v/>
      </c>
      <c r="E180" t="str">
        <f ca="1">IFERROR(VLOOKUP(D180&amp;"Viet",'Question structure'!D:H,2,0),"")</f>
        <v/>
      </c>
      <c r="F180" t="str">
        <f ca="1">IFERROR(VLOOKUP(D180&amp;"Eng",'Question structure'!D:H,2,0),"")</f>
        <v/>
      </c>
    </row>
    <row r="181" spans="1:6" x14ac:dyDescent="0.25">
      <c r="A181">
        <f t="shared" si="5"/>
        <v>178</v>
      </c>
      <c r="B181">
        <f t="shared" ca="1" si="4"/>
        <v>108</v>
      </c>
      <c r="C181" s="1">
        <f ca="1">IFERROR($C$1-1+_xlfn.RANK.EQ(B181,$B$4:$B$78)+COUNTIF(B$4:$B181,B181)-1,"")</f>
        <v>43</v>
      </c>
      <c r="D181" s="1" t="str">
        <f ca="1">IFERROR(VLOOKUP(C181,'Question structure'!A:E,3,0),"")</f>
        <v>5.1.1</v>
      </c>
      <c r="E181" t="str">
        <f ca="1">IFERROR(VLOOKUP(D181&amp;"Viet",'Question structure'!D:H,2,0),"")</f>
        <v>Tôi nên làm gì với nó?</v>
      </c>
      <c r="F181" t="str">
        <f ca="1">IFERROR(VLOOKUP(D181&amp;"Eng",'Question structure'!D:H,2,0),"")</f>
        <v>What should I do with it?</v>
      </c>
    </row>
    <row r="182" spans="1:6" x14ac:dyDescent="0.25">
      <c r="A182">
        <f t="shared" si="5"/>
        <v>179</v>
      </c>
      <c r="B182">
        <f t="shared" ca="1" si="4"/>
        <v>131</v>
      </c>
      <c r="C182" s="1" t="str">
        <f ca="1">IFERROR($C$1-1+_xlfn.RANK.EQ(B182,$B$4:$B$78)+COUNTIF(B$4:$B182,B182)-1,"")</f>
        <v/>
      </c>
      <c r="D182" s="1" t="str">
        <f ca="1">IFERROR(VLOOKUP(C182,'Question structure'!A:E,3,0),"")</f>
        <v/>
      </c>
      <c r="E182" t="str">
        <f ca="1">IFERROR(VLOOKUP(D182&amp;"Viet",'Question structure'!D:H,2,0),"")</f>
        <v/>
      </c>
      <c r="F182" t="str">
        <f ca="1">IFERROR(VLOOKUP(D182&amp;"Eng",'Question structure'!D:H,2,0),"")</f>
        <v/>
      </c>
    </row>
    <row r="183" spans="1:6" x14ac:dyDescent="0.25">
      <c r="A183">
        <f t="shared" si="5"/>
        <v>180</v>
      </c>
      <c r="B183">
        <f t="shared" ca="1" si="4"/>
        <v>19</v>
      </c>
      <c r="C183" s="1" t="str">
        <f ca="1">IFERROR($C$1-1+_xlfn.RANK.EQ(B183,$B$4:$B$78)+COUNTIF(B$4:$B183,B183)-1,"")</f>
        <v/>
      </c>
      <c r="D183" s="1" t="str">
        <f ca="1">IFERROR(VLOOKUP(C183,'Question structure'!A:E,3,0),"")</f>
        <v/>
      </c>
      <c r="E183" t="str">
        <f ca="1">IFERROR(VLOOKUP(D183&amp;"Viet",'Question structure'!D:H,2,0),"")</f>
        <v/>
      </c>
      <c r="F183" t="str">
        <f ca="1">IFERROR(VLOOKUP(D183&amp;"Eng",'Question structure'!D:H,2,0),"")</f>
        <v/>
      </c>
    </row>
    <row r="184" spans="1:6" x14ac:dyDescent="0.25">
      <c r="A184">
        <f t="shared" si="5"/>
        <v>181</v>
      </c>
      <c r="B184">
        <f t="shared" ca="1" si="4"/>
        <v>66</v>
      </c>
      <c r="C184" s="1">
        <f ca="1">IFERROR($C$1-1+_xlfn.RANK.EQ(B184,$B$4:$B$78)+COUNTIF(B$4:$B184,B184)-1,"")</f>
        <v>58</v>
      </c>
      <c r="D184" s="1" t="str">
        <f ca="1">IFERROR(VLOOKUP(C184,'Question structure'!A:E,3,0),"")</f>
        <v>7.3.1</v>
      </c>
      <c r="E184" t="str">
        <f ca="1">IFERROR(VLOOKUP(D184&amp;"Viet",'Question structure'!D:H,2,0),"")</f>
        <v>Ngày mai cậu có kế hoạch gì không?</v>
      </c>
      <c r="F184" t="str">
        <f ca="1">IFERROR(VLOOKUP(D184&amp;"Eng",'Question structure'!D:H,2,0),"")</f>
        <v>Do you have plans for tomorrow?</v>
      </c>
    </row>
    <row r="185" spans="1:6" x14ac:dyDescent="0.25">
      <c r="A185">
        <f t="shared" si="5"/>
        <v>182</v>
      </c>
      <c r="B185">
        <f t="shared" ca="1" si="4"/>
        <v>178</v>
      </c>
      <c r="C185" s="1">
        <f ca="1">IFERROR($C$1-1+_xlfn.RANK.EQ(B185,$B$4:$B$78)+COUNTIF(B$4:$B185,B185)-1,"")</f>
        <v>6</v>
      </c>
      <c r="D185" s="1" t="str">
        <f ca="1">IFERROR(VLOOKUP(C185,'Question structure'!A:E,3,0),"")</f>
        <v>1.2.2</v>
      </c>
      <c r="E185" t="str">
        <f ca="1">IFERROR(VLOOKUP(D185&amp;"Viet",'Question structure'!D:H,2,0),"")</f>
        <v>Anh ấy ốm như thế nào?</v>
      </c>
      <c r="F185" t="str">
        <f ca="1">IFERROR(VLOOKUP(D185&amp;"Eng",'Question structure'!D:H,2,0),"")</f>
        <v>How sick is he?</v>
      </c>
    </row>
    <row r="186" spans="1:6" x14ac:dyDescent="0.25">
      <c r="A186">
        <f t="shared" si="5"/>
        <v>183</v>
      </c>
      <c r="B186">
        <f t="shared" ca="1" si="4"/>
        <v>101</v>
      </c>
      <c r="C186" s="1" t="str">
        <f ca="1">IFERROR($C$1-1+_xlfn.RANK.EQ(B186,$B$4:$B$78)+COUNTIF(B$4:$B186,B186)-1,"")</f>
        <v/>
      </c>
      <c r="D186" s="1" t="str">
        <f ca="1">IFERROR(VLOOKUP(C186,'Question structure'!A:E,3,0),"")</f>
        <v/>
      </c>
      <c r="E186" t="str">
        <f ca="1">IFERROR(VLOOKUP(D186&amp;"Viet",'Question structure'!D:H,2,0),"")</f>
        <v/>
      </c>
      <c r="F186" t="str">
        <f ca="1">IFERROR(VLOOKUP(D186&amp;"Eng",'Question structure'!D:H,2,0),"")</f>
        <v/>
      </c>
    </row>
    <row r="187" spans="1:6" x14ac:dyDescent="0.25">
      <c r="A187">
        <f t="shared" si="5"/>
        <v>184</v>
      </c>
      <c r="B187">
        <f t="shared" ca="1" si="4"/>
        <v>35</v>
      </c>
      <c r="C187" s="1" t="str">
        <f ca="1">IFERROR($C$1-1+_xlfn.RANK.EQ(B187,$B$4:$B$78)+COUNTIF(B$4:$B187,B187)-1,"")</f>
        <v/>
      </c>
      <c r="D187" s="1" t="str">
        <f ca="1">IFERROR(VLOOKUP(C187,'Question structure'!A:E,3,0),"")</f>
        <v/>
      </c>
      <c r="E187" t="str">
        <f ca="1">IFERROR(VLOOKUP(D187&amp;"Viet",'Question structure'!D:H,2,0),"")</f>
        <v/>
      </c>
      <c r="F187" t="str">
        <f ca="1">IFERROR(VLOOKUP(D187&amp;"Eng",'Question structure'!D:H,2,0),"")</f>
        <v/>
      </c>
    </row>
    <row r="188" spans="1:6" x14ac:dyDescent="0.25">
      <c r="A188">
        <f t="shared" si="5"/>
        <v>185</v>
      </c>
      <c r="B188">
        <f t="shared" ca="1" si="4"/>
        <v>174</v>
      </c>
      <c r="C188" s="1">
        <f ca="1">IFERROR($C$1-1+_xlfn.RANK.EQ(B188,$B$4:$B$78)+COUNTIF(B$4:$B188,B188)-1,"")</f>
        <v>8</v>
      </c>
      <c r="D188" s="1" t="str">
        <f ca="1">IFERROR(VLOOKUP(C188,'Question structure'!A:E,3,0),"")</f>
        <v>1.2.4</v>
      </c>
      <c r="E188" t="str">
        <f ca="1">IFERROR(VLOOKUP(D188&amp;"Viet",'Question structure'!D:H,2,0),"")</f>
        <v>Nó khó đến mức nào?</v>
      </c>
      <c r="F188" t="str">
        <f ca="1">IFERROR(VLOOKUP(D188&amp;"Eng",'Question structure'!D:H,2,0),"")</f>
        <v>How difficult is it?</v>
      </c>
    </row>
    <row r="189" spans="1:6" x14ac:dyDescent="0.25">
      <c r="A189">
        <f t="shared" si="5"/>
        <v>186</v>
      </c>
      <c r="B189">
        <f t="shared" ca="1" si="4"/>
        <v>137</v>
      </c>
      <c r="C189" s="1">
        <f ca="1">IFERROR($C$1-1+_xlfn.RANK.EQ(B189,$B$4:$B$78)+COUNTIF(B$4:$B189,B189)-1,"")</f>
        <v>28</v>
      </c>
      <c r="D189" s="1" t="str">
        <f ca="1">IFERROR(VLOOKUP(C189,'Question structure'!A:E,3,0),"")</f>
        <v>3.2.3</v>
      </c>
      <c r="E189" t="str">
        <f ca="1">IFERROR(VLOOKUP(D189&amp;"Viet",'Question structure'!D:H,2,0),"")</f>
        <v>Cậu có muốn ở lại ăn tối không?</v>
      </c>
      <c r="F189" t="str">
        <f ca="1">IFERROR(VLOOKUP(D189&amp;"Eng",'Question structure'!D:H,2,0),"")</f>
        <v>Do you want to stay for dinner?</v>
      </c>
    </row>
    <row r="190" spans="1:6" x14ac:dyDescent="0.25">
      <c r="A190" t="str">
        <f t="shared" si="5"/>
        <v/>
      </c>
      <c r="B190" t="str">
        <f t="shared" ca="1" si="4"/>
        <v/>
      </c>
      <c r="C190" s="1" t="str">
        <f ca="1">IFERROR($C$1-1+_xlfn.RANK.EQ(B190,$B$4:$B$78)+COUNTIF(B$4:$B190,B190)-1,"")</f>
        <v/>
      </c>
      <c r="D190" s="1" t="str">
        <f ca="1">IFERROR(VLOOKUP(C190,'Question structure'!A:E,3,0),"")</f>
        <v/>
      </c>
      <c r="E190" t="str">
        <f ca="1">IFERROR(VLOOKUP(D190&amp;"Viet",'Question structure'!D:H,2,0),"")</f>
        <v/>
      </c>
      <c r="F190" t="str">
        <f ca="1">IFERROR(VLOOKUP(D190&amp;"Eng",'Question structure'!D:H,2,0),"")</f>
        <v/>
      </c>
    </row>
    <row r="191" spans="1:6" x14ac:dyDescent="0.25">
      <c r="A191" t="str">
        <f t="shared" si="5"/>
        <v/>
      </c>
      <c r="B191" t="str">
        <f t="shared" ca="1" si="4"/>
        <v/>
      </c>
      <c r="C191" s="1" t="str">
        <f ca="1">IFERROR($C$1-1+_xlfn.RANK.EQ(B191,$B$4:$B$78)+COUNTIF(B$4:$B191,B191)-1,"")</f>
        <v/>
      </c>
      <c r="D191" s="1" t="str">
        <f ca="1">IFERROR(VLOOKUP(C191,'Question structure'!A:E,3,0),"")</f>
        <v/>
      </c>
      <c r="E191" t="str">
        <f ca="1">IFERROR(VLOOKUP(D191&amp;"Viet",'Question structure'!D:H,2,0),"")</f>
        <v/>
      </c>
      <c r="F191" t="str">
        <f ca="1">IFERROR(VLOOKUP(D191&amp;"Eng",'Question structure'!D:H,2,0),"")</f>
        <v/>
      </c>
    </row>
    <row r="192" spans="1:6" x14ac:dyDescent="0.25">
      <c r="A192" t="str">
        <f t="shared" si="5"/>
        <v/>
      </c>
      <c r="B192" t="str">
        <f t="shared" ca="1" si="4"/>
        <v/>
      </c>
      <c r="C192" s="1" t="str">
        <f ca="1">IFERROR($C$1-1+_xlfn.RANK.EQ(B192,$B$4:$B$78)+COUNTIF(B$4:$B192,B192)-1,"")</f>
        <v/>
      </c>
      <c r="D192" s="1" t="str">
        <f ca="1">IFERROR(VLOOKUP(C192,'Question structure'!A:E,3,0),"")</f>
        <v/>
      </c>
      <c r="E192" t="str">
        <f ca="1">IFERROR(VLOOKUP(D192&amp;"Viet",'Question structure'!D:H,2,0),"")</f>
        <v/>
      </c>
      <c r="F192" t="str">
        <f ca="1">IFERROR(VLOOKUP(D192&amp;"Eng",'Question structure'!D:H,2,0),"")</f>
        <v/>
      </c>
    </row>
    <row r="193" spans="1:6" x14ac:dyDescent="0.25">
      <c r="A193" t="str">
        <f t="shared" si="5"/>
        <v/>
      </c>
      <c r="B193" t="str">
        <f t="shared" ca="1" si="4"/>
        <v/>
      </c>
      <c r="C193" s="1" t="str">
        <f ca="1">IFERROR($C$1-1+_xlfn.RANK.EQ(B193,$B$4:$B$78)+COUNTIF(B$4:$B193,B193)-1,"")</f>
        <v/>
      </c>
      <c r="D193" s="1" t="str">
        <f ca="1">IFERROR(VLOOKUP(C193,'Question structure'!A:E,3,0),"")</f>
        <v/>
      </c>
      <c r="E193" t="str">
        <f ca="1">IFERROR(VLOOKUP(D193&amp;"Viet",'Question structure'!D:H,2,0),"")</f>
        <v/>
      </c>
      <c r="F193" t="str">
        <f ca="1">IFERROR(VLOOKUP(D193&amp;"Eng",'Question structure'!D:H,2,0),"")</f>
        <v/>
      </c>
    </row>
    <row r="194" spans="1:6" x14ac:dyDescent="0.25">
      <c r="A194" t="str">
        <f t="shared" si="5"/>
        <v/>
      </c>
      <c r="B194" t="str">
        <f t="shared" ca="1" si="4"/>
        <v/>
      </c>
      <c r="C194" s="1" t="str">
        <f ca="1">IFERROR($C$1-1+_xlfn.RANK.EQ(B194,$B$4:$B$78)+COUNTIF(B$4:$B194,B194)-1,"")</f>
        <v/>
      </c>
      <c r="D194" s="1" t="str">
        <f ca="1">IFERROR(VLOOKUP(C194,'Question structure'!A:E,3,0),"")</f>
        <v/>
      </c>
      <c r="E194" t="str">
        <f ca="1">IFERROR(VLOOKUP(D194&amp;"Viet",'Question structure'!D:H,2,0),"")</f>
        <v/>
      </c>
      <c r="F194" t="str">
        <f ca="1">IFERROR(VLOOKUP(D194&amp;"Eng",'Question structure'!D:H,2,0),"")</f>
        <v/>
      </c>
    </row>
    <row r="195" spans="1:6" x14ac:dyDescent="0.25">
      <c r="A195" t="str">
        <f t="shared" si="5"/>
        <v/>
      </c>
      <c r="B195" t="str">
        <f t="shared" ca="1" si="4"/>
        <v/>
      </c>
      <c r="C195" s="1" t="str">
        <f ca="1">IFERROR($C$1-1+_xlfn.RANK.EQ(B195,$B$4:$B$78)+COUNTIF(B$4:$B195,B195)-1,"")</f>
        <v/>
      </c>
      <c r="D195" s="1" t="str">
        <f ca="1">IFERROR(VLOOKUP(C195,'Question structure'!A:E,3,0),"")</f>
        <v/>
      </c>
      <c r="E195" t="str">
        <f ca="1">IFERROR(VLOOKUP(D195&amp;"Viet",'Question structure'!D:H,2,0),"")</f>
        <v/>
      </c>
      <c r="F195" t="str">
        <f ca="1">IFERROR(VLOOKUP(D195&amp;"Eng",'Question structure'!D:H,2,0),"")</f>
        <v/>
      </c>
    </row>
    <row r="196" spans="1:6" x14ac:dyDescent="0.25">
      <c r="A196" t="str">
        <f t="shared" si="5"/>
        <v/>
      </c>
      <c r="B196" t="str">
        <f t="shared" ref="B196:B259" ca="1" si="6">IF(A196="","",RANDBETWEEN($C$1,$C$2))</f>
        <v/>
      </c>
      <c r="C196" s="1" t="str">
        <f ca="1">IFERROR($C$1-1+_xlfn.RANK.EQ(B196,$B$4:$B$78)+COUNTIF(B$4:$B196,B196)-1,"")</f>
        <v/>
      </c>
      <c r="D196" s="1" t="str">
        <f ca="1">IFERROR(VLOOKUP(C196,'Question structure'!A:E,3,0),"")</f>
        <v/>
      </c>
      <c r="E196" t="str">
        <f ca="1">IFERROR(VLOOKUP(D196&amp;"Viet",'Question structure'!D:H,2,0),"")</f>
        <v/>
      </c>
      <c r="F196" t="str">
        <f ca="1">IFERROR(VLOOKUP(D196&amp;"Eng",'Question structure'!D:H,2,0),"")</f>
        <v/>
      </c>
    </row>
    <row r="197" spans="1:6" x14ac:dyDescent="0.25">
      <c r="A197" t="str">
        <f t="shared" si="5"/>
        <v/>
      </c>
      <c r="B197" t="str">
        <f t="shared" ca="1" si="6"/>
        <v/>
      </c>
      <c r="C197" s="1" t="str">
        <f ca="1">IFERROR($C$1-1+_xlfn.RANK.EQ(B197,$B$4:$B$78)+COUNTIF(B$4:$B197,B197)-1,"")</f>
        <v/>
      </c>
      <c r="D197" s="1" t="str">
        <f ca="1">IFERROR(VLOOKUP(C197,'Question structure'!A:E,3,0),"")</f>
        <v/>
      </c>
      <c r="E197" t="str">
        <f ca="1">IFERROR(VLOOKUP(D197&amp;"Viet",'Question structure'!D:H,2,0),"")</f>
        <v/>
      </c>
      <c r="F197" t="str">
        <f ca="1">IFERROR(VLOOKUP(D197&amp;"Eng",'Question structure'!D:H,2,0),"")</f>
        <v/>
      </c>
    </row>
    <row r="198" spans="1:6" x14ac:dyDescent="0.25">
      <c r="A198" t="str">
        <f t="shared" ref="A198:A261" si="7">IFERROR(IF(A197+1&gt;$C$2,"",A197+1),"")</f>
        <v/>
      </c>
      <c r="B198" t="str">
        <f t="shared" ca="1" si="6"/>
        <v/>
      </c>
      <c r="C198" s="1" t="str">
        <f ca="1">IFERROR($C$1-1+_xlfn.RANK.EQ(B198,$B$4:$B$78)+COUNTIF(B$4:$B198,B198)-1,"")</f>
        <v/>
      </c>
      <c r="D198" s="1" t="str">
        <f ca="1">IFERROR(VLOOKUP(C198,'Question structure'!A:E,3,0),"")</f>
        <v/>
      </c>
      <c r="E198" t="str">
        <f ca="1">IFERROR(VLOOKUP(D198&amp;"Viet",'Question structure'!D:H,2,0),"")</f>
        <v/>
      </c>
      <c r="F198" t="str">
        <f ca="1">IFERROR(VLOOKUP(D198&amp;"Eng",'Question structure'!D:H,2,0),"")</f>
        <v/>
      </c>
    </row>
    <row r="199" spans="1:6" x14ac:dyDescent="0.25">
      <c r="A199" t="str">
        <f t="shared" si="7"/>
        <v/>
      </c>
      <c r="B199" t="str">
        <f t="shared" ca="1" si="6"/>
        <v/>
      </c>
      <c r="C199" s="1" t="str">
        <f ca="1">IFERROR($C$1-1+_xlfn.RANK.EQ(B199,$B$4:$B$78)+COUNTIF(B$4:$B199,B199)-1,"")</f>
        <v/>
      </c>
      <c r="D199" s="1" t="str">
        <f ca="1">IFERROR(VLOOKUP(C199,'Question structure'!A:E,3,0),"")</f>
        <v/>
      </c>
      <c r="E199" t="str">
        <f ca="1">IFERROR(VLOOKUP(D199&amp;"Viet",'Question structure'!D:H,2,0),"")</f>
        <v/>
      </c>
      <c r="F199" t="str">
        <f ca="1">IFERROR(VLOOKUP(D199&amp;"Eng",'Question structure'!D:H,2,0),"")</f>
        <v/>
      </c>
    </row>
    <row r="200" spans="1:6" x14ac:dyDescent="0.25">
      <c r="A200" t="str">
        <f t="shared" si="7"/>
        <v/>
      </c>
      <c r="B200" t="str">
        <f t="shared" ca="1" si="6"/>
        <v/>
      </c>
      <c r="C200" s="1" t="str">
        <f ca="1">IFERROR($C$1-1+_xlfn.RANK.EQ(B200,$B$4:$B$78)+COUNTIF(B$4:$B200,B200)-1,"")</f>
        <v/>
      </c>
      <c r="D200" s="1" t="str">
        <f ca="1">IFERROR(VLOOKUP(C200,'Question structure'!A:E,3,0),"")</f>
        <v/>
      </c>
      <c r="E200" t="str">
        <f ca="1">IFERROR(VLOOKUP(D200&amp;"Viet",'Question structure'!D:H,2,0),"")</f>
        <v/>
      </c>
      <c r="F200" t="str">
        <f ca="1">IFERROR(VLOOKUP(D200&amp;"Eng",'Question structure'!D:H,2,0),"")</f>
        <v/>
      </c>
    </row>
    <row r="201" spans="1:6" x14ac:dyDescent="0.25">
      <c r="A201" t="str">
        <f t="shared" si="7"/>
        <v/>
      </c>
      <c r="B201" t="str">
        <f t="shared" ca="1" si="6"/>
        <v/>
      </c>
      <c r="C201" s="1" t="str">
        <f ca="1">IFERROR($C$1-1+_xlfn.RANK.EQ(B201,$B$4:$B$78)+COUNTIF(B$4:$B201,B201)-1,"")</f>
        <v/>
      </c>
      <c r="D201" s="1" t="str">
        <f ca="1">IFERROR(VLOOKUP(C201,'Question structure'!A:E,3,0),"")</f>
        <v/>
      </c>
      <c r="E201" t="str">
        <f ca="1">IFERROR(VLOOKUP(D201&amp;"Viet",'Question structure'!D:H,2,0),"")</f>
        <v/>
      </c>
      <c r="F201" t="str">
        <f ca="1">IFERROR(VLOOKUP(D201&amp;"Eng",'Question structure'!D:H,2,0),"")</f>
        <v/>
      </c>
    </row>
    <row r="202" spans="1:6" x14ac:dyDescent="0.25">
      <c r="A202" t="str">
        <f t="shared" si="7"/>
        <v/>
      </c>
      <c r="B202" t="str">
        <f t="shared" ca="1" si="6"/>
        <v/>
      </c>
      <c r="C202" s="1" t="str">
        <f ca="1">IFERROR($C$1-1+_xlfn.RANK.EQ(B202,$B$4:$B$78)+COUNTIF(B$4:$B202,B202)-1,"")</f>
        <v/>
      </c>
      <c r="D202" s="1" t="str">
        <f ca="1">IFERROR(VLOOKUP(C202,'Question structure'!A:E,3,0),"")</f>
        <v/>
      </c>
      <c r="E202" t="str">
        <f ca="1">IFERROR(VLOOKUP(D202&amp;"Viet",'Question structure'!D:H,2,0),"")</f>
        <v/>
      </c>
      <c r="F202" t="str">
        <f ca="1">IFERROR(VLOOKUP(D202&amp;"Eng",'Question structure'!D:H,2,0),"")</f>
        <v/>
      </c>
    </row>
    <row r="203" spans="1:6" x14ac:dyDescent="0.25">
      <c r="A203" t="str">
        <f t="shared" si="7"/>
        <v/>
      </c>
      <c r="B203" t="str">
        <f t="shared" ca="1" si="6"/>
        <v/>
      </c>
      <c r="C203" s="1" t="str">
        <f ca="1">IFERROR($C$1-1+_xlfn.RANK.EQ(B203,$B$4:$B$78)+COUNTIF(B$4:$B203,B203)-1,"")</f>
        <v/>
      </c>
      <c r="D203" s="1" t="str">
        <f ca="1">IFERROR(VLOOKUP(C203,'Question structure'!A:E,3,0),"")</f>
        <v/>
      </c>
      <c r="E203" t="str">
        <f ca="1">IFERROR(VLOOKUP(D203&amp;"Viet",'Question structure'!D:H,2,0),"")</f>
        <v/>
      </c>
      <c r="F203" t="str">
        <f ca="1">IFERROR(VLOOKUP(D203&amp;"Eng",'Question structure'!D:H,2,0),"")</f>
        <v/>
      </c>
    </row>
    <row r="204" spans="1:6" x14ac:dyDescent="0.25">
      <c r="A204" t="str">
        <f t="shared" si="7"/>
        <v/>
      </c>
      <c r="B204" t="str">
        <f t="shared" ca="1" si="6"/>
        <v/>
      </c>
      <c r="C204" s="1" t="str">
        <f ca="1">IFERROR($C$1-1+_xlfn.RANK.EQ(B204,$B$4:$B$78)+COUNTIF(B$4:$B204,B204)-1,"")</f>
        <v/>
      </c>
      <c r="D204" s="1" t="str">
        <f ca="1">IFERROR(VLOOKUP(C204,'Question structure'!A:E,3,0),"")</f>
        <v/>
      </c>
      <c r="E204" t="str">
        <f ca="1">IFERROR(VLOOKUP(D204&amp;"Viet",'Question structure'!D:H,2,0),"")</f>
        <v/>
      </c>
      <c r="F204" t="str">
        <f ca="1">IFERROR(VLOOKUP(D204&amp;"Eng",'Question structure'!D:H,2,0),"")</f>
        <v/>
      </c>
    </row>
    <row r="205" spans="1:6" x14ac:dyDescent="0.25">
      <c r="A205" t="str">
        <f t="shared" si="7"/>
        <v/>
      </c>
      <c r="B205" t="str">
        <f t="shared" ca="1" si="6"/>
        <v/>
      </c>
      <c r="C205" s="1" t="str">
        <f ca="1">IFERROR($C$1-1+_xlfn.RANK.EQ(B205,$B$4:$B$78)+COUNTIF(B$4:$B205,B205)-1,"")</f>
        <v/>
      </c>
      <c r="D205" s="1" t="str">
        <f ca="1">IFERROR(VLOOKUP(C205,'Question structure'!A:E,3,0),"")</f>
        <v/>
      </c>
      <c r="E205" t="str">
        <f ca="1">IFERROR(VLOOKUP(D205&amp;"Viet",'Question structure'!D:H,2,0),"")</f>
        <v/>
      </c>
      <c r="F205" t="str">
        <f ca="1">IFERROR(VLOOKUP(D205&amp;"Eng",'Question structure'!D:H,2,0),"")</f>
        <v/>
      </c>
    </row>
    <row r="206" spans="1:6" x14ac:dyDescent="0.25">
      <c r="A206" t="str">
        <f t="shared" si="7"/>
        <v/>
      </c>
      <c r="B206" t="str">
        <f t="shared" ca="1" si="6"/>
        <v/>
      </c>
      <c r="C206" s="1" t="str">
        <f ca="1">IFERROR($C$1-1+_xlfn.RANK.EQ(B206,$B$4:$B$78)+COUNTIF(B$4:$B206,B206)-1,"")</f>
        <v/>
      </c>
      <c r="D206" s="1" t="str">
        <f ca="1">IFERROR(VLOOKUP(C206,'Question structure'!A:E,3,0),"")</f>
        <v/>
      </c>
      <c r="E206" t="str">
        <f ca="1">IFERROR(VLOOKUP(D206&amp;"Viet",'Question structure'!D:H,2,0),"")</f>
        <v/>
      </c>
      <c r="F206" t="str">
        <f ca="1">IFERROR(VLOOKUP(D206&amp;"Eng",'Question structure'!D:H,2,0),"")</f>
        <v/>
      </c>
    </row>
    <row r="207" spans="1:6" x14ac:dyDescent="0.25">
      <c r="A207" t="str">
        <f t="shared" si="7"/>
        <v/>
      </c>
      <c r="B207" t="str">
        <f t="shared" ca="1" si="6"/>
        <v/>
      </c>
      <c r="C207" s="1" t="str">
        <f ca="1">IFERROR($C$1-1+_xlfn.RANK.EQ(B207,$B$4:$B$78)+COUNTIF(B$4:$B207,B207)-1,"")</f>
        <v/>
      </c>
      <c r="D207" s="1" t="str">
        <f ca="1">IFERROR(VLOOKUP(C207,'Question structure'!A:E,3,0),"")</f>
        <v/>
      </c>
      <c r="E207" t="str">
        <f ca="1">IFERROR(VLOOKUP(D207&amp;"Viet",'Question structure'!D:H,2,0),"")</f>
        <v/>
      </c>
      <c r="F207" t="str">
        <f ca="1">IFERROR(VLOOKUP(D207&amp;"Eng",'Question structure'!D:H,2,0),"")</f>
        <v/>
      </c>
    </row>
    <row r="208" spans="1:6" x14ac:dyDescent="0.25">
      <c r="A208" t="str">
        <f t="shared" si="7"/>
        <v/>
      </c>
      <c r="B208" t="str">
        <f t="shared" ca="1" si="6"/>
        <v/>
      </c>
      <c r="C208" s="1" t="str">
        <f ca="1">IFERROR($C$1-1+_xlfn.RANK.EQ(B208,$B$4:$B$78)+COUNTIF(B$4:$B208,B208)-1,"")</f>
        <v/>
      </c>
      <c r="D208" s="1" t="str">
        <f ca="1">IFERROR(VLOOKUP(C208,'Question structure'!A:E,3,0),"")</f>
        <v/>
      </c>
      <c r="E208" t="str">
        <f ca="1">IFERROR(VLOOKUP(D208&amp;"Viet",'Question structure'!D:H,2,0),"")</f>
        <v/>
      </c>
      <c r="F208" t="str">
        <f ca="1">IFERROR(VLOOKUP(D208&amp;"Eng",'Question structure'!D:H,2,0),"")</f>
        <v/>
      </c>
    </row>
    <row r="209" spans="1:6" x14ac:dyDescent="0.25">
      <c r="A209" t="str">
        <f t="shared" si="7"/>
        <v/>
      </c>
      <c r="B209" t="str">
        <f t="shared" ca="1" si="6"/>
        <v/>
      </c>
      <c r="C209" s="1" t="str">
        <f ca="1">IFERROR($C$1-1+_xlfn.RANK.EQ(B209,$B$4:$B$78)+COUNTIF(B$4:$B209,B209)-1,"")</f>
        <v/>
      </c>
      <c r="D209" s="1" t="str">
        <f ca="1">IFERROR(VLOOKUP(C209,'Question structure'!A:E,3,0),"")</f>
        <v/>
      </c>
      <c r="E209" t="str">
        <f ca="1">IFERROR(VLOOKUP(D209&amp;"Viet",'Question structure'!D:H,2,0),"")</f>
        <v/>
      </c>
      <c r="F209" t="str">
        <f ca="1">IFERROR(VLOOKUP(D209&amp;"Eng",'Question structure'!D:H,2,0),"")</f>
        <v/>
      </c>
    </row>
    <row r="210" spans="1:6" x14ac:dyDescent="0.25">
      <c r="A210" t="str">
        <f t="shared" si="7"/>
        <v/>
      </c>
      <c r="B210" t="str">
        <f t="shared" ca="1" si="6"/>
        <v/>
      </c>
      <c r="C210" s="1" t="str">
        <f ca="1">IFERROR($C$1-1+_xlfn.RANK.EQ(B210,$B$4:$B$78)+COUNTIF(B$4:$B210,B210)-1,"")</f>
        <v/>
      </c>
      <c r="D210" s="1" t="str">
        <f ca="1">IFERROR(VLOOKUP(C210,'Question structure'!A:E,3,0),"")</f>
        <v/>
      </c>
      <c r="E210" t="str">
        <f ca="1">IFERROR(VLOOKUP(D210&amp;"Viet",'Question structure'!D:H,2,0),"")</f>
        <v/>
      </c>
      <c r="F210" t="str">
        <f ca="1">IFERROR(VLOOKUP(D210&amp;"Eng",'Question structure'!D:H,2,0),"")</f>
        <v/>
      </c>
    </row>
    <row r="211" spans="1:6" x14ac:dyDescent="0.25">
      <c r="A211" t="str">
        <f t="shared" si="7"/>
        <v/>
      </c>
      <c r="B211" t="str">
        <f t="shared" ca="1" si="6"/>
        <v/>
      </c>
      <c r="C211" s="1" t="str">
        <f ca="1">IFERROR($C$1-1+_xlfn.RANK.EQ(B211,$B$4:$B$78)+COUNTIF(B$4:$B211,B211)-1,"")</f>
        <v/>
      </c>
      <c r="D211" s="1" t="str">
        <f ca="1">IFERROR(VLOOKUP(C211,'Question structure'!A:E,3,0),"")</f>
        <v/>
      </c>
      <c r="E211" t="str">
        <f ca="1">IFERROR(VLOOKUP(D211&amp;"Viet",'Question structure'!D:H,2,0),"")</f>
        <v/>
      </c>
      <c r="F211" t="str">
        <f ca="1">IFERROR(VLOOKUP(D211&amp;"Eng",'Question structure'!D:H,2,0),"")</f>
        <v/>
      </c>
    </row>
    <row r="212" spans="1:6" x14ac:dyDescent="0.25">
      <c r="A212" t="str">
        <f t="shared" si="7"/>
        <v/>
      </c>
      <c r="B212" t="str">
        <f t="shared" ca="1" si="6"/>
        <v/>
      </c>
      <c r="C212" s="1" t="str">
        <f ca="1">IFERROR($C$1-1+_xlfn.RANK.EQ(B212,$B$4:$B$78)+COUNTIF(B$4:$B212,B212)-1,"")</f>
        <v/>
      </c>
      <c r="D212" s="1" t="str">
        <f ca="1">IFERROR(VLOOKUP(C212,'Question structure'!A:E,3,0),"")</f>
        <v/>
      </c>
      <c r="E212" t="str">
        <f ca="1">IFERROR(VLOOKUP(D212&amp;"Viet",'Question structure'!D:H,2,0),"")</f>
        <v/>
      </c>
      <c r="F212" t="str">
        <f ca="1">IFERROR(VLOOKUP(D212&amp;"Eng",'Question structure'!D:H,2,0),"")</f>
        <v/>
      </c>
    </row>
    <row r="213" spans="1:6" x14ac:dyDescent="0.25">
      <c r="A213" t="str">
        <f t="shared" si="7"/>
        <v/>
      </c>
      <c r="B213" t="str">
        <f t="shared" ca="1" si="6"/>
        <v/>
      </c>
      <c r="C213" s="1" t="str">
        <f ca="1">IFERROR($C$1-1+_xlfn.RANK.EQ(B213,$B$4:$B$78)+COUNTIF(B$4:$B213,B213)-1,"")</f>
        <v/>
      </c>
      <c r="D213" s="1" t="str">
        <f ca="1">IFERROR(VLOOKUP(C213,'Question structure'!A:E,3,0),"")</f>
        <v/>
      </c>
      <c r="E213" t="str">
        <f ca="1">IFERROR(VLOOKUP(D213&amp;"Viet",'Question structure'!D:H,2,0),"")</f>
        <v/>
      </c>
      <c r="F213" t="str">
        <f ca="1">IFERROR(VLOOKUP(D213&amp;"Eng",'Question structure'!D:H,2,0),"")</f>
        <v/>
      </c>
    </row>
    <row r="214" spans="1:6" x14ac:dyDescent="0.25">
      <c r="A214" t="str">
        <f t="shared" si="7"/>
        <v/>
      </c>
      <c r="B214" t="str">
        <f t="shared" ca="1" si="6"/>
        <v/>
      </c>
      <c r="C214" s="1" t="str">
        <f ca="1">IFERROR($C$1-1+_xlfn.RANK.EQ(B214,$B$4:$B$78)+COUNTIF(B$4:$B214,B214)-1,"")</f>
        <v/>
      </c>
      <c r="D214" s="1" t="str">
        <f ca="1">IFERROR(VLOOKUP(C214,'Question structure'!A:E,3,0),"")</f>
        <v/>
      </c>
      <c r="E214" t="str">
        <f ca="1">IFERROR(VLOOKUP(D214&amp;"Viet",'Question structure'!D:H,2,0),"")</f>
        <v/>
      </c>
      <c r="F214" t="str">
        <f ca="1">IFERROR(VLOOKUP(D214&amp;"Eng",'Question structure'!D:H,2,0),"")</f>
        <v/>
      </c>
    </row>
    <row r="215" spans="1:6" x14ac:dyDescent="0.25">
      <c r="A215" t="str">
        <f t="shared" si="7"/>
        <v/>
      </c>
      <c r="B215" t="str">
        <f t="shared" ca="1" si="6"/>
        <v/>
      </c>
      <c r="C215" s="1" t="str">
        <f ca="1">IFERROR($C$1-1+_xlfn.RANK.EQ(B215,$B$4:$B$78)+COUNTIF(B$4:$B215,B215)-1,"")</f>
        <v/>
      </c>
      <c r="D215" s="1" t="str">
        <f ca="1">IFERROR(VLOOKUP(C215,'Question structure'!A:E,3,0),"")</f>
        <v/>
      </c>
      <c r="E215" t="str">
        <f ca="1">IFERROR(VLOOKUP(D215&amp;"Viet",'Question structure'!D:H,2,0),"")</f>
        <v/>
      </c>
      <c r="F215" t="str">
        <f ca="1">IFERROR(VLOOKUP(D215&amp;"Eng",'Question structure'!D:H,2,0),"")</f>
        <v/>
      </c>
    </row>
    <row r="216" spans="1:6" x14ac:dyDescent="0.25">
      <c r="A216" t="str">
        <f t="shared" si="7"/>
        <v/>
      </c>
      <c r="B216" t="str">
        <f t="shared" ca="1" si="6"/>
        <v/>
      </c>
      <c r="C216" s="1" t="str">
        <f ca="1">IFERROR($C$1-1+_xlfn.RANK.EQ(B216,$B$4:$B$78)+COUNTIF(B$4:$B216,B216)-1,"")</f>
        <v/>
      </c>
      <c r="D216" s="1" t="str">
        <f ca="1">IFERROR(VLOOKUP(C216,'Question structure'!A:E,3,0),"")</f>
        <v/>
      </c>
      <c r="E216" t="str">
        <f ca="1">IFERROR(VLOOKUP(D216&amp;"Viet",'Question structure'!D:H,2,0),"")</f>
        <v/>
      </c>
      <c r="F216" t="str">
        <f ca="1">IFERROR(VLOOKUP(D216&amp;"Eng",'Question structure'!D:H,2,0),"")</f>
        <v/>
      </c>
    </row>
    <row r="217" spans="1:6" x14ac:dyDescent="0.25">
      <c r="A217" t="str">
        <f t="shared" si="7"/>
        <v/>
      </c>
      <c r="B217" t="str">
        <f t="shared" ca="1" si="6"/>
        <v/>
      </c>
      <c r="C217" s="1" t="str">
        <f ca="1">IFERROR($C$1-1+_xlfn.RANK.EQ(B217,$B$4:$B$78)+COUNTIF(B$4:$B217,B217)-1,"")</f>
        <v/>
      </c>
      <c r="D217" s="1" t="str">
        <f ca="1">IFERROR(VLOOKUP(C217,'Question structure'!A:E,3,0),"")</f>
        <v/>
      </c>
      <c r="E217" t="str">
        <f ca="1">IFERROR(VLOOKUP(D217&amp;"Viet",'Question structure'!D:H,2,0),"")</f>
        <v/>
      </c>
      <c r="F217" t="str">
        <f ca="1">IFERROR(VLOOKUP(D217&amp;"Eng",'Question structure'!D:H,2,0),"")</f>
        <v/>
      </c>
    </row>
    <row r="218" spans="1:6" x14ac:dyDescent="0.25">
      <c r="A218" t="str">
        <f t="shared" si="7"/>
        <v/>
      </c>
      <c r="B218" t="str">
        <f t="shared" ca="1" si="6"/>
        <v/>
      </c>
      <c r="C218" s="1" t="str">
        <f ca="1">IFERROR($C$1-1+_xlfn.RANK.EQ(B218,$B$4:$B$78)+COUNTIF(B$4:$B218,B218)-1,"")</f>
        <v/>
      </c>
      <c r="D218" s="1" t="str">
        <f ca="1">IFERROR(VLOOKUP(C218,'Question structure'!A:E,3,0),"")</f>
        <v/>
      </c>
      <c r="E218" t="str">
        <f ca="1">IFERROR(VLOOKUP(D218&amp;"Viet",'Question structure'!D:H,2,0),"")</f>
        <v/>
      </c>
      <c r="F218" t="str">
        <f ca="1">IFERROR(VLOOKUP(D218&amp;"Eng",'Question structure'!D:H,2,0),"")</f>
        <v/>
      </c>
    </row>
    <row r="219" spans="1:6" x14ac:dyDescent="0.25">
      <c r="A219" t="str">
        <f t="shared" si="7"/>
        <v/>
      </c>
      <c r="B219" t="str">
        <f t="shared" ca="1" si="6"/>
        <v/>
      </c>
      <c r="C219" s="1" t="str">
        <f ca="1">IFERROR($C$1-1+_xlfn.RANK.EQ(B219,$B$4:$B$78)+COUNTIF(B$4:$B219,B219)-1,"")</f>
        <v/>
      </c>
      <c r="D219" s="1" t="str">
        <f ca="1">IFERROR(VLOOKUP(C219,'Question structure'!A:E,3,0),"")</f>
        <v/>
      </c>
      <c r="E219" t="str">
        <f ca="1">IFERROR(VLOOKUP(D219&amp;"Viet",'Question structure'!D:H,2,0),"")</f>
        <v/>
      </c>
      <c r="F219" t="str">
        <f ca="1">IFERROR(VLOOKUP(D219&amp;"Eng",'Question structure'!D:H,2,0),"")</f>
        <v/>
      </c>
    </row>
    <row r="220" spans="1:6" x14ac:dyDescent="0.25">
      <c r="A220" t="str">
        <f t="shared" si="7"/>
        <v/>
      </c>
      <c r="B220" t="str">
        <f t="shared" ca="1" si="6"/>
        <v/>
      </c>
      <c r="C220" s="1" t="str">
        <f ca="1">IFERROR($C$1-1+_xlfn.RANK.EQ(B220,$B$4:$B$78)+COUNTIF(B$4:$B220,B220)-1,"")</f>
        <v/>
      </c>
      <c r="D220" s="1" t="str">
        <f ca="1">IFERROR(VLOOKUP(C220,'Question structure'!A:E,3,0),"")</f>
        <v/>
      </c>
      <c r="E220" t="str">
        <f ca="1">IFERROR(VLOOKUP(D220&amp;"Viet",'Question structure'!D:H,2,0),"")</f>
        <v/>
      </c>
      <c r="F220" t="str">
        <f ca="1">IFERROR(VLOOKUP(D220&amp;"Eng",'Question structure'!D:H,2,0),"")</f>
        <v/>
      </c>
    </row>
    <row r="221" spans="1:6" x14ac:dyDescent="0.25">
      <c r="A221" t="str">
        <f t="shared" si="7"/>
        <v/>
      </c>
      <c r="B221" t="str">
        <f t="shared" ca="1" si="6"/>
        <v/>
      </c>
      <c r="C221" s="1" t="str">
        <f ca="1">IFERROR($C$1-1+_xlfn.RANK.EQ(B221,$B$4:$B$78)+COUNTIF(B$4:$B221,B221)-1,"")</f>
        <v/>
      </c>
      <c r="D221" s="1" t="str">
        <f ca="1">IFERROR(VLOOKUP(C221,'Question structure'!A:E,3,0),"")</f>
        <v/>
      </c>
      <c r="E221" t="str">
        <f ca="1">IFERROR(VLOOKUP(D221&amp;"Viet",'Question structure'!D:H,2,0),"")</f>
        <v/>
      </c>
      <c r="F221" t="str">
        <f ca="1">IFERROR(VLOOKUP(D221&amp;"Eng",'Question structure'!D:H,2,0),"")</f>
        <v/>
      </c>
    </row>
    <row r="222" spans="1:6" x14ac:dyDescent="0.25">
      <c r="A222" t="str">
        <f t="shared" si="7"/>
        <v/>
      </c>
      <c r="B222" t="str">
        <f t="shared" ca="1" si="6"/>
        <v/>
      </c>
      <c r="C222" s="1" t="str">
        <f ca="1">IFERROR($C$1-1+_xlfn.RANK.EQ(B222,$B$4:$B$78)+COUNTIF(B$4:$B222,B222)-1,"")</f>
        <v/>
      </c>
      <c r="D222" s="1" t="str">
        <f ca="1">IFERROR(VLOOKUP(C222,'Question structure'!A:E,3,0),"")</f>
        <v/>
      </c>
      <c r="E222" t="str">
        <f ca="1">IFERROR(VLOOKUP(D222&amp;"Viet",'Question structure'!D:H,2,0),"")</f>
        <v/>
      </c>
      <c r="F222" t="str">
        <f ca="1">IFERROR(VLOOKUP(D222&amp;"Eng",'Question structure'!D:H,2,0),"")</f>
        <v/>
      </c>
    </row>
    <row r="223" spans="1:6" x14ac:dyDescent="0.25">
      <c r="A223" t="str">
        <f t="shared" si="7"/>
        <v/>
      </c>
      <c r="B223" t="str">
        <f t="shared" ca="1" si="6"/>
        <v/>
      </c>
      <c r="C223" s="1" t="str">
        <f ca="1">IFERROR($C$1-1+_xlfn.RANK.EQ(B223,$B$4:$B$78)+COUNTIF(B$4:$B223,B223)-1,"")</f>
        <v/>
      </c>
      <c r="D223" s="1" t="str">
        <f ca="1">IFERROR(VLOOKUP(C223,'Question structure'!A:E,3,0),"")</f>
        <v/>
      </c>
      <c r="E223" t="str">
        <f ca="1">IFERROR(VLOOKUP(D223&amp;"Viet",'Question structure'!D:H,2,0),"")</f>
        <v/>
      </c>
      <c r="F223" t="str">
        <f ca="1">IFERROR(VLOOKUP(D223&amp;"Eng",'Question structure'!D:H,2,0),"")</f>
        <v/>
      </c>
    </row>
    <row r="224" spans="1:6" x14ac:dyDescent="0.25">
      <c r="A224" t="str">
        <f t="shared" si="7"/>
        <v/>
      </c>
      <c r="B224" t="str">
        <f t="shared" ca="1" si="6"/>
        <v/>
      </c>
      <c r="C224" s="1" t="str">
        <f ca="1">IFERROR($C$1-1+_xlfn.RANK.EQ(B224,$B$4:$B$78)+COUNTIF(B$4:$B224,B224)-1,"")</f>
        <v/>
      </c>
      <c r="D224" s="1" t="str">
        <f ca="1">IFERROR(VLOOKUP(C224,'Question structure'!A:E,3,0),"")</f>
        <v/>
      </c>
      <c r="E224" t="str">
        <f ca="1">IFERROR(VLOOKUP(D224&amp;"Viet",'Question structure'!D:H,2,0),"")</f>
        <v/>
      </c>
      <c r="F224" t="str">
        <f ca="1">IFERROR(VLOOKUP(D224&amp;"Eng",'Question structure'!D:H,2,0),"")</f>
        <v/>
      </c>
    </row>
    <row r="225" spans="1:6" x14ac:dyDescent="0.25">
      <c r="A225" t="str">
        <f t="shared" si="7"/>
        <v/>
      </c>
      <c r="B225" t="str">
        <f t="shared" ca="1" si="6"/>
        <v/>
      </c>
      <c r="C225" s="1" t="str">
        <f ca="1">IFERROR($C$1-1+_xlfn.RANK.EQ(B225,$B$4:$B$78)+COUNTIF(B$4:$B225,B225)-1,"")</f>
        <v/>
      </c>
      <c r="D225" s="1" t="str">
        <f ca="1">IFERROR(VLOOKUP(C225,'Question structure'!A:E,3,0),"")</f>
        <v/>
      </c>
      <c r="E225" t="str">
        <f ca="1">IFERROR(VLOOKUP(D225&amp;"Viet",'Question structure'!D:H,2,0),"")</f>
        <v/>
      </c>
      <c r="F225" t="str">
        <f ca="1">IFERROR(VLOOKUP(D225&amp;"Eng",'Question structure'!D:H,2,0),"")</f>
        <v/>
      </c>
    </row>
    <row r="226" spans="1:6" x14ac:dyDescent="0.25">
      <c r="A226" t="str">
        <f t="shared" si="7"/>
        <v/>
      </c>
      <c r="B226" t="str">
        <f t="shared" ca="1" si="6"/>
        <v/>
      </c>
      <c r="C226" s="1" t="str">
        <f ca="1">IFERROR($C$1-1+_xlfn.RANK.EQ(B226,$B$4:$B$78)+COUNTIF(B$4:$B226,B226)-1,"")</f>
        <v/>
      </c>
      <c r="D226" s="1" t="str">
        <f ca="1">IFERROR(VLOOKUP(C226,'Question structure'!A:E,3,0),"")</f>
        <v/>
      </c>
      <c r="E226" t="str">
        <f ca="1">IFERROR(VLOOKUP(D226&amp;"Viet",'Question structure'!D:H,2,0),"")</f>
        <v/>
      </c>
      <c r="F226" t="str">
        <f ca="1">IFERROR(VLOOKUP(D226&amp;"Eng",'Question structure'!D:H,2,0),"")</f>
        <v/>
      </c>
    </row>
    <row r="227" spans="1:6" x14ac:dyDescent="0.25">
      <c r="A227" t="str">
        <f t="shared" si="7"/>
        <v/>
      </c>
      <c r="B227" t="str">
        <f t="shared" ca="1" si="6"/>
        <v/>
      </c>
      <c r="C227" s="1" t="str">
        <f ca="1">IFERROR($C$1-1+_xlfn.RANK.EQ(B227,$B$4:$B$78)+COUNTIF(B$4:$B227,B227)-1,"")</f>
        <v/>
      </c>
      <c r="D227" s="1" t="str">
        <f ca="1">IFERROR(VLOOKUP(C227,'Question structure'!A:E,3,0),"")</f>
        <v/>
      </c>
      <c r="E227" t="str">
        <f ca="1">IFERROR(VLOOKUP(D227&amp;"Viet",'Question structure'!D:H,2,0),"")</f>
        <v/>
      </c>
      <c r="F227" t="str">
        <f ca="1">IFERROR(VLOOKUP(D227&amp;"Eng",'Question structure'!D:H,2,0),"")</f>
        <v/>
      </c>
    </row>
    <row r="228" spans="1:6" x14ac:dyDescent="0.25">
      <c r="A228" t="str">
        <f t="shared" si="7"/>
        <v/>
      </c>
      <c r="B228" t="str">
        <f t="shared" ca="1" si="6"/>
        <v/>
      </c>
      <c r="C228" s="1" t="str">
        <f ca="1">IFERROR($C$1-1+_xlfn.RANK.EQ(B228,$B$4:$B$78)+COUNTIF(B$4:$B228,B228)-1,"")</f>
        <v/>
      </c>
      <c r="D228" s="1" t="str">
        <f ca="1">IFERROR(VLOOKUP(C228,'Question structure'!A:E,3,0),"")</f>
        <v/>
      </c>
      <c r="E228" t="str">
        <f ca="1">IFERROR(VLOOKUP(D228&amp;"Viet",'Question structure'!D:H,2,0),"")</f>
        <v/>
      </c>
      <c r="F228" t="str">
        <f ca="1">IFERROR(VLOOKUP(D228&amp;"Eng",'Question structure'!D:H,2,0),"")</f>
        <v/>
      </c>
    </row>
    <row r="229" spans="1:6" x14ac:dyDescent="0.25">
      <c r="A229" t="str">
        <f t="shared" si="7"/>
        <v/>
      </c>
      <c r="B229" t="str">
        <f t="shared" ca="1" si="6"/>
        <v/>
      </c>
      <c r="C229" s="1" t="str">
        <f ca="1">IFERROR($C$1-1+_xlfn.RANK.EQ(B229,$B$4:$B$78)+COUNTIF(B$4:$B229,B229)-1,"")</f>
        <v/>
      </c>
      <c r="D229" s="1" t="str">
        <f ca="1">IFERROR(VLOOKUP(C229,'Question structure'!A:E,3,0),"")</f>
        <v/>
      </c>
      <c r="E229" t="str">
        <f ca="1">IFERROR(VLOOKUP(D229&amp;"Viet",'Question structure'!D:H,2,0),"")</f>
        <v/>
      </c>
      <c r="F229" t="str">
        <f ca="1">IFERROR(VLOOKUP(D229&amp;"Eng",'Question structure'!D:H,2,0),"")</f>
        <v/>
      </c>
    </row>
    <row r="230" spans="1:6" x14ac:dyDescent="0.25">
      <c r="A230" t="str">
        <f t="shared" si="7"/>
        <v/>
      </c>
      <c r="B230" t="str">
        <f t="shared" ca="1" si="6"/>
        <v/>
      </c>
      <c r="C230" s="1" t="str">
        <f ca="1">IFERROR($C$1-1+_xlfn.RANK.EQ(B230,$B$4:$B$78)+COUNTIF(B$4:$B230,B230)-1,"")</f>
        <v/>
      </c>
      <c r="D230" s="1" t="str">
        <f ca="1">IFERROR(VLOOKUP(C230,'Question structure'!A:E,3,0),"")</f>
        <v/>
      </c>
      <c r="E230" t="str">
        <f ca="1">IFERROR(VLOOKUP(D230&amp;"Viet",'Question structure'!D:H,2,0),"")</f>
        <v/>
      </c>
      <c r="F230" t="str">
        <f ca="1">IFERROR(VLOOKUP(D230&amp;"Eng",'Question structure'!D:H,2,0),"")</f>
        <v/>
      </c>
    </row>
    <row r="231" spans="1:6" x14ac:dyDescent="0.25">
      <c r="A231" t="str">
        <f t="shared" si="7"/>
        <v/>
      </c>
      <c r="B231" t="str">
        <f t="shared" ca="1" si="6"/>
        <v/>
      </c>
      <c r="C231" s="1" t="str">
        <f ca="1">IFERROR($C$1-1+_xlfn.RANK.EQ(B231,$B$4:$B$78)+COUNTIF(B$4:$B231,B231)-1,"")</f>
        <v/>
      </c>
      <c r="D231" s="1" t="str">
        <f ca="1">IFERROR(VLOOKUP(C231,'Question structure'!A:E,3,0),"")</f>
        <v/>
      </c>
      <c r="E231" t="str">
        <f ca="1">IFERROR(VLOOKUP(D231&amp;"Viet",'Question structure'!D:H,2,0),"")</f>
        <v/>
      </c>
      <c r="F231" t="str">
        <f ca="1">IFERROR(VLOOKUP(D231&amp;"Eng",'Question structure'!D:H,2,0),"")</f>
        <v/>
      </c>
    </row>
    <row r="232" spans="1:6" x14ac:dyDescent="0.25">
      <c r="A232" t="str">
        <f t="shared" si="7"/>
        <v/>
      </c>
      <c r="B232" t="str">
        <f t="shared" ca="1" si="6"/>
        <v/>
      </c>
      <c r="C232" s="1" t="str">
        <f ca="1">IFERROR($C$1-1+_xlfn.RANK.EQ(B232,$B$4:$B$78)+COUNTIF(B$4:$B232,B232)-1,"")</f>
        <v/>
      </c>
      <c r="D232" s="1" t="str">
        <f ca="1">IFERROR(VLOOKUP(C232,'Question structure'!A:E,3,0),"")</f>
        <v/>
      </c>
      <c r="E232" t="str">
        <f ca="1">IFERROR(VLOOKUP(D232&amp;"Viet",'Question structure'!D:H,2,0),"")</f>
        <v/>
      </c>
      <c r="F232" t="str">
        <f ca="1">IFERROR(VLOOKUP(D232&amp;"Eng",'Question structure'!D:H,2,0),"")</f>
        <v/>
      </c>
    </row>
    <row r="233" spans="1:6" x14ac:dyDescent="0.25">
      <c r="A233" t="str">
        <f t="shared" si="7"/>
        <v/>
      </c>
      <c r="B233" t="str">
        <f t="shared" ca="1" si="6"/>
        <v/>
      </c>
      <c r="C233" s="1" t="str">
        <f ca="1">IFERROR($C$1-1+_xlfn.RANK.EQ(B233,$B$4:$B$78)+COUNTIF(B$4:$B233,B233)-1,"")</f>
        <v/>
      </c>
      <c r="D233" s="1" t="str">
        <f ca="1">IFERROR(VLOOKUP(C233,'Question structure'!A:E,3,0),"")</f>
        <v/>
      </c>
      <c r="E233" t="str">
        <f ca="1">IFERROR(VLOOKUP(D233&amp;"Viet",'Question structure'!D:H,2,0),"")</f>
        <v/>
      </c>
      <c r="F233" t="str">
        <f ca="1">IFERROR(VLOOKUP(D233&amp;"Eng",'Question structure'!D:H,2,0),"")</f>
        <v/>
      </c>
    </row>
    <row r="234" spans="1:6" x14ac:dyDescent="0.25">
      <c r="A234" t="str">
        <f t="shared" si="7"/>
        <v/>
      </c>
      <c r="B234" t="str">
        <f t="shared" ca="1" si="6"/>
        <v/>
      </c>
      <c r="C234" s="1" t="str">
        <f ca="1">IFERROR($C$1-1+_xlfn.RANK.EQ(B234,$B$4:$B$78)+COUNTIF(B$4:$B234,B234)-1,"")</f>
        <v/>
      </c>
      <c r="D234" s="1" t="str">
        <f ca="1">IFERROR(VLOOKUP(C234,'Question structure'!A:E,3,0),"")</f>
        <v/>
      </c>
      <c r="E234" t="str">
        <f ca="1">IFERROR(VLOOKUP(D234&amp;"Viet",'Question structure'!D:H,2,0),"")</f>
        <v/>
      </c>
      <c r="F234" t="str">
        <f ca="1">IFERROR(VLOOKUP(D234&amp;"Eng",'Question structure'!D:H,2,0),"")</f>
        <v/>
      </c>
    </row>
    <row r="235" spans="1:6" x14ac:dyDescent="0.25">
      <c r="A235" t="str">
        <f t="shared" si="7"/>
        <v/>
      </c>
      <c r="B235" t="str">
        <f t="shared" ca="1" si="6"/>
        <v/>
      </c>
      <c r="C235" s="1" t="str">
        <f ca="1">IFERROR($C$1-1+_xlfn.RANK.EQ(B235,$B$4:$B$78)+COUNTIF(B$4:$B235,B235)-1,"")</f>
        <v/>
      </c>
      <c r="D235" s="1" t="str">
        <f ca="1">IFERROR(VLOOKUP(C235,'Question structure'!A:E,3,0),"")</f>
        <v/>
      </c>
      <c r="E235" t="str">
        <f ca="1">IFERROR(VLOOKUP(D235&amp;"Viet",'Question structure'!D:H,2,0),"")</f>
        <v/>
      </c>
      <c r="F235" t="str">
        <f ca="1">IFERROR(VLOOKUP(D235&amp;"Eng",'Question structure'!D:H,2,0),"")</f>
        <v/>
      </c>
    </row>
    <row r="236" spans="1:6" x14ac:dyDescent="0.25">
      <c r="A236" t="str">
        <f t="shared" si="7"/>
        <v/>
      </c>
      <c r="B236" t="str">
        <f t="shared" ca="1" si="6"/>
        <v/>
      </c>
      <c r="C236" s="1" t="str">
        <f ca="1">IFERROR($C$1-1+_xlfn.RANK.EQ(B236,$B$4:$B$78)+COUNTIF(B$4:$B236,B236)-1,"")</f>
        <v/>
      </c>
      <c r="D236" s="1" t="str">
        <f ca="1">IFERROR(VLOOKUP(C236,'Question structure'!A:E,3,0),"")</f>
        <v/>
      </c>
      <c r="E236" t="str">
        <f ca="1">IFERROR(VLOOKUP(D236&amp;"Viet",'Question structure'!D:H,2,0),"")</f>
        <v/>
      </c>
      <c r="F236" t="str">
        <f ca="1">IFERROR(VLOOKUP(D236&amp;"Eng",'Question structure'!D:H,2,0),"")</f>
        <v/>
      </c>
    </row>
    <row r="237" spans="1:6" x14ac:dyDescent="0.25">
      <c r="A237" t="str">
        <f t="shared" si="7"/>
        <v/>
      </c>
      <c r="B237" t="str">
        <f t="shared" ca="1" si="6"/>
        <v/>
      </c>
      <c r="C237" s="1" t="str">
        <f ca="1">IFERROR($C$1-1+_xlfn.RANK.EQ(B237,$B$4:$B$78)+COUNTIF(B$4:$B237,B237)-1,"")</f>
        <v/>
      </c>
      <c r="D237" s="1" t="str">
        <f ca="1">IFERROR(VLOOKUP(C237,'Question structure'!A:E,3,0),"")</f>
        <v/>
      </c>
      <c r="E237" t="str">
        <f ca="1">IFERROR(VLOOKUP(D237&amp;"Viet",'Question structure'!D:H,2,0),"")</f>
        <v/>
      </c>
      <c r="F237" t="str">
        <f ca="1">IFERROR(VLOOKUP(D237&amp;"Eng",'Question structure'!D:H,2,0),"")</f>
        <v/>
      </c>
    </row>
    <row r="238" spans="1:6" x14ac:dyDescent="0.25">
      <c r="A238" t="str">
        <f t="shared" si="7"/>
        <v/>
      </c>
      <c r="B238" t="str">
        <f t="shared" ca="1" si="6"/>
        <v/>
      </c>
      <c r="C238" s="1" t="str">
        <f ca="1">IFERROR($C$1-1+_xlfn.RANK.EQ(B238,$B$4:$B$78)+COUNTIF(B$4:$B238,B238)-1,"")</f>
        <v/>
      </c>
      <c r="D238" s="1" t="str">
        <f ca="1">IFERROR(VLOOKUP(C238,'Question structure'!A:E,3,0),"")</f>
        <v/>
      </c>
      <c r="E238" t="str">
        <f ca="1">IFERROR(VLOOKUP(D238&amp;"Viet",'Question structure'!D:H,2,0),"")</f>
        <v/>
      </c>
      <c r="F238" t="str">
        <f ca="1">IFERROR(VLOOKUP(D238&amp;"Eng",'Question structure'!D:H,2,0),"")</f>
        <v/>
      </c>
    </row>
    <row r="239" spans="1:6" x14ac:dyDescent="0.25">
      <c r="A239" t="str">
        <f t="shared" si="7"/>
        <v/>
      </c>
      <c r="B239" t="str">
        <f t="shared" ca="1" si="6"/>
        <v/>
      </c>
      <c r="C239" s="1" t="str">
        <f ca="1">IFERROR($C$1-1+_xlfn.RANK.EQ(B239,$B$4:$B$78)+COUNTIF(B$4:$B239,B239)-1,"")</f>
        <v/>
      </c>
      <c r="D239" s="1" t="str">
        <f ca="1">IFERROR(VLOOKUP(C239,'Question structure'!A:E,3,0),"")</f>
        <v/>
      </c>
      <c r="E239" t="str">
        <f ca="1">IFERROR(VLOOKUP(D239&amp;"Viet",'Question structure'!D:H,2,0),"")</f>
        <v/>
      </c>
      <c r="F239" t="str">
        <f ca="1">IFERROR(VLOOKUP(D239&amp;"Eng",'Question structure'!D:H,2,0),"")</f>
        <v/>
      </c>
    </row>
    <row r="240" spans="1:6" x14ac:dyDescent="0.25">
      <c r="A240" t="str">
        <f t="shared" si="7"/>
        <v/>
      </c>
      <c r="B240" t="str">
        <f t="shared" ca="1" si="6"/>
        <v/>
      </c>
      <c r="C240" s="1" t="str">
        <f ca="1">IFERROR($C$1-1+_xlfn.RANK.EQ(B240,$B$4:$B$78)+COUNTIF(B$4:$B240,B240)-1,"")</f>
        <v/>
      </c>
      <c r="D240" s="1" t="str">
        <f ca="1">IFERROR(VLOOKUP(C240,'Question structure'!A:E,3,0),"")</f>
        <v/>
      </c>
      <c r="E240" t="str">
        <f ca="1">IFERROR(VLOOKUP(D240&amp;"Viet",'Question structure'!D:H,2,0),"")</f>
        <v/>
      </c>
      <c r="F240" t="str">
        <f ca="1">IFERROR(VLOOKUP(D240&amp;"Eng",'Question structure'!D:H,2,0),"")</f>
        <v/>
      </c>
    </row>
    <row r="241" spans="1:6" x14ac:dyDescent="0.25">
      <c r="A241" t="str">
        <f t="shared" si="7"/>
        <v/>
      </c>
      <c r="B241" t="str">
        <f t="shared" ca="1" si="6"/>
        <v/>
      </c>
      <c r="C241" s="1" t="str">
        <f ca="1">IFERROR($C$1-1+_xlfn.RANK.EQ(B241,$B$4:$B$78)+COUNTIF(B$4:$B241,B241)-1,"")</f>
        <v/>
      </c>
      <c r="D241" s="1" t="str">
        <f ca="1">IFERROR(VLOOKUP(C241,'Question structure'!A:E,3,0),"")</f>
        <v/>
      </c>
      <c r="E241" t="str">
        <f ca="1">IFERROR(VLOOKUP(D241&amp;"Viet",'Question structure'!D:H,2,0),"")</f>
        <v/>
      </c>
      <c r="F241" t="str">
        <f ca="1">IFERROR(VLOOKUP(D241&amp;"Eng",'Question structure'!D:H,2,0),"")</f>
        <v/>
      </c>
    </row>
    <row r="242" spans="1:6" x14ac:dyDescent="0.25">
      <c r="A242" t="str">
        <f t="shared" si="7"/>
        <v/>
      </c>
      <c r="B242" t="str">
        <f t="shared" ca="1" si="6"/>
        <v/>
      </c>
      <c r="C242" s="1" t="str">
        <f ca="1">IFERROR($C$1-1+_xlfn.RANK.EQ(B242,$B$4:$B$78)+COUNTIF(B$4:$B242,B242)-1,"")</f>
        <v/>
      </c>
      <c r="D242" s="1" t="str">
        <f ca="1">IFERROR(VLOOKUP(C242,'Question structure'!A:E,3,0),"")</f>
        <v/>
      </c>
      <c r="E242" t="str">
        <f ca="1">IFERROR(VLOOKUP(D242&amp;"Viet",'Question structure'!D:H,2,0),"")</f>
        <v/>
      </c>
      <c r="F242" t="str">
        <f ca="1">IFERROR(VLOOKUP(D242&amp;"Eng",'Question structure'!D:H,2,0),"")</f>
        <v/>
      </c>
    </row>
    <row r="243" spans="1:6" x14ac:dyDescent="0.25">
      <c r="A243" t="str">
        <f t="shared" si="7"/>
        <v/>
      </c>
      <c r="B243" t="str">
        <f t="shared" ca="1" si="6"/>
        <v/>
      </c>
      <c r="C243" s="1" t="str">
        <f ca="1">IFERROR($C$1-1+_xlfn.RANK.EQ(B243,$B$4:$B$78)+COUNTIF(B$4:$B243,B243)-1,"")</f>
        <v/>
      </c>
      <c r="D243" s="1" t="str">
        <f ca="1">IFERROR(VLOOKUP(C243,'Question structure'!A:E,3,0),"")</f>
        <v/>
      </c>
      <c r="E243" t="str">
        <f ca="1">IFERROR(VLOOKUP(D243&amp;"Viet",'Question structure'!D:H,2,0),"")</f>
        <v/>
      </c>
      <c r="F243" t="str">
        <f ca="1">IFERROR(VLOOKUP(D243&amp;"Eng",'Question structure'!D:H,2,0),"")</f>
        <v/>
      </c>
    </row>
    <row r="244" spans="1:6" x14ac:dyDescent="0.25">
      <c r="A244" t="str">
        <f t="shared" si="7"/>
        <v/>
      </c>
      <c r="B244" t="str">
        <f t="shared" ca="1" si="6"/>
        <v/>
      </c>
      <c r="C244" s="1" t="str">
        <f ca="1">IFERROR($C$1-1+_xlfn.RANK.EQ(B244,$B$4:$B$78)+COUNTIF(B$4:$B244,B244)-1,"")</f>
        <v/>
      </c>
      <c r="D244" s="1" t="str">
        <f ca="1">IFERROR(VLOOKUP(C244,'Question structure'!A:E,3,0),"")</f>
        <v/>
      </c>
      <c r="E244" t="str">
        <f ca="1">IFERROR(VLOOKUP(D244&amp;"Viet",'Question structure'!D:H,2,0),"")</f>
        <v/>
      </c>
      <c r="F244" t="str">
        <f ca="1">IFERROR(VLOOKUP(D244&amp;"Eng",'Question structure'!D:H,2,0),"")</f>
        <v/>
      </c>
    </row>
    <row r="245" spans="1:6" x14ac:dyDescent="0.25">
      <c r="A245" t="str">
        <f t="shared" si="7"/>
        <v/>
      </c>
      <c r="B245" t="str">
        <f t="shared" ca="1" si="6"/>
        <v/>
      </c>
      <c r="C245" s="1" t="str">
        <f ca="1">IFERROR($C$1-1+_xlfn.RANK.EQ(B245,$B$4:$B$78)+COUNTIF(B$4:$B245,B245)-1,"")</f>
        <v/>
      </c>
      <c r="D245" s="1" t="str">
        <f ca="1">IFERROR(VLOOKUP(C245,'Question structure'!A:E,3,0),"")</f>
        <v/>
      </c>
      <c r="E245" t="str">
        <f ca="1">IFERROR(VLOOKUP(D245&amp;"Viet",'Question structure'!D:H,2,0),"")</f>
        <v/>
      </c>
      <c r="F245" t="str">
        <f ca="1">IFERROR(VLOOKUP(D245&amp;"Eng",'Question structure'!D:H,2,0),"")</f>
        <v/>
      </c>
    </row>
    <row r="246" spans="1:6" x14ac:dyDescent="0.25">
      <c r="A246" t="str">
        <f t="shared" si="7"/>
        <v/>
      </c>
      <c r="B246" t="str">
        <f t="shared" ca="1" si="6"/>
        <v/>
      </c>
      <c r="C246" s="1" t="str">
        <f ca="1">IFERROR($C$1-1+_xlfn.RANK.EQ(B246,$B$4:$B$78)+COUNTIF(B$4:$B246,B246)-1,"")</f>
        <v/>
      </c>
      <c r="D246" s="1" t="str">
        <f ca="1">IFERROR(VLOOKUP(C246,'Question structure'!A:E,3,0),"")</f>
        <v/>
      </c>
      <c r="E246" t="str">
        <f ca="1">IFERROR(VLOOKUP(D246&amp;"Viet",'Question structure'!D:H,2,0),"")</f>
        <v/>
      </c>
      <c r="F246" t="str">
        <f ca="1">IFERROR(VLOOKUP(D246&amp;"Eng",'Question structure'!D:H,2,0),"")</f>
        <v/>
      </c>
    </row>
    <row r="247" spans="1:6" x14ac:dyDescent="0.25">
      <c r="A247" t="str">
        <f t="shared" si="7"/>
        <v/>
      </c>
      <c r="B247" t="str">
        <f t="shared" ca="1" si="6"/>
        <v/>
      </c>
      <c r="C247" s="1" t="str">
        <f ca="1">IFERROR($C$1-1+_xlfn.RANK.EQ(B247,$B$4:$B$78)+COUNTIF(B$4:$B247,B247)-1,"")</f>
        <v/>
      </c>
      <c r="D247" s="1" t="str">
        <f ca="1">IFERROR(VLOOKUP(C247,'Question structure'!A:E,3,0),"")</f>
        <v/>
      </c>
      <c r="E247" t="str">
        <f ca="1">IFERROR(VLOOKUP(D247&amp;"Viet",'Question structure'!D:H,2,0),"")</f>
        <v/>
      </c>
      <c r="F247" t="str">
        <f ca="1">IFERROR(VLOOKUP(D247&amp;"Eng",'Question structure'!D:H,2,0),"")</f>
        <v/>
      </c>
    </row>
    <row r="248" spans="1:6" x14ac:dyDescent="0.25">
      <c r="A248" t="str">
        <f t="shared" si="7"/>
        <v/>
      </c>
      <c r="B248" t="str">
        <f t="shared" ca="1" si="6"/>
        <v/>
      </c>
      <c r="C248" s="1" t="str">
        <f ca="1">IFERROR($C$1-1+_xlfn.RANK.EQ(B248,$B$4:$B$78)+COUNTIF(B$4:$B248,B248)-1,"")</f>
        <v/>
      </c>
      <c r="D248" s="1" t="str">
        <f ca="1">IFERROR(VLOOKUP(C248,'Question structure'!A:E,3,0),"")</f>
        <v/>
      </c>
      <c r="E248" t="str">
        <f ca="1">IFERROR(VLOOKUP(D248&amp;"Viet",'Question structure'!D:H,2,0),"")</f>
        <v/>
      </c>
      <c r="F248" t="str">
        <f ca="1">IFERROR(VLOOKUP(D248&amp;"Eng",'Question structure'!D:H,2,0),"")</f>
        <v/>
      </c>
    </row>
    <row r="249" spans="1:6" x14ac:dyDescent="0.25">
      <c r="A249" t="str">
        <f t="shared" si="7"/>
        <v/>
      </c>
      <c r="B249" t="str">
        <f t="shared" ca="1" si="6"/>
        <v/>
      </c>
      <c r="C249" s="1" t="str">
        <f ca="1">IFERROR($C$1-1+_xlfn.RANK.EQ(B249,$B$4:$B$78)+COUNTIF(B$4:$B249,B249)-1,"")</f>
        <v/>
      </c>
      <c r="D249" s="1" t="str">
        <f ca="1">IFERROR(VLOOKUP(C249,'Question structure'!A:E,3,0),"")</f>
        <v/>
      </c>
      <c r="E249" t="str">
        <f ca="1">IFERROR(VLOOKUP(D249&amp;"Viet",'Question structure'!D:H,2,0),"")</f>
        <v/>
      </c>
      <c r="F249" t="str">
        <f ca="1">IFERROR(VLOOKUP(D249&amp;"Eng",'Question structure'!D:H,2,0),"")</f>
        <v/>
      </c>
    </row>
    <row r="250" spans="1:6" x14ac:dyDescent="0.25">
      <c r="A250" t="str">
        <f t="shared" si="7"/>
        <v/>
      </c>
      <c r="B250" t="str">
        <f t="shared" ca="1" si="6"/>
        <v/>
      </c>
      <c r="C250" s="1" t="str">
        <f ca="1">IFERROR($C$1-1+_xlfn.RANK.EQ(B250,$B$4:$B$78)+COUNTIF(B$4:$B250,B250)-1,"")</f>
        <v/>
      </c>
      <c r="D250" s="1" t="str">
        <f ca="1">IFERROR(VLOOKUP(C250,'Question structure'!A:E,3,0),"")</f>
        <v/>
      </c>
      <c r="E250" t="str">
        <f ca="1">IFERROR(VLOOKUP(D250&amp;"Viet",'Question structure'!D:H,2,0),"")</f>
        <v/>
      </c>
      <c r="F250" t="str">
        <f ca="1">IFERROR(VLOOKUP(D250&amp;"Eng",'Question structure'!D:H,2,0),"")</f>
        <v/>
      </c>
    </row>
    <row r="251" spans="1:6" x14ac:dyDescent="0.25">
      <c r="A251" t="str">
        <f t="shared" si="7"/>
        <v/>
      </c>
      <c r="B251" t="str">
        <f t="shared" ca="1" si="6"/>
        <v/>
      </c>
      <c r="C251" s="1" t="str">
        <f ca="1">IFERROR($C$1-1+_xlfn.RANK.EQ(B251,$B$4:$B$78)+COUNTIF(B$4:$B251,B251)-1,"")</f>
        <v/>
      </c>
      <c r="D251" s="1" t="str">
        <f ca="1">IFERROR(VLOOKUP(C251,'Question structure'!A:E,3,0),"")</f>
        <v/>
      </c>
      <c r="E251" t="str">
        <f ca="1">IFERROR(VLOOKUP(D251&amp;"Viet",'Question structure'!D:H,2,0),"")</f>
        <v/>
      </c>
      <c r="F251" t="str">
        <f ca="1">IFERROR(VLOOKUP(D251&amp;"Eng",'Question structure'!D:H,2,0),"")</f>
        <v/>
      </c>
    </row>
    <row r="252" spans="1:6" x14ac:dyDescent="0.25">
      <c r="A252" t="str">
        <f t="shared" si="7"/>
        <v/>
      </c>
      <c r="B252" t="str">
        <f t="shared" ca="1" si="6"/>
        <v/>
      </c>
      <c r="C252" s="1" t="str">
        <f ca="1">IFERROR($C$1-1+_xlfn.RANK.EQ(B252,$B$4:$B$78)+COUNTIF(B$4:$B252,B252)-1,"")</f>
        <v/>
      </c>
      <c r="D252" s="1" t="str">
        <f ca="1">IFERROR(VLOOKUP(C252,'Question structure'!A:E,3,0),"")</f>
        <v/>
      </c>
      <c r="E252" t="str">
        <f ca="1">IFERROR(VLOOKUP(D252&amp;"Viet",'Question structure'!D:H,2,0),"")</f>
        <v/>
      </c>
      <c r="F252" t="str">
        <f ca="1">IFERROR(VLOOKUP(D252&amp;"Eng",'Question structure'!D:H,2,0),"")</f>
        <v/>
      </c>
    </row>
    <row r="253" spans="1:6" x14ac:dyDescent="0.25">
      <c r="A253" t="str">
        <f t="shared" si="7"/>
        <v/>
      </c>
      <c r="B253" t="str">
        <f t="shared" ca="1" si="6"/>
        <v/>
      </c>
      <c r="C253" s="1" t="str">
        <f ca="1">IFERROR($C$1-1+_xlfn.RANK.EQ(B253,$B$4:$B$78)+COUNTIF(B$4:$B253,B253)-1,"")</f>
        <v/>
      </c>
      <c r="D253" s="1" t="str">
        <f ca="1">IFERROR(VLOOKUP(C253,'Question structure'!A:E,3,0),"")</f>
        <v/>
      </c>
      <c r="E253" t="str">
        <f ca="1">IFERROR(VLOOKUP(D253&amp;"Viet",'Question structure'!D:H,2,0),"")</f>
        <v/>
      </c>
      <c r="F253" t="str">
        <f ca="1">IFERROR(VLOOKUP(D253&amp;"Eng",'Question structure'!D:H,2,0),"")</f>
        <v/>
      </c>
    </row>
    <row r="254" spans="1:6" x14ac:dyDescent="0.25">
      <c r="A254" t="str">
        <f t="shared" si="7"/>
        <v/>
      </c>
      <c r="B254" t="str">
        <f t="shared" ca="1" si="6"/>
        <v/>
      </c>
      <c r="C254" s="1" t="str">
        <f ca="1">IFERROR($C$1-1+_xlfn.RANK.EQ(B254,$B$4:$B$78)+COUNTIF(B$4:$B254,B254)-1,"")</f>
        <v/>
      </c>
      <c r="D254" s="1" t="str">
        <f ca="1">IFERROR(VLOOKUP(C254,'Question structure'!A:E,3,0),"")</f>
        <v/>
      </c>
      <c r="E254" t="str">
        <f ca="1">IFERROR(VLOOKUP(D254&amp;"Viet",'Question structure'!D:H,2,0),"")</f>
        <v/>
      </c>
      <c r="F254" t="str">
        <f ca="1">IFERROR(VLOOKUP(D254&amp;"Eng",'Question structure'!D:H,2,0),"")</f>
        <v/>
      </c>
    </row>
    <row r="255" spans="1:6" x14ac:dyDescent="0.25">
      <c r="A255" t="str">
        <f t="shared" si="7"/>
        <v/>
      </c>
      <c r="B255" t="str">
        <f t="shared" ca="1" si="6"/>
        <v/>
      </c>
      <c r="C255" s="1" t="str">
        <f ca="1">IFERROR($C$1-1+_xlfn.RANK.EQ(B255,$B$4:$B$78)+COUNTIF(B$4:$B255,B255)-1,"")</f>
        <v/>
      </c>
      <c r="D255" s="1" t="str">
        <f ca="1">IFERROR(VLOOKUP(C255,'Question structure'!A:E,3,0),"")</f>
        <v/>
      </c>
      <c r="E255" t="str">
        <f ca="1">IFERROR(VLOOKUP(D255&amp;"Viet",'Question structure'!D:H,2,0),"")</f>
        <v/>
      </c>
      <c r="F255" t="str">
        <f ca="1">IFERROR(VLOOKUP(D255&amp;"Eng",'Question structure'!D:H,2,0),"")</f>
        <v/>
      </c>
    </row>
    <row r="256" spans="1:6" x14ac:dyDescent="0.25">
      <c r="A256" t="str">
        <f t="shared" si="7"/>
        <v/>
      </c>
      <c r="B256" t="str">
        <f t="shared" ca="1" si="6"/>
        <v/>
      </c>
      <c r="C256" s="1" t="str">
        <f ca="1">IFERROR($C$1-1+_xlfn.RANK.EQ(B256,$B$4:$B$78)+COUNTIF(B$4:$B256,B256)-1,"")</f>
        <v/>
      </c>
      <c r="D256" s="1" t="str">
        <f ca="1">IFERROR(VLOOKUP(C256,'Question structure'!A:E,3,0),"")</f>
        <v/>
      </c>
      <c r="E256" t="str">
        <f ca="1">IFERROR(VLOOKUP(D256&amp;"Viet",'Question structure'!D:H,2,0),"")</f>
        <v/>
      </c>
      <c r="F256" t="str">
        <f ca="1">IFERROR(VLOOKUP(D256&amp;"Eng",'Question structure'!D:H,2,0),"")</f>
        <v/>
      </c>
    </row>
    <row r="257" spans="1:6" x14ac:dyDescent="0.25">
      <c r="A257" t="str">
        <f t="shared" si="7"/>
        <v/>
      </c>
      <c r="B257" t="str">
        <f t="shared" ca="1" si="6"/>
        <v/>
      </c>
      <c r="C257" s="1" t="str">
        <f ca="1">IFERROR($C$1-1+_xlfn.RANK.EQ(B257,$B$4:$B$78)+COUNTIF(B$4:$B257,B257)-1,"")</f>
        <v/>
      </c>
      <c r="D257" s="1" t="str">
        <f ca="1">IFERROR(VLOOKUP(C257,'Question structure'!A:E,3,0),"")</f>
        <v/>
      </c>
      <c r="E257" t="str">
        <f ca="1">IFERROR(VLOOKUP(D257&amp;"Viet",'Question structure'!D:H,2,0),"")</f>
        <v/>
      </c>
      <c r="F257" t="str">
        <f ca="1">IFERROR(VLOOKUP(D257&amp;"Eng",'Question structure'!D:H,2,0),"")</f>
        <v/>
      </c>
    </row>
    <row r="258" spans="1:6" x14ac:dyDescent="0.25">
      <c r="A258" t="str">
        <f t="shared" si="7"/>
        <v/>
      </c>
      <c r="B258" t="str">
        <f t="shared" ca="1" si="6"/>
        <v/>
      </c>
      <c r="C258" s="1" t="str">
        <f ca="1">IFERROR($C$1-1+_xlfn.RANK.EQ(B258,$B$4:$B$78)+COUNTIF(B$4:$B258,B258)-1,"")</f>
        <v/>
      </c>
      <c r="D258" s="1" t="str">
        <f ca="1">IFERROR(VLOOKUP(C258,'Question structure'!A:E,3,0),"")</f>
        <v/>
      </c>
      <c r="E258" t="str">
        <f ca="1">IFERROR(VLOOKUP(D258&amp;"Viet",'Question structure'!D:H,2,0),"")</f>
        <v/>
      </c>
      <c r="F258" t="str">
        <f ca="1">IFERROR(VLOOKUP(D258&amp;"Eng",'Question structure'!D:H,2,0),"")</f>
        <v/>
      </c>
    </row>
    <row r="259" spans="1:6" x14ac:dyDescent="0.25">
      <c r="A259" t="str">
        <f t="shared" si="7"/>
        <v/>
      </c>
      <c r="B259" t="str">
        <f t="shared" ca="1" si="6"/>
        <v/>
      </c>
      <c r="C259" s="1" t="str">
        <f ca="1">IFERROR($C$1-1+_xlfn.RANK.EQ(B259,$B$4:$B$78)+COUNTIF(B$4:$B259,B259)-1,"")</f>
        <v/>
      </c>
      <c r="D259" s="1" t="str">
        <f ca="1">IFERROR(VLOOKUP(C259,'Question structure'!A:E,3,0),"")</f>
        <v/>
      </c>
      <c r="E259" t="str">
        <f ca="1">IFERROR(VLOOKUP(D259&amp;"Viet",'Question structure'!D:H,2,0),"")</f>
        <v/>
      </c>
      <c r="F259" t="str">
        <f ca="1">IFERROR(VLOOKUP(D259&amp;"Eng",'Question structure'!D:H,2,0),"")</f>
        <v/>
      </c>
    </row>
    <row r="260" spans="1:6" x14ac:dyDescent="0.25">
      <c r="A260" t="str">
        <f t="shared" si="7"/>
        <v/>
      </c>
      <c r="B260" t="str">
        <f t="shared" ref="B260:B295" ca="1" si="8">IF(A260="","",RANDBETWEEN($C$1,$C$2))</f>
        <v/>
      </c>
      <c r="C260" s="1" t="str">
        <f ca="1">IFERROR($C$1-1+_xlfn.RANK.EQ(B260,$B$4:$B$78)+COUNTIF(B$4:$B260,B260)-1,"")</f>
        <v/>
      </c>
      <c r="D260" s="1" t="str">
        <f ca="1">IFERROR(VLOOKUP(C260,'Question structure'!A:E,3,0),"")</f>
        <v/>
      </c>
      <c r="E260" t="str">
        <f ca="1">IFERROR(VLOOKUP(D260&amp;"Viet",'Question structure'!D:H,2,0),"")</f>
        <v/>
      </c>
      <c r="F260" t="str">
        <f ca="1">IFERROR(VLOOKUP(D260&amp;"Eng",'Question structure'!D:H,2,0),"")</f>
        <v/>
      </c>
    </row>
    <row r="261" spans="1:6" x14ac:dyDescent="0.25">
      <c r="A261" t="str">
        <f t="shared" si="7"/>
        <v/>
      </c>
      <c r="B261" t="str">
        <f t="shared" ca="1" si="8"/>
        <v/>
      </c>
      <c r="C261" s="1" t="str">
        <f ca="1">IFERROR($C$1-1+_xlfn.RANK.EQ(B261,$B$4:$B$78)+COUNTIF(B$4:$B261,B261)-1,"")</f>
        <v/>
      </c>
      <c r="D261" s="1" t="str">
        <f ca="1">IFERROR(VLOOKUP(C261,'Question structure'!A:E,3,0),"")</f>
        <v/>
      </c>
      <c r="E261" t="str">
        <f ca="1">IFERROR(VLOOKUP(D261&amp;"Viet",'Question structure'!D:H,2,0),"")</f>
        <v/>
      </c>
      <c r="F261" t="str">
        <f ca="1">IFERROR(VLOOKUP(D261&amp;"Eng",'Question structure'!D:H,2,0),"")</f>
        <v/>
      </c>
    </row>
    <row r="262" spans="1:6" x14ac:dyDescent="0.25">
      <c r="A262" t="str">
        <f t="shared" ref="A262:A295" si="9">IFERROR(IF(A261+1&gt;$C$2,"",A261+1),"")</f>
        <v/>
      </c>
      <c r="B262" t="str">
        <f t="shared" ca="1" si="8"/>
        <v/>
      </c>
      <c r="C262" s="1" t="str">
        <f ca="1">IFERROR($C$1-1+_xlfn.RANK.EQ(B262,$B$4:$B$78)+COUNTIF(B$4:$B262,B262)-1,"")</f>
        <v/>
      </c>
      <c r="D262" s="1" t="str">
        <f ca="1">IFERROR(VLOOKUP(C262,'Question structure'!A:E,3,0),"")</f>
        <v/>
      </c>
      <c r="E262" t="str">
        <f ca="1">IFERROR(VLOOKUP(D262&amp;"Viet",'Question structure'!D:H,2,0),"")</f>
        <v/>
      </c>
      <c r="F262" t="str">
        <f ca="1">IFERROR(VLOOKUP(D262&amp;"Eng",'Question structure'!D:H,2,0),"")</f>
        <v/>
      </c>
    </row>
    <row r="263" spans="1:6" x14ac:dyDescent="0.25">
      <c r="A263" t="str">
        <f t="shared" si="9"/>
        <v/>
      </c>
      <c r="B263" t="str">
        <f t="shared" ca="1" si="8"/>
        <v/>
      </c>
      <c r="C263" s="1" t="str">
        <f ca="1">IFERROR($C$1-1+_xlfn.RANK.EQ(B263,$B$4:$B$78)+COUNTIF(B$4:$B263,B263)-1,"")</f>
        <v/>
      </c>
      <c r="D263" s="1" t="str">
        <f ca="1">IFERROR(VLOOKUP(C263,'Question structure'!A:E,3,0),"")</f>
        <v/>
      </c>
      <c r="E263" t="str">
        <f ca="1">IFERROR(VLOOKUP(D263&amp;"Viet",'Question structure'!D:H,2,0),"")</f>
        <v/>
      </c>
      <c r="F263" t="str">
        <f ca="1">IFERROR(VLOOKUP(D263&amp;"Eng",'Question structure'!D:H,2,0),"")</f>
        <v/>
      </c>
    </row>
    <row r="264" spans="1:6" x14ac:dyDescent="0.25">
      <c r="A264" t="str">
        <f t="shared" si="9"/>
        <v/>
      </c>
      <c r="B264" t="str">
        <f t="shared" ca="1" si="8"/>
        <v/>
      </c>
      <c r="C264" s="1" t="str">
        <f ca="1">IFERROR($C$1-1+_xlfn.RANK.EQ(B264,$B$4:$B$78)+COUNTIF(B$4:$B264,B264)-1,"")</f>
        <v/>
      </c>
      <c r="D264" s="1" t="str">
        <f ca="1">IFERROR(VLOOKUP(C264,'Question structure'!A:E,3,0),"")</f>
        <v/>
      </c>
      <c r="E264" t="str">
        <f ca="1">IFERROR(VLOOKUP(D264&amp;"Viet",'Question structure'!D:H,2,0),"")</f>
        <v/>
      </c>
      <c r="F264" t="str">
        <f ca="1">IFERROR(VLOOKUP(D264&amp;"Eng",'Question structure'!D:H,2,0),"")</f>
        <v/>
      </c>
    </row>
    <row r="265" spans="1:6" x14ac:dyDescent="0.25">
      <c r="A265" t="str">
        <f t="shared" si="9"/>
        <v/>
      </c>
      <c r="B265" t="str">
        <f t="shared" ca="1" si="8"/>
        <v/>
      </c>
      <c r="C265" s="1" t="str">
        <f ca="1">IFERROR($C$1-1+_xlfn.RANK.EQ(B265,$B$4:$B$78)+COUNTIF(B$4:$B265,B265)-1,"")</f>
        <v/>
      </c>
      <c r="D265" s="1" t="str">
        <f ca="1">IFERROR(VLOOKUP(C265,'Question structure'!A:E,3,0),"")</f>
        <v/>
      </c>
      <c r="E265" t="str">
        <f ca="1">IFERROR(VLOOKUP(D265&amp;"Viet",'Question structure'!D:H,2,0),"")</f>
        <v/>
      </c>
      <c r="F265" t="str">
        <f ca="1">IFERROR(VLOOKUP(D265&amp;"Eng",'Question structure'!D:H,2,0),"")</f>
        <v/>
      </c>
    </row>
    <row r="266" spans="1:6" x14ac:dyDescent="0.25">
      <c r="A266" t="str">
        <f t="shared" si="9"/>
        <v/>
      </c>
      <c r="B266" t="str">
        <f t="shared" ca="1" si="8"/>
        <v/>
      </c>
      <c r="C266" s="1" t="str">
        <f ca="1">IFERROR($C$1-1+_xlfn.RANK.EQ(B266,$B$4:$B$78)+COUNTIF(B$4:$B266,B266)-1,"")</f>
        <v/>
      </c>
      <c r="D266" s="1" t="str">
        <f ca="1">IFERROR(VLOOKUP(C266,'Question structure'!A:E,3,0),"")</f>
        <v/>
      </c>
      <c r="E266" t="str">
        <f ca="1">IFERROR(VLOOKUP(D266&amp;"Viet",'Question structure'!D:H,2,0),"")</f>
        <v/>
      </c>
      <c r="F266" t="str">
        <f ca="1">IFERROR(VLOOKUP(D266&amp;"Eng",'Question structure'!D:H,2,0),"")</f>
        <v/>
      </c>
    </row>
    <row r="267" spans="1:6" x14ac:dyDescent="0.25">
      <c r="A267" t="str">
        <f t="shared" si="9"/>
        <v/>
      </c>
      <c r="B267" t="str">
        <f t="shared" ca="1" si="8"/>
        <v/>
      </c>
      <c r="C267" s="1" t="str">
        <f ca="1">IFERROR($C$1-1+_xlfn.RANK.EQ(B267,$B$4:$B$78)+COUNTIF(B$4:$B267,B267)-1,"")</f>
        <v/>
      </c>
      <c r="D267" s="1" t="str">
        <f ca="1">IFERROR(VLOOKUP(C267,'Question structure'!A:E,3,0),"")</f>
        <v/>
      </c>
      <c r="E267" t="str">
        <f ca="1">IFERROR(VLOOKUP(D267&amp;"Viet",'Question structure'!D:H,2,0),"")</f>
        <v/>
      </c>
      <c r="F267" t="str">
        <f ca="1">IFERROR(VLOOKUP(D267&amp;"Eng",'Question structure'!D:H,2,0),"")</f>
        <v/>
      </c>
    </row>
    <row r="268" spans="1:6" x14ac:dyDescent="0.25">
      <c r="A268" t="str">
        <f t="shared" si="9"/>
        <v/>
      </c>
      <c r="B268" t="str">
        <f t="shared" ca="1" si="8"/>
        <v/>
      </c>
      <c r="C268" s="1" t="str">
        <f ca="1">IFERROR($C$1-1+_xlfn.RANK.EQ(B268,$B$4:$B$78)+COUNTIF(B$4:$B268,B268)-1,"")</f>
        <v/>
      </c>
      <c r="D268" s="1" t="str">
        <f ca="1">IFERROR(VLOOKUP(C268,'Question structure'!A:E,3,0),"")</f>
        <v/>
      </c>
      <c r="E268" t="str">
        <f ca="1">IFERROR(VLOOKUP(D268&amp;"Viet",'Question structure'!D:H,2,0),"")</f>
        <v/>
      </c>
      <c r="F268" t="str">
        <f ca="1">IFERROR(VLOOKUP(D268&amp;"Eng",'Question structure'!D:H,2,0),"")</f>
        <v/>
      </c>
    </row>
    <row r="269" spans="1:6" x14ac:dyDescent="0.25">
      <c r="A269" t="str">
        <f t="shared" si="9"/>
        <v/>
      </c>
      <c r="B269" t="str">
        <f t="shared" ca="1" si="8"/>
        <v/>
      </c>
      <c r="C269" s="1" t="str">
        <f ca="1">IFERROR($C$1-1+_xlfn.RANK.EQ(B269,$B$4:$B$78)+COUNTIF(B$4:$B269,B269)-1,"")</f>
        <v/>
      </c>
      <c r="D269" s="1" t="str">
        <f ca="1">IFERROR(VLOOKUP(C269,'Question structure'!A:E,3,0),"")</f>
        <v/>
      </c>
      <c r="E269" t="str">
        <f ca="1">IFERROR(VLOOKUP(D269&amp;"Viet",'Question structure'!D:H,2,0),"")</f>
        <v/>
      </c>
      <c r="F269" t="str">
        <f ca="1">IFERROR(VLOOKUP(D269&amp;"Eng",'Question structure'!D:H,2,0),"")</f>
        <v/>
      </c>
    </row>
    <row r="270" spans="1:6" x14ac:dyDescent="0.25">
      <c r="A270" t="str">
        <f t="shared" si="9"/>
        <v/>
      </c>
      <c r="B270" t="str">
        <f t="shared" ca="1" si="8"/>
        <v/>
      </c>
      <c r="C270" s="1" t="str">
        <f ca="1">IFERROR($C$1-1+_xlfn.RANK.EQ(B270,$B$4:$B$78)+COUNTIF(B$4:$B270,B270)-1,"")</f>
        <v/>
      </c>
      <c r="D270" s="1" t="str">
        <f ca="1">IFERROR(VLOOKUP(C270,'Question structure'!A:E,3,0),"")</f>
        <v/>
      </c>
      <c r="E270" t="str">
        <f ca="1">IFERROR(VLOOKUP(D270&amp;"Viet",'Question structure'!D:H,2,0),"")</f>
        <v/>
      </c>
      <c r="F270" t="str">
        <f ca="1">IFERROR(VLOOKUP(D270&amp;"Eng",'Question structure'!D:H,2,0),"")</f>
        <v/>
      </c>
    </row>
    <row r="271" spans="1:6" x14ac:dyDescent="0.25">
      <c r="A271" t="str">
        <f t="shared" si="9"/>
        <v/>
      </c>
      <c r="B271" t="str">
        <f t="shared" ca="1" si="8"/>
        <v/>
      </c>
      <c r="C271" s="1" t="str">
        <f ca="1">IFERROR($C$1-1+_xlfn.RANK.EQ(B271,$B$4:$B$78)+COUNTIF(B$4:$B271,B271)-1,"")</f>
        <v/>
      </c>
      <c r="D271" s="1" t="str">
        <f ca="1">IFERROR(VLOOKUP(C271,'Question structure'!A:E,3,0),"")</f>
        <v/>
      </c>
      <c r="E271" t="str">
        <f ca="1">IFERROR(VLOOKUP(D271&amp;"Viet",'Question structure'!D:H,2,0),"")</f>
        <v/>
      </c>
      <c r="F271" t="str">
        <f ca="1">IFERROR(VLOOKUP(D271&amp;"Eng",'Question structure'!D:H,2,0),"")</f>
        <v/>
      </c>
    </row>
    <row r="272" spans="1:6" x14ac:dyDescent="0.25">
      <c r="A272" t="str">
        <f t="shared" si="9"/>
        <v/>
      </c>
      <c r="B272" t="str">
        <f t="shared" ca="1" si="8"/>
        <v/>
      </c>
      <c r="C272" s="1" t="str">
        <f ca="1">IFERROR($C$1-1+_xlfn.RANK.EQ(B272,$B$4:$B$78)+COUNTIF(B$4:$B272,B272)-1,"")</f>
        <v/>
      </c>
      <c r="D272" s="1" t="str">
        <f ca="1">IFERROR(VLOOKUP(C272,'Question structure'!A:E,3,0),"")</f>
        <v/>
      </c>
      <c r="E272" t="str">
        <f ca="1">IFERROR(VLOOKUP(D272&amp;"Viet",'Question structure'!D:H,2,0),"")</f>
        <v/>
      </c>
      <c r="F272" t="str">
        <f ca="1">IFERROR(VLOOKUP(D272&amp;"Eng",'Question structure'!D:H,2,0),"")</f>
        <v/>
      </c>
    </row>
    <row r="273" spans="1:6" x14ac:dyDescent="0.25">
      <c r="A273" t="str">
        <f t="shared" si="9"/>
        <v/>
      </c>
      <c r="B273" t="str">
        <f t="shared" ca="1" si="8"/>
        <v/>
      </c>
      <c r="C273" s="1" t="str">
        <f ca="1">IFERROR($C$1-1+_xlfn.RANK.EQ(B273,$B$4:$B$78)+COUNTIF(B$4:$B273,B273)-1,"")</f>
        <v/>
      </c>
      <c r="D273" s="1" t="str">
        <f ca="1">IFERROR(VLOOKUP(C273,'Question structure'!A:E,3,0),"")</f>
        <v/>
      </c>
      <c r="E273" t="str">
        <f ca="1">IFERROR(VLOOKUP(D273&amp;"Viet",'Question structure'!D:H,2,0),"")</f>
        <v/>
      </c>
      <c r="F273" t="str">
        <f ca="1">IFERROR(VLOOKUP(D273&amp;"Eng",'Question structure'!D:H,2,0),"")</f>
        <v/>
      </c>
    </row>
    <row r="274" spans="1:6" x14ac:dyDescent="0.25">
      <c r="A274" t="str">
        <f t="shared" si="9"/>
        <v/>
      </c>
      <c r="B274" t="str">
        <f t="shared" ca="1" si="8"/>
        <v/>
      </c>
      <c r="C274" s="1" t="str">
        <f ca="1">IFERROR($C$1-1+_xlfn.RANK.EQ(B274,$B$4:$B$78)+COUNTIF(B$4:$B274,B274)-1,"")</f>
        <v/>
      </c>
      <c r="D274" s="1" t="str">
        <f ca="1">IFERROR(VLOOKUP(C274,'Question structure'!A:E,3,0),"")</f>
        <v/>
      </c>
      <c r="E274" t="str">
        <f ca="1">IFERROR(VLOOKUP(D274&amp;"Viet",'Question structure'!D:H,2,0),"")</f>
        <v/>
      </c>
      <c r="F274" t="str">
        <f ca="1">IFERROR(VLOOKUP(D274&amp;"Eng",'Question structure'!D:H,2,0),"")</f>
        <v/>
      </c>
    </row>
    <row r="275" spans="1:6" x14ac:dyDescent="0.25">
      <c r="A275" t="str">
        <f t="shared" si="9"/>
        <v/>
      </c>
      <c r="B275" t="str">
        <f t="shared" ca="1" si="8"/>
        <v/>
      </c>
      <c r="C275" s="1" t="str">
        <f ca="1">IFERROR($C$1-1+_xlfn.RANK.EQ(B275,$B$4:$B$78)+COUNTIF(B$4:$B275,B275)-1,"")</f>
        <v/>
      </c>
      <c r="D275" s="1" t="str">
        <f ca="1">IFERROR(VLOOKUP(C275,'Question structure'!A:E,3,0),"")</f>
        <v/>
      </c>
      <c r="E275" t="str">
        <f ca="1">IFERROR(VLOOKUP(D275&amp;"Viet",'Question structure'!D:H,2,0),"")</f>
        <v/>
      </c>
      <c r="F275" t="str">
        <f ca="1">IFERROR(VLOOKUP(D275&amp;"Eng",'Question structure'!D:H,2,0),"")</f>
        <v/>
      </c>
    </row>
    <row r="276" spans="1:6" x14ac:dyDescent="0.25">
      <c r="A276" t="str">
        <f t="shared" si="9"/>
        <v/>
      </c>
      <c r="B276" t="str">
        <f t="shared" ca="1" si="8"/>
        <v/>
      </c>
      <c r="C276" s="1" t="str">
        <f ca="1">IFERROR($C$1-1+_xlfn.RANK.EQ(B276,$B$4:$B$78)+COUNTIF(B$4:$B276,B276)-1,"")</f>
        <v/>
      </c>
      <c r="D276" s="1" t="str">
        <f ca="1">IFERROR(VLOOKUP(C276,'Question structure'!A:E,3,0),"")</f>
        <v/>
      </c>
      <c r="E276" t="str">
        <f ca="1">IFERROR(VLOOKUP(D276&amp;"Viet",'Question structure'!D:H,2,0),"")</f>
        <v/>
      </c>
      <c r="F276" t="str">
        <f ca="1">IFERROR(VLOOKUP(D276&amp;"Eng",'Question structure'!D:H,2,0),"")</f>
        <v/>
      </c>
    </row>
    <row r="277" spans="1:6" x14ac:dyDescent="0.25">
      <c r="A277" t="str">
        <f t="shared" si="9"/>
        <v/>
      </c>
      <c r="B277" t="str">
        <f t="shared" ca="1" si="8"/>
        <v/>
      </c>
      <c r="C277" s="1" t="str">
        <f ca="1">IFERROR($C$1-1+_xlfn.RANK.EQ(B277,$B$4:$B$78)+COUNTIF(B$4:$B277,B277)-1,"")</f>
        <v/>
      </c>
      <c r="D277" s="1" t="str">
        <f ca="1">IFERROR(VLOOKUP(C277,'Question structure'!A:E,3,0),"")</f>
        <v/>
      </c>
      <c r="E277" t="str">
        <f ca="1">IFERROR(VLOOKUP(D277&amp;"Viet",'Question structure'!D:H,2,0),"")</f>
        <v/>
      </c>
      <c r="F277" t="str">
        <f ca="1">IFERROR(VLOOKUP(D277&amp;"Eng",'Question structure'!D:H,2,0),"")</f>
        <v/>
      </c>
    </row>
    <row r="278" spans="1:6" x14ac:dyDescent="0.25">
      <c r="A278" t="str">
        <f t="shared" si="9"/>
        <v/>
      </c>
      <c r="B278" t="str">
        <f t="shared" ca="1" si="8"/>
        <v/>
      </c>
      <c r="C278" s="1" t="str">
        <f ca="1">IFERROR($C$1-1+_xlfn.RANK.EQ(B278,$B$4:$B$78)+COUNTIF(B$4:$B278,B278)-1,"")</f>
        <v/>
      </c>
      <c r="D278" s="1" t="str">
        <f ca="1">IFERROR(VLOOKUP(C278,'Question structure'!A:E,3,0),"")</f>
        <v/>
      </c>
      <c r="E278" t="str">
        <f ca="1">IFERROR(VLOOKUP(D278&amp;"Viet",'Question structure'!D:H,2,0),"")</f>
        <v/>
      </c>
      <c r="F278" t="str">
        <f ca="1">IFERROR(VLOOKUP(D278&amp;"Eng",'Question structure'!D:H,2,0),"")</f>
        <v/>
      </c>
    </row>
    <row r="279" spans="1:6" x14ac:dyDescent="0.25">
      <c r="A279" t="str">
        <f t="shared" si="9"/>
        <v/>
      </c>
      <c r="B279" t="str">
        <f t="shared" ca="1" si="8"/>
        <v/>
      </c>
      <c r="C279" s="1" t="str">
        <f ca="1">IFERROR($C$1-1+_xlfn.RANK.EQ(B279,$B$4:$B$78)+COUNTIF(B$4:$B279,B279)-1,"")</f>
        <v/>
      </c>
      <c r="D279" s="1" t="str">
        <f ca="1">IFERROR(VLOOKUP(C279,'Question structure'!A:E,3,0),"")</f>
        <v/>
      </c>
      <c r="E279" t="str">
        <f ca="1">IFERROR(VLOOKUP(D279&amp;"Viet",'Question structure'!D:H,2,0),"")</f>
        <v/>
      </c>
      <c r="F279" t="str">
        <f ca="1">IFERROR(VLOOKUP(D279&amp;"Eng",'Question structure'!D:H,2,0),"")</f>
        <v/>
      </c>
    </row>
    <row r="280" spans="1:6" x14ac:dyDescent="0.25">
      <c r="A280" t="str">
        <f t="shared" si="9"/>
        <v/>
      </c>
      <c r="B280" t="str">
        <f t="shared" ca="1" si="8"/>
        <v/>
      </c>
      <c r="C280" s="1" t="str">
        <f ca="1">IFERROR($C$1-1+_xlfn.RANK.EQ(B280,$B$4:$B$78)+COUNTIF(B$4:$B280,B280)-1,"")</f>
        <v/>
      </c>
      <c r="D280" s="1" t="str">
        <f ca="1">IFERROR(VLOOKUP(C280,'Question structure'!A:E,3,0),"")</f>
        <v/>
      </c>
      <c r="E280" t="str">
        <f ca="1">IFERROR(VLOOKUP(D280&amp;"Viet",'Question structure'!D:H,2,0),"")</f>
        <v/>
      </c>
      <c r="F280" t="str">
        <f ca="1">IFERROR(VLOOKUP(D280&amp;"Eng",'Question structure'!D:H,2,0),"")</f>
        <v/>
      </c>
    </row>
    <row r="281" spans="1:6" x14ac:dyDescent="0.25">
      <c r="A281" t="str">
        <f t="shared" si="9"/>
        <v/>
      </c>
      <c r="B281" t="str">
        <f t="shared" ca="1" si="8"/>
        <v/>
      </c>
      <c r="C281" s="1" t="str">
        <f ca="1">IFERROR($C$1-1+_xlfn.RANK.EQ(B281,$B$4:$B$78)+COUNTIF(B$4:$B281,B281)-1,"")</f>
        <v/>
      </c>
      <c r="D281" s="1" t="str">
        <f ca="1">IFERROR(VLOOKUP(C281,'Question structure'!A:E,3,0),"")</f>
        <v/>
      </c>
      <c r="E281" t="str">
        <f ca="1">IFERROR(VLOOKUP(D281&amp;"Viet",'Question structure'!D:H,2,0),"")</f>
        <v/>
      </c>
      <c r="F281" t="str">
        <f ca="1">IFERROR(VLOOKUP(D281&amp;"Eng",'Question structure'!D:H,2,0),"")</f>
        <v/>
      </c>
    </row>
    <row r="282" spans="1:6" x14ac:dyDescent="0.25">
      <c r="A282" t="str">
        <f t="shared" si="9"/>
        <v/>
      </c>
      <c r="B282" t="str">
        <f t="shared" ca="1" si="8"/>
        <v/>
      </c>
      <c r="C282" s="1" t="str">
        <f ca="1">IFERROR($C$1-1+_xlfn.RANK.EQ(B282,$B$4:$B$78)+COUNTIF(B$4:$B282,B282)-1,"")</f>
        <v/>
      </c>
      <c r="D282" s="1" t="str">
        <f ca="1">IFERROR(VLOOKUP(C282,'Question structure'!A:E,3,0),"")</f>
        <v/>
      </c>
      <c r="E282" t="str">
        <f ca="1">IFERROR(VLOOKUP(D282&amp;"Viet",'Question structure'!D:H,2,0),"")</f>
        <v/>
      </c>
      <c r="F282" t="str">
        <f ca="1">IFERROR(VLOOKUP(D282&amp;"Eng",'Question structure'!D:H,2,0),"")</f>
        <v/>
      </c>
    </row>
    <row r="283" spans="1:6" x14ac:dyDescent="0.25">
      <c r="A283" t="str">
        <f t="shared" si="9"/>
        <v/>
      </c>
      <c r="B283" t="str">
        <f t="shared" ca="1" si="8"/>
        <v/>
      </c>
      <c r="C283" s="1" t="str">
        <f ca="1">IFERROR($C$1-1+_xlfn.RANK.EQ(B283,$B$4:$B$78)+COUNTIF(B$4:$B283,B283)-1,"")</f>
        <v/>
      </c>
      <c r="D283" s="1" t="str">
        <f ca="1">IFERROR(VLOOKUP(C283,'Question structure'!A:E,3,0),"")</f>
        <v/>
      </c>
      <c r="E283" t="str">
        <f ca="1">IFERROR(VLOOKUP(D283&amp;"Viet",'Question structure'!D:H,2,0),"")</f>
        <v/>
      </c>
      <c r="F283" t="str">
        <f ca="1">IFERROR(VLOOKUP(D283&amp;"Eng",'Question structure'!D:H,2,0),"")</f>
        <v/>
      </c>
    </row>
    <row r="284" spans="1:6" x14ac:dyDescent="0.25">
      <c r="A284" t="str">
        <f t="shared" si="9"/>
        <v/>
      </c>
      <c r="B284" t="str">
        <f t="shared" ca="1" si="8"/>
        <v/>
      </c>
      <c r="C284" s="1" t="str">
        <f ca="1">IFERROR($C$1-1+_xlfn.RANK.EQ(B284,$B$4:$B$78)+COUNTIF(B$4:$B284,B284)-1,"")</f>
        <v/>
      </c>
      <c r="D284" s="1" t="str">
        <f ca="1">IFERROR(VLOOKUP(C284,'Question structure'!A:E,3,0),"")</f>
        <v/>
      </c>
      <c r="E284" t="str">
        <f ca="1">IFERROR(VLOOKUP(D284&amp;"Viet",'Question structure'!D:H,2,0),"")</f>
        <v/>
      </c>
      <c r="F284" t="str">
        <f ca="1">IFERROR(VLOOKUP(D284&amp;"Eng",'Question structure'!D:H,2,0),"")</f>
        <v/>
      </c>
    </row>
    <row r="285" spans="1:6" x14ac:dyDescent="0.25">
      <c r="A285" t="str">
        <f t="shared" si="9"/>
        <v/>
      </c>
      <c r="B285" t="str">
        <f t="shared" ca="1" si="8"/>
        <v/>
      </c>
      <c r="C285" s="1" t="str">
        <f ca="1">IFERROR($C$1-1+_xlfn.RANK.EQ(B285,$B$4:$B$78)+COUNTIF(B$4:$B285,B285)-1,"")</f>
        <v/>
      </c>
      <c r="D285" s="1" t="str">
        <f ca="1">IFERROR(VLOOKUP(C285,'Question structure'!A:E,3,0),"")</f>
        <v/>
      </c>
      <c r="E285" t="str">
        <f ca="1">IFERROR(VLOOKUP(D285&amp;"Viet",'Question structure'!D:H,2,0),"")</f>
        <v/>
      </c>
      <c r="F285" t="str">
        <f ca="1">IFERROR(VLOOKUP(D285&amp;"Eng",'Question structure'!D:H,2,0),"")</f>
        <v/>
      </c>
    </row>
    <row r="286" spans="1:6" x14ac:dyDescent="0.25">
      <c r="A286" t="str">
        <f t="shared" si="9"/>
        <v/>
      </c>
      <c r="B286" t="str">
        <f t="shared" ca="1" si="8"/>
        <v/>
      </c>
      <c r="C286" s="1" t="str">
        <f ca="1">IFERROR($C$1-1+_xlfn.RANK.EQ(B286,$B$4:$B$78)+COUNTIF(B$4:$B286,B286)-1,"")</f>
        <v/>
      </c>
      <c r="D286" s="1" t="str">
        <f ca="1">IFERROR(VLOOKUP(C286,'Question structure'!A:E,3,0),"")</f>
        <v/>
      </c>
      <c r="E286" t="str">
        <f ca="1">IFERROR(VLOOKUP(D286&amp;"Viet",'Question structure'!D:H,2,0),"")</f>
        <v/>
      </c>
      <c r="F286" t="str">
        <f ca="1">IFERROR(VLOOKUP(D286&amp;"Eng",'Question structure'!D:H,2,0),"")</f>
        <v/>
      </c>
    </row>
    <row r="287" spans="1:6" x14ac:dyDescent="0.25">
      <c r="A287" t="str">
        <f t="shared" si="9"/>
        <v/>
      </c>
      <c r="B287" t="str">
        <f t="shared" ca="1" si="8"/>
        <v/>
      </c>
      <c r="C287" s="1" t="str">
        <f ca="1">IFERROR($C$1-1+_xlfn.RANK.EQ(B287,$B$4:$B$78)+COUNTIF(B$4:$B287,B287)-1,"")</f>
        <v/>
      </c>
      <c r="D287" s="1" t="str">
        <f ca="1">IFERROR(VLOOKUP(C287,'Question structure'!A:E,3,0),"")</f>
        <v/>
      </c>
      <c r="E287" t="str">
        <f ca="1">IFERROR(VLOOKUP(D287&amp;"Viet",'Question structure'!D:H,2,0),"")</f>
        <v/>
      </c>
      <c r="F287" t="str">
        <f ca="1">IFERROR(VLOOKUP(D287&amp;"Eng",'Question structure'!D:H,2,0),"")</f>
        <v/>
      </c>
    </row>
    <row r="288" spans="1:6" x14ac:dyDescent="0.25">
      <c r="A288" t="str">
        <f t="shared" si="9"/>
        <v/>
      </c>
      <c r="B288" t="str">
        <f t="shared" ca="1" si="8"/>
        <v/>
      </c>
      <c r="C288" s="1" t="str">
        <f ca="1">IFERROR($C$1-1+_xlfn.RANK.EQ(B288,$B$4:$B$78)+COUNTIF(B$4:$B288,B288)-1,"")</f>
        <v/>
      </c>
      <c r="D288" s="1" t="str">
        <f ca="1">IFERROR(VLOOKUP(C288,'Question structure'!A:E,3,0),"")</f>
        <v/>
      </c>
      <c r="E288" t="str">
        <f ca="1">IFERROR(VLOOKUP(D288&amp;"Viet",'Question structure'!D:H,2,0),"")</f>
        <v/>
      </c>
      <c r="F288" t="str">
        <f ca="1">IFERROR(VLOOKUP(D288&amp;"Eng",'Question structure'!D:H,2,0),"")</f>
        <v/>
      </c>
    </row>
    <row r="289" spans="1:6" x14ac:dyDescent="0.25">
      <c r="A289" t="str">
        <f t="shared" si="9"/>
        <v/>
      </c>
      <c r="B289" t="str">
        <f t="shared" ca="1" si="8"/>
        <v/>
      </c>
      <c r="C289" s="1" t="str">
        <f ca="1">IFERROR($C$1-1+_xlfn.RANK.EQ(B289,$B$4:$B$78)+COUNTIF(B$4:$B289,B289)-1,"")</f>
        <v/>
      </c>
      <c r="D289" s="1" t="str">
        <f ca="1">IFERROR(VLOOKUP(C289,'Question structure'!A:E,3,0),"")</f>
        <v/>
      </c>
      <c r="E289" t="str">
        <f ca="1">IFERROR(VLOOKUP(D289&amp;"Viet",'Question structure'!D:H,2,0),"")</f>
        <v/>
      </c>
      <c r="F289" t="str">
        <f ca="1">IFERROR(VLOOKUP(D289&amp;"Eng",'Question structure'!D:H,2,0),"")</f>
        <v/>
      </c>
    </row>
    <row r="290" spans="1:6" x14ac:dyDescent="0.25">
      <c r="A290" t="str">
        <f t="shared" si="9"/>
        <v/>
      </c>
      <c r="B290" t="str">
        <f t="shared" ca="1" si="8"/>
        <v/>
      </c>
      <c r="C290" s="1" t="str">
        <f ca="1">IFERROR($C$1-1+_xlfn.RANK.EQ(B290,$B$4:$B$78)+COUNTIF(B$4:$B290,B290)-1,"")</f>
        <v/>
      </c>
      <c r="D290" s="1" t="str">
        <f ca="1">IFERROR(VLOOKUP(C290,'Question structure'!A:E,3,0),"")</f>
        <v/>
      </c>
      <c r="E290" t="str">
        <f ca="1">IFERROR(VLOOKUP(D290&amp;"Viet",'Question structure'!D:H,2,0),"")</f>
        <v/>
      </c>
      <c r="F290" t="str">
        <f ca="1">IFERROR(VLOOKUP(D290&amp;"Eng",'Question structure'!D:H,2,0),"")</f>
        <v/>
      </c>
    </row>
    <row r="291" spans="1:6" x14ac:dyDescent="0.25">
      <c r="A291" t="str">
        <f t="shared" si="9"/>
        <v/>
      </c>
      <c r="B291" t="str">
        <f t="shared" ca="1" si="8"/>
        <v/>
      </c>
      <c r="C291" s="1" t="str">
        <f ca="1">IFERROR($C$1-1+_xlfn.RANK.EQ(B291,$B$4:$B$78)+COUNTIF(B$4:$B291,B291)-1,"")</f>
        <v/>
      </c>
      <c r="D291" s="1" t="str">
        <f ca="1">IFERROR(VLOOKUP(C291,'Question structure'!A:E,3,0),"")</f>
        <v/>
      </c>
      <c r="E291" t="str">
        <f ca="1">IFERROR(VLOOKUP(D291&amp;"Viet",'Question structure'!D:H,2,0),"")</f>
        <v/>
      </c>
      <c r="F291" t="str">
        <f ca="1">IFERROR(VLOOKUP(D291&amp;"Eng",'Question structure'!D:H,2,0),"")</f>
        <v/>
      </c>
    </row>
    <row r="292" spans="1:6" x14ac:dyDescent="0.25">
      <c r="A292" t="str">
        <f t="shared" si="9"/>
        <v/>
      </c>
      <c r="B292" t="str">
        <f t="shared" ca="1" si="8"/>
        <v/>
      </c>
      <c r="C292" s="1" t="str">
        <f ca="1">IFERROR($C$1-1+_xlfn.RANK.EQ(B292,$B$4:$B$78)+COUNTIF(B$4:$B292,B292)-1,"")</f>
        <v/>
      </c>
      <c r="D292" s="1" t="str">
        <f ca="1">IFERROR(VLOOKUP(C292,'Question structure'!A:E,3,0),"")</f>
        <v/>
      </c>
      <c r="E292" t="str">
        <f ca="1">IFERROR(VLOOKUP(D292&amp;"Viet",'Question structure'!D:H,2,0),"")</f>
        <v/>
      </c>
      <c r="F292" t="str">
        <f ca="1">IFERROR(VLOOKUP(D292&amp;"Eng",'Question structure'!D:H,2,0),"")</f>
        <v/>
      </c>
    </row>
    <row r="293" spans="1:6" x14ac:dyDescent="0.25">
      <c r="A293" t="str">
        <f t="shared" si="9"/>
        <v/>
      </c>
      <c r="B293" t="str">
        <f t="shared" ca="1" si="8"/>
        <v/>
      </c>
      <c r="C293" s="1" t="str">
        <f ca="1">IFERROR($C$1-1+_xlfn.RANK.EQ(B293,$B$4:$B$78)+COUNTIF(B$4:$B293,B293)-1,"")</f>
        <v/>
      </c>
      <c r="D293" s="1" t="str">
        <f ca="1">IFERROR(VLOOKUP(C293,'Question structure'!A:E,3,0),"")</f>
        <v/>
      </c>
      <c r="E293" t="str">
        <f ca="1">IFERROR(VLOOKUP(D293&amp;"Viet",'Question structure'!D:H,2,0),"")</f>
        <v/>
      </c>
      <c r="F293" t="str">
        <f ca="1">IFERROR(VLOOKUP(D293&amp;"Eng",'Question structure'!D:H,2,0),"")</f>
        <v/>
      </c>
    </row>
    <row r="294" spans="1:6" x14ac:dyDescent="0.25">
      <c r="A294" t="str">
        <f t="shared" si="9"/>
        <v/>
      </c>
      <c r="B294" t="str">
        <f t="shared" ca="1" si="8"/>
        <v/>
      </c>
      <c r="C294" s="1" t="str">
        <f ca="1">IFERROR($C$1-1+_xlfn.RANK.EQ(B294,$B$4:$B$78)+COUNTIF(B$4:$B294,B294)-1,"")</f>
        <v/>
      </c>
      <c r="D294" s="1" t="str">
        <f ca="1">IFERROR(VLOOKUP(C294,'Question structure'!A:E,3,0),"")</f>
        <v/>
      </c>
      <c r="E294" t="str">
        <f ca="1">IFERROR(VLOOKUP(D294&amp;"Viet",'Question structure'!D:H,2,0),"")</f>
        <v/>
      </c>
      <c r="F294" t="str">
        <f ca="1">IFERROR(VLOOKUP(D294&amp;"Eng",'Question structure'!D:H,2,0),"")</f>
        <v/>
      </c>
    </row>
    <row r="295" spans="1:6" x14ac:dyDescent="0.25">
      <c r="A295" t="str">
        <f t="shared" si="9"/>
        <v/>
      </c>
      <c r="B295" t="str">
        <f t="shared" ca="1" si="8"/>
        <v/>
      </c>
      <c r="C295" s="1" t="str">
        <f ca="1">IFERROR($C$1-1+_xlfn.RANK.EQ(B295,$B$4:$B$78)+COUNTIF(B$4:$B295,B295)-1,"")</f>
        <v/>
      </c>
      <c r="D295" s="1" t="str">
        <f ca="1">IFERROR(VLOOKUP(C295,'Question structure'!A:E,3,0),"")</f>
        <v/>
      </c>
      <c r="E295" t="str">
        <f ca="1">IFERROR(VLOOKUP(D295&amp;"Viet",'Question structure'!D:H,2,0),"")</f>
        <v/>
      </c>
      <c r="F295" t="str">
        <f ca="1">IFERROR(VLOOKUP(D295&amp;"Eng",'Question structure'!D:H,2,0),"")</f>
        <v/>
      </c>
    </row>
    <row r="296" spans="1:6" x14ac:dyDescent="0.25">
      <c r="C296" s="1" t="str">
        <f ca="1">IFERROR($C$1-1+_xlfn.RANK.EQ(B296,$B$4:$B$78)+COUNTIF(B$4:$B296,B296)-1,"")</f>
        <v/>
      </c>
      <c r="D296" s="1" t="str">
        <f ca="1">IFERROR(VLOOKUP(C296,'Question structure'!A:E,3,0),"")</f>
        <v/>
      </c>
      <c r="E296" t="str">
        <f ca="1">IFERROR(VLOOKUP(D296&amp;"Viet",'Question structure'!D:H,2,0),"")</f>
        <v/>
      </c>
      <c r="F296" t="str">
        <f ca="1">IFERROR(VLOOKUP(D296&amp;"Eng",'Question structure'!D:H,2,0),"")</f>
        <v/>
      </c>
    </row>
    <row r="297" spans="1:6" x14ac:dyDescent="0.25">
      <c r="C297" s="1" t="str">
        <f ca="1">IFERROR($C$1-1+_xlfn.RANK.EQ(B297,$B$4:$B$78)+COUNTIF(B$4:$B297,B297)-1,"")</f>
        <v/>
      </c>
      <c r="D297" s="1" t="str">
        <f ca="1">IFERROR(VLOOKUP(C297,'Question structure'!A:E,3,0),"")</f>
        <v/>
      </c>
      <c r="E297" t="str">
        <f ca="1">IFERROR(VLOOKUP(D297&amp;"Viet",'Question structure'!D:H,2,0),"")</f>
        <v/>
      </c>
      <c r="F297" t="str">
        <f ca="1">IFERROR(VLOOKUP(D297&amp;"Eng",'Question structure'!D:H,2,0),"")</f>
        <v/>
      </c>
    </row>
    <row r="298" spans="1:6" x14ac:dyDescent="0.25">
      <c r="C298" s="1" t="str">
        <f ca="1">IFERROR($C$1-1+_xlfn.RANK.EQ(B298,$B$4:$B$78)+COUNTIF(B$4:$B298,B298)-1,"")</f>
        <v/>
      </c>
      <c r="D298" s="1" t="str">
        <f ca="1">IFERROR(VLOOKUP(C298,'Question structure'!A:E,3,0),"")</f>
        <v/>
      </c>
      <c r="E298" t="str">
        <f ca="1">IFERROR(VLOOKUP(D298&amp;"Viet",'Question structure'!D:H,2,0),"")</f>
        <v/>
      </c>
      <c r="F298" t="str">
        <f ca="1">IFERROR(VLOOKUP(D298&amp;"Eng",'Question structure'!D:H,2,0),"")</f>
        <v/>
      </c>
    </row>
    <row r="299" spans="1:6" x14ac:dyDescent="0.25">
      <c r="C299" s="1" t="str">
        <f ca="1">IFERROR($C$1-1+_xlfn.RANK.EQ(B299,$B$4:$B$78)+COUNTIF(B$4:$B299,B299)-1,"")</f>
        <v/>
      </c>
      <c r="D299" s="1" t="str">
        <f ca="1">IFERROR(VLOOKUP(C299,'Question structure'!A:E,3,0),"")</f>
        <v/>
      </c>
      <c r="E299" t="str">
        <f ca="1">IFERROR(VLOOKUP(D299&amp;"Viet",'Question structure'!D:H,2,0),"")</f>
        <v/>
      </c>
      <c r="F299" t="str">
        <f ca="1">IFERROR(VLOOKUP(D299&amp;"Eng",'Question structure'!D:H,2,0),"")</f>
        <v/>
      </c>
    </row>
    <row r="300" spans="1:6" x14ac:dyDescent="0.25">
      <c r="C300" s="1" t="str">
        <f ca="1">IFERROR($C$1-1+_xlfn.RANK.EQ(B300,$B$4:$B$78)+COUNTIF(B$4:$B300,B300)-1,"")</f>
        <v/>
      </c>
      <c r="D300" s="1" t="str">
        <f ca="1">IFERROR(VLOOKUP(C300,'Question structure'!A:E,3,0),"")</f>
        <v/>
      </c>
      <c r="E300" t="str">
        <f ca="1">IFERROR(VLOOKUP(D300&amp;"Viet",'Question structure'!D:H,2,0),"")</f>
        <v/>
      </c>
      <c r="F300" t="str">
        <f ca="1">IFERROR(VLOOKUP(D300&amp;"Eng",'Question structure'!D:H,2,0),"")</f>
        <v/>
      </c>
    </row>
    <row r="301" spans="1:6" x14ac:dyDescent="0.25">
      <c r="C301" s="1" t="str">
        <f ca="1">IFERROR($C$1-1+_xlfn.RANK.EQ(B301,$B$4:$B$78)+COUNTIF(B$4:$B301,B301)-1,"")</f>
        <v/>
      </c>
      <c r="D301" s="1" t="str">
        <f ca="1">IFERROR(VLOOKUP(C301,'Question structure'!A:E,3,0),"")</f>
        <v/>
      </c>
      <c r="E301" t="str">
        <f ca="1">IFERROR(VLOOKUP(D301&amp;"Viet",'Question structure'!D:H,2,0),"")</f>
        <v/>
      </c>
      <c r="F301" t="str">
        <f ca="1">IFERROR(VLOOKUP(D301&amp;"Eng",'Question structure'!D:H,2,0),"")</f>
        <v/>
      </c>
    </row>
    <row r="302" spans="1:6" x14ac:dyDescent="0.25">
      <c r="C302" s="1" t="str">
        <f ca="1">IFERROR($C$1-1+_xlfn.RANK.EQ(B302,$B$4:$B$78)+COUNTIF(B$4:$B302,B302)-1,"")</f>
        <v/>
      </c>
      <c r="D302" s="1" t="str">
        <f ca="1">IFERROR(VLOOKUP(C302,'Question structure'!A:E,3,0),"")</f>
        <v/>
      </c>
      <c r="E302" t="str">
        <f ca="1">IFERROR(VLOOKUP(D302&amp;"Viet",'Question structure'!D:H,2,0),"")</f>
        <v/>
      </c>
      <c r="F302" t="str">
        <f ca="1">IFERROR(VLOOKUP(D302&amp;"Eng",'Question structure'!D:H,2,0),"")</f>
        <v/>
      </c>
    </row>
    <row r="303" spans="1:6" x14ac:dyDescent="0.25">
      <c r="C303" s="1" t="str">
        <f ca="1">IFERROR($C$1-1+_xlfn.RANK.EQ(B303,$B$4:$B$78)+COUNTIF(B$4:$B303,B303)-1,"")</f>
        <v/>
      </c>
      <c r="D303" s="1" t="str">
        <f ca="1">IFERROR(VLOOKUP(C303,'Question structure'!A:E,3,0),"")</f>
        <v/>
      </c>
      <c r="E303" t="str">
        <f ca="1">IFERROR(VLOOKUP(D303&amp;"Viet",'Question structure'!D:H,2,0),"")</f>
        <v/>
      </c>
      <c r="F303" t="str">
        <f ca="1">IFERROR(VLOOKUP(D303&amp;"Eng",'Question structure'!D:H,2,0),"")</f>
        <v/>
      </c>
    </row>
    <row r="304" spans="1:6" x14ac:dyDescent="0.25">
      <c r="C304" s="1" t="str">
        <f ca="1">IFERROR($C$1-1+_xlfn.RANK.EQ(B304,$B$4:$B$78)+COUNTIF(B$4:$B304,B304)-1,"")</f>
        <v/>
      </c>
      <c r="D304" s="1" t="str">
        <f ca="1">IFERROR(VLOOKUP(C304,'Question structure'!A:E,3,0),"")</f>
        <v/>
      </c>
      <c r="E304" t="str">
        <f ca="1">IFERROR(VLOOKUP(D304&amp;"Viet",'Question structure'!D:H,2,0),"")</f>
        <v/>
      </c>
      <c r="F304" t="str">
        <f ca="1">IFERROR(VLOOKUP(D304&amp;"Eng",'Question structure'!D:H,2,0),"")</f>
        <v/>
      </c>
    </row>
    <row r="305" spans="3:6" x14ac:dyDescent="0.25">
      <c r="C305" s="1" t="str">
        <f ca="1">IFERROR($C$1-1+_xlfn.RANK.EQ(B305,$B$4:$B$78)+COUNTIF(B$4:$B305,B305)-1,"")</f>
        <v/>
      </c>
      <c r="D305" s="1" t="str">
        <f ca="1">IFERROR(VLOOKUP(C305,'Question structure'!A:E,3,0),"")</f>
        <v/>
      </c>
      <c r="E305" t="str">
        <f ca="1">IFERROR(VLOOKUP(D305&amp;"Viet",'Question structure'!D:H,2,0),"")</f>
        <v/>
      </c>
      <c r="F305" t="str">
        <f ca="1">IFERROR(VLOOKUP(D305&amp;"Eng",'Question structure'!D:H,2,0),"")</f>
        <v/>
      </c>
    </row>
    <row r="306" spans="3:6" x14ac:dyDescent="0.25">
      <c r="C306" s="1" t="str">
        <f ca="1">IFERROR($C$1-1+_xlfn.RANK.EQ(B306,$B$4:$B$78)+COUNTIF(B$4:$B306,B306)-1,"")</f>
        <v/>
      </c>
      <c r="D306" s="1" t="str">
        <f ca="1">IFERROR(VLOOKUP(C306,'Question structure'!A:E,3,0),"")</f>
        <v/>
      </c>
      <c r="E306" t="str">
        <f ca="1">IFERROR(VLOOKUP(D306&amp;"Viet",'Question structure'!D:H,2,0),"")</f>
        <v/>
      </c>
      <c r="F306" t="str">
        <f ca="1">IFERROR(VLOOKUP(D306&amp;"Eng",'Question structure'!D:H,2,0),"")</f>
        <v/>
      </c>
    </row>
    <row r="307" spans="3:6" x14ac:dyDescent="0.25">
      <c r="C307" s="1" t="str">
        <f ca="1">IFERROR($C$1-1+_xlfn.RANK.EQ(B307,$B$4:$B$78)+COUNTIF(B$4:$B307,B307)-1,"")</f>
        <v/>
      </c>
      <c r="D307" s="1" t="str">
        <f ca="1">IFERROR(VLOOKUP(C307,'Question structure'!A:E,3,0),"")</f>
        <v/>
      </c>
      <c r="E307" t="str">
        <f ca="1">IFERROR(VLOOKUP(D307&amp;"Viet",'Question structure'!D:H,2,0),"")</f>
        <v/>
      </c>
      <c r="F307" t="str">
        <f ca="1">IFERROR(VLOOKUP(D307&amp;"Eng",'Question structure'!D:H,2,0),"")</f>
        <v/>
      </c>
    </row>
    <row r="308" spans="3:6" x14ac:dyDescent="0.25">
      <c r="C308" s="1" t="str">
        <f ca="1">IFERROR($C$1-1+_xlfn.RANK.EQ(B308,$B$4:$B$78)+COUNTIF(B$4:$B308,B308)-1,"")</f>
        <v/>
      </c>
      <c r="D308" s="1" t="str">
        <f ca="1">IFERROR(VLOOKUP(C308,'Question structure'!A:E,3,0),"")</f>
        <v/>
      </c>
      <c r="E308" t="str">
        <f ca="1">IFERROR(VLOOKUP(D308&amp;"Viet",'Question structure'!D:H,2,0),"")</f>
        <v/>
      </c>
      <c r="F308" t="str">
        <f ca="1">IFERROR(VLOOKUP(D308&amp;"Eng",'Question structure'!D:H,2,0),"")</f>
        <v/>
      </c>
    </row>
    <row r="309" spans="3:6" x14ac:dyDescent="0.25">
      <c r="C309" s="1" t="str">
        <f ca="1">IFERROR($C$1-1+_xlfn.RANK.EQ(B309,$B$4:$B$78)+COUNTIF(B$4:$B309,B309)-1,"")</f>
        <v/>
      </c>
      <c r="D309" s="1" t="str">
        <f ca="1">IFERROR(VLOOKUP(C309,'Question structure'!A:E,3,0),"")</f>
        <v/>
      </c>
      <c r="E309" t="str">
        <f ca="1">IFERROR(VLOOKUP(D309&amp;"Viet",'Question structure'!D:H,2,0),"")</f>
        <v/>
      </c>
      <c r="F309" t="str">
        <f ca="1">IFERROR(VLOOKUP(D309&amp;"Eng",'Question structure'!D:H,2,0),"")</f>
        <v/>
      </c>
    </row>
    <row r="310" spans="3:6" x14ac:dyDescent="0.25">
      <c r="C310" s="1" t="str">
        <f ca="1">IFERROR($C$1-1+_xlfn.RANK.EQ(B310,$B$4:$B$78)+COUNTIF(B$4:$B310,B310)-1,"")</f>
        <v/>
      </c>
      <c r="D310" s="1" t="str">
        <f ca="1">IFERROR(VLOOKUP(C310,'Question structure'!A:E,3,0),"")</f>
        <v/>
      </c>
      <c r="E310" t="str">
        <f ca="1">IFERROR(VLOOKUP(D310&amp;"Viet",'Question structure'!D:H,2,0),"")</f>
        <v/>
      </c>
      <c r="F310" t="str">
        <f ca="1">IFERROR(VLOOKUP(D310&amp;"Eng",'Question structure'!D:H,2,0),"")</f>
        <v/>
      </c>
    </row>
    <row r="311" spans="3:6" x14ac:dyDescent="0.25">
      <c r="C311" s="1" t="str">
        <f ca="1">IFERROR($C$1-1+_xlfn.RANK.EQ(B311,$B$4:$B$78)+COUNTIF(B$4:$B311,B311)-1,"")</f>
        <v/>
      </c>
      <c r="D311" s="1" t="str">
        <f ca="1">IFERROR(VLOOKUP(C311,'Question structure'!A:E,3,0),"")</f>
        <v/>
      </c>
      <c r="E311" t="str">
        <f ca="1">IFERROR(VLOOKUP(D311&amp;"Viet",'Question structure'!D:H,2,0),"")</f>
        <v/>
      </c>
      <c r="F311" t="str">
        <f ca="1">IFERROR(VLOOKUP(D311&amp;"Eng",'Question structure'!D:H,2,0),"")</f>
        <v/>
      </c>
    </row>
    <row r="312" spans="3:6" x14ac:dyDescent="0.25">
      <c r="C312" s="1" t="str">
        <f ca="1">IFERROR($C$1-1+_xlfn.RANK.EQ(B312,$B$4:$B$78)+COUNTIF(B$4:$B312,B312)-1,"")</f>
        <v/>
      </c>
      <c r="D312" s="1" t="str">
        <f ca="1">IFERROR(VLOOKUP(C312,'Question structure'!A:E,3,0),"")</f>
        <v/>
      </c>
      <c r="E312" t="str">
        <f ca="1">IFERROR(VLOOKUP(D312&amp;"Viet",'Question structure'!D:H,2,0),"")</f>
        <v/>
      </c>
      <c r="F312" t="str">
        <f ca="1">IFERROR(VLOOKUP(D312&amp;"Eng",'Question structure'!D:H,2,0),"")</f>
        <v/>
      </c>
    </row>
    <row r="313" spans="3:6" x14ac:dyDescent="0.25">
      <c r="C313" s="1" t="str">
        <f ca="1">IFERROR($C$1-1+_xlfn.RANK.EQ(B313,$B$4:$B$78)+COUNTIF(B$4:$B313,B313)-1,"")</f>
        <v/>
      </c>
      <c r="D313" s="1" t="str">
        <f ca="1">IFERROR(VLOOKUP(C313,'Question structure'!A:E,3,0),"")</f>
        <v/>
      </c>
      <c r="E313" t="str">
        <f ca="1">IFERROR(VLOOKUP(D313&amp;"Viet",'Question structure'!D:H,2,0),"")</f>
        <v/>
      </c>
      <c r="F313" t="str">
        <f ca="1">IFERROR(VLOOKUP(D313&amp;"Eng",'Question structure'!D:H,2,0),"")</f>
        <v/>
      </c>
    </row>
    <row r="314" spans="3:6" x14ac:dyDescent="0.25">
      <c r="C314" s="1" t="str">
        <f ca="1">IFERROR($C$1-1+_xlfn.RANK.EQ(B314,$B$4:$B$78)+COUNTIF(B$4:$B314,B314)-1,"")</f>
        <v/>
      </c>
      <c r="D314" s="1" t="str">
        <f ca="1">IFERROR(VLOOKUP(C314,'Question structure'!A:E,3,0),"")</f>
        <v/>
      </c>
      <c r="E314" t="str">
        <f ca="1">IFERROR(VLOOKUP(D314&amp;"Viet",'Question structure'!D:H,2,0),"")</f>
        <v/>
      </c>
      <c r="F314" t="str">
        <f ca="1">IFERROR(VLOOKUP(D314&amp;"Eng",'Question structure'!D:H,2,0),"")</f>
        <v/>
      </c>
    </row>
    <row r="315" spans="3:6" x14ac:dyDescent="0.25">
      <c r="C315" s="1" t="str">
        <f ca="1">IFERROR($C$1-1+_xlfn.RANK.EQ(B315,$B$4:$B$78)+COUNTIF(B$4:$B315,B315)-1,"")</f>
        <v/>
      </c>
      <c r="D315" s="1" t="str">
        <f ca="1">IFERROR(VLOOKUP(C315,'Question structure'!A:E,3,0),"")</f>
        <v/>
      </c>
      <c r="E315" t="str">
        <f ca="1">IFERROR(VLOOKUP(D315&amp;"Viet",'Question structure'!D:H,2,0),"")</f>
        <v/>
      </c>
      <c r="F315" t="str">
        <f ca="1">IFERROR(VLOOKUP(D315&amp;"Eng",'Question structure'!D:H,2,0),"")</f>
        <v/>
      </c>
    </row>
    <row r="316" spans="3:6" x14ac:dyDescent="0.25">
      <c r="C316" s="1" t="str">
        <f ca="1">IFERROR($C$1-1+_xlfn.RANK.EQ(B316,$B$4:$B$78)+COUNTIF(B$4:$B316,B316)-1,"")</f>
        <v/>
      </c>
      <c r="D316" s="1" t="str">
        <f ca="1">IFERROR(VLOOKUP(C316,'Question structure'!A:E,3,0),"")</f>
        <v/>
      </c>
      <c r="E316" t="str">
        <f ca="1">IFERROR(VLOOKUP(D316&amp;"Viet",'Question structure'!D:H,2,0),"")</f>
        <v/>
      </c>
      <c r="F316" t="str">
        <f ca="1">IFERROR(VLOOKUP(D316&amp;"Eng",'Question structure'!D:H,2,0),"")</f>
        <v/>
      </c>
    </row>
    <row r="317" spans="3:6" x14ac:dyDescent="0.25">
      <c r="C317" s="1" t="str">
        <f ca="1">IFERROR($C$1-1+_xlfn.RANK.EQ(B317,$B$4:$B$78)+COUNTIF(B$4:$B317,B317)-1,"")</f>
        <v/>
      </c>
      <c r="D317" s="1" t="str">
        <f ca="1">IFERROR(VLOOKUP(C317,'Question structure'!A:E,3,0),"")</f>
        <v/>
      </c>
      <c r="E317" t="str">
        <f ca="1">IFERROR(VLOOKUP(D317&amp;"Viet",'Question structure'!D:H,2,0),"")</f>
        <v/>
      </c>
      <c r="F317" t="str">
        <f ca="1">IFERROR(VLOOKUP(D317&amp;"Eng",'Question structure'!D:H,2,0),"")</f>
        <v/>
      </c>
    </row>
    <row r="318" spans="3:6" x14ac:dyDescent="0.25">
      <c r="C318" s="1" t="str">
        <f ca="1">IFERROR($C$1-1+_xlfn.RANK.EQ(B318,$B$4:$B$78)+COUNTIF(B$4:$B318,B318)-1,"")</f>
        <v/>
      </c>
      <c r="D318" s="1" t="str">
        <f ca="1">IFERROR(VLOOKUP(C318,'Question structure'!A:E,3,0),"")</f>
        <v/>
      </c>
      <c r="E318" t="str">
        <f ca="1">IFERROR(VLOOKUP(D318&amp;"Viet",'Question structure'!D:H,2,0),"")</f>
        <v/>
      </c>
      <c r="F318" t="str">
        <f ca="1">IFERROR(VLOOKUP(D318&amp;"Eng",'Question structure'!D:H,2,0),"")</f>
        <v/>
      </c>
    </row>
    <row r="319" spans="3:6" x14ac:dyDescent="0.25">
      <c r="C319" s="1" t="str">
        <f ca="1">IFERROR($C$1-1+_xlfn.RANK.EQ(B319,$B$4:$B$78)+COUNTIF(B$4:$B319,B319)-1,"")</f>
        <v/>
      </c>
      <c r="D319" s="1" t="str">
        <f ca="1">IFERROR(VLOOKUP(C319,'Question structure'!A:E,3,0),"")</f>
        <v/>
      </c>
      <c r="E319" t="str">
        <f ca="1">IFERROR(VLOOKUP(D319&amp;"Viet",'Question structure'!D:H,2,0),"")</f>
        <v/>
      </c>
      <c r="F319" t="str">
        <f ca="1">IFERROR(VLOOKUP(D319&amp;"Eng",'Question structure'!D:H,2,0),"")</f>
        <v/>
      </c>
    </row>
    <row r="320" spans="3:6" x14ac:dyDescent="0.25">
      <c r="C320" s="1" t="str">
        <f ca="1">IFERROR($C$1-1+_xlfn.RANK.EQ(B320,$B$4:$B$78)+COUNTIF(B$4:$B320,B320)-1,"")</f>
        <v/>
      </c>
      <c r="D320" s="1" t="str">
        <f ca="1">IFERROR(VLOOKUP(C320,'Question structure'!A:E,3,0),"")</f>
        <v/>
      </c>
      <c r="E320" t="str">
        <f ca="1">IFERROR(VLOOKUP(D320&amp;"Viet",'Question structure'!D:H,2,0),"")</f>
        <v/>
      </c>
      <c r="F320" t="str">
        <f ca="1">IFERROR(VLOOKUP(D320&amp;"Eng",'Question structure'!D:H,2,0),"")</f>
        <v/>
      </c>
    </row>
    <row r="321" spans="3:6" x14ac:dyDescent="0.25">
      <c r="C321" s="1" t="str">
        <f ca="1">IFERROR($C$1-1+_xlfn.RANK.EQ(B321,$B$4:$B$78)+COUNTIF(B$4:$B321,B321)-1,"")</f>
        <v/>
      </c>
      <c r="D321" s="1" t="str">
        <f ca="1">IFERROR(VLOOKUP(C321,'Question structure'!A:E,3,0),"")</f>
        <v/>
      </c>
      <c r="E321" t="str">
        <f ca="1">IFERROR(VLOOKUP(D321&amp;"Viet",'Question structure'!D:H,2,0),"")</f>
        <v/>
      </c>
      <c r="F321" t="str">
        <f ca="1">IFERROR(VLOOKUP(D321&amp;"Eng",'Question structure'!D:H,2,0),"")</f>
        <v/>
      </c>
    </row>
    <row r="322" spans="3:6" x14ac:dyDescent="0.25">
      <c r="C322" s="1" t="str">
        <f ca="1">IFERROR($C$1-1+_xlfn.RANK.EQ(B322,$B$4:$B$78)+COUNTIF(B$4:$B322,B322)-1,"")</f>
        <v/>
      </c>
      <c r="D322" s="1" t="str">
        <f ca="1">IFERROR(VLOOKUP(C322,'Question structure'!A:E,3,0),"")</f>
        <v/>
      </c>
      <c r="E322" t="str">
        <f ca="1">IFERROR(VLOOKUP(D322&amp;"Viet",'Question structure'!D:H,2,0),"")</f>
        <v/>
      </c>
      <c r="F322" t="str">
        <f ca="1">IFERROR(VLOOKUP(D322&amp;"Eng",'Question structure'!D:H,2,0),"")</f>
        <v/>
      </c>
    </row>
    <row r="323" spans="3:6" x14ac:dyDescent="0.25">
      <c r="C323" s="1" t="str">
        <f ca="1">IFERROR($C$1-1+_xlfn.RANK.EQ(B323,$B$4:$B$78)+COUNTIF(B$4:$B323,B323)-1,"")</f>
        <v/>
      </c>
      <c r="D323" s="1" t="str">
        <f ca="1">IFERROR(VLOOKUP(C323,'Question structure'!A:E,3,0),"")</f>
        <v/>
      </c>
      <c r="E323" t="str">
        <f ca="1">IFERROR(VLOOKUP(D323&amp;"Viet",'Question structure'!D:H,2,0),"")</f>
        <v/>
      </c>
      <c r="F323" t="str">
        <f ca="1">IFERROR(VLOOKUP(D323&amp;"Eng",'Question structure'!D:H,2,0),"")</f>
        <v/>
      </c>
    </row>
    <row r="324" spans="3:6" x14ac:dyDescent="0.25">
      <c r="C324" s="1" t="str">
        <f ca="1">IFERROR($C$1-1+_xlfn.RANK.EQ(B324,$B$4:$B$78)+COUNTIF(B$4:$B324,B324)-1,"")</f>
        <v/>
      </c>
      <c r="D324" s="1" t="str">
        <f ca="1">IFERROR(VLOOKUP(C324,'Question structure'!A:E,3,0),"")</f>
        <v/>
      </c>
      <c r="E324" t="str">
        <f ca="1">IFERROR(VLOOKUP(D324&amp;"Viet",'Question structure'!D:H,2,0),"")</f>
        <v/>
      </c>
      <c r="F324" t="str">
        <f ca="1">IFERROR(VLOOKUP(D324&amp;"Eng",'Question structure'!D:H,2,0),"")</f>
        <v/>
      </c>
    </row>
    <row r="325" spans="3:6" x14ac:dyDescent="0.25">
      <c r="C325" s="1" t="str">
        <f ca="1">IFERROR($C$1-1+_xlfn.RANK.EQ(B325,$B$4:$B$78)+COUNTIF(B$4:$B325,B325)-1,"")</f>
        <v/>
      </c>
      <c r="D325" s="1" t="str">
        <f ca="1">IFERROR(VLOOKUP(C325,'Question structure'!A:E,3,0),"")</f>
        <v/>
      </c>
      <c r="E325" t="str">
        <f ca="1">IFERROR(VLOOKUP(D325&amp;"Viet",'Question structure'!D:H,2,0),"")</f>
        <v/>
      </c>
      <c r="F325" t="str">
        <f ca="1">IFERROR(VLOOKUP(D325&amp;"Eng",'Question structure'!D:H,2,0),"")</f>
        <v/>
      </c>
    </row>
    <row r="326" spans="3:6" x14ac:dyDescent="0.25">
      <c r="C326" s="1" t="str">
        <f ca="1">IFERROR($C$1-1+_xlfn.RANK.EQ(B326,$B$4:$B$78)+COUNTIF(B$4:$B326,B326)-1,"")</f>
        <v/>
      </c>
      <c r="D326" s="1" t="str">
        <f ca="1">IFERROR(VLOOKUP(C326,'Question structure'!A:E,3,0),"")</f>
        <v/>
      </c>
      <c r="E326" t="str">
        <f ca="1">IFERROR(VLOOKUP(D326&amp;"Viet",'Question structure'!D:H,2,0),"")</f>
        <v/>
      </c>
      <c r="F326" t="str">
        <f ca="1">IFERROR(VLOOKUP(D326&amp;"Eng",'Question structure'!D:H,2,0),"")</f>
        <v/>
      </c>
    </row>
    <row r="327" spans="3:6" x14ac:dyDescent="0.25">
      <c r="C327" s="1" t="str">
        <f ca="1">IFERROR($C$1-1+_xlfn.RANK.EQ(B327,$B$4:$B$78)+COUNTIF(B$4:$B327,B327)-1,"")</f>
        <v/>
      </c>
      <c r="D327" s="1" t="str">
        <f ca="1">IFERROR(VLOOKUP(C327,'Question structure'!A:E,3,0),"")</f>
        <v/>
      </c>
      <c r="E327" t="str">
        <f ca="1">IFERROR(VLOOKUP(D327&amp;"Viet",'Question structure'!D:H,2,0),"")</f>
        <v/>
      </c>
      <c r="F327" t="str">
        <f ca="1">IFERROR(VLOOKUP(D327&amp;"Eng",'Question structure'!D:H,2,0),"")</f>
        <v/>
      </c>
    </row>
    <row r="328" spans="3:6" x14ac:dyDescent="0.25">
      <c r="C328" s="1" t="str">
        <f ca="1">IFERROR($C$1-1+_xlfn.RANK.EQ(B328,$B$4:$B$78)+COUNTIF(B$4:$B328,B328)-1,"")</f>
        <v/>
      </c>
      <c r="D328" s="1" t="str">
        <f ca="1">IFERROR(VLOOKUP(C328,'Question structure'!A:E,3,0),"")</f>
        <v/>
      </c>
      <c r="E328" t="str">
        <f ca="1">IFERROR(VLOOKUP(D328&amp;"Viet",'Question structure'!D:H,2,0),"")</f>
        <v/>
      </c>
      <c r="F328" t="str">
        <f ca="1">IFERROR(VLOOKUP(D328&amp;"Eng",'Question structure'!D:H,2,0),"")</f>
        <v/>
      </c>
    </row>
    <row r="329" spans="3:6" x14ac:dyDescent="0.25">
      <c r="C329" s="1" t="str">
        <f ca="1">IFERROR($C$1-1+_xlfn.RANK.EQ(B329,$B$4:$B$78)+COUNTIF(B$4:$B329,B329)-1,"")</f>
        <v/>
      </c>
      <c r="D329" s="1" t="str">
        <f ca="1">IFERROR(VLOOKUP(C329,'Question structure'!A:E,3,0),"")</f>
        <v/>
      </c>
      <c r="E329" t="str">
        <f ca="1">IFERROR(VLOOKUP(D329&amp;"Viet",'Question structure'!D:H,2,0),"")</f>
        <v/>
      </c>
      <c r="F329" t="str">
        <f ca="1">IFERROR(VLOOKUP(D329&amp;"Eng",'Question structure'!D:H,2,0),"")</f>
        <v/>
      </c>
    </row>
    <row r="330" spans="3:6" x14ac:dyDescent="0.25">
      <c r="C330" s="1" t="str">
        <f ca="1">IFERROR($C$1-1+_xlfn.RANK.EQ(B330,$B$4:$B$78)+COUNTIF(B$4:$B330,B330)-1,"")</f>
        <v/>
      </c>
      <c r="D330" s="1" t="str">
        <f ca="1">IFERROR(VLOOKUP(C330,'Question structure'!A:E,3,0),"")</f>
        <v/>
      </c>
      <c r="E330" t="str">
        <f ca="1">IFERROR(VLOOKUP(D330&amp;"Viet",'Question structure'!D:H,2,0),"")</f>
        <v/>
      </c>
      <c r="F330" t="str">
        <f ca="1">IFERROR(VLOOKUP(D330&amp;"Eng",'Question structure'!D:H,2,0),"")</f>
        <v/>
      </c>
    </row>
    <row r="331" spans="3:6" x14ac:dyDescent="0.25">
      <c r="C331" s="1" t="str">
        <f ca="1">IFERROR($C$1-1+_xlfn.RANK.EQ(B331,$B$4:$B$78)+COUNTIF(B$4:$B331,B331)-1,"")</f>
        <v/>
      </c>
      <c r="D331" s="1" t="str">
        <f ca="1">IFERROR(VLOOKUP(C331,'Question structure'!A:E,3,0),"")</f>
        <v/>
      </c>
      <c r="E331" t="str">
        <f ca="1">IFERROR(VLOOKUP(D331&amp;"Viet",'Question structure'!D:H,2,0),"")</f>
        <v/>
      </c>
      <c r="F331" t="str">
        <f ca="1">IFERROR(VLOOKUP(D331&amp;"Eng",'Question structure'!D:H,2,0),"")</f>
        <v/>
      </c>
    </row>
    <row r="332" spans="3:6" x14ac:dyDescent="0.25">
      <c r="C332" s="1" t="str">
        <f ca="1">IFERROR($C$1-1+_xlfn.RANK.EQ(B332,$B$4:$B$78)+COUNTIF(B$4:$B332,B332)-1,"")</f>
        <v/>
      </c>
      <c r="D332" s="1" t="str">
        <f ca="1">IFERROR(VLOOKUP(C332,'Question structure'!A:E,3,0),"")</f>
        <v/>
      </c>
      <c r="E332" t="str">
        <f ca="1">IFERROR(VLOOKUP(D332&amp;"Viet",'Question structure'!D:H,2,0),"")</f>
        <v/>
      </c>
      <c r="F332" t="str">
        <f ca="1">IFERROR(VLOOKUP(D332&amp;"Eng",'Question structure'!D:H,2,0),"")</f>
        <v/>
      </c>
    </row>
    <row r="333" spans="3:6" x14ac:dyDescent="0.25">
      <c r="C333" s="1" t="str">
        <f ca="1">IFERROR($C$1-1+_xlfn.RANK.EQ(B333,$B$4:$B$78)+COUNTIF(B$4:$B333,B333)-1,"")</f>
        <v/>
      </c>
      <c r="D333" s="1" t="str">
        <f ca="1">IFERROR(VLOOKUP(C333,'Question structure'!A:E,3,0),"")</f>
        <v/>
      </c>
      <c r="E333" t="str">
        <f ca="1">IFERROR(VLOOKUP(D333&amp;"Viet",'Question structure'!D:H,2,0),"")</f>
        <v/>
      </c>
      <c r="F333" t="str">
        <f ca="1">IFERROR(VLOOKUP(D333&amp;"Eng",'Question structure'!D:H,2,0),"")</f>
        <v/>
      </c>
    </row>
    <row r="334" spans="3:6" x14ac:dyDescent="0.25">
      <c r="C334" s="1" t="str">
        <f ca="1">IFERROR($C$1-1+_xlfn.RANK.EQ(B334,$B$4:$B$78)+COUNTIF(B$4:$B334,B334)-1,"")</f>
        <v/>
      </c>
      <c r="D334" s="1" t="str">
        <f ca="1">IFERROR(VLOOKUP(C334,'Question structure'!A:E,3,0),"")</f>
        <v/>
      </c>
      <c r="E334" t="str">
        <f ca="1">IFERROR(VLOOKUP(D334&amp;"Viet",'Question structure'!D:H,2,0),"")</f>
        <v/>
      </c>
      <c r="F334" t="str">
        <f ca="1">IFERROR(VLOOKUP(D334&amp;"Eng",'Question structure'!D:H,2,0),"")</f>
        <v/>
      </c>
    </row>
    <row r="335" spans="3:6" x14ac:dyDescent="0.25">
      <c r="C335" s="1" t="str">
        <f ca="1">IFERROR($C$1-1+_xlfn.RANK.EQ(B335,$B$4:$B$78)+COUNTIF(B$4:$B335,B335)-1,"")</f>
        <v/>
      </c>
      <c r="D335" s="1" t="str">
        <f ca="1">IFERROR(VLOOKUP(C335,'Question structure'!A:E,3,0),"")</f>
        <v/>
      </c>
      <c r="E335" t="str">
        <f ca="1">IFERROR(VLOOKUP(D335&amp;"Viet",'Question structure'!D:H,2,0),"")</f>
        <v/>
      </c>
      <c r="F335" t="str">
        <f ca="1">IFERROR(VLOOKUP(D335&amp;"Eng",'Question structure'!D:H,2,0),"")</f>
        <v/>
      </c>
    </row>
    <row r="336" spans="3:6" x14ac:dyDescent="0.25">
      <c r="C336" s="1" t="str">
        <f ca="1">IFERROR($C$1-1+_xlfn.RANK.EQ(B336,$B$4:$B$78)+COUNTIF(B$4:$B336,B336)-1,"")</f>
        <v/>
      </c>
      <c r="D336" s="1" t="str">
        <f ca="1">IFERROR(VLOOKUP(C336,'Question structure'!A:E,3,0),"")</f>
        <v/>
      </c>
      <c r="E336" t="str">
        <f ca="1">IFERROR(VLOOKUP(D336&amp;"Viet",'Question structure'!D:H,2,0),"")</f>
        <v/>
      </c>
      <c r="F336" t="str">
        <f ca="1">IFERROR(VLOOKUP(D336&amp;"Eng",'Question structure'!D:H,2,0),"")</f>
        <v/>
      </c>
    </row>
    <row r="337" spans="3:6" x14ac:dyDescent="0.25">
      <c r="C337" s="1" t="str">
        <f ca="1">IFERROR($C$1-1+_xlfn.RANK.EQ(B337,$B$4:$B$78)+COUNTIF(B$4:$B337,B337)-1,"")</f>
        <v/>
      </c>
      <c r="D337" s="1" t="str">
        <f ca="1">IFERROR(VLOOKUP(C337,'Question structure'!A:E,3,0),"")</f>
        <v/>
      </c>
      <c r="E337" t="str">
        <f ca="1">IFERROR(VLOOKUP(D337&amp;"Viet",'Question structure'!D:H,2,0),"")</f>
        <v/>
      </c>
      <c r="F337" t="str">
        <f ca="1">IFERROR(VLOOKUP(D337&amp;"Eng",'Question structure'!D:H,2,0),"")</f>
        <v/>
      </c>
    </row>
    <row r="338" spans="3:6" x14ac:dyDescent="0.25">
      <c r="C338" s="1" t="str">
        <f ca="1">IFERROR($C$1-1+_xlfn.RANK.EQ(B338,$B$4:$B$78)+COUNTIF(B$4:$B338,B338)-1,"")</f>
        <v/>
      </c>
      <c r="D338" s="1" t="str">
        <f ca="1">IFERROR(VLOOKUP(C338,'Question structure'!A:E,3,0),"")</f>
        <v/>
      </c>
      <c r="E338" t="str">
        <f ca="1">IFERROR(VLOOKUP(D338&amp;"Viet",'Question structure'!D:H,2,0),"")</f>
        <v/>
      </c>
      <c r="F338" t="str">
        <f ca="1">IFERROR(VLOOKUP(D338&amp;"Eng",'Question structure'!D:H,2,0),"")</f>
        <v/>
      </c>
    </row>
    <row r="339" spans="3:6" x14ac:dyDescent="0.25">
      <c r="C339" s="1" t="str">
        <f ca="1">IFERROR($C$1-1+_xlfn.RANK.EQ(B339,$B$4:$B$78)+COUNTIF(B$4:$B339,B339)-1,"")</f>
        <v/>
      </c>
      <c r="D339" s="1" t="str">
        <f ca="1">IFERROR(VLOOKUP(C339,'Question structure'!A:E,3,0),"")</f>
        <v/>
      </c>
      <c r="E339" t="str">
        <f ca="1">IFERROR(VLOOKUP(D339&amp;"Viet",'Question structure'!D:H,2,0),"")</f>
        <v/>
      </c>
      <c r="F339" t="str">
        <f ca="1">IFERROR(VLOOKUP(D339&amp;"Eng",'Question structure'!D:H,2,0),"")</f>
        <v/>
      </c>
    </row>
    <row r="340" spans="3:6" x14ac:dyDescent="0.25">
      <c r="C340" s="1" t="str">
        <f ca="1">IFERROR($C$1-1+_xlfn.RANK.EQ(B340,$B$4:$B$78)+COUNTIF(B$4:$B340,B340)-1,"")</f>
        <v/>
      </c>
      <c r="D340" s="1" t="str">
        <f ca="1">IFERROR(VLOOKUP(C340,'Question structure'!A:E,3,0),"")</f>
        <v/>
      </c>
      <c r="E340" t="str">
        <f ca="1">IFERROR(VLOOKUP(D340&amp;"Viet",'Question structure'!D:H,2,0),"")</f>
        <v/>
      </c>
      <c r="F340" t="str">
        <f ca="1">IFERROR(VLOOKUP(D340&amp;"Eng",'Question structure'!D:H,2,0),"")</f>
        <v/>
      </c>
    </row>
    <row r="341" spans="3:6" x14ac:dyDescent="0.25">
      <c r="C341" s="1" t="str">
        <f ca="1">IFERROR($C$1-1+_xlfn.RANK.EQ(B341,$B$4:$B$78)+COUNTIF(B$4:$B341,B341)-1,"")</f>
        <v/>
      </c>
      <c r="D341" s="1" t="str">
        <f ca="1">IFERROR(VLOOKUP(C341,'Question structure'!A:E,3,0),"")</f>
        <v/>
      </c>
      <c r="E341" t="str">
        <f ca="1">IFERROR(VLOOKUP(D341&amp;"Viet",'Question structure'!D:H,2,0),"")</f>
        <v/>
      </c>
      <c r="F341" t="str">
        <f ca="1">IFERROR(VLOOKUP(D341&amp;"Eng",'Question structure'!D:H,2,0),"")</f>
        <v/>
      </c>
    </row>
    <row r="342" spans="3:6" x14ac:dyDescent="0.25">
      <c r="C342" s="1" t="str">
        <f ca="1">IFERROR($C$1-1+_xlfn.RANK.EQ(B342,$B$4:$B$78)+COUNTIF(B$4:$B342,B342)-1,"")</f>
        <v/>
      </c>
      <c r="D342" s="1" t="str">
        <f ca="1">IFERROR(VLOOKUP(C342,'Question structure'!A:E,3,0),"")</f>
        <v/>
      </c>
      <c r="E342" t="str">
        <f ca="1">IFERROR(VLOOKUP(D342&amp;"Viet",'Question structure'!D:H,2,0),"")</f>
        <v/>
      </c>
      <c r="F342" t="str">
        <f ca="1">IFERROR(VLOOKUP(D342&amp;"Eng",'Question structure'!D:H,2,0),"")</f>
        <v/>
      </c>
    </row>
    <row r="343" spans="3:6" x14ac:dyDescent="0.25">
      <c r="C343" s="1" t="str">
        <f ca="1">IFERROR($C$1-1+_xlfn.RANK.EQ(B343,$B$4:$B$78)+COUNTIF(B$4:$B343,B343)-1,"")</f>
        <v/>
      </c>
      <c r="D343" s="1" t="str">
        <f ca="1">IFERROR(VLOOKUP(C343,'Question structure'!A:E,3,0),"")</f>
        <v/>
      </c>
      <c r="E343" t="str">
        <f ca="1">IFERROR(VLOOKUP(D343&amp;"Viet",'Question structure'!D:H,2,0),"")</f>
        <v/>
      </c>
      <c r="F343" t="str">
        <f ca="1">IFERROR(VLOOKUP(D343&amp;"Eng",'Question structure'!D:H,2,0),"")</f>
        <v/>
      </c>
    </row>
    <row r="344" spans="3:6" x14ac:dyDescent="0.25">
      <c r="C344" s="1" t="str">
        <f ca="1">IFERROR($C$1-1+_xlfn.RANK.EQ(B344,$B$4:$B$78)+COUNTIF(B$4:$B344,B344)-1,"")</f>
        <v/>
      </c>
      <c r="D344" s="1" t="str">
        <f ca="1">IFERROR(VLOOKUP(C344,'Question structure'!A:E,3,0),"")</f>
        <v/>
      </c>
      <c r="E344" t="str">
        <f ca="1">IFERROR(VLOOKUP(D344&amp;"Viet",'Question structure'!D:H,2,0),"")</f>
        <v/>
      </c>
      <c r="F344" t="str">
        <f ca="1">IFERROR(VLOOKUP(D344&amp;"Eng",'Question structure'!D:H,2,0),"")</f>
        <v/>
      </c>
    </row>
    <row r="345" spans="3:6" x14ac:dyDescent="0.25">
      <c r="C345" s="1" t="str">
        <f ca="1">IFERROR($C$1-1+_xlfn.RANK.EQ(B345,$B$4:$B$78)+COUNTIF(B$4:$B345,B345)-1,"")</f>
        <v/>
      </c>
      <c r="D345" s="1" t="str">
        <f ca="1">IFERROR(VLOOKUP(C345,'Question structure'!A:E,3,0),"")</f>
        <v/>
      </c>
      <c r="E345" t="str">
        <f ca="1">IFERROR(VLOOKUP(D345&amp;"Viet",'Question structure'!D:H,2,0),"")</f>
        <v/>
      </c>
      <c r="F345" t="str">
        <f ca="1">IFERROR(VLOOKUP(D345&amp;"Eng",'Question structure'!D:H,2,0),"")</f>
        <v/>
      </c>
    </row>
    <row r="346" spans="3:6" x14ac:dyDescent="0.25">
      <c r="C346" s="1" t="str">
        <f ca="1">IFERROR($C$1-1+_xlfn.RANK.EQ(B346,$B$4:$B$78)+COUNTIF(B$4:$B346,B346)-1,"")</f>
        <v/>
      </c>
      <c r="D346" s="1" t="str">
        <f ca="1">IFERROR(VLOOKUP(C346,'Question structure'!A:E,3,0),"")</f>
        <v/>
      </c>
      <c r="E346" t="str">
        <f ca="1">IFERROR(VLOOKUP(D346&amp;"Viet",'Question structure'!D:H,2,0),"")</f>
        <v/>
      </c>
      <c r="F346" t="str">
        <f ca="1">IFERROR(VLOOKUP(D346&amp;"Eng",'Question structure'!D:H,2,0),"")</f>
        <v/>
      </c>
    </row>
    <row r="347" spans="3:6" x14ac:dyDescent="0.25">
      <c r="C347" s="1" t="str">
        <f ca="1">IFERROR($C$1-1+_xlfn.RANK.EQ(B347,$B$4:$B$78)+COUNTIF(B$4:$B347,B347)-1,"")</f>
        <v/>
      </c>
      <c r="D347" s="1" t="str">
        <f ca="1">IFERROR(VLOOKUP(C347,'Question structure'!A:E,3,0),"")</f>
        <v/>
      </c>
      <c r="E347" t="str">
        <f ca="1">IFERROR(VLOOKUP(D347&amp;"Viet",'Question structure'!D:H,2,0),"")</f>
        <v/>
      </c>
      <c r="F347" t="str">
        <f ca="1">IFERROR(VLOOKUP(D347&amp;"Eng",'Question structure'!D:H,2,0),"")</f>
        <v/>
      </c>
    </row>
    <row r="348" spans="3:6" x14ac:dyDescent="0.25">
      <c r="C348" s="1" t="str">
        <f ca="1">IFERROR($C$1-1+_xlfn.RANK.EQ(B348,$B$4:$B$78)+COUNTIF(B$4:$B348,B348)-1,"")</f>
        <v/>
      </c>
      <c r="D348" s="1" t="str">
        <f ca="1">IFERROR(VLOOKUP(C348,'Question structure'!A:E,3,0),"")</f>
        <v/>
      </c>
      <c r="E348" t="str">
        <f ca="1">IFERROR(VLOOKUP(D348&amp;"Viet",'Question structure'!D:H,2,0),"")</f>
        <v/>
      </c>
      <c r="F348" t="str">
        <f ca="1">IFERROR(VLOOKUP(D348&amp;"Eng",'Question structure'!D:H,2,0),"")</f>
        <v/>
      </c>
    </row>
    <row r="349" spans="3:6" x14ac:dyDescent="0.25">
      <c r="C349" s="1" t="str">
        <f ca="1">IFERROR($C$1-1+_xlfn.RANK.EQ(B349,$B$4:$B$78)+COUNTIF(B$4:$B349,B349)-1,"")</f>
        <v/>
      </c>
      <c r="D349" s="1" t="str">
        <f ca="1">IFERROR(VLOOKUP(C349,'Question structure'!A:E,3,0),"")</f>
        <v/>
      </c>
      <c r="E349" t="str">
        <f ca="1">IFERROR(VLOOKUP(D349&amp;"Viet",'Question structure'!D:H,2,0),"")</f>
        <v/>
      </c>
      <c r="F349" t="str">
        <f ca="1">IFERROR(VLOOKUP(D349&amp;"Eng",'Question structure'!D:H,2,0),"")</f>
        <v/>
      </c>
    </row>
    <row r="350" spans="3:6" x14ac:dyDescent="0.25">
      <c r="C350" s="1" t="str">
        <f ca="1">IFERROR($C$1-1+_xlfn.RANK.EQ(B350,$B$4:$B$78)+COUNTIF(B$4:$B350,B350)-1,"")</f>
        <v/>
      </c>
      <c r="D350" s="1" t="str">
        <f ca="1">IFERROR(VLOOKUP(C350,'Question structure'!A:E,3,0),"")</f>
        <v/>
      </c>
      <c r="E350" t="str">
        <f ca="1">IFERROR(VLOOKUP(D350&amp;"Viet",'Question structure'!D:H,2,0),"")</f>
        <v/>
      </c>
      <c r="F350" t="str">
        <f ca="1">IFERROR(VLOOKUP(D350&amp;"Eng",'Question structure'!D:H,2,0),"")</f>
        <v/>
      </c>
    </row>
    <row r="351" spans="3:6" x14ac:dyDescent="0.25">
      <c r="C351" s="1" t="str">
        <f ca="1">IFERROR($C$1-1+_xlfn.RANK.EQ(B351,$B$4:$B$78)+COUNTIF(B$4:$B351,B351)-1,"")</f>
        <v/>
      </c>
      <c r="D351" s="1" t="str">
        <f ca="1">IFERROR(VLOOKUP(C351,'Question structure'!A:E,3,0),"")</f>
        <v/>
      </c>
      <c r="E351" t="str">
        <f ca="1">IFERROR(VLOOKUP(D351&amp;"Viet",'Question structure'!D:H,2,0),"")</f>
        <v/>
      </c>
      <c r="F351" t="str">
        <f ca="1">IFERROR(VLOOKUP(D351&amp;"Eng",'Question structure'!D:H,2,0),"")</f>
        <v/>
      </c>
    </row>
    <row r="352" spans="3:6" x14ac:dyDescent="0.25">
      <c r="C352" s="1" t="str">
        <f ca="1">IFERROR($C$1-1+_xlfn.RANK.EQ(B352,$B$4:$B$78)+COUNTIF(B$4:$B352,B352)-1,"")</f>
        <v/>
      </c>
      <c r="D352" s="1" t="str">
        <f ca="1">IFERROR(VLOOKUP(C352,'Question structure'!A:E,3,0),"")</f>
        <v/>
      </c>
      <c r="E352" t="str">
        <f ca="1">IFERROR(VLOOKUP(D352&amp;"Viet",'Question structure'!D:H,2,0),"")</f>
        <v/>
      </c>
      <c r="F352" t="str">
        <f ca="1">IFERROR(VLOOKUP(D352&amp;"Eng",'Question structure'!D:H,2,0),"")</f>
        <v/>
      </c>
    </row>
    <row r="353" spans="3:6" x14ac:dyDescent="0.25">
      <c r="C353" s="1" t="str">
        <f ca="1">IFERROR($C$1-1+_xlfn.RANK.EQ(B353,$B$4:$B$78)+COUNTIF(B$4:$B353,B353)-1,"")</f>
        <v/>
      </c>
      <c r="D353" s="1" t="str">
        <f ca="1">IFERROR(VLOOKUP(C353,'Question structure'!A:E,3,0),"")</f>
        <v/>
      </c>
      <c r="E353" t="str">
        <f ca="1">IFERROR(VLOOKUP(D353&amp;"Viet",'Question structure'!D:H,2,0),"")</f>
        <v/>
      </c>
      <c r="F353" t="str">
        <f ca="1">IFERROR(VLOOKUP(D353&amp;"Eng",'Question structure'!D:H,2,0),"")</f>
        <v/>
      </c>
    </row>
    <row r="354" spans="3:6" x14ac:dyDescent="0.25">
      <c r="C354" s="1" t="str">
        <f ca="1">IFERROR($C$1-1+_xlfn.RANK.EQ(B354,$B$4:$B$78)+COUNTIF(B$4:$B354,B354)-1,"")</f>
        <v/>
      </c>
      <c r="D354" s="1" t="str">
        <f ca="1">IFERROR(VLOOKUP(C354,'Question structure'!A:E,3,0),"")</f>
        <v/>
      </c>
      <c r="E354" t="str">
        <f ca="1">IFERROR(VLOOKUP(D354&amp;"Viet",'Question structure'!D:H,2,0),"")</f>
        <v/>
      </c>
      <c r="F354" t="str">
        <f ca="1">IFERROR(VLOOKUP(D354&amp;"Eng",'Question structure'!D:H,2,0),"")</f>
        <v/>
      </c>
    </row>
    <row r="355" spans="3:6" x14ac:dyDescent="0.25">
      <c r="C355" s="1" t="str">
        <f ca="1">IFERROR($C$1-1+_xlfn.RANK.EQ(B355,$B$4:$B$78)+COUNTIF(B$4:$B355,B355)-1,"")</f>
        <v/>
      </c>
      <c r="D355" s="1" t="str">
        <f ca="1">IFERROR(VLOOKUP(C355,'Question structure'!A:E,3,0),"")</f>
        <v/>
      </c>
      <c r="E355" t="str">
        <f ca="1">IFERROR(VLOOKUP(D355&amp;"Viet",'Question structure'!D:H,2,0),"")</f>
        <v/>
      </c>
      <c r="F355" t="str">
        <f ca="1">IFERROR(VLOOKUP(D355&amp;"Eng",'Question structure'!D:H,2,0),"")</f>
        <v/>
      </c>
    </row>
    <row r="356" spans="3:6" x14ac:dyDescent="0.25">
      <c r="C356" s="1" t="str">
        <f ca="1">IFERROR($C$1-1+_xlfn.RANK.EQ(B356,$B$4:$B$78)+COUNTIF(B$4:$B356,B356)-1,"")</f>
        <v/>
      </c>
      <c r="D356" s="1" t="str">
        <f ca="1">IFERROR(VLOOKUP(C356,'Question structure'!A:E,3,0),"")</f>
        <v/>
      </c>
      <c r="E356" t="str">
        <f ca="1">IFERROR(VLOOKUP(D356&amp;"Viet",'Question structure'!D:H,2,0),"")</f>
        <v/>
      </c>
      <c r="F356" t="str">
        <f ca="1">IFERROR(VLOOKUP(D356&amp;"Eng",'Question structure'!D:H,2,0),"")</f>
        <v/>
      </c>
    </row>
    <row r="357" spans="3:6" x14ac:dyDescent="0.25">
      <c r="C357" s="1" t="str">
        <f ca="1">IFERROR($C$1-1+_xlfn.RANK.EQ(B357,$B$4:$B$78)+COUNTIF(B$4:$B357,B357)-1,"")</f>
        <v/>
      </c>
      <c r="D357" s="1" t="str">
        <f ca="1">IFERROR(VLOOKUP(C357,'Question structure'!A:E,3,0),"")</f>
        <v/>
      </c>
      <c r="E357" t="str">
        <f ca="1">IFERROR(VLOOKUP(D357&amp;"Viet",'Question structure'!D:H,2,0),"")</f>
        <v/>
      </c>
      <c r="F357" t="str">
        <f ca="1">IFERROR(VLOOKUP(D357&amp;"Eng",'Question structure'!D:H,2,0),"")</f>
        <v/>
      </c>
    </row>
    <row r="358" spans="3:6" x14ac:dyDescent="0.25">
      <c r="C358" s="1" t="str">
        <f ca="1">IFERROR($C$1-1+_xlfn.RANK.EQ(B358,$B$4:$B$78)+COUNTIF(B$4:$B358,B358)-1,"")</f>
        <v/>
      </c>
      <c r="D358" s="1" t="str">
        <f ca="1">IFERROR(VLOOKUP(C358,'Question structure'!A:E,3,0),"")</f>
        <v/>
      </c>
      <c r="E358" t="str">
        <f ca="1">IFERROR(VLOOKUP(D358&amp;"Viet",'Question structure'!D:H,2,0),"")</f>
        <v/>
      </c>
      <c r="F358" t="str">
        <f ca="1">IFERROR(VLOOKUP(D358&amp;"Eng",'Question structure'!D:H,2,0),"")</f>
        <v/>
      </c>
    </row>
    <row r="359" spans="3:6" x14ac:dyDescent="0.25">
      <c r="C359" s="1" t="str">
        <f ca="1">IFERROR($C$1-1+_xlfn.RANK.EQ(B359,$B$4:$B$78)+COUNTIF(B$4:$B359,B359)-1,"")</f>
        <v/>
      </c>
      <c r="D359" s="1" t="str">
        <f ca="1">IFERROR(VLOOKUP(C359,'Question structure'!A:E,3,0),"")</f>
        <v/>
      </c>
      <c r="E359" t="str">
        <f ca="1">IFERROR(VLOOKUP(D359&amp;"Viet",'Question structure'!D:H,2,0),"")</f>
        <v/>
      </c>
      <c r="F359" t="str">
        <f ca="1">IFERROR(VLOOKUP(D359&amp;"Eng",'Question structure'!D:H,2,0),"")</f>
        <v/>
      </c>
    </row>
  </sheetData>
  <autoFilter ref="B3:F295" xr:uid="{510055BF-F702-4B6A-BC96-7718E75F032C}">
    <sortState xmlns:xlrd2="http://schemas.microsoft.com/office/spreadsheetml/2017/richdata2" ref="B4:F295">
      <sortCondition ref="C3:C72"/>
    </sortState>
  </autoFilter>
  <conditionalFormatting sqref="C360:D1048576">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FE1B-A582-4851-A850-E4BF4217E78E}">
  <dimension ref="A1:I53"/>
  <sheetViews>
    <sheetView zoomScale="68" zoomScaleNormal="68" workbookViewId="0">
      <selection activeCell="J36" sqref="J36"/>
    </sheetView>
  </sheetViews>
  <sheetFormatPr defaultRowHeight="13.8" x14ac:dyDescent="0.25"/>
  <cols>
    <col min="1" max="1" width="8.796875" style="1"/>
    <col min="2" max="2" width="37.59765625" bestFit="1" customWidth="1"/>
  </cols>
  <sheetData>
    <row r="1" spans="1:2" x14ac:dyDescent="0.25">
      <c r="A1" s="1" t="s">
        <v>922</v>
      </c>
      <c r="B1" t="s">
        <v>923</v>
      </c>
    </row>
    <row r="2" spans="1:2" x14ac:dyDescent="0.25">
      <c r="A2" s="1">
        <v>1</v>
      </c>
      <c r="B2" t="s">
        <v>161</v>
      </c>
    </row>
    <row r="3" spans="1:2" x14ac:dyDescent="0.25">
      <c r="A3" s="1">
        <v>2</v>
      </c>
      <c r="B3" t="s">
        <v>91</v>
      </c>
    </row>
    <row r="4" spans="1:2" x14ac:dyDescent="0.25">
      <c r="A4" s="1">
        <v>3</v>
      </c>
      <c r="B4" s="3" t="s">
        <v>179</v>
      </c>
    </row>
    <row r="5" spans="1:2" x14ac:dyDescent="0.25">
      <c r="A5" s="1">
        <v>4</v>
      </c>
      <c r="B5" s="3" t="s">
        <v>188</v>
      </c>
    </row>
    <row r="6" spans="1:2" x14ac:dyDescent="0.25">
      <c r="A6" s="1">
        <v>5</v>
      </c>
      <c r="B6" t="s">
        <v>106</v>
      </c>
    </row>
    <row r="7" spans="1:2" x14ac:dyDescent="0.25">
      <c r="A7" s="1">
        <v>6</v>
      </c>
      <c r="B7" t="s">
        <v>173</v>
      </c>
    </row>
    <row r="8" spans="1:2" x14ac:dyDescent="0.25">
      <c r="A8" s="1">
        <v>7</v>
      </c>
      <c r="B8" t="s">
        <v>165</v>
      </c>
    </row>
    <row r="9" spans="1:2" x14ac:dyDescent="0.25">
      <c r="A9" s="1">
        <v>8</v>
      </c>
      <c r="B9" t="s">
        <v>76</v>
      </c>
    </row>
    <row r="10" spans="1:2" x14ac:dyDescent="0.25">
      <c r="A10" s="1">
        <v>9</v>
      </c>
      <c r="B10" t="s">
        <v>83</v>
      </c>
    </row>
    <row r="11" spans="1:2" x14ac:dyDescent="0.25">
      <c r="A11" s="1">
        <v>10</v>
      </c>
      <c r="B11" t="s">
        <v>68</v>
      </c>
    </row>
    <row r="12" spans="1:2" x14ac:dyDescent="0.25">
      <c r="A12" s="1">
        <v>11</v>
      </c>
      <c r="B12" t="s">
        <v>71</v>
      </c>
    </row>
    <row r="13" spans="1:2" x14ac:dyDescent="0.25">
      <c r="A13" s="1">
        <v>12</v>
      </c>
      <c r="B13" t="s">
        <v>155</v>
      </c>
    </row>
    <row r="14" spans="1:2" x14ac:dyDescent="0.25">
      <c r="A14" s="1">
        <v>13</v>
      </c>
      <c r="B14" t="s">
        <v>166</v>
      </c>
    </row>
    <row r="15" spans="1:2" x14ac:dyDescent="0.25">
      <c r="A15" s="1">
        <v>14</v>
      </c>
      <c r="B15" t="s">
        <v>95</v>
      </c>
    </row>
    <row r="16" spans="1:2" x14ac:dyDescent="0.25">
      <c r="A16" s="1">
        <v>15</v>
      </c>
      <c r="B16" t="s">
        <v>98</v>
      </c>
    </row>
    <row r="17" spans="1:2" x14ac:dyDescent="0.25">
      <c r="A17" s="1">
        <v>16</v>
      </c>
      <c r="B17" t="s">
        <v>100</v>
      </c>
    </row>
    <row r="18" spans="1:2" x14ac:dyDescent="0.25">
      <c r="A18" s="1">
        <v>17</v>
      </c>
      <c r="B18" t="s">
        <v>185</v>
      </c>
    </row>
    <row r="19" spans="1:2" x14ac:dyDescent="0.25">
      <c r="A19" s="1">
        <v>18</v>
      </c>
      <c r="B19" t="s">
        <v>192</v>
      </c>
    </row>
    <row r="20" spans="1:2" x14ac:dyDescent="0.25">
      <c r="A20" s="1">
        <v>19</v>
      </c>
      <c r="B20" t="s">
        <v>190</v>
      </c>
    </row>
    <row r="21" spans="1:2" x14ac:dyDescent="0.25">
      <c r="A21" s="1">
        <v>20</v>
      </c>
      <c r="B21" t="s">
        <v>104</v>
      </c>
    </row>
    <row r="22" spans="1:2" x14ac:dyDescent="0.25">
      <c r="A22" s="1">
        <v>21</v>
      </c>
      <c r="B22" t="s">
        <v>177</v>
      </c>
    </row>
    <row r="23" spans="1:2" x14ac:dyDescent="0.25">
      <c r="A23" s="1">
        <v>22</v>
      </c>
      <c r="B23" t="s">
        <v>74</v>
      </c>
    </row>
    <row r="24" spans="1:2" x14ac:dyDescent="0.25">
      <c r="A24" s="1">
        <v>23</v>
      </c>
      <c r="B24" t="s">
        <v>70</v>
      </c>
    </row>
    <row r="25" spans="1:2" x14ac:dyDescent="0.25">
      <c r="A25" s="1">
        <v>24</v>
      </c>
      <c r="B25" t="s">
        <v>503</v>
      </c>
    </row>
    <row r="26" spans="1:2" x14ac:dyDescent="0.25">
      <c r="A26" s="1">
        <v>25</v>
      </c>
      <c r="B26" t="s">
        <v>79</v>
      </c>
    </row>
    <row r="27" spans="1:2" x14ac:dyDescent="0.25">
      <c r="A27" s="1">
        <v>26</v>
      </c>
      <c r="B27" t="s">
        <v>504</v>
      </c>
    </row>
    <row r="28" spans="1:2" x14ac:dyDescent="0.25">
      <c r="A28" s="1">
        <v>27</v>
      </c>
      <c r="B28" t="s">
        <v>149</v>
      </c>
    </row>
    <row r="29" spans="1:2" x14ac:dyDescent="0.25">
      <c r="A29" s="1">
        <v>28</v>
      </c>
      <c r="B29" t="s">
        <v>85</v>
      </c>
    </row>
    <row r="30" spans="1:2" x14ac:dyDescent="0.25">
      <c r="A30" s="1">
        <v>29</v>
      </c>
      <c r="B30" t="s">
        <v>157</v>
      </c>
    </row>
    <row r="31" spans="1:2" x14ac:dyDescent="0.25">
      <c r="A31" s="1">
        <v>30</v>
      </c>
      <c r="B31" t="s">
        <v>171</v>
      </c>
    </row>
    <row r="32" spans="1:2" x14ac:dyDescent="0.25">
      <c r="A32" s="1">
        <v>31</v>
      </c>
      <c r="B32" t="s">
        <v>181</v>
      </c>
    </row>
    <row r="33" spans="1:2" x14ac:dyDescent="0.25">
      <c r="A33" s="1">
        <v>32</v>
      </c>
      <c r="B33" t="s">
        <v>183</v>
      </c>
    </row>
    <row r="34" spans="1:2" x14ac:dyDescent="0.25">
      <c r="A34" s="1">
        <v>33</v>
      </c>
      <c r="B34" t="s">
        <v>186</v>
      </c>
    </row>
    <row r="35" spans="1:2" x14ac:dyDescent="0.25">
      <c r="A35" s="1">
        <v>34</v>
      </c>
      <c r="B35" t="s">
        <v>189</v>
      </c>
    </row>
    <row r="36" spans="1:2" x14ac:dyDescent="0.25">
      <c r="A36" s="1">
        <v>35</v>
      </c>
      <c r="B36" t="s">
        <v>102</v>
      </c>
    </row>
    <row r="37" spans="1:2" x14ac:dyDescent="0.25">
      <c r="A37" s="1">
        <v>36</v>
      </c>
      <c r="B37" t="s">
        <v>180</v>
      </c>
    </row>
    <row r="38" spans="1:2" x14ac:dyDescent="0.25">
      <c r="A38" s="1">
        <v>37</v>
      </c>
      <c r="B38" t="s">
        <v>96</v>
      </c>
    </row>
    <row r="39" spans="1:2" x14ac:dyDescent="0.25">
      <c r="A39" s="1">
        <v>38</v>
      </c>
      <c r="B39" t="s">
        <v>172</v>
      </c>
    </row>
    <row r="40" spans="1:2" x14ac:dyDescent="0.25">
      <c r="A40" s="1">
        <v>39</v>
      </c>
      <c r="B40" t="s">
        <v>175</v>
      </c>
    </row>
    <row r="41" spans="1:2" x14ac:dyDescent="0.25">
      <c r="A41" s="1">
        <v>40</v>
      </c>
      <c r="B41" t="s">
        <v>163</v>
      </c>
    </row>
    <row r="42" spans="1:2" x14ac:dyDescent="0.25">
      <c r="A42" s="1">
        <v>41</v>
      </c>
      <c r="B42" t="s">
        <v>168</v>
      </c>
    </row>
    <row r="43" spans="1:2" x14ac:dyDescent="0.25">
      <c r="A43" s="1">
        <v>42</v>
      </c>
      <c r="B43" t="s">
        <v>87</v>
      </c>
    </row>
    <row r="44" spans="1:2" x14ac:dyDescent="0.25">
      <c r="A44" s="1">
        <v>43</v>
      </c>
      <c r="B44" t="s">
        <v>80</v>
      </c>
    </row>
    <row r="45" spans="1:2" x14ac:dyDescent="0.25">
      <c r="A45" s="1">
        <v>44</v>
      </c>
      <c r="B45" t="s">
        <v>75</v>
      </c>
    </row>
    <row r="46" spans="1:2" x14ac:dyDescent="0.25">
      <c r="A46" s="1">
        <v>45</v>
      </c>
      <c r="B46" t="s">
        <v>162</v>
      </c>
    </row>
    <row r="47" spans="1:2" x14ac:dyDescent="0.25">
      <c r="A47" s="1">
        <v>46</v>
      </c>
      <c r="B47" t="s">
        <v>169</v>
      </c>
    </row>
    <row r="53" spans="9:9" x14ac:dyDescent="0.25">
      <c r="I53">
        <v>3</v>
      </c>
    </row>
  </sheetData>
  <autoFilter ref="A1:I1" xr:uid="{F0FEFE1B-A582-4851-A850-E4BF4217E78E}">
    <sortState xmlns:xlrd2="http://schemas.microsoft.com/office/spreadsheetml/2017/richdata2" ref="A2:I83">
      <sortCondition ref="A1"/>
    </sortState>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20401-BFF2-4F58-9BA7-8463084F4945}">
  <dimension ref="A1:B20"/>
  <sheetViews>
    <sheetView workbookViewId="0">
      <selection activeCell="F13" sqref="F13"/>
    </sheetView>
  </sheetViews>
  <sheetFormatPr defaultRowHeight="13.8" x14ac:dyDescent="0.25"/>
  <cols>
    <col min="1" max="1" width="8.796875" style="30"/>
    <col min="2" max="2" width="35.59765625" bestFit="1" customWidth="1"/>
  </cols>
  <sheetData>
    <row r="1" spans="1:2" x14ac:dyDescent="0.25">
      <c r="A1" s="30" t="s">
        <v>924</v>
      </c>
      <c r="B1" t="s">
        <v>925</v>
      </c>
    </row>
    <row r="2" spans="1:2" x14ac:dyDescent="0.25">
      <c r="A2" s="30">
        <v>1</v>
      </c>
      <c r="B2" t="s">
        <v>194</v>
      </c>
    </row>
    <row r="3" spans="1:2" x14ac:dyDescent="0.25">
      <c r="A3" s="30">
        <v>2</v>
      </c>
      <c r="B3" t="s">
        <v>199</v>
      </c>
    </row>
    <row r="4" spans="1:2" x14ac:dyDescent="0.25">
      <c r="A4" s="30">
        <v>3</v>
      </c>
      <c r="B4" t="s">
        <v>113</v>
      </c>
    </row>
    <row r="5" spans="1:2" x14ac:dyDescent="0.25">
      <c r="A5" s="30">
        <v>4</v>
      </c>
      <c r="B5" t="s">
        <v>108</v>
      </c>
    </row>
    <row r="6" spans="1:2" x14ac:dyDescent="0.25">
      <c r="A6" s="30">
        <v>5</v>
      </c>
      <c r="B6" t="s">
        <v>193</v>
      </c>
    </row>
    <row r="7" spans="1:2" x14ac:dyDescent="0.25">
      <c r="A7" s="30">
        <v>6</v>
      </c>
      <c r="B7" t="s">
        <v>196</v>
      </c>
    </row>
    <row r="8" spans="1:2" x14ac:dyDescent="0.25">
      <c r="A8" s="30">
        <v>7</v>
      </c>
      <c r="B8" t="s">
        <v>201</v>
      </c>
    </row>
    <row r="9" spans="1:2" x14ac:dyDescent="0.25">
      <c r="A9" s="30">
        <v>8</v>
      </c>
      <c r="B9" t="s">
        <v>112</v>
      </c>
    </row>
    <row r="10" spans="1:2" x14ac:dyDescent="0.25">
      <c r="A10" s="30">
        <v>9</v>
      </c>
      <c r="B10" t="s">
        <v>204</v>
      </c>
    </row>
    <row r="11" spans="1:2" x14ac:dyDescent="0.25">
      <c r="A11" s="30">
        <v>10</v>
      </c>
      <c r="B11" t="s">
        <v>197</v>
      </c>
    </row>
    <row r="12" spans="1:2" x14ac:dyDescent="0.25">
      <c r="A12" s="30">
        <v>11</v>
      </c>
      <c r="B12" t="s">
        <v>107</v>
      </c>
    </row>
    <row r="13" spans="1:2" x14ac:dyDescent="0.25">
      <c r="A13" s="30">
        <v>12</v>
      </c>
      <c r="B13" t="s">
        <v>109</v>
      </c>
    </row>
    <row r="14" spans="1:2" x14ac:dyDescent="0.25">
      <c r="A14" s="30">
        <v>13</v>
      </c>
      <c r="B14" t="s">
        <v>195</v>
      </c>
    </row>
    <row r="15" spans="1:2" x14ac:dyDescent="0.25">
      <c r="A15" s="30">
        <v>14</v>
      </c>
      <c r="B15" t="s">
        <v>198</v>
      </c>
    </row>
    <row r="16" spans="1:2" x14ac:dyDescent="0.25">
      <c r="A16" s="30">
        <v>15</v>
      </c>
      <c r="B16" t="s">
        <v>110</v>
      </c>
    </row>
    <row r="17" spans="1:2" x14ac:dyDescent="0.25">
      <c r="A17" s="30">
        <v>16</v>
      </c>
      <c r="B17" t="s">
        <v>202</v>
      </c>
    </row>
    <row r="18" spans="1:2" x14ac:dyDescent="0.25">
      <c r="A18" s="30">
        <v>17</v>
      </c>
      <c r="B18" t="s">
        <v>111</v>
      </c>
    </row>
    <row r="19" spans="1:2" x14ac:dyDescent="0.25">
      <c r="A19" s="30">
        <v>18</v>
      </c>
      <c r="B19" t="s">
        <v>203</v>
      </c>
    </row>
    <row r="20" spans="1:2" x14ac:dyDescent="0.25">
      <c r="A20" s="30">
        <v>19</v>
      </c>
      <c r="B20" t="s">
        <v>200</v>
      </c>
    </row>
  </sheetData>
  <autoFilter ref="A1:B1" xr:uid="{C2B20401-BFF2-4F58-9BA7-8463084F4945}">
    <sortState xmlns:xlrd2="http://schemas.microsoft.com/office/spreadsheetml/2017/richdata2" ref="A2:B20">
      <sortCondition ref="A1"/>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E1FCD-20C3-49E8-BF62-E84E5213668D}">
  <dimension ref="A1:B26"/>
  <sheetViews>
    <sheetView workbookViewId="0">
      <selection activeCell="E10" sqref="E10"/>
    </sheetView>
  </sheetViews>
  <sheetFormatPr defaultRowHeight="13.8" x14ac:dyDescent="0.25"/>
  <cols>
    <col min="1" max="1" width="34.3984375" customWidth="1"/>
  </cols>
  <sheetData>
    <row r="1" spans="1:2" x14ac:dyDescent="0.25">
      <c r="A1" t="s">
        <v>926</v>
      </c>
      <c r="B1" t="s">
        <v>927</v>
      </c>
    </row>
    <row r="2" spans="1:2" x14ac:dyDescent="0.25">
      <c r="A2" t="s">
        <v>209</v>
      </c>
    </row>
    <row r="3" spans="1:2" x14ac:dyDescent="0.25">
      <c r="A3" t="s">
        <v>117</v>
      </c>
    </row>
    <row r="4" spans="1:2" x14ac:dyDescent="0.25">
      <c r="A4" t="s">
        <v>217</v>
      </c>
    </row>
    <row r="5" spans="1:2" x14ac:dyDescent="0.25">
      <c r="A5" t="s">
        <v>114</v>
      </c>
    </row>
    <row r="6" spans="1:2" x14ac:dyDescent="0.25">
      <c r="A6" t="s">
        <v>219</v>
      </c>
    </row>
    <row r="7" spans="1:2" x14ac:dyDescent="0.25">
      <c r="A7" t="s">
        <v>124</v>
      </c>
    </row>
    <row r="8" spans="1:2" x14ac:dyDescent="0.25">
      <c r="A8" t="s">
        <v>205</v>
      </c>
    </row>
    <row r="9" spans="1:2" x14ac:dyDescent="0.25">
      <c r="A9" t="s">
        <v>211</v>
      </c>
    </row>
    <row r="10" spans="1:2" x14ac:dyDescent="0.25">
      <c r="A10" t="s">
        <v>116</v>
      </c>
    </row>
    <row r="11" spans="1:2" x14ac:dyDescent="0.25">
      <c r="A11" t="s">
        <v>119</v>
      </c>
    </row>
    <row r="12" spans="1:2" x14ac:dyDescent="0.25">
      <c r="A12" t="s">
        <v>122</v>
      </c>
    </row>
    <row r="13" spans="1:2" x14ac:dyDescent="0.25">
      <c r="A13" t="s">
        <v>215</v>
      </c>
    </row>
    <row r="14" spans="1:2" x14ac:dyDescent="0.25">
      <c r="A14" t="s">
        <v>206</v>
      </c>
    </row>
    <row r="15" spans="1:2" x14ac:dyDescent="0.25">
      <c r="A15" t="s">
        <v>213</v>
      </c>
    </row>
    <row r="16" spans="1:2" x14ac:dyDescent="0.25">
      <c r="A16" t="s">
        <v>123</v>
      </c>
    </row>
    <row r="17" spans="1:1" x14ac:dyDescent="0.25">
      <c r="A17" t="s">
        <v>207</v>
      </c>
    </row>
    <row r="18" spans="1:1" x14ac:dyDescent="0.25">
      <c r="A18" t="s">
        <v>210</v>
      </c>
    </row>
    <row r="19" spans="1:1" x14ac:dyDescent="0.25">
      <c r="A19" t="s">
        <v>214</v>
      </c>
    </row>
    <row r="20" spans="1:1" x14ac:dyDescent="0.25">
      <c r="A20" t="s">
        <v>121</v>
      </c>
    </row>
    <row r="21" spans="1:1" x14ac:dyDescent="0.25">
      <c r="A21" t="s">
        <v>208</v>
      </c>
    </row>
    <row r="22" spans="1:1" x14ac:dyDescent="0.25">
      <c r="A22" t="s">
        <v>212</v>
      </c>
    </row>
    <row r="23" spans="1:1" x14ac:dyDescent="0.25">
      <c r="A23" t="s">
        <v>232</v>
      </c>
    </row>
    <row r="24" spans="1:1" x14ac:dyDescent="0.25">
      <c r="A24" t="s">
        <v>218</v>
      </c>
    </row>
    <row r="25" spans="1:1" x14ac:dyDescent="0.25">
      <c r="A25" t="s">
        <v>120</v>
      </c>
    </row>
    <row r="26" spans="1:1" x14ac:dyDescent="0.25">
      <c r="A26" t="s">
        <v>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Question structure</vt:lpstr>
      <vt:lpstr>Viet</vt:lpstr>
      <vt:lpstr>Sum</vt:lpstr>
      <vt:lpstr>Ramdom</vt:lpstr>
      <vt:lpstr>0-82</vt:lpstr>
      <vt:lpstr>83-100</vt:lpstr>
      <vt:lpstr>100-128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2023-04-28T06:54:49Z</dcterms:created>
  <dcterms:modified xsi:type="dcterms:W3CDTF">2023-07-08T13:11:55Z</dcterms:modified>
</cp:coreProperties>
</file>