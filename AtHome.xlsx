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\DECO13\At Home\"/>
    </mc:Choice>
  </mc:AlternateContent>
  <xr:revisionPtr revIDLastSave="0" documentId="13_ncr:1_{EF2ECD1D-08A1-4F97-874F-F212D292D474}" xr6:coauthVersionLast="47" xr6:coauthVersionMax="47" xr10:uidLastSave="{00000000-0000-0000-0000-000000000000}"/>
  <bookViews>
    <workbookView xWindow="-108" yWindow="-108" windowWidth="23256" windowHeight="12456" tabRatio="634" activeTab="1" xr2:uid="{719E5D2F-C632-4960-9266-638D7C9B24E2}"/>
  </bookViews>
  <sheets>
    <sheet name="At Home" sheetId="1" r:id="rId1"/>
    <sheet name="Viet" sheetId="5" r:id="rId2"/>
    <sheet name="Sum" sheetId="6" r:id="rId3"/>
    <sheet name="Ramdom" sheetId="2" r:id="rId4"/>
    <sheet name="Sheet1" sheetId="7" r:id="rId5"/>
    <sheet name="Sheet2" sheetId="10" r:id="rId6"/>
  </sheets>
  <definedNames>
    <definedName name="_xlnm._FilterDatabase" localSheetId="0" hidden="1">'At Home'!$A$3:$H$123</definedName>
    <definedName name="_xlnm._FilterDatabase" localSheetId="3" hidden="1">Ramdom!$B$3:$F$295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3" i="1" l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D5" i="5"/>
  <c r="C5" i="5" s="1"/>
  <c r="D6" i="5"/>
  <c r="C6" i="5" s="1"/>
  <c r="D7" i="5"/>
  <c r="C7" i="5" s="1"/>
  <c r="F4" i="1"/>
  <c r="G6" i="1"/>
  <c r="F6" i="1" s="1"/>
  <c r="G7" i="1"/>
  <c r="F7" i="1" s="1"/>
  <c r="G8" i="1"/>
  <c r="F8" i="1" s="1"/>
  <c r="G9" i="1"/>
  <c r="F9" i="1" s="1"/>
  <c r="G10" i="1"/>
  <c r="F10" i="1" s="1"/>
  <c r="G11" i="1"/>
  <c r="F11" i="1" s="1"/>
  <c r="G12" i="1"/>
  <c r="F12" i="1" s="1"/>
  <c r="G13" i="1"/>
  <c r="F13" i="1" s="1"/>
  <c r="G14" i="1"/>
  <c r="F14" i="1" s="1"/>
  <c r="G15" i="1"/>
  <c r="F15" i="1" s="1"/>
  <c r="G16" i="1"/>
  <c r="F16" i="1" s="1"/>
  <c r="G17" i="1"/>
  <c r="F17" i="1" s="1"/>
  <c r="G18" i="1"/>
  <c r="F18" i="1" s="1"/>
  <c r="G19" i="1"/>
  <c r="F19" i="1" s="1"/>
  <c r="G20" i="1"/>
  <c r="F20" i="1" s="1"/>
  <c r="G21" i="1"/>
  <c r="F21" i="1" s="1"/>
  <c r="G22" i="1"/>
  <c r="F22" i="1" s="1"/>
  <c r="G23" i="1"/>
  <c r="F23" i="1" s="1"/>
  <c r="G24" i="1"/>
  <c r="F24" i="1" s="1"/>
  <c r="G25" i="1"/>
  <c r="F25" i="1" s="1"/>
  <c r="G26" i="1"/>
  <c r="F26" i="1" s="1"/>
  <c r="G27" i="1"/>
  <c r="F27" i="1" s="1"/>
  <c r="G28" i="1"/>
  <c r="F28" i="1" s="1"/>
  <c r="G29" i="1"/>
  <c r="F29" i="1" s="1"/>
  <c r="G30" i="1"/>
  <c r="F30" i="1" s="1"/>
  <c r="G31" i="1"/>
  <c r="F31" i="1" s="1"/>
  <c r="G32" i="1"/>
  <c r="F32" i="1" s="1"/>
  <c r="G33" i="1"/>
  <c r="F33" i="1" s="1"/>
  <c r="G34" i="1"/>
  <c r="F34" i="1" s="1"/>
  <c r="G35" i="1"/>
  <c r="F35" i="1" s="1"/>
  <c r="G36" i="1"/>
  <c r="F36" i="1" s="1"/>
  <c r="G37" i="1"/>
  <c r="F37" i="1" s="1"/>
  <c r="G38" i="1"/>
  <c r="F38" i="1" s="1"/>
  <c r="G39" i="1"/>
  <c r="F39" i="1" s="1"/>
  <c r="G40" i="1"/>
  <c r="F40" i="1" s="1"/>
  <c r="G41" i="1"/>
  <c r="F41" i="1" s="1"/>
  <c r="G42" i="1"/>
  <c r="F42" i="1" s="1"/>
  <c r="G43" i="1"/>
  <c r="F43" i="1" s="1"/>
  <c r="G44" i="1"/>
  <c r="F44" i="1" s="1"/>
  <c r="G45" i="1"/>
  <c r="F45" i="1" s="1"/>
  <c r="G46" i="1"/>
  <c r="F46" i="1" s="1"/>
  <c r="G47" i="1"/>
  <c r="F47" i="1" s="1"/>
  <c r="G48" i="1"/>
  <c r="F48" i="1" s="1"/>
  <c r="G49" i="1"/>
  <c r="F49" i="1" s="1"/>
  <c r="G50" i="1"/>
  <c r="F50" i="1" s="1"/>
  <c r="G51" i="1"/>
  <c r="F51" i="1" s="1"/>
  <c r="G52" i="1"/>
  <c r="F52" i="1" s="1"/>
  <c r="G53" i="1"/>
  <c r="F53" i="1" s="1"/>
  <c r="G54" i="1"/>
  <c r="F54" i="1" s="1"/>
  <c r="G55" i="1"/>
  <c r="F55" i="1" s="1"/>
  <c r="G56" i="1"/>
  <c r="F56" i="1" s="1"/>
  <c r="G57" i="1"/>
  <c r="F57" i="1" s="1"/>
  <c r="G58" i="1"/>
  <c r="F58" i="1" s="1"/>
  <c r="G59" i="1"/>
  <c r="F59" i="1" s="1"/>
  <c r="G60" i="1"/>
  <c r="F60" i="1" s="1"/>
  <c r="G61" i="1"/>
  <c r="F61" i="1" s="1"/>
  <c r="G62" i="1"/>
  <c r="F62" i="1" s="1"/>
  <c r="G63" i="1"/>
  <c r="F63" i="1" s="1"/>
  <c r="G64" i="1"/>
  <c r="F64" i="1" s="1"/>
  <c r="G65" i="1"/>
  <c r="F65" i="1" s="1"/>
  <c r="G66" i="1"/>
  <c r="F66" i="1" s="1"/>
  <c r="G67" i="1"/>
  <c r="F67" i="1" s="1"/>
  <c r="G68" i="1"/>
  <c r="F68" i="1" s="1"/>
  <c r="G69" i="1"/>
  <c r="F69" i="1" s="1"/>
  <c r="G70" i="1"/>
  <c r="F70" i="1" s="1"/>
  <c r="G71" i="1"/>
  <c r="F71" i="1" s="1"/>
  <c r="G72" i="1"/>
  <c r="F72" i="1" s="1"/>
  <c r="G73" i="1"/>
  <c r="F73" i="1" s="1"/>
  <c r="G74" i="1"/>
  <c r="F74" i="1" s="1"/>
  <c r="G75" i="1"/>
  <c r="F75" i="1" s="1"/>
  <c r="G76" i="1"/>
  <c r="F76" i="1" s="1"/>
  <c r="G77" i="1"/>
  <c r="F77" i="1" s="1"/>
  <c r="G78" i="1"/>
  <c r="F78" i="1" s="1"/>
  <c r="G79" i="1"/>
  <c r="F79" i="1" s="1"/>
  <c r="G80" i="1"/>
  <c r="F80" i="1" s="1"/>
  <c r="G81" i="1"/>
  <c r="F81" i="1" s="1"/>
  <c r="G82" i="1"/>
  <c r="F82" i="1" s="1"/>
  <c r="G83" i="1"/>
  <c r="F83" i="1" s="1"/>
  <c r="G84" i="1"/>
  <c r="F84" i="1" s="1"/>
  <c r="G85" i="1"/>
  <c r="F85" i="1" s="1"/>
  <c r="G86" i="1"/>
  <c r="F86" i="1" s="1"/>
  <c r="G87" i="1"/>
  <c r="F87" i="1" s="1"/>
  <c r="G88" i="1"/>
  <c r="F88" i="1" s="1"/>
  <c r="G89" i="1"/>
  <c r="F89" i="1" s="1"/>
  <c r="G90" i="1"/>
  <c r="F90" i="1" s="1"/>
  <c r="G91" i="1"/>
  <c r="F91" i="1" s="1"/>
  <c r="G92" i="1"/>
  <c r="F92" i="1" s="1"/>
  <c r="G93" i="1"/>
  <c r="F93" i="1" s="1"/>
  <c r="G94" i="1"/>
  <c r="F94" i="1" s="1"/>
  <c r="G95" i="1"/>
  <c r="F95" i="1" s="1"/>
  <c r="G96" i="1"/>
  <c r="F96" i="1" s="1"/>
  <c r="G97" i="1"/>
  <c r="F97" i="1" s="1"/>
  <c r="G98" i="1"/>
  <c r="F98" i="1" s="1"/>
  <c r="G99" i="1"/>
  <c r="F99" i="1" s="1"/>
  <c r="G100" i="1"/>
  <c r="F100" i="1" s="1"/>
  <c r="G101" i="1"/>
  <c r="F101" i="1" s="1"/>
  <c r="G102" i="1"/>
  <c r="F102" i="1" s="1"/>
  <c r="G103" i="1"/>
  <c r="F103" i="1" s="1"/>
  <c r="G104" i="1"/>
  <c r="F104" i="1" s="1"/>
  <c r="G105" i="1"/>
  <c r="F105" i="1" s="1"/>
  <c r="G106" i="1"/>
  <c r="F106" i="1" s="1"/>
  <c r="G107" i="1"/>
  <c r="F107" i="1" s="1"/>
  <c r="G108" i="1"/>
  <c r="F108" i="1" s="1"/>
  <c r="G109" i="1"/>
  <c r="F109" i="1" s="1"/>
  <c r="G110" i="1"/>
  <c r="F110" i="1" s="1"/>
  <c r="G111" i="1"/>
  <c r="F111" i="1" s="1"/>
  <c r="G112" i="1"/>
  <c r="F112" i="1" s="1"/>
  <c r="G113" i="1"/>
  <c r="F113" i="1" s="1"/>
  <c r="G114" i="1"/>
  <c r="F114" i="1" s="1"/>
  <c r="G115" i="1"/>
  <c r="F115" i="1" s="1"/>
  <c r="G116" i="1"/>
  <c r="F116" i="1" s="1"/>
  <c r="G117" i="1"/>
  <c r="F117" i="1" s="1"/>
  <c r="G118" i="1"/>
  <c r="F118" i="1" s="1"/>
  <c r="G119" i="1"/>
  <c r="F119" i="1" s="1"/>
  <c r="G120" i="1"/>
  <c r="F120" i="1" s="1"/>
  <c r="G121" i="1"/>
  <c r="F121" i="1" s="1"/>
  <c r="G122" i="1"/>
  <c r="F122" i="1" s="1"/>
  <c r="G123" i="1"/>
  <c r="F123" i="1" s="1"/>
  <c r="D4" i="6" l="1"/>
  <c r="C4" i="6" s="1"/>
  <c r="D3" i="6" l="1"/>
  <c r="C3" i="6" s="1"/>
  <c r="D4" i="5"/>
  <c r="C4" i="5" s="1"/>
  <c r="D3" i="5"/>
  <c r="C3" i="5" s="1"/>
  <c r="G5" i="1"/>
  <c r="F5" i="1" s="1"/>
  <c r="A4" i="2"/>
  <c r="A5" i="2" s="1"/>
  <c r="B4" i="2" s="1"/>
  <c r="A6" i="2" l="1"/>
  <c r="B6" i="2" l="1"/>
  <c r="A7" i="2"/>
  <c r="A8" i="2" l="1"/>
  <c r="B7" i="2"/>
  <c r="A9" i="2" l="1"/>
  <c r="B8" i="2"/>
  <c r="A10" i="2" l="1"/>
  <c r="B10" i="2" s="1"/>
  <c r="B9" i="2"/>
  <c r="A11" i="2" l="1"/>
  <c r="B5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A18" i="2" l="1"/>
  <c r="B17" i="2"/>
  <c r="A19" i="2" l="1"/>
  <c r="B18" i="2"/>
  <c r="A20" i="2" l="1"/>
  <c r="B19" i="2"/>
  <c r="A21" i="2" l="1"/>
  <c r="B20" i="2"/>
  <c r="A22" i="2" l="1"/>
  <c r="B21" i="2"/>
  <c r="A23" i="2" l="1"/>
  <c r="B22" i="2"/>
  <c r="A24" i="2" l="1"/>
  <c r="B23" i="2"/>
  <c r="A25" i="2" l="1"/>
  <c r="B24" i="2"/>
  <c r="A26" i="2" l="1"/>
  <c r="B25" i="2"/>
  <c r="A27" i="2" l="1"/>
  <c r="B26" i="2"/>
  <c r="A28" i="2" l="1"/>
  <c r="B27" i="2"/>
  <c r="A29" i="2" l="1"/>
  <c r="B28" i="2"/>
  <c r="A30" i="2" l="1"/>
  <c r="B29" i="2"/>
  <c r="A31" i="2" l="1"/>
  <c r="B30" i="2"/>
  <c r="A32" i="2" l="1"/>
  <c r="B31" i="2"/>
  <c r="A33" i="2" l="1"/>
  <c r="B32" i="2"/>
  <c r="A34" i="2" l="1"/>
  <c r="B33" i="2"/>
  <c r="A35" i="2" l="1"/>
  <c r="B34" i="2"/>
  <c r="A36" i="2" l="1"/>
  <c r="B35" i="2"/>
  <c r="A37" i="2" l="1"/>
  <c r="B36" i="2"/>
  <c r="A38" i="2" l="1"/>
  <c r="B37" i="2"/>
  <c r="A39" i="2" l="1"/>
  <c r="B38" i="2"/>
  <c r="A40" i="2" l="1"/>
  <c r="B39" i="2"/>
  <c r="A41" i="2" l="1"/>
  <c r="B40" i="2"/>
  <c r="C34" i="2" s="1"/>
  <c r="C36" i="2" l="1"/>
  <c r="C35" i="2"/>
  <c r="C38" i="2"/>
  <c r="C39" i="2"/>
  <c r="C37" i="2"/>
  <c r="C4" i="2"/>
  <c r="C40" i="2"/>
  <c r="C7" i="2"/>
  <c r="C10" i="2"/>
  <c r="C8" i="2"/>
  <c r="C6" i="2"/>
  <c r="C9" i="2"/>
  <c r="C11" i="2"/>
  <c r="C5" i="2"/>
  <c r="C13" i="2"/>
  <c r="C14" i="2"/>
  <c r="C12" i="2"/>
  <c r="C15" i="2"/>
  <c r="C16" i="2"/>
  <c r="C17" i="2"/>
  <c r="C18" i="2"/>
  <c r="C19" i="2"/>
  <c r="C20" i="2"/>
  <c r="C21" i="2"/>
  <c r="C22" i="2"/>
  <c r="C23" i="2"/>
  <c r="C25" i="2"/>
  <c r="C24" i="2"/>
  <c r="C26" i="2"/>
  <c r="C27" i="2"/>
  <c r="C28" i="2"/>
  <c r="C29" i="2"/>
  <c r="C30" i="2"/>
  <c r="C32" i="2"/>
  <c r="C31" i="2"/>
  <c r="C33" i="2"/>
  <c r="A42" i="2"/>
  <c r="B41" i="2"/>
  <c r="C41" i="2" s="1"/>
  <c r="A43" i="2" l="1"/>
  <c r="B42" i="2"/>
  <c r="C42" i="2" s="1"/>
  <c r="A44" i="2" l="1"/>
  <c r="B43" i="2"/>
  <c r="C43" i="2" s="1"/>
  <c r="A45" i="2" l="1"/>
  <c r="B44" i="2"/>
  <c r="C44" i="2" s="1"/>
  <c r="A46" i="2" l="1"/>
  <c r="B45" i="2"/>
  <c r="C45" i="2" s="1"/>
  <c r="A47" i="2" l="1"/>
  <c r="B46" i="2"/>
  <c r="C46" i="2" s="1"/>
  <c r="A48" i="2" l="1"/>
  <c r="B47" i="2"/>
  <c r="C47" i="2" s="1"/>
  <c r="A49" i="2" l="1"/>
  <c r="B48" i="2"/>
  <c r="C48" i="2" s="1"/>
  <c r="A50" i="2" l="1"/>
  <c r="B49" i="2"/>
  <c r="C49" i="2" s="1"/>
  <c r="A51" i="2" l="1"/>
  <c r="B50" i="2"/>
  <c r="C50" i="2" s="1"/>
  <c r="A52" i="2" l="1"/>
  <c r="B51" i="2"/>
  <c r="C51" i="2" s="1"/>
  <c r="A53" i="2" l="1"/>
  <c r="B52" i="2"/>
  <c r="C52" i="2" s="1"/>
  <c r="A54" i="2" l="1"/>
  <c r="B53" i="2"/>
  <c r="C53" i="2" s="1"/>
  <c r="A55" i="2" l="1"/>
  <c r="B54" i="2"/>
  <c r="C54" i="2" s="1"/>
  <c r="A56" i="2" l="1"/>
  <c r="B55" i="2"/>
  <c r="C55" i="2" s="1"/>
  <c r="A57" i="2" l="1"/>
  <c r="B56" i="2"/>
  <c r="C56" i="2" s="1"/>
  <c r="A58" i="2" l="1"/>
  <c r="B57" i="2"/>
  <c r="C57" i="2" s="1"/>
  <c r="A59" i="2" l="1"/>
  <c r="B58" i="2"/>
  <c r="C58" i="2" s="1"/>
  <c r="A60" i="2" l="1"/>
  <c r="B59" i="2"/>
  <c r="C59" i="2" s="1"/>
  <c r="A61" i="2" l="1"/>
  <c r="B60" i="2"/>
  <c r="C60" i="2" s="1"/>
  <c r="A62" i="2" l="1"/>
  <c r="B61" i="2"/>
  <c r="C61" i="2" s="1"/>
  <c r="A63" i="2" l="1"/>
  <c r="B62" i="2"/>
  <c r="C62" i="2" s="1"/>
  <c r="A64" i="2" l="1"/>
  <c r="B63" i="2"/>
  <c r="C63" i="2" s="1"/>
  <c r="A65" i="2" l="1"/>
  <c r="B64" i="2"/>
  <c r="C64" i="2" s="1"/>
  <c r="A66" i="2" l="1"/>
  <c r="B65" i="2"/>
  <c r="C65" i="2" s="1"/>
  <c r="A67" i="2" l="1"/>
  <c r="B66" i="2"/>
  <c r="C66" i="2" s="1"/>
  <c r="A68" i="2" l="1"/>
  <c r="B67" i="2"/>
  <c r="C67" i="2" s="1"/>
  <c r="A69" i="2" l="1"/>
  <c r="B68" i="2"/>
  <c r="C68" i="2" s="1"/>
  <c r="A70" i="2" l="1"/>
  <c r="B69" i="2"/>
  <c r="C69" i="2" s="1"/>
  <c r="A71" i="2" l="1"/>
  <c r="B70" i="2"/>
  <c r="C70" i="2" s="1"/>
  <c r="A72" i="2" l="1"/>
  <c r="B71" i="2"/>
  <c r="C71" i="2" s="1"/>
  <c r="A73" i="2" l="1"/>
  <c r="B72" i="2"/>
  <c r="C72" i="2" s="1"/>
  <c r="A74" i="2" l="1"/>
  <c r="B73" i="2"/>
  <c r="C73" i="2" s="1"/>
  <c r="A75" i="2" l="1"/>
  <c r="B74" i="2"/>
  <c r="C74" i="2" s="1"/>
  <c r="A76" i="2" l="1"/>
  <c r="B75" i="2"/>
  <c r="C75" i="2" s="1"/>
  <c r="A77" i="2" l="1"/>
  <c r="B76" i="2"/>
  <c r="C76" i="2" s="1"/>
  <c r="A78" i="2" l="1"/>
  <c r="B77" i="2"/>
  <c r="C77" i="2" s="1"/>
  <c r="A79" i="2" l="1"/>
  <c r="B78" i="2"/>
  <c r="C78" i="2" s="1"/>
  <c r="A80" i="2" l="1"/>
  <c r="B79" i="2"/>
  <c r="C79" i="2" s="1"/>
  <c r="A81" i="2" l="1"/>
  <c r="B80" i="2"/>
  <c r="C80" i="2" s="1"/>
  <c r="A82" i="2" l="1"/>
  <c r="B81" i="2"/>
  <c r="C81" i="2" s="1"/>
  <c r="A83" i="2" l="1"/>
  <c r="B82" i="2"/>
  <c r="C82" i="2" s="1"/>
  <c r="A84" i="2" l="1"/>
  <c r="B83" i="2"/>
  <c r="C83" i="2" s="1"/>
  <c r="A85" i="2" l="1"/>
  <c r="B84" i="2"/>
  <c r="C84" i="2" s="1"/>
  <c r="A86" i="2" l="1"/>
  <c r="B85" i="2"/>
  <c r="C85" i="2" s="1"/>
  <c r="A87" i="2" l="1"/>
  <c r="B86" i="2"/>
  <c r="C86" i="2" s="1"/>
  <c r="A88" i="2" l="1"/>
  <c r="B87" i="2"/>
  <c r="C87" i="2" s="1"/>
  <c r="A89" i="2" l="1"/>
  <c r="B88" i="2"/>
  <c r="C88" i="2" s="1"/>
  <c r="A90" i="2" l="1"/>
  <c r="B89" i="2"/>
  <c r="C89" i="2" s="1"/>
  <c r="A91" i="2" l="1"/>
  <c r="B90" i="2"/>
  <c r="C90" i="2" s="1"/>
  <c r="A92" i="2" l="1"/>
  <c r="B91" i="2"/>
  <c r="C91" i="2" s="1"/>
  <c r="A93" i="2" l="1"/>
  <c r="B92" i="2"/>
  <c r="C92" i="2" s="1"/>
  <c r="A94" i="2" l="1"/>
  <c r="B93" i="2"/>
  <c r="C93" i="2" s="1"/>
  <c r="A95" i="2" l="1"/>
  <c r="B94" i="2"/>
  <c r="C94" i="2" s="1"/>
  <c r="A96" i="2" l="1"/>
  <c r="B95" i="2"/>
  <c r="C95" i="2" s="1"/>
  <c r="A97" i="2" l="1"/>
  <c r="B96" i="2"/>
  <c r="C96" i="2" s="1"/>
  <c r="A98" i="2" l="1"/>
  <c r="B97" i="2"/>
  <c r="C97" i="2" s="1"/>
  <c r="A99" i="2" l="1"/>
  <c r="B98" i="2"/>
  <c r="C98" i="2" s="1"/>
  <c r="A100" i="2" l="1"/>
  <c r="B99" i="2"/>
  <c r="C99" i="2" s="1"/>
  <c r="A101" i="2" l="1"/>
  <c r="B100" i="2"/>
  <c r="C100" i="2" s="1"/>
  <c r="A102" i="2" l="1"/>
  <c r="B101" i="2"/>
  <c r="C101" i="2" s="1"/>
  <c r="A103" i="2" l="1"/>
  <c r="B102" i="2"/>
  <c r="C102" i="2" s="1"/>
  <c r="A104" i="2" l="1"/>
  <c r="B103" i="2"/>
  <c r="C103" i="2" s="1"/>
  <c r="A105" i="2" l="1"/>
  <c r="B104" i="2"/>
  <c r="C104" i="2" s="1"/>
  <c r="A106" i="2" l="1"/>
  <c r="B105" i="2"/>
  <c r="C105" i="2" s="1"/>
  <c r="A107" i="2" l="1"/>
  <c r="B106" i="2"/>
  <c r="C106" i="2" s="1"/>
  <c r="A108" i="2" l="1"/>
  <c r="B107" i="2"/>
  <c r="C107" i="2" s="1"/>
  <c r="A109" i="2" l="1"/>
  <c r="B108" i="2"/>
  <c r="C108" i="2" s="1"/>
  <c r="A110" i="2" l="1"/>
  <c r="B109" i="2"/>
  <c r="C109" i="2" s="1"/>
  <c r="A111" i="2" l="1"/>
  <c r="B110" i="2"/>
  <c r="C110" i="2" s="1"/>
  <c r="A112" i="2" l="1"/>
  <c r="B111" i="2"/>
  <c r="C111" i="2" s="1"/>
  <c r="A113" i="2" l="1"/>
  <c r="B112" i="2"/>
  <c r="C112" i="2" s="1"/>
  <c r="A114" i="2" l="1"/>
  <c r="B113" i="2"/>
  <c r="C113" i="2" s="1"/>
  <c r="A115" i="2" l="1"/>
  <c r="B114" i="2"/>
  <c r="C114" i="2" s="1"/>
  <c r="A116" i="2" l="1"/>
  <c r="B115" i="2"/>
  <c r="C115" i="2" s="1"/>
  <c r="A117" i="2" l="1"/>
  <c r="B116" i="2"/>
  <c r="C116" i="2" s="1"/>
  <c r="A118" i="2" l="1"/>
  <c r="B117" i="2"/>
  <c r="C117" i="2" s="1"/>
  <c r="A119" i="2" l="1"/>
  <c r="B118" i="2"/>
  <c r="C118" i="2" s="1"/>
  <c r="A120" i="2" l="1"/>
  <c r="B119" i="2"/>
  <c r="C119" i="2" s="1"/>
  <c r="A121" i="2" l="1"/>
  <c r="B120" i="2"/>
  <c r="C120" i="2" s="1"/>
  <c r="A122" i="2" l="1"/>
  <c r="B121" i="2"/>
  <c r="C121" i="2" s="1"/>
  <c r="A123" i="2" l="1"/>
  <c r="B122" i="2"/>
  <c r="C122" i="2" s="1"/>
  <c r="A124" i="2" l="1"/>
  <c r="B123" i="2"/>
  <c r="C123" i="2" s="1"/>
  <c r="A125" i="2" l="1"/>
  <c r="B124" i="2"/>
  <c r="C124" i="2" s="1"/>
  <c r="A126" i="2" l="1"/>
  <c r="B125" i="2"/>
  <c r="C125" i="2" s="1"/>
  <c r="A127" i="2" l="1"/>
  <c r="B126" i="2"/>
  <c r="C126" i="2" s="1"/>
  <c r="A128" i="2" l="1"/>
  <c r="B127" i="2"/>
  <c r="C127" i="2" s="1"/>
  <c r="A129" i="2" l="1"/>
  <c r="B128" i="2"/>
  <c r="C128" i="2" s="1"/>
  <c r="A130" i="2" l="1"/>
  <c r="B129" i="2"/>
  <c r="C129" i="2" s="1"/>
  <c r="A131" i="2" l="1"/>
  <c r="B130" i="2"/>
  <c r="C130" i="2" s="1"/>
  <c r="A132" i="2" l="1"/>
  <c r="B131" i="2"/>
  <c r="C131" i="2" s="1"/>
  <c r="A133" i="2" l="1"/>
  <c r="B132" i="2"/>
  <c r="C132" i="2" s="1"/>
  <c r="A134" i="2" l="1"/>
  <c r="B133" i="2"/>
  <c r="C133" i="2" s="1"/>
  <c r="A135" i="2" l="1"/>
  <c r="B134" i="2"/>
  <c r="C134" i="2" s="1"/>
  <c r="A136" i="2" l="1"/>
  <c r="B135" i="2"/>
  <c r="C135" i="2" s="1"/>
  <c r="A137" i="2" l="1"/>
  <c r="B136" i="2"/>
  <c r="C136" i="2" s="1"/>
  <c r="A138" i="2" l="1"/>
  <c r="B137" i="2"/>
  <c r="C137" i="2" s="1"/>
  <c r="A139" i="2" l="1"/>
  <c r="B138" i="2"/>
  <c r="C138" i="2" s="1"/>
  <c r="A140" i="2" l="1"/>
  <c r="B139" i="2"/>
  <c r="C139" i="2" s="1"/>
  <c r="A141" i="2" l="1"/>
  <c r="B140" i="2"/>
  <c r="C140" i="2" s="1"/>
  <c r="A142" i="2" l="1"/>
  <c r="B141" i="2"/>
  <c r="C141" i="2" s="1"/>
  <c r="A143" i="2" l="1"/>
  <c r="B142" i="2"/>
  <c r="C142" i="2" s="1"/>
  <c r="A144" i="2" l="1"/>
  <c r="B143" i="2"/>
  <c r="A145" i="2" l="1"/>
  <c r="B144" i="2"/>
  <c r="A146" i="2" l="1"/>
  <c r="B145" i="2"/>
  <c r="A147" i="2" l="1"/>
  <c r="B146" i="2"/>
  <c r="A148" i="2" l="1"/>
  <c r="B147" i="2"/>
  <c r="A149" i="2" l="1"/>
  <c r="B148" i="2"/>
  <c r="A150" i="2" l="1"/>
  <c r="B149" i="2"/>
  <c r="A151" i="2" l="1"/>
  <c r="B150" i="2"/>
  <c r="A152" i="2" l="1"/>
  <c r="B151" i="2"/>
  <c r="A153" i="2" l="1"/>
  <c r="B152" i="2"/>
  <c r="A154" i="2" l="1"/>
  <c r="B153" i="2"/>
  <c r="A155" i="2" l="1"/>
  <c r="B154" i="2"/>
  <c r="A156" i="2" l="1"/>
  <c r="B155" i="2"/>
  <c r="A157" i="2" l="1"/>
  <c r="B156" i="2"/>
  <c r="A158" i="2" l="1"/>
  <c r="B157" i="2"/>
  <c r="A159" i="2" l="1"/>
  <c r="B158" i="2"/>
  <c r="A160" i="2" l="1"/>
  <c r="B159" i="2"/>
  <c r="A161" i="2" l="1"/>
  <c r="B160" i="2"/>
  <c r="A162" i="2" l="1"/>
  <c r="B161" i="2"/>
  <c r="A163" i="2" l="1"/>
  <c r="B162" i="2"/>
  <c r="A164" i="2" l="1"/>
  <c r="B163" i="2"/>
  <c r="A165" i="2" l="1"/>
  <c r="B164" i="2"/>
  <c r="A166" i="2" l="1"/>
  <c r="B165" i="2"/>
  <c r="A167" i="2" l="1"/>
  <c r="B166" i="2"/>
  <c r="A168" i="2" l="1"/>
  <c r="B167" i="2"/>
  <c r="A169" i="2" l="1"/>
  <c r="B168" i="2"/>
  <c r="A170" i="2" l="1"/>
  <c r="B169" i="2"/>
  <c r="A171" i="2" l="1"/>
  <c r="B170" i="2"/>
  <c r="A172" i="2" l="1"/>
  <c r="B171" i="2"/>
  <c r="A173" i="2" l="1"/>
  <c r="B172" i="2"/>
  <c r="A174" i="2" l="1"/>
  <c r="B173" i="2"/>
  <c r="A175" i="2" l="1"/>
  <c r="B174" i="2"/>
  <c r="A176" i="2" l="1"/>
  <c r="B175" i="2"/>
  <c r="A177" i="2" l="1"/>
  <c r="B176" i="2"/>
  <c r="A178" i="2" l="1"/>
  <c r="B177" i="2"/>
  <c r="A179" i="2" l="1"/>
  <c r="B178" i="2"/>
  <c r="A180" i="2" l="1"/>
  <c r="B179" i="2"/>
  <c r="A181" i="2" l="1"/>
  <c r="B180" i="2"/>
  <c r="A182" i="2" l="1"/>
  <c r="B181" i="2"/>
  <c r="A183" i="2" l="1"/>
  <c r="B182" i="2"/>
  <c r="A184" i="2" l="1"/>
  <c r="B183" i="2"/>
  <c r="A185" i="2" l="1"/>
  <c r="B184" i="2"/>
  <c r="A186" i="2" l="1"/>
  <c r="B185" i="2"/>
  <c r="A187" i="2" l="1"/>
  <c r="B186" i="2"/>
  <c r="A188" i="2" l="1"/>
  <c r="B187" i="2"/>
  <c r="A189" i="2" l="1"/>
  <c r="B188" i="2"/>
  <c r="A190" i="2" l="1"/>
  <c r="B189" i="2"/>
  <c r="A191" i="2" l="1"/>
  <c r="B190" i="2"/>
  <c r="A192" i="2" l="1"/>
  <c r="B191" i="2"/>
  <c r="A193" i="2" l="1"/>
  <c r="B192" i="2"/>
  <c r="A194" i="2" l="1"/>
  <c r="B193" i="2"/>
  <c r="A195" i="2" l="1"/>
  <c r="B194" i="2"/>
  <c r="A196" i="2" l="1"/>
  <c r="B195" i="2"/>
  <c r="A197" i="2" l="1"/>
  <c r="B196" i="2"/>
  <c r="A198" i="2" l="1"/>
  <c r="B197" i="2"/>
  <c r="A199" i="2" l="1"/>
  <c r="B198" i="2"/>
  <c r="A200" i="2" l="1"/>
  <c r="B199" i="2"/>
  <c r="A201" i="2" l="1"/>
  <c r="B200" i="2"/>
  <c r="A202" i="2" l="1"/>
  <c r="B201" i="2"/>
  <c r="A203" i="2" l="1"/>
  <c r="B202" i="2"/>
  <c r="A204" i="2" l="1"/>
  <c r="B203" i="2"/>
  <c r="A205" i="2" l="1"/>
  <c r="B204" i="2"/>
  <c r="A206" i="2" l="1"/>
  <c r="B205" i="2"/>
  <c r="A207" i="2" l="1"/>
  <c r="B206" i="2"/>
  <c r="A208" i="2" l="1"/>
  <c r="B207" i="2"/>
  <c r="A209" i="2" l="1"/>
  <c r="B208" i="2"/>
  <c r="A210" i="2" l="1"/>
  <c r="B209" i="2"/>
  <c r="A211" i="2" l="1"/>
  <c r="B210" i="2"/>
  <c r="A212" i="2" l="1"/>
  <c r="B211" i="2"/>
  <c r="A213" i="2" l="1"/>
  <c r="B212" i="2"/>
  <c r="A214" i="2" l="1"/>
  <c r="B213" i="2"/>
  <c r="A215" i="2" l="1"/>
  <c r="B214" i="2"/>
  <c r="A216" i="2" l="1"/>
  <c r="B215" i="2"/>
  <c r="A217" i="2" l="1"/>
  <c r="B216" i="2"/>
  <c r="A218" i="2" l="1"/>
  <c r="B217" i="2"/>
  <c r="A219" i="2" l="1"/>
  <c r="B218" i="2"/>
  <c r="A220" i="2" l="1"/>
  <c r="B219" i="2"/>
  <c r="A221" i="2" l="1"/>
  <c r="B220" i="2"/>
  <c r="A222" i="2" l="1"/>
  <c r="B221" i="2"/>
  <c r="A223" i="2" l="1"/>
  <c r="B222" i="2"/>
  <c r="A224" i="2" l="1"/>
  <c r="B223" i="2"/>
  <c r="A225" i="2" l="1"/>
  <c r="B224" i="2"/>
  <c r="A226" i="2" l="1"/>
  <c r="B225" i="2"/>
  <c r="A227" i="2" l="1"/>
  <c r="B226" i="2"/>
  <c r="A228" i="2" l="1"/>
  <c r="B227" i="2"/>
  <c r="A229" i="2" l="1"/>
  <c r="B228" i="2"/>
  <c r="A230" i="2" l="1"/>
  <c r="B229" i="2"/>
  <c r="A231" i="2" l="1"/>
  <c r="B230" i="2"/>
  <c r="A232" i="2" l="1"/>
  <c r="B231" i="2"/>
  <c r="A233" i="2" l="1"/>
  <c r="B232" i="2"/>
  <c r="A234" i="2" l="1"/>
  <c r="B233" i="2"/>
  <c r="A235" i="2" l="1"/>
  <c r="B234" i="2"/>
  <c r="A236" i="2" l="1"/>
  <c r="B235" i="2"/>
  <c r="A237" i="2" l="1"/>
  <c r="B236" i="2"/>
  <c r="A238" i="2" l="1"/>
  <c r="B237" i="2"/>
  <c r="A239" i="2" l="1"/>
  <c r="B238" i="2"/>
  <c r="A240" i="2" l="1"/>
  <c r="B239" i="2"/>
  <c r="A241" i="2" l="1"/>
  <c r="B240" i="2"/>
  <c r="A242" i="2" l="1"/>
  <c r="B241" i="2"/>
  <c r="A243" i="2" l="1"/>
  <c r="B242" i="2"/>
  <c r="D9" i="2" l="1"/>
  <c r="D7" i="2"/>
  <c r="D10" i="2"/>
  <c r="D8" i="2"/>
  <c r="D6" i="2"/>
  <c r="D12" i="2"/>
  <c r="D11" i="2"/>
  <c r="D5" i="2"/>
  <c r="D13" i="2"/>
  <c r="D14" i="2"/>
  <c r="D16" i="2"/>
  <c r="D15" i="2"/>
  <c r="D17" i="2"/>
  <c r="D18" i="2"/>
  <c r="D20" i="2"/>
  <c r="D19" i="2"/>
  <c r="D22" i="2"/>
  <c r="D21" i="2"/>
  <c r="D23" i="2"/>
  <c r="D24" i="2"/>
  <c r="D25" i="2"/>
  <c r="D26" i="2"/>
  <c r="D27" i="2"/>
  <c r="D29" i="2"/>
  <c r="D28" i="2"/>
  <c r="D31" i="2"/>
  <c r="D30" i="2"/>
  <c r="D32" i="2"/>
  <c r="D33" i="2"/>
  <c r="D34" i="2"/>
  <c r="D35" i="2"/>
  <c r="D36" i="2"/>
  <c r="D37" i="2"/>
  <c r="D39" i="2"/>
  <c r="D38" i="2"/>
  <c r="D40" i="2"/>
  <c r="D42" i="2"/>
  <c r="D41" i="2"/>
  <c r="D43" i="2"/>
  <c r="D45" i="2"/>
  <c r="D44" i="2"/>
  <c r="D46" i="2"/>
  <c r="D47" i="2"/>
  <c r="D48" i="2"/>
  <c r="D49" i="2"/>
  <c r="D50" i="2"/>
  <c r="D53" i="2"/>
  <c r="D51" i="2"/>
  <c r="D54" i="2"/>
  <c r="D52" i="2"/>
  <c r="D56" i="2"/>
  <c r="D55" i="2"/>
  <c r="D59" i="2"/>
  <c r="D57" i="2"/>
  <c r="D58" i="2"/>
  <c r="D60" i="2"/>
  <c r="D61" i="2"/>
  <c r="D62" i="2"/>
  <c r="D63" i="2"/>
  <c r="D64" i="2"/>
  <c r="D65" i="2"/>
  <c r="D66" i="2"/>
  <c r="D68" i="2"/>
  <c r="D67" i="2"/>
  <c r="D69" i="2"/>
  <c r="D70" i="2"/>
  <c r="D71" i="2"/>
  <c r="D72" i="2"/>
  <c r="D73" i="2"/>
  <c r="D74" i="2"/>
  <c r="D76" i="2"/>
  <c r="D77" i="2"/>
  <c r="D75" i="2"/>
  <c r="D78" i="2"/>
  <c r="D79" i="2"/>
  <c r="D82" i="2"/>
  <c r="D80" i="2"/>
  <c r="D81" i="2"/>
  <c r="D83" i="2"/>
  <c r="D84" i="2"/>
  <c r="D85" i="2"/>
  <c r="D86" i="2"/>
  <c r="D87" i="2"/>
  <c r="D91" i="2"/>
  <c r="D89" i="2"/>
  <c r="D92" i="2"/>
  <c r="D88" i="2"/>
  <c r="D90" i="2"/>
  <c r="D93" i="2"/>
  <c r="D94" i="2"/>
  <c r="D95" i="2"/>
  <c r="D97" i="2"/>
  <c r="D96" i="2"/>
  <c r="D98" i="2"/>
  <c r="D99" i="2"/>
  <c r="D101" i="2"/>
  <c r="D103" i="2"/>
  <c r="D102" i="2"/>
  <c r="D100" i="2"/>
  <c r="D104" i="2"/>
  <c r="D106" i="2"/>
  <c r="D107" i="2"/>
  <c r="D105" i="2"/>
  <c r="D108" i="2"/>
  <c r="D109" i="2"/>
  <c r="D111" i="2"/>
  <c r="D110" i="2"/>
  <c r="D113" i="2"/>
  <c r="D112" i="2"/>
  <c r="D115" i="2"/>
  <c r="D114" i="2"/>
  <c r="D118" i="2"/>
  <c r="D116" i="2"/>
  <c r="D117" i="2"/>
  <c r="D119" i="2"/>
  <c r="D120" i="2"/>
  <c r="D121" i="2"/>
  <c r="D125" i="2"/>
  <c r="D122" i="2"/>
  <c r="D123" i="2"/>
  <c r="D126" i="2"/>
  <c r="D124" i="2"/>
  <c r="D127" i="2"/>
  <c r="D128" i="2"/>
  <c r="D129" i="2"/>
  <c r="D130" i="2"/>
  <c r="D131" i="2"/>
  <c r="D132" i="2"/>
  <c r="D133" i="2"/>
  <c r="D134" i="2"/>
  <c r="D135" i="2"/>
  <c r="D137" i="2"/>
  <c r="D136" i="2"/>
  <c r="D139" i="2"/>
  <c r="D138" i="2"/>
  <c r="D142" i="2"/>
  <c r="D140" i="2"/>
  <c r="D141" i="2"/>
  <c r="D4" i="2"/>
  <c r="A244" i="2"/>
  <c r="B243" i="2"/>
  <c r="F68" i="2" l="1"/>
  <c r="E68" i="2"/>
  <c r="F58" i="2"/>
  <c r="E58" i="2"/>
  <c r="F53" i="2"/>
  <c r="E53" i="2"/>
  <c r="E43" i="2"/>
  <c r="F43" i="2"/>
  <c r="E35" i="2"/>
  <c r="F35" i="2"/>
  <c r="F27" i="2"/>
  <c r="E27" i="2"/>
  <c r="F20" i="2"/>
  <c r="E20" i="2"/>
  <c r="F11" i="2"/>
  <c r="E11" i="2"/>
  <c r="E66" i="2"/>
  <c r="F66" i="2"/>
  <c r="F57" i="2"/>
  <c r="E57" i="2"/>
  <c r="E50" i="2"/>
  <c r="F50" i="2"/>
  <c r="F41" i="2"/>
  <c r="E41" i="2"/>
  <c r="E34" i="2"/>
  <c r="F34" i="2"/>
  <c r="E26" i="2"/>
  <c r="F26" i="2"/>
  <c r="F18" i="2"/>
  <c r="E18" i="2"/>
  <c r="E12" i="2"/>
  <c r="F12" i="2"/>
  <c r="F65" i="2"/>
  <c r="E65" i="2"/>
  <c r="E59" i="2"/>
  <c r="F59" i="2"/>
  <c r="F49" i="2"/>
  <c r="E49" i="2"/>
  <c r="E42" i="2"/>
  <c r="F42" i="2"/>
  <c r="F33" i="2"/>
  <c r="E33" i="2"/>
  <c r="E25" i="2"/>
  <c r="F25" i="2"/>
  <c r="F17" i="2"/>
  <c r="E17" i="2"/>
  <c r="F6" i="2"/>
  <c r="E6" i="2"/>
  <c r="F72" i="2"/>
  <c r="E72" i="2"/>
  <c r="E64" i="2"/>
  <c r="F64" i="2"/>
  <c r="E55" i="2"/>
  <c r="F55" i="2"/>
  <c r="E48" i="2"/>
  <c r="F48" i="2"/>
  <c r="F40" i="2"/>
  <c r="E40" i="2"/>
  <c r="E32" i="2"/>
  <c r="F32" i="2"/>
  <c r="F24" i="2"/>
  <c r="E24" i="2"/>
  <c r="F15" i="2"/>
  <c r="E15" i="2"/>
  <c r="E8" i="2"/>
  <c r="F8" i="2"/>
  <c r="E71" i="2"/>
  <c r="F71" i="2"/>
  <c r="F63" i="2"/>
  <c r="E63" i="2"/>
  <c r="F56" i="2"/>
  <c r="E56" i="2"/>
  <c r="E47" i="2"/>
  <c r="F47" i="2"/>
  <c r="E38" i="2"/>
  <c r="F38" i="2"/>
  <c r="E30" i="2"/>
  <c r="F30" i="2"/>
  <c r="F23" i="2"/>
  <c r="E23" i="2"/>
  <c r="F16" i="2"/>
  <c r="E16" i="2"/>
  <c r="E10" i="2"/>
  <c r="F10" i="2"/>
  <c r="E70" i="2"/>
  <c r="F70" i="2"/>
  <c r="F62" i="2"/>
  <c r="E62" i="2"/>
  <c r="E52" i="2"/>
  <c r="F52" i="2"/>
  <c r="F46" i="2"/>
  <c r="E46" i="2"/>
  <c r="E39" i="2"/>
  <c r="F39" i="2"/>
  <c r="E31" i="2"/>
  <c r="F31" i="2"/>
  <c r="E21" i="2"/>
  <c r="F21" i="2"/>
  <c r="F14" i="2"/>
  <c r="E14" i="2"/>
  <c r="F7" i="2"/>
  <c r="E7" i="2"/>
  <c r="E69" i="2"/>
  <c r="F69" i="2"/>
  <c r="F61" i="2"/>
  <c r="E61" i="2"/>
  <c r="E54" i="2"/>
  <c r="F54" i="2"/>
  <c r="F44" i="2"/>
  <c r="E44" i="2"/>
  <c r="E37" i="2"/>
  <c r="F37" i="2"/>
  <c r="E28" i="2"/>
  <c r="F28" i="2"/>
  <c r="F22" i="2"/>
  <c r="E22" i="2"/>
  <c r="E13" i="2"/>
  <c r="F13" i="2"/>
  <c r="F9" i="2"/>
  <c r="E9" i="2"/>
  <c r="F67" i="2"/>
  <c r="E67" i="2"/>
  <c r="E60" i="2"/>
  <c r="F60" i="2"/>
  <c r="F51" i="2"/>
  <c r="E51" i="2"/>
  <c r="F45" i="2"/>
  <c r="E45" i="2"/>
  <c r="F36" i="2"/>
  <c r="E36" i="2"/>
  <c r="E29" i="2"/>
  <c r="F29" i="2"/>
  <c r="E19" i="2"/>
  <c r="F19" i="2"/>
  <c r="F5" i="2"/>
  <c r="E5" i="2"/>
  <c r="E4" i="2"/>
  <c r="F4" i="2"/>
  <c r="A245" i="2"/>
  <c r="B244" i="2"/>
  <c r="A246" i="2" l="1"/>
  <c r="B245" i="2"/>
  <c r="A247" i="2" l="1"/>
  <c r="B246" i="2"/>
  <c r="A248" i="2" l="1"/>
  <c r="B247" i="2"/>
  <c r="A249" i="2" l="1"/>
  <c r="B248" i="2"/>
  <c r="A250" i="2" l="1"/>
  <c r="B249" i="2"/>
  <c r="A251" i="2" l="1"/>
  <c r="B250" i="2"/>
  <c r="A252" i="2" l="1"/>
  <c r="B251" i="2"/>
  <c r="A253" i="2" l="1"/>
  <c r="B252" i="2"/>
  <c r="A254" i="2" l="1"/>
  <c r="B253" i="2"/>
  <c r="A255" i="2" l="1"/>
  <c r="B254" i="2"/>
  <c r="A256" i="2" l="1"/>
  <c r="B255" i="2"/>
  <c r="A257" i="2" l="1"/>
  <c r="B256" i="2"/>
  <c r="A258" i="2" l="1"/>
  <c r="B257" i="2"/>
  <c r="A259" i="2" l="1"/>
  <c r="B258" i="2"/>
  <c r="A260" i="2" l="1"/>
  <c r="B259" i="2"/>
  <c r="A261" i="2" l="1"/>
  <c r="B260" i="2"/>
  <c r="A262" i="2" l="1"/>
  <c r="B261" i="2"/>
  <c r="A263" i="2" l="1"/>
  <c r="B262" i="2"/>
  <c r="A264" i="2" l="1"/>
  <c r="B263" i="2"/>
  <c r="A265" i="2" l="1"/>
  <c r="B264" i="2"/>
  <c r="A266" i="2" l="1"/>
  <c r="B265" i="2"/>
  <c r="A267" i="2" l="1"/>
  <c r="B266" i="2"/>
  <c r="A268" i="2" l="1"/>
  <c r="B267" i="2"/>
  <c r="A269" i="2" l="1"/>
  <c r="B268" i="2"/>
  <c r="A270" i="2" l="1"/>
  <c r="B269" i="2"/>
  <c r="A271" i="2" l="1"/>
  <c r="B270" i="2"/>
  <c r="A272" i="2" l="1"/>
  <c r="B271" i="2"/>
  <c r="A273" i="2" l="1"/>
  <c r="B272" i="2"/>
  <c r="A274" i="2" l="1"/>
  <c r="B273" i="2"/>
  <c r="A275" i="2" l="1"/>
  <c r="B274" i="2"/>
  <c r="A276" i="2" l="1"/>
  <c r="B275" i="2"/>
  <c r="A277" i="2" l="1"/>
  <c r="B276" i="2"/>
  <c r="A278" i="2" l="1"/>
  <c r="B277" i="2"/>
  <c r="A279" i="2" l="1"/>
  <c r="B278" i="2"/>
  <c r="A280" i="2" l="1"/>
  <c r="B279" i="2"/>
  <c r="A281" i="2" l="1"/>
  <c r="B280" i="2"/>
  <c r="A282" i="2" l="1"/>
  <c r="B281" i="2"/>
  <c r="A283" i="2" l="1"/>
  <c r="B282" i="2"/>
  <c r="A284" i="2" l="1"/>
  <c r="B283" i="2"/>
  <c r="A285" i="2" l="1"/>
  <c r="B284" i="2"/>
  <c r="A286" i="2" l="1"/>
  <c r="B285" i="2"/>
  <c r="A287" i="2" l="1"/>
  <c r="B286" i="2"/>
  <c r="A288" i="2" l="1"/>
  <c r="B287" i="2"/>
  <c r="A289" i="2" l="1"/>
  <c r="B288" i="2"/>
  <c r="A290" i="2" l="1"/>
  <c r="B289" i="2"/>
  <c r="A291" i="2" l="1"/>
  <c r="B290" i="2"/>
  <c r="A292" i="2" l="1"/>
  <c r="B291" i="2"/>
  <c r="A293" i="2" l="1"/>
  <c r="B292" i="2"/>
  <c r="A294" i="2" l="1"/>
  <c r="B293" i="2"/>
  <c r="A295" i="2" l="1"/>
  <c r="B295" i="2" s="1"/>
  <c r="B294" i="2"/>
</calcChain>
</file>

<file path=xl/sharedStrings.xml><?xml version="1.0" encoding="utf-8"?>
<sst xmlns="http://schemas.openxmlformats.org/spreadsheetml/2006/main" count="421" uniqueCount="217">
  <si>
    <t>Sentence</t>
  </si>
  <si>
    <t>No</t>
  </si>
  <si>
    <t>Type</t>
  </si>
  <si>
    <t>Viet</t>
  </si>
  <si>
    <t>Eng</t>
  </si>
  <si>
    <t>Phon</t>
  </si>
  <si>
    <t>From</t>
  </si>
  <si>
    <t>To</t>
  </si>
  <si>
    <t>ID</t>
  </si>
  <si>
    <t>Link</t>
  </si>
  <si>
    <t>Copy Google drive to …</t>
  </si>
  <si>
    <t>Struc</t>
  </si>
  <si>
    <t>1.3</t>
  </si>
  <si>
    <t>1.1</t>
  </si>
  <si>
    <t>1.2</t>
  </si>
  <si>
    <t>2.1</t>
  </si>
  <si>
    <t>2.3</t>
  </si>
  <si>
    <t>2.2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</si>
  <si>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</si>
  <si>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</si>
  <si>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</si>
  <si>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</si>
  <si>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</si>
  <si>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</si>
  <si>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</si>
  <si>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</si>
  <si>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</si>
  <si>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</si>
  <si>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</si>
  <si>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</si>
  <si>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</si>
  <si>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</si>
  <si>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</si>
  <si>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</si>
  <si>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</si>
  <si>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</si>
  <si>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</si>
  <si>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</si>
  <si>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</si>
  <si>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01-05</t>
  </si>
  <si>
    <t>Man</t>
  </si>
  <si>
    <t>Woman</t>
  </si>
  <si>
    <t>4.4</t>
  </si>
  <si>
    <t>5.4</t>
  </si>
  <si>
    <t>7.4</t>
  </si>
  <si>
    <t>8.4</t>
  </si>
  <si>
    <t>p</t>
  </si>
  <si>
    <t>TOPIC: AT HOME</t>
  </si>
  <si>
    <t>We should get in the habit of going to bed early.</t>
  </si>
  <si>
    <t>wi: ʃʊd gɛt ɪn ðə ˈhæbɪt ʌv ˈgoʊɪŋ tu: bɛd ˈɜ:rli</t>
  </si>
  <si>
    <t>You should get in the habit of eating less sugar.</t>
  </si>
  <si>
    <t>ju: ʃʊd gɛt ɪn ðə ˈhæbɪt ʌv ˈi:tɪŋ lɛs ˈʃʊgər</t>
  </si>
  <si>
    <t>You should get in the habit of eating more vegetables.</t>
  </si>
  <si>
    <t>ju: ʃʊd gɛt ɪn ðə ˈhæbɪt ʌv ˈi:tɪŋ mɔ:r ˈvɛʤtəbəlz</t>
  </si>
  <si>
    <t>You should get in the habit of drinking two liters of water a day.</t>
  </si>
  <si>
    <t>ju: ʃʊd gɛt ɪn ðə ˈhæbɪt ʌv ˈdrɪŋkɪŋ tu: ˈli:tərz ʌv ˈwa:tər ə deɪ</t>
  </si>
  <si>
    <t>You should get in the habit of reading book everyday.</t>
  </si>
  <si>
    <t>ju: ʃʊd gɛt ɪn ðə ˈhæbɪt ʌv ˈriːdɪŋ bʊk ˈevrideɪ</t>
  </si>
  <si>
    <t>You can feel better when you sleep well.</t>
  </si>
  <si>
    <t>ju: kæn fi:l ˈbɛtər wɛn ju: sli:p wɛl</t>
  </si>
  <si>
    <t>You can focus better when you get enough sleep.</t>
  </si>
  <si>
    <t>ju: kæn ˈfoʊkəs ˈbɛtər wɛn ju: gɛt ɪˈnʌf sli:p</t>
  </si>
  <si>
    <t>Your skin looks better when you sleep eight hours a night.</t>
  </si>
  <si>
    <t>jʊr skɪn lʊks ˈbɛtər wɛn ju: sli:p eɪt ˈaʊərz ə naɪt</t>
  </si>
  <si>
    <t>You can feel better when you exercise regularly.</t>
  </si>
  <si>
    <t>ju: kæn fi:l ˈbɛtər wɛn ju: ˈɛksərsaɪz ˈrɛgjələrli</t>
  </si>
  <si>
    <t>Your work can suffer when you don’t get enough sleep.</t>
  </si>
  <si>
    <t>jʊr wɜ:rk kæn ˈsʌfər wɛn ju: doʊnt gɛt ɪˈnʌf sli:p</t>
  </si>
  <si>
    <t>My parents nag me all the time.</t>
  </si>
  <si>
    <t>maɪ ˈpɛrənts næg mi: a:l ðə taɪm</t>
  </si>
  <si>
    <t>I wish you’d stop nagging.</t>
  </si>
  <si>
    <t>aɪ wɪʃ ju:d sta:p ˈnægɪŋ</t>
  </si>
  <si>
    <t>My mom always nags me about my weight.</t>
  </si>
  <si>
    <t>maɪ ma:m ˈa:lweɪz nægz mi: əˈbaʊt maɪ weɪt</t>
  </si>
  <si>
    <t>It’s your turn to cut the grass.</t>
  </si>
  <si>
    <t>ɪts jʊr tɜ:rn tu: kʌt ðə græs</t>
  </si>
  <si>
    <t>It’s your turn to wash the dishes.</t>
  </si>
  <si>
    <t>ɪts jʊr tɜ:rn tu: wa:ʃ ðə ˈdɪʃɪz</t>
  </si>
  <si>
    <t>It’s your turn to cook.</t>
  </si>
  <si>
    <t>ɪts jʊr tɜ:rn tu: kʊk</t>
  </si>
  <si>
    <t>It’s your turn to mop the floor.</t>
  </si>
  <si>
    <t>ɪts jʊr tɜ:rn tu: ma:p ðə flɔ:r</t>
  </si>
  <si>
    <t>It’s your turn to do the laundry.</t>
  </si>
  <si>
    <t>ɪts jʊr tɜ:rn tu: du: ðə ˈlaːndri</t>
  </si>
  <si>
    <t>We’re almost out of toothpaste.</t>
  </si>
  <si>
    <t>wɪr ˈa:lmoʊst aʊt ʌv ˈtu:θpeɪst</t>
  </si>
  <si>
    <t>We’re almost out of salt.</t>
  </si>
  <si>
    <t>wɪr ˈa:lmoʊst aʊt ʌv saːlt</t>
  </si>
  <si>
    <t>We’re almost out of fish sauce.</t>
  </si>
  <si>
    <t>wɪr ˈa:lmoʊst aʊt ʌv fɪʃ sɔːs</t>
  </si>
  <si>
    <t>We’re almost out of toilet paper.</t>
  </si>
  <si>
    <t>wɪr ˈa:lmoʊst aʊt ʌv ˈtɔɪlət ˈpeɪpər</t>
  </si>
  <si>
    <t>I don’t feel like cooking tonight.</t>
  </si>
  <si>
    <t>aɪ doʊnt fi:l laɪk ˈkʊkɪŋ təˈnaɪt</t>
  </si>
  <si>
    <t>I don’t feel like doing anything today.</t>
  </si>
  <si>
    <t>aɪ doʊnt fi:l laɪk ˈdu:ɪŋ ˈɛniθɪŋ təˈdeɪ</t>
  </si>
  <si>
    <t>I don’t feel like eating tonight.</t>
  </si>
  <si>
    <t>aɪ doʊnt fi:l laɪk ˈi:tɪŋ təˈnaɪt</t>
  </si>
  <si>
    <t>He doesn’t feel like going out tonight.</t>
  </si>
  <si>
    <t>hi: ˈdʌzənt fi:l laɪk ˈgoʊɪŋ aʊt təˈnaɪt</t>
  </si>
  <si>
    <t>Do you feel like trying some vendor food?</t>
  </si>
  <si>
    <t>du: ju: fi:l laɪk ˈtraɪɪŋ sʌm ˈvɛndər fu:d</t>
  </si>
  <si>
    <t>Do you feel like trying something new?</t>
  </si>
  <si>
    <t>du: ju: fi:l laɪk ˈtraɪɪŋ ˈsʌmθɪŋ nu:</t>
  </si>
  <si>
    <t>Do you feel like trying different color?</t>
  </si>
  <si>
    <t>du: ju: fi:l laɪk ˈtraɪɪŋ ˈdɪfərənt ˈkʌlər</t>
  </si>
  <si>
    <t>Do you feel like trying different dish?</t>
  </si>
  <si>
    <t>du: ju: fi:l laɪk ˈtraɪɪŋ ˈdɪfərənt dɪʃ</t>
  </si>
  <si>
    <t>I still have room for chicken nuggets.</t>
  </si>
  <si>
    <t>aɪ stɪl hæv ru:m fɔ:r ˈtʃɪkɪn ˈnʌgɪts</t>
  </si>
  <si>
    <t>I still have room for lunch.</t>
  </si>
  <si>
    <t>aɪ stɪl hæv ru:m fɔ:r lʌnʧ</t>
  </si>
  <si>
    <t>Do you still have room for dinner?</t>
  </si>
  <si>
    <t>du: ju: stɪl hæv ru:m fɔ:r ˈdɪnər</t>
  </si>
  <si>
    <t>I’m full but I still have room for chips.</t>
  </si>
  <si>
    <t>aɪm fʊl bʌt aɪ stɪl hæv ru:m fɔ:r ʧɪps</t>
  </si>
  <si>
    <t>You seem upset, has something happened?</t>
  </si>
  <si>
    <t>ju: si:m ʌpˈset hæz ˈsʌmθɪŋ ˈhæpənd</t>
  </si>
  <si>
    <t>You seem agitated, has something happened?</t>
  </si>
  <si>
    <t>ju: si:m ˈædʒəteɪtɪd hæz ˈsʌmθɪŋ ˈhæpənd</t>
  </si>
  <si>
    <t>You seem angry, has something happened?</t>
  </si>
  <si>
    <t>ju: si:m ˈæŋɡri hæz ˈsʌmθɪŋ ˈhæpənd</t>
  </si>
  <si>
    <t>Chúng ta nên tập thói quen đi ngủ sớm.</t>
  </si>
  <si>
    <t>Bạn nên tập thói quen ăn ít đường lại.</t>
  </si>
  <si>
    <t>Bạn nên tập thói quen ăn nhiều rau hơn.</t>
  </si>
  <si>
    <t>Bạn nên tập thói quen uống hai lít nước mỗi ngày.</t>
  </si>
  <si>
    <t>Bạn nên tập thói quen đọc sách mỗi ngày.</t>
  </si>
  <si>
    <t>Bạn có thể thấy tốt hơn khi bạn ngủ ngon giấc.</t>
  </si>
  <si>
    <t>Bạn có thể tập trung tốt hơn khi bạn ngủ đủ giấc.</t>
  </si>
  <si>
    <t>Da bạn sẽ đẹp hơn khi bạn ngủ 8 tiếng mỗi đêm.</t>
  </si>
  <si>
    <t>Bạn có thể thấy khoẻ hơn khi bạn tập thể dục đều đặn.</t>
  </si>
  <si>
    <t>Công việc của bạn sẽ kém đi khi bạn không ngủ đủ giấc.</t>
  </si>
  <si>
    <t>Ba mẹ cứ cằn nhằn tôi miếc.</t>
  </si>
  <si>
    <t>Anh chỉ mong em đừng cằn nhằn nữa.</t>
  </si>
  <si>
    <t>Mẹ tôi luôn cằn nhằn về cân nặng của tôi.</t>
  </si>
  <si>
    <t>Đến lượt anh cắt cỏ.</t>
  </si>
  <si>
    <t>Đến lượt em rửa chén.</t>
  </si>
  <si>
    <t>Đến lượt anh nấu ăn.</t>
  </si>
  <si>
    <t>Đến lượt anh lau nhà.</t>
  </si>
  <si>
    <t>Đến lượt em giặt đồ.</t>
  </si>
  <si>
    <t>Chúng ta gần hết kem đánh răng rồi.</t>
  </si>
  <si>
    <t>Chúng ta gần hết muối rồi.</t>
  </si>
  <si>
    <t>Chúng ta gần hết nước mắm rồi.</t>
  </si>
  <si>
    <t>Chúng ta gần hết giấy vệ sinh rồi.</t>
  </si>
  <si>
    <t>Tối nay em không muốn nấu ăn.</t>
  </si>
  <si>
    <t>Hôm nay em không muốn làm gì cả.</t>
  </si>
  <si>
    <t>Tối nay em không muốn ăn.</t>
  </si>
  <si>
    <t>Anh ấy không muốn đi ra ngoài vào tối nay.</t>
  </si>
  <si>
    <t>Em có muốn thử ăn hàng rong không?</t>
  </si>
  <si>
    <t>Anh có muốn thử cái gì đó mới không?</t>
  </si>
  <si>
    <t>Bạn có muốn thử màu khác không?</t>
  </si>
  <si>
    <t>Em có muốn thử món khác không?</t>
  </si>
  <si>
    <t>Con vẫn còn bụng để ăn mấy miếng gà rút xương.</t>
  </si>
  <si>
    <t>Em vẫn còn bụng cho bữa trưa.</t>
  </si>
  <si>
    <t>Anh còn bụng cho bữa tối không?</t>
  </si>
  <si>
    <t>Tôi no rồi, nhưng vẫn còn bụng cho khoai tây chiên.</t>
  </si>
  <si>
    <t>Dường như anh có vẻ đau buồn, có chuyện gì sao?</t>
  </si>
  <si>
    <t>Dường như anh lo lắng, có chuyện gì sao?</t>
  </si>
  <si>
    <t>Dường như anh có vẻ cáu giận, có chuyện gì hả?</t>
  </si>
  <si>
    <t>S + SHOULD GET IN THE HABIT OF... /Ai đó nên tập thói quen.../</t>
  </si>
  <si>
    <t>YOU CAN... WHEN YOU... /Bạn có thể... khi bạn…/</t>
  </si>
  <si>
    <t>….NAG SOMEONE... /…cằn nhằn ai đó.../</t>
  </si>
  <si>
    <t>IT’S YOUR TURN TO + VERB /Đến lượt anh…/</t>
  </si>
  <si>
    <t>S + TO BE ALMOST OUT OF + N /Gần hết cái gì đó/</t>
  </si>
  <si>
    <t>S + DON’T/DOESN’T FEEL LIKE + V-ING… /Không muốn làm gì đó/</t>
  </si>
  <si>
    <t>DO YOU FEEL LIKE TRYING...? /Em có muốn thử.../</t>
  </si>
  <si>
    <t>S + STILL HAVE/HAS ROOM FOR... /Ai vẫn còn chỗ/vẫn còn bụng cho…/</t>
  </si>
  <si>
    <t>YOU SEEM + TÍNH TỪ, HAS SOMETHING HAPPENED? /Dường như…, có chuyện gì sao?/</t>
  </si>
  <si>
    <t>1.4</t>
  </si>
  <si>
    <t>1.5</t>
  </si>
  <si>
    <t>2.4</t>
  </si>
  <si>
    <t>2.5</t>
  </si>
  <si>
    <t>4.5</t>
  </si>
  <si>
    <t>6.4</t>
  </si>
  <si>
    <t>06-09</t>
  </si>
  <si>
    <t>https://drive.google.com/file/d/1EUEwBv_Azfhs7iLZkzMl4yHtAOMLZyVX/view?usp=sharing</t>
  </si>
  <si>
    <t>https://drive.google.com/file/d/1MlqjNq8kQ94dYJweu5oPBrFx0I93Yyeo/view?usp=sharing</t>
  </si>
  <si>
    <t>https://drive.google.com/file/d/1SeIJlTweNW1_IyLqcY34YuKkzysG0g4j/view?usp=sharing</t>
  </si>
  <si>
    <t>https://drive.google.com/file/d/1cpT1V0nph64P_jIEXen2_Elf_6juUjLu/view?usp=sharing</t>
  </si>
  <si>
    <t>https://drive.google.com/file/d/1kwClC1wSsTrVRfYVZv91B7GQmqUKo0n-/view?usp=sharing</t>
  </si>
  <si>
    <t>https://drive.google.com/file/d/190CxmSvCqUXTiJB0vKpvTSxHOfd9-ugK/view?usp=sharing</t>
  </si>
  <si>
    <t>https://drive.google.com/file/d/1q_VEFhV42JL3iG1YDJz2lFtdk8gHcSM1/view?usp=sharing</t>
  </si>
  <si>
    <t>https://drive.google.com/file/d/1M2C3kZJPCE9ds51Hc3PJD4T-S7qxjRZI/view?usp=sharing</t>
  </si>
  <si>
    <t>https://drive.google.com/file/d/1p15eoz1B0og3wMHeNX6siiPbbGv3-ep9/view?usp=sharing</t>
  </si>
  <si>
    <t>https://drive.google.com/file/d/16HD5I-PAnqXzU1yCAmvjIZY0TD8LMUPi/view?usp=sharing</t>
  </si>
  <si>
    <t>https://drive.google.com/file/d/1OX5ZhzBSYvhsYQ453S2zeXUDeqdL6GXK/view?usp=sharing</t>
  </si>
  <si>
    <t>https://drive.google.com/file/d/1md-VahdksxLlOJsQCZZAwT8bZBs21_JB/view?usp=sharing</t>
  </si>
  <si>
    <t>https://drive.google.com/file/d/1W2gnUPybXDKAKnHpi_O3qXlH-JGySOGW/view?usp=sharing</t>
  </si>
  <si>
    <t>https://drive.google.com/file/d/1xMa5hyFWEx4ECFu2QQEEevvDsTGaXCu3/view?usp=sharing</t>
  </si>
  <si>
    <t>https://drive.google.com/file/d/1tm4Gnp4Mc1R_e0cAvtW0nRkB2RNR8TJe/view?usp=sharing</t>
  </si>
  <si>
    <t>https://drive.google.com/file/d/1hudp3O_q8Tdd_w7ZG93Nr57puvad2U7B/view?usp=sharing</t>
  </si>
  <si>
    <t>https://drive.google.com/file/d/1Ysqk608y9XWGZ5GwRGfei6JM4X_z2djQ/view?usp=sharing</t>
  </si>
  <si>
    <t>https://drive.google.com/file/d/1mDQ_WXrwVEegUfubbbcdIn83wkNtrLkl/view?usp=sharing</t>
  </si>
  <si>
    <t>https://drive.google.com/file/d/1WvpeOQQZyGQrbpSpngApp4J7-9sreG5v/view?usp=sharing</t>
  </si>
  <si>
    <t>https://drive.google.com/file/d/1QJqf8HdWqsdgZdYfv7MHDCs55RRqf3-g/view?usp=sharing</t>
  </si>
  <si>
    <t>https://drive.google.com/file/d/1NtQ4ZGBV9JHqBOCLhc2KI0dQWTb_hkbd/view?usp=sharing</t>
  </si>
  <si>
    <t>https://drive.google.com/file/d/1O04orj2O75hH7wv-4gfM2W-2mlodkXse/view?usp=sharing</t>
  </si>
  <si>
    <t>https://drive.google.com/file/d/1M9lf3OdKptlmxQu9QvOltuyukcyFqb8Z/view?usp=sharing</t>
  </si>
  <si>
    <t>https://drive.google.com/file/d/1PzTlZOBZqm5Aul-7lINgCjDC7gmhDi3u/view?usp=sharing</t>
  </si>
  <si>
    <t>https://drive.google.com/file/d/1GLUtk4k8d9VJTp_JMi2GzGhbV2Symurq/view?usp=sharing</t>
  </si>
  <si>
    <t>https://drive.google.com/file/d/1EtkXwkNT-X0oZ5qA4w8KLTuMG1bg1SO6/view?usp=sharing</t>
  </si>
  <si>
    <t>https://drive.google.com/file/d/10ZsUs4hoFuTC4muY_TccrHmIP40m6kPO/view?usp=sharing</t>
  </si>
  <si>
    <t>https://drive.google.com/file/d/1n6Yun3uL7YDvei7GgizFwmVM9xI7diEm/view?usp=sharing</t>
  </si>
  <si>
    <t>https://drive.google.com/file/d/1xgl9N_RU2r8Ab0d00xmjEQsvo5Bn5W8i/view?usp=sharing</t>
  </si>
  <si>
    <t>https://drive.google.com/file/d/15z_jqzpC4BFyPGxMuloQcG3sXCWaBgBv/view?usp=sharing</t>
  </si>
  <si>
    <t>https://drive.google.com/file/d/1v-NpunXTiboHLcEyI_kaGy1BCn0JkPYf/view?usp=sharing</t>
  </si>
  <si>
    <t>https://drive.google.com/file/d/1Zg87SjsVf6Qz-SHPH6wUeivBq_fIpBAz/view?usp=sharing</t>
  </si>
  <si>
    <t>https://drive.google.com/file/d/1lk2qAacn5UwVowMIDvkkn4YVGbi5LClC/view?usp=sharing</t>
  </si>
  <si>
    <t>https://drive.google.com/file/d/1G-lEpOwUFfnJhjBm2QqPJKP5ywH3kqZs/view?usp=sharing</t>
  </si>
  <si>
    <t>https://drive.google.com/file/d/19fj7np5nSo8Alcx0TPTGLyfTSRPLt5Cm/view?usp=sharing</t>
  </si>
  <si>
    <t>https://drive.google.com/file/d/1uB3PO3nq1poxlOc5fSrQToo_oTz6bv8L/view?usp=sharing</t>
  </si>
  <si>
    <t>https://drive.google.com/file/d/1unw9bz9V_6_kiUvAniWyXZ-laHYH4dA6/view?usp=sharing</t>
  </si>
  <si>
    <t>k</t>
  </si>
  <si>
    <t>https://drive.google.com/file/d/1LKgh_q2mt_AZMy1WT6LYZlYzAit_8BdL/view?usp=sharing</t>
  </si>
  <si>
    <t>https://drive.google.com/file/d/1DSjExOEA3oqHmLgEnME5-urB9iOR9874/view?usp=sharing</t>
  </si>
  <si>
    <t>01-09</t>
  </si>
  <si>
    <t>https://drive.google.com/file/d/1v-P7zZ-ycJFQSn_ZrN3BGTr1nQda6NeA/view?usp=sharing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</si>
</sst>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0" xfId="1" applyFill="1"/>
    <xf numFmtId="49" fontId="0" fillId="0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/>
    <xf numFmtId="0" fontId="4" fillId="2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/>
    <xf numFmtId="0" fontId="4" fillId="3" borderId="0" xfId="0" applyFont="1" applyFill="1"/>
    <xf numFmtId="0" fontId="5" fillId="0" borderId="0" xfId="1" applyFo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G-lEpOwUFfnJhjBm2QqPJKP5ywH3kqZs/view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9D1B-A452-401C-9733-8750E50DAAFC}">
  <dimension ref="A2:H123"/>
  <sheetViews>
    <sheetView showGridLines="0" topLeftCell="A91" zoomScale="81" zoomScaleNormal="81" workbookViewId="0">
      <selection activeCell="F111" sqref="F111"/>
    </sheetView>
  </sheetViews>
  <sheetFormatPr defaultRowHeight="13.8" x14ac:dyDescent="0.25"/>
  <cols>
    <col min="1" max="1" width="5.296875" style="15" customWidth="1"/>
    <col min="2" max="2" width="7.3984375" style="15" customWidth="1"/>
    <col min="3" max="3" width="8.8984375" style="15" customWidth="1"/>
    <col min="4" max="4" width="64.3984375" style="11" customWidth="1"/>
    <col min="5" max="5" width="8.8984375" style="15" customWidth="1"/>
    <col min="6" max="6" width="49.19921875" style="11" customWidth="1"/>
    <col min="7" max="7" width="7.296875" style="21" customWidth="1"/>
    <col min="8" max="8" width="79.5" style="21" bestFit="1" customWidth="1"/>
    <col min="9" max="16384" width="8.796875" style="21"/>
  </cols>
  <sheetData>
    <row r="2" spans="1:8" x14ac:dyDescent="0.25">
      <c r="B2" s="11" t="s">
        <v>47</v>
      </c>
      <c r="E2" s="11"/>
    </row>
    <row r="3" spans="1:8" x14ac:dyDescent="0.25">
      <c r="A3" s="15" t="s">
        <v>1</v>
      </c>
      <c r="B3" s="12" t="s">
        <v>1</v>
      </c>
      <c r="C3" s="12" t="s">
        <v>8</v>
      </c>
      <c r="D3" s="19" t="s">
        <v>0</v>
      </c>
      <c r="E3" s="12" t="s">
        <v>2</v>
      </c>
      <c r="F3" s="19" t="s">
        <v>9</v>
      </c>
      <c r="G3" s="15" t="s">
        <v>8</v>
      </c>
      <c r="H3" s="22" t="s">
        <v>10</v>
      </c>
    </row>
    <row r="4" spans="1:8" s="10" customFormat="1" x14ac:dyDescent="0.25">
      <c r="A4" s="15"/>
      <c r="B4" s="13">
        <v>1</v>
      </c>
      <c r="C4" s="14" t="str">
        <f>B4&amp;E4</f>
        <v>1Struc</v>
      </c>
      <c r="D4" s="20" t="s">
        <v>159</v>
      </c>
      <c r="E4" s="14" t="s">
        <v>11</v>
      </c>
      <c r="F4" s="20" t="str">
        <f>IF(G4="","","https://docs.google.com/uc?export=download&amp;id="&amp;G4)</f>
        <v/>
      </c>
      <c r="G4" s="9"/>
      <c r="H4" s="21"/>
    </row>
    <row r="5" spans="1:8" x14ac:dyDescent="0.25">
      <c r="B5" s="24" t="s">
        <v>13</v>
      </c>
      <c r="C5" s="24" t="str">
        <f t="shared" ref="C5:C68" si="0">B5&amp;E5</f>
        <v>1.1Viet</v>
      </c>
      <c r="D5" s="25" t="s">
        <v>122</v>
      </c>
      <c r="E5" s="24" t="s">
        <v>3</v>
      </c>
      <c r="F5" s="20" t="str">
        <f t="shared" ref="F5:F68" si="1">IF(G5="","","https://docs.google.com/uc?export=download&amp;id="&amp;G5)</f>
        <v/>
      </c>
      <c r="G5" s="23" t="str">
        <f>IFERROR(LEFT(RIGHT(H5,LEN(H5)-32),LEN(RIGHT(H5,LEN(H5)-32))-17),"")</f>
        <v/>
      </c>
    </row>
    <row r="6" spans="1:8" x14ac:dyDescent="0.25">
      <c r="A6" s="15">
        <v>1</v>
      </c>
      <c r="B6" s="24" t="s">
        <v>13</v>
      </c>
      <c r="C6" s="24" t="str">
        <f t="shared" si="0"/>
        <v>1.1Eng</v>
      </c>
      <c r="D6" s="25" t="s">
        <v>48</v>
      </c>
      <c r="E6" s="24" t="s">
        <v>4</v>
      </c>
      <c r="F6" s="20" t="str">
        <f t="shared" si="1"/>
        <v>https://docs.google.com/uc?export=download&amp;id=1EUEwBv_Azfhs7iLZkzMl4yHtAOMLZyVX</v>
      </c>
      <c r="G6" s="23" t="str">
        <f t="shared" ref="G6:G69" si="2">IFERROR(LEFT(RIGHT(H6,LEN(H6)-32),LEN(RIGHT(H6,LEN(H6)-32))-17),"")</f>
        <v>1EUEwBv_Azfhs7iLZkzMl4yHtAOMLZyVX</v>
      </c>
      <c r="H6" s="21" t="s">
        <v>175</v>
      </c>
    </row>
    <row r="7" spans="1:8" x14ac:dyDescent="0.25">
      <c r="B7" s="24" t="s">
        <v>13</v>
      </c>
      <c r="C7" s="24" t="str">
        <f t="shared" si="0"/>
        <v>1.1Phon</v>
      </c>
      <c r="D7" s="25" t="s">
        <v>49</v>
      </c>
      <c r="E7" s="24" t="s">
        <v>5</v>
      </c>
      <c r="F7" s="20" t="str">
        <f t="shared" si="1"/>
        <v/>
      </c>
      <c r="G7" s="23" t="str">
        <f t="shared" si="2"/>
        <v/>
      </c>
    </row>
    <row r="8" spans="1:8" x14ac:dyDescent="0.25">
      <c r="B8" s="24" t="s">
        <v>14</v>
      </c>
      <c r="C8" s="24" t="str">
        <f t="shared" si="0"/>
        <v>1.2Viet</v>
      </c>
      <c r="D8" s="25" t="s">
        <v>123</v>
      </c>
      <c r="E8" s="24" t="s">
        <v>3</v>
      </c>
      <c r="F8" s="20" t="str">
        <f t="shared" si="1"/>
        <v/>
      </c>
      <c r="G8" s="23" t="str">
        <f t="shared" si="2"/>
        <v/>
      </c>
    </row>
    <row r="9" spans="1:8" x14ac:dyDescent="0.25">
      <c r="A9" s="15">
        <v>2</v>
      </c>
      <c r="B9" s="24" t="s">
        <v>14</v>
      </c>
      <c r="C9" s="24" t="str">
        <f t="shared" si="0"/>
        <v>1.2Eng</v>
      </c>
      <c r="D9" s="25" t="s">
        <v>50</v>
      </c>
      <c r="E9" s="24" t="s">
        <v>4</v>
      </c>
      <c r="F9" s="20" t="str">
        <f t="shared" si="1"/>
        <v>https://docs.google.com/uc?export=download&amp;id=1MlqjNq8kQ94dYJweu5oPBrFx0I93Yyeo</v>
      </c>
      <c r="G9" s="23" t="str">
        <f t="shared" si="2"/>
        <v>1MlqjNq8kQ94dYJweu5oPBrFx0I93Yyeo</v>
      </c>
      <c r="H9" s="21" t="s">
        <v>176</v>
      </c>
    </row>
    <row r="10" spans="1:8" x14ac:dyDescent="0.25">
      <c r="B10" s="24" t="s">
        <v>14</v>
      </c>
      <c r="C10" s="24" t="str">
        <f t="shared" si="0"/>
        <v>1.2Phon</v>
      </c>
      <c r="D10" s="25" t="s">
        <v>51</v>
      </c>
      <c r="E10" s="24" t="s">
        <v>5</v>
      </c>
      <c r="F10" s="20" t="str">
        <f t="shared" si="1"/>
        <v/>
      </c>
      <c r="G10" s="23" t="str">
        <f t="shared" si="2"/>
        <v/>
      </c>
    </row>
    <row r="11" spans="1:8" x14ac:dyDescent="0.25">
      <c r="B11" s="24" t="s">
        <v>12</v>
      </c>
      <c r="C11" s="24" t="str">
        <f t="shared" si="0"/>
        <v>1.3Viet</v>
      </c>
      <c r="D11" s="25" t="s">
        <v>124</v>
      </c>
      <c r="E11" s="24" t="s">
        <v>3</v>
      </c>
      <c r="F11" s="20" t="str">
        <f t="shared" si="1"/>
        <v/>
      </c>
      <c r="G11" s="23" t="str">
        <f t="shared" si="2"/>
        <v/>
      </c>
    </row>
    <row r="12" spans="1:8" x14ac:dyDescent="0.25">
      <c r="A12" s="15">
        <v>3</v>
      </c>
      <c r="B12" s="24" t="s">
        <v>12</v>
      </c>
      <c r="C12" s="24" t="str">
        <f t="shared" si="0"/>
        <v>1.3Eng</v>
      </c>
      <c r="D12" s="25" t="s">
        <v>52</v>
      </c>
      <c r="E12" s="24" t="s">
        <v>4</v>
      </c>
      <c r="F12" s="20" t="str">
        <f t="shared" si="1"/>
        <v>https://docs.google.com/uc?export=download&amp;id=1SeIJlTweNW1_IyLqcY34YuKkzysG0g4j</v>
      </c>
      <c r="G12" s="23" t="str">
        <f t="shared" si="2"/>
        <v>1SeIJlTweNW1_IyLqcY34YuKkzysG0g4j</v>
      </c>
      <c r="H12" s="21" t="s">
        <v>177</v>
      </c>
    </row>
    <row r="13" spans="1:8" x14ac:dyDescent="0.25">
      <c r="B13" s="24" t="s">
        <v>12</v>
      </c>
      <c r="C13" s="24" t="str">
        <f t="shared" si="0"/>
        <v>1.3Phon</v>
      </c>
      <c r="D13" s="25" t="s">
        <v>53</v>
      </c>
      <c r="E13" s="24" t="s">
        <v>5</v>
      </c>
      <c r="F13" s="20" t="str">
        <f t="shared" si="1"/>
        <v/>
      </c>
      <c r="G13" s="23" t="str">
        <f t="shared" si="2"/>
        <v/>
      </c>
    </row>
    <row r="14" spans="1:8" x14ac:dyDescent="0.25">
      <c r="B14" s="24" t="s">
        <v>168</v>
      </c>
      <c r="C14" s="24" t="str">
        <f t="shared" si="0"/>
        <v>1.4Viet</v>
      </c>
      <c r="D14" s="25" t="s">
        <v>125</v>
      </c>
      <c r="E14" s="24" t="s">
        <v>3</v>
      </c>
      <c r="F14" s="20" t="str">
        <f t="shared" si="1"/>
        <v/>
      </c>
      <c r="G14" s="23" t="str">
        <f t="shared" si="2"/>
        <v/>
      </c>
    </row>
    <row r="15" spans="1:8" x14ac:dyDescent="0.25">
      <c r="A15" s="15">
        <v>4</v>
      </c>
      <c r="B15" s="24" t="s">
        <v>168</v>
      </c>
      <c r="C15" s="24" t="str">
        <f t="shared" si="0"/>
        <v>1.4Eng</v>
      </c>
      <c r="D15" s="25" t="s">
        <v>54</v>
      </c>
      <c r="E15" s="24" t="s">
        <v>4</v>
      </c>
      <c r="F15" s="20" t="str">
        <f t="shared" si="1"/>
        <v>https://docs.google.com/uc?export=download&amp;id=1cpT1V0nph64P_jIEXen2_Elf_6juUjLu</v>
      </c>
      <c r="G15" s="23" t="str">
        <f t="shared" si="2"/>
        <v>1cpT1V0nph64P_jIEXen2_Elf_6juUjLu</v>
      </c>
      <c r="H15" s="21" t="s">
        <v>178</v>
      </c>
    </row>
    <row r="16" spans="1:8" x14ac:dyDescent="0.25">
      <c r="B16" s="24" t="s">
        <v>168</v>
      </c>
      <c r="C16" s="24" t="str">
        <f t="shared" si="0"/>
        <v>1.4Phon</v>
      </c>
      <c r="D16" s="25" t="s">
        <v>55</v>
      </c>
      <c r="E16" s="24" t="s">
        <v>5</v>
      </c>
      <c r="F16" s="20" t="str">
        <f t="shared" si="1"/>
        <v/>
      </c>
      <c r="G16" s="23" t="str">
        <f t="shared" si="2"/>
        <v/>
      </c>
    </row>
    <row r="17" spans="1:8" s="10" customFormat="1" x14ac:dyDescent="0.25">
      <c r="A17" s="15"/>
      <c r="B17" s="24" t="s">
        <v>169</v>
      </c>
      <c r="C17" s="24" t="str">
        <f t="shared" si="0"/>
        <v>1.5Viet</v>
      </c>
      <c r="D17" s="25" t="s">
        <v>126</v>
      </c>
      <c r="E17" s="24" t="s">
        <v>3</v>
      </c>
      <c r="F17" s="20" t="str">
        <f t="shared" si="1"/>
        <v/>
      </c>
      <c r="G17" s="23" t="str">
        <f t="shared" si="2"/>
        <v/>
      </c>
      <c r="H17" s="21"/>
    </row>
    <row r="18" spans="1:8" x14ac:dyDescent="0.25">
      <c r="A18" s="15">
        <v>5</v>
      </c>
      <c r="B18" s="24" t="s">
        <v>169</v>
      </c>
      <c r="C18" s="24" t="str">
        <f t="shared" si="0"/>
        <v>1.5Eng</v>
      </c>
      <c r="D18" s="25" t="s">
        <v>56</v>
      </c>
      <c r="E18" s="24" t="s">
        <v>4</v>
      </c>
      <c r="F18" s="20" t="str">
        <f t="shared" si="1"/>
        <v>https://docs.google.com/uc?export=download&amp;id=1kwClC1wSsTrVRfYVZv91B7GQmqUKo0n-</v>
      </c>
      <c r="G18" s="23" t="str">
        <f t="shared" si="2"/>
        <v>1kwClC1wSsTrVRfYVZv91B7GQmqUKo0n-</v>
      </c>
      <c r="H18" s="21" t="s">
        <v>179</v>
      </c>
    </row>
    <row r="19" spans="1:8" x14ac:dyDescent="0.25">
      <c r="B19" s="24" t="s">
        <v>169</v>
      </c>
      <c r="C19" s="24" t="str">
        <f t="shared" si="0"/>
        <v>1.5Phon</v>
      </c>
      <c r="D19" s="25" t="s">
        <v>57</v>
      </c>
      <c r="E19" s="24" t="s">
        <v>5</v>
      </c>
      <c r="F19" s="20" t="str">
        <f t="shared" si="1"/>
        <v/>
      </c>
      <c r="G19" s="23" t="str">
        <f t="shared" si="2"/>
        <v/>
      </c>
    </row>
    <row r="20" spans="1:8" x14ac:dyDescent="0.25">
      <c r="B20" s="24">
        <v>2</v>
      </c>
      <c r="C20" s="24" t="str">
        <f t="shared" si="0"/>
        <v>2Struc</v>
      </c>
      <c r="D20" s="25" t="s">
        <v>160</v>
      </c>
      <c r="E20" s="24" t="s">
        <v>11</v>
      </c>
      <c r="F20" s="20" t="str">
        <f t="shared" si="1"/>
        <v/>
      </c>
      <c r="G20" s="23" t="str">
        <f t="shared" si="2"/>
        <v/>
      </c>
    </row>
    <row r="21" spans="1:8" x14ac:dyDescent="0.25">
      <c r="B21" s="24" t="s">
        <v>15</v>
      </c>
      <c r="C21" s="24" t="str">
        <f t="shared" si="0"/>
        <v>2.1Viet</v>
      </c>
      <c r="D21" s="25" t="s">
        <v>127</v>
      </c>
      <c r="E21" s="24" t="s">
        <v>3</v>
      </c>
      <c r="F21" s="20" t="str">
        <f t="shared" si="1"/>
        <v/>
      </c>
      <c r="G21" s="23" t="str">
        <f t="shared" si="2"/>
        <v/>
      </c>
    </row>
    <row r="22" spans="1:8" x14ac:dyDescent="0.25">
      <c r="A22" s="15">
        <v>6</v>
      </c>
      <c r="B22" s="24" t="s">
        <v>15</v>
      </c>
      <c r="C22" s="24" t="str">
        <f t="shared" si="0"/>
        <v>2.1Eng</v>
      </c>
      <c r="D22" s="25" t="s">
        <v>58</v>
      </c>
      <c r="E22" s="24" t="s">
        <v>4</v>
      </c>
      <c r="F22" s="20" t="str">
        <f t="shared" si="1"/>
        <v>https://docs.google.com/uc?export=download&amp;id=190CxmSvCqUXTiJB0vKpvTSxHOfd9-ugK</v>
      </c>
      <c r="G22" s="23" t="str">
        <f t="shared" si="2"/>
        <v>190CxmSvCqUXTiJB0vKpvTSxHOfd9-ugK</v>
      </c>
      <c r="H22" s="21" t="s">
        <v>180</v>
      </c>
    </row>
    <row r="23" spans="1:8" x14ac:dyDescent="0.25">
      <c r="B23" s="24" t="s">
        <v>15</v>
      </c>
      <c r="C23" s="24" t="str">
        <f t="shared" si="0"/>
        <v>2.1Phon</v>
      </c>
      <c r="D23" s="25" t="s">
        <v>59</v>
      </c>
      <c r="E23" s="24" t="s">
        <v>5</v>
      </c>
      <c r="F23" s="20" t="str">
        <f t="shared" si="1"/>
        <v/>
      </c>
      <c r="G23" s="23" t="str">
        <f t="shared" si="2"/>
        <v/>
      </c>
    </row>
    <row r="24" spans="1:8" x14ac:dyDescent="0.25">
      <c r="B24" s="24" t="s">
        <v>17</v>
      </c>
      <c r="C24" s="24" t="str">
        <f t="shared" si="0"/>
        <v>2.2Viet</v>
      </c>
      <c r="D24" s="25" t="s">
        <v>128</v>
      </c>
      <c r="E24" s="24" t="s">
        <v>3</v>
      </c>
      <c r="F24" s="20" t="str">
        <f t="shared" si="1"/>
        <v/>
      </c>
      <c r="G24" s="23" t="str">
        <f t="shared" si="2"/>
        <v/>
      </c>
    </row>
    <row r="25" spans="1:8" x14ac:dyDescent="0.25">
      <c r="A25" s="15">
        <v>7</v>
      </c>
      <c r="B25" s="24" t="s">
        <v>17</v>
      </c>
      <c r="C25" s="24" t="str">
        <f t="shared" si="0"/>
        <v>2.2Eng</v>
      </c>
      <c r="D25" s="25" t="s">
        <v>60</v>
      </c>
      <c r="E25" s="24" t="s">
        <v>4</v>
      </c>
      <c r="F25" s="20" t="str">
        <f t="shared" si="1"/>
        <v>https://docs.google.com/uc?export=download&amp;id=1q_VEFhV42JL3iG1YDJz2lFtdk8gHcSM1</v>
      </c>
      <c r="G25" s="23" t="str">
        <f t="shared" si="2"/>
        <v>1q_VEFhV42JL3iG1YDJz2lFtdk8gHcSM1</v>
      </c>
      <c r="H25" s="21" t="s">
        <v>181</v>
      </c>
    </row>
    <row r="26" spans="1:8" x14ac:dyDescent="0.25">
      <c r="B26" s="24" t="s">
        <v>17</v>
      </c>
      <c r="C26" s="24" t="str">
        <f t="shared" si="0"/>
        <v>2.2Phon</v>
      </c>
      <c r="D26" s="25" t="s">
        <v>61</v>
      </c>
      <c r="E26" s="24" t="s">
        <v>5</v>
      </c>
      <c r="F26" s="20" t="str">
        <f t="shared" si="1"/>
        <v/>
      </c>
      <c r="G26" s="23" t="str">
        <f t="shared" si="2"/>
        <v/>
      </c>
    </row>
    <row r="27" spans="1:8" x14ac:dyDescent="0.25">
      <c r="B27" s="24" t="s">
        <v>16</v>
      </c>
      <c r="C27" s="24" t="str">
        <f t="shared" si="0"/>
        <v>2.3Viet</v>
      </c>
      <c r="D27" s="25" t="s">
        <v>129</v>
      </c>
      <c r="E27" s="24" t="s">
        <v>3</v>
      </c>
      <c r="F27" s="20" t="str">
        <f t="shared" si="1"/>
        <v/>
      </c>
      <c r="G27" s="23" t="str">
        <f t="shared" si="2"/>
        <v/>
      </c>
    </row>
    <row r="28" spans="1:8" x14ac:dyDescent="0.25">
      <c r="A28" s="15">
        <v>8</v>
      </c>
      <c r="B28" s="24" t="s">
        <v>16</v>
      </c>
      <c r="C28" s="24" t="str">
        <f t="shared" si="0"/>
        <v>2.3Eng</v>
      </c>
      <c r="D28" s="25" t="s">
        <v>62</v>
      </c>
      <c r="E28" s="24" t="s">
        <v>4</v>
      </c>
      <c r="F28" s="20" t="str">
        <f t="shared" si="1"/>
        <v>https://docs.google.com/uc?export=download&amp;id=1M2C3kZJPCE9ds51Hc3PJD4T-S7qxjRZI</v>
      </c>
      <c r="G28" s="23" t="str">
        <f t="shared" si="2"/>
        <v>1M2C3kZJPCE9ds51Hc3PJD4T-S7qxjRZI</v>
      </c>
      <c r="H28" s="21" t="s">
        <v>182</v>
      </c>
    </row>
    <row r="29" spans="1:8" x14ac:dyDescent="0.25">
      <c r="B29" s="24" t="s">
        <v>16</v>
      </c>
      <c r="C29" s="24" t="str">
        <f t="shared" si="0"/>
        <v>2.3Phon</v>
      </c>
      <c r="D29" s="25" t="s">
        <v>63</v>
      </c>
      <c r="E29" s="24" t="s">
        <v>5</v>
      </c>
      <c r="F29" s="20" t="str">
        <f t="shared" si="1"/>
        <v/>
      </c>
      <c r="G29" s="23" t="str">
        <f t="shared" si="2"/>
        <v/>
      </c>
    </row>
    <row r="30" spans="1:8" s="10" customFormat="1" x14ac:dyDescent="0.25">
      <c r="A30" s="15"/>
      <c r="B30" s="24" t="s">
        <v>170</v>
      </c>
      <c r="C30" s="24" t="str">
        <f t="shared" si="0"/>
        <v>2.4Viet</v>
      </c>
      <c r="D30" s="25" t="s">
        <v>130</v>
      </c>
      <c r="E30" s="24" t="s">
        <v>3</v>
      </c>
      <c r="F30" s="20" t="str">
        <f t="shared" si="1"/>
        <v/>
      </c>
      <c r="G30" s="23" t="str">
        <f t="shared" si="2"/>
        <v/>
      </c>
      <c r="H30" s="21"/>
    </row>
    <row r="31" spans="1:8" x14ac:dyDescent="0.25">
      <c r="A31" s="15">
        <v>9</v>
      </c>
      <c r="B31" s="24" t="s">
        <v>170</v>
      </c>
      <c r="C31" s="24" t="str">
        <f t="shared" si="0"/>
        <v>2.4Eng</v>
      </c>
      <c r="D31" s="25" t="s">
        <v>64</v>
      </c>
      <c r="E31" s="24" t="s">
        <v>4</v>
      </c>
      <c r="F31" s="20" t="str">
        <f t="shared" si="1"/>
        <v>https://docs.google.com/uc?export=download&amp;id=1p15eoz1B0og3wMHeNX6siiPbbGv3-ep9</v>
      </c>
      <c r="G31" s="23" t="str">
        <f t="shared" si="2"/>
        <v>1p15eoz1B0og3wMHeNX6siiPbbGv3-ep9</v>
      </c>
      <c r="H31" s="21" t="s">
        <v>183</v>
      </c>
    </row>
    <row r="32" spans="1:8" x14ac:dyDescent="0.25">
      <c r="B32" s="24" t="s">
        <v>170</v>
      </c>
      <c r="C32" s="24" t="str">
        <f t="shared" si="0"/>
        <v>2.4Phon</v>
      </c>
      <c r="D32" s="25" t="s">
        <v>65</v>
      </c>
      <c r="E32" s="24" t="s">
        <v>5</v>
      </c>
      <c r="F32" s="20" t="str">
        <f t="shared" si="1"/>
        <v/>
      </c>
      <c r="G32" s="23" t="str">
        <f t="shared" si="2"/>
        <v/>
      </c>
    </row>
    <row r="33" spans="1:8" x14ac:dyDescent="0.25">
      <c r="B33" s="24" t="s">
        <v>171</v>
      </c>
      <c r="C33" s="24" t="str">
        <f t="shared" si="0"/>
        <v>2.5Viet</v>
      </c>
      <c r="D33" s="25" t="s">
        <v>131</v>
      </c>
      <c r="E33" s="24" t="s">
        <v>3</v>
      </c>
      <c r="F33" s="20" t="str">
        <f t="shared" si="1"/>
        <v/>
      </c>
      <c r="G33" s="23" t="str">
        <f t="shared" si="2"/>
        <v/>
      </c>
    </row>
    <row r="34" spans="1:8" x14ac:dyDescent="0.25">
      <c r="A34" s="15">
        <v>10</v>
      </c>
      <c r="B34" s="24" t="s">
        <v>171</v>
      </c>
      <c r="C34" s="24" t="str">
        <f t="shared" si="0"/>
        <v>2.5Eng</v>
      </c>
      <c r="D34" s="25" t="s">
        <v>66</v>
      </c>
      <c r="E34" s="24" t="s">
        <v>4</v>
      </c>
      <c r="F34" s="20" t="str">
        <f t="shared" si="1"/>
        <v>https://docs.google.com/uc?export=download&amp;id=16HD5I-PAnqXzU1yCAmvjIZY0TD8LMUPi</v>
      </c>
      <c r="G34" s="23" t="str">
        <f t="shared" si="2"/>
        <v>16HD5I-PAnqXzU1yCAmvjIZY0TD8LMUPi</v>
      </c>
      <c r="H34" s="21" t="s">
        <v>184</v>
      </c>
    </row>
    <row r="35" spans="1:8" x14ac:dyDescent="0.25">
      <c r="B35" s="24" t="s">
        <v>171</v>
      </c>
      <c r="C35" s="24" t="str">
        <f t="shared" si="0"/>
        <v>2.5Phon</v>
      </c>
      <c r="D35" s="25" t="s">
        <v>67</v>
      </c>
      <c r="E35" s="24" t="s">
        <v>5</v>
      </c>
      <c r="F35" s="20" t="str">
        <f t="shared" si="1"/>
        <v/>
      </c>
      <c r="G35" s="23" t="str">
        <f t="shared" si="2"/>
        <v/>
      </c>
    </row>
    <row r="36" spans="1:8" x14ac:dyDescent="0.25">
      <c r="B36" s="24">
        <v>3</v>
      </c>
      <c r="C36" s="24" t="str">
        <f t="shared" si="0"/>
        <v>3Struc</v>
      </c>
      <c r="D36" s="25" t="s">
        <v>161</v>
      </c>
      <c r="E36" s="24" t="s">
        <v>11</v>
      </c>
      <c r="F36" s="20" t="str">
        <f t="shared" si="1"/>
        <v/>
      </c>
      <c r="G36" s="23" t="str">
        <f t="shared" si="2"/>
        <v/>
      </c>
    </row>
    <row r="37" spans="1:8" x14ac:dyDescent="0.25">
      <c r="B37" s="24" t="s">
        <v>18</v>
      </c>
      <c r="C37" s="24" t="str">
        <f t="shared" si="0"/>
        <v>3.1Viet</v>
      </c>
      <c r="D37" s="25" t="s">
        <v>132</v>
      </c>
      <c r="E37" s="24" t="s">
        <v>3</v>
      </c>
      <c r="F37" s="20" t="str">
        <f t="shared" si="1"/>
        <v/>
      </c>
      <c r="G37" s="23" t="str">
        <f t="shared" si="2"/>
        <v/>
      </c>
    </row>
    <row r="38" spans="1:8" x14ac:dyDescent="0.25">
      <c r="A38" s="15">
        <v>11</v>
      </c>
      <c r="B38" s="24" t="s">
        <v>18</v>
      </c>
      <c r="C38" s="24" t="str">
        <f t="shared" si="0"/>
        <v>3.1Eng</v>
      </c>
      <c r="D38" s="25" t="s">
        <v>68</v>
      </c>
      <c r="E38" s="24" t="s">
        <v>4</v>
      </c>
      <c r="F38" s="20" t="str">
        <f t="shared" si="1"/>
        <v>https://docs.google.com/uc?export=download&amp;id=1OX5ZhzBSYvhsYQ453S2zeXUDeqdL6GXK</v>
      </c>
      <c r="G38" s="23" t="str">
        <f t="shared" si="2"/>
        <v>1OX5ZhzBSYvhsYQ453S2zeXUDeqdL6GXK</v>
      </c>
      <c r="H38" s="21" t="s">
        <v>185</v>
      </c>
    </row>
    <row r="39" spans="1:8" x14ac:dyDescent="0.25">
      <c r="B39" s="24" t="s">
        <v>18</v>
      </c>
      <c r="C39" s="24" t="str">
        <f t="shared" si="0"/>
        <v>3.1Phon</v>
      </c>
      <c r="D39" s="25" t="s">
        <v>69</v>
      </c>
      <c r="E39" s="24" t="s">
        <v>5</v>
      </c>
      <c r="F39" s="20" t="str">
        <f t="shared" si="1"/>
        <v/>
      </c>
      <c r="G39" s="23" t="str">
        <f t="shared" si="2"/>
        <v/>
      </c>
    </row>
    <row r="40" spans="1:8" x14ac:dyDescent="0.25">
      <c r="B40" s="24" t="s">
        <v>19</v>
      </c>
      <c r="C40" s="24" t="str">
        <f t="shared" si="0"/>
        <v>3.2Viet</v>
      </c>
      <c r="D40" s="25" t="s">
        <v>133</v>
      </c>
      <c r="E40" s="24" t="s">
        <v>3</v>
      </c>
      <c r="F40" s="20" t="str">
        <f t="shared" si="1"/>
        <v/>
      </c>
      <c r="G40" s="23" t="str">
        <f t="shared" si="2"/>
        <v/>
      </c>
    </row>
    <row r="41" spans="1:8" x14ac:dyDescent="0.25">
      <c r="A41" s="15">
        <v>12</v>
      </c>
      <c r="B41" s="24" t="s">
        <v>19</v>
      </c>
      <c r="C41" s="24" t="str">
        <f t="shared" si="0"/>
        <v>3.2Eng</v>
      </c>
      <c r="D41" s="25" t="s">
        <v>70</v>
      </c>
      <c r="E41" s="24" t="s">
        <v>4</v>
      </c>
      <c r="F41" s="20" t="str">
        <f t="shared" si="1"/>
        <v>https://docs.google.com/uc?export=download&amp;id=1md-VahdksxLlOJsQCZZAwT8bZBs21_JB</v>
      </c>
      <c r="G41" s="23" t="str">
        <f t="shared" si="2"/>
        <v>1md-VahdksxLlOJsQCZZAwT8bZBs21_JB</v>
      </c>
      <c r="H41" s="21" t="s">
        <v>186</v>
      </c>
    </row>
    <row r="42" spans="1:8" x14ac:dyDescent="0.25">
      <c r="B42" s="24" t="s">
        <v>19</v>
      </c>
      <c r="C42" s="24" t="str">
        <f t="shared" si="0"/>
        <v>3.2Phon</v>
      </c>
      <c r="D42" s="25" t="s">
        <v>71</v>
      </c>
      <c r="E42" s="24" t="s">
        <v>5</v>
      </c>
      <c r="F42" s="20" t="str">
        <f t="shared" si="1"/>
        <v/>
      </c>
      <c r="G42" s="23" t="str">
        <f t="shared" si="2"/>
        <v/>
      </c>
    </row>
    <row r="43" spans="1:8" x14ac:dyDescent="0.25">
      <c r="B43" s="24" t="s">
        <v>20</v>
      </c>
      <c r="C43" s="24" t="str">
        <f t="shared" si="0"/>
        <v>3.3Viet</v>
      </c>
      <c r="D43" s="25" t="s">
        <v>134</v>
      </c>
      <c r="E43" s="24" t="s">
        <v>3</v>
      </c>
      <c r="F43" s="20" t="str">
        <f t="shared" si="1"/>
        <v/>
      </c>
      <c r="G43" s="23" t="str">
        <f t="shared" si="2"/>
        <v/>
      </c>
    </row>
    <row r="44" spans="1:8" x14ac:dyDescent="0.25">
      <c r="A44" s="15">
        <v>13</v>
      </c>
      <c r="B44" s="24" t="s">
        <v>20</v>
      </c>
      <c r="C44" s="24" t="str">
        <f t="shared" si="0"/>
        <v>3.3Eng</v>
      </c>
      <c r="D44" s="25" t="s">
        <v>72</v>
      </c>
      <c r="E44" s="24" t="s">
        <v>4</v>
      </c>
      <c r="F44" s="20" t="str">
        <f t="shared" si="1"/>
        <v>https://docs.google.com/uc?export=download&amp;id=1W2gnUPybXDKAKnHpi_O3qXlH-JGySOGW</v>
      </c>
      <c r="G44" s="23" t="str">
        <f t="shared" si="2"/>
        <v>1W2gnUPybXDKAKnHpi_O3qXlH-JGySOGW</v>
      </c>
      <c r="H44" s="21" t="s">
        <v>187</v>
      </c>
    </row>
    <row r="45" spans="1:8" x14ac:dyDescent="0.25">
      <c r="B45" s="24" t="s">
        <v>20</v>
      </c>
      <c r="C45" s="24" t="str">
        <f t="shared" si="0"/>
        <v>3.3Phon</v>
      </c>
      <c r="D45" s="25" t="s">
        <v>73</v>
      </c>
      <c r="E45" s="24" t="s">
        <v>5</v>
      </c>
      <c r="F45" s="20" t="str">
        <f t="shared" si="1"/>
        <v/>
      </c>
      <c r="G45" s="23" t="str">
        <f t="shared" si="2"/>
        <v/>
      </c>
    </row>
    <row r="46" spans="1:8" x14ac:dyDescent="0.25">
      <c r="B46" s="24">
        <v>4</v>
      </c>
      <c r="C46" s="24" t="str">
        <f t="shared" si="0"/>
        <v>4Struc</v>
      </c>
      <c r="D46" s="25" t="s">
        <v>162</v>
      </c>
      <c r="E46" s="24" t="s">
        <v>11</v>
      </c>
      <c r="F46" s="20" t="str">
        <f t="shared" si="1"/>
        <v/>
      </c>
      <c r="G46" s="23" t="str">
        <f t="shared" si="2"/>
        <v/>
      </c>
    </row>
    <row r="47" spans="1:8" x14ac:dyDescent="0.25">
      <c r="B47" s="24" t="s">
        <v>21</v>
      </c>
      <c r="C47" s="24" t="str">
        <f t="shared" si="0"/>
        <v>4.1Viet</v>
      </c>
      <c r="D47" s="25" t="s">
        <v>135</v>
      </c>
      <c r="E47" s="24" t="s">
        <v>3</v>
      </c>
      <c r="F47" s="20" t="str">
        <f t="shared" si="1"/>
        <v/>
      </c>
      <c r="G47" s="23" t="str">
        <f t="shared" si="2"/>
        <v/>
      </c>
    </row>
    <row r="48" spans="1:8" x14ac:dyDescent="0.25">
      <c r="A48" s="15">
        <v>14</v>
      </c>
      <c r="B48" s="24" t="s">
        <v>21</v>
      </c>
      <c r="C48" s="24" t="str">
        <f t="shared" si="0"/>
        <v>4.1Eng</v>
      </c>
      <c r="D48" s="25" t="s">
        <v>74</v>
      </c>
      <c r="E48" s="24" t="s">
        <v>4</v>
      </c>
      <c r="F48" s="20" t="str">
        <f t="shared" si="1"/>
        <v>https://docs.google.com/uc?export=download&amp;id=1xMa5hyFWEx4ECFu2QQEEevvDsTGaXCu3</v>
      </c>
      <c r="G48" s="23" t="str">
        <f t="shared" si="2"/>
        <v>1xMa5hyFWEx4ECFu2QQEEevvDsTGaXCu3</v>
      </c>
      <c r="H48" s="21" t="s">
        <v>188</v>
      </c>
    </row>
    <row r="49" spans="1:8" x14ac:dyDescent="0.25">
      <c r="B49" s="24" t="s">
        <v>21</v>
      </c>
      <c r="C49" s="24" t="str">
        <f t="shared" si="0"/>
        <v>4.1Phon</v>
      </c>
      <c r="D49" s="25" t="s">
        <v>75</v>
      </c>
      <c r="E49" s="24" t="s">
        <v>5</v>
      </c>
      <c r="F49" s="20" t="str">
        <f t="shared" si="1"/>
        <v/>
      </c>
      <c r="G49" s="23" t="str">
        <f t="shared" si="2"/>
        <v/>
      </c>
    </row>
    <row r="50" spans="1:8" x14ac:dyDescent="0.25">
      <c r="B50" s="24" t="s">
        <v>22</v>
      </c>
      <c r="C50" s="24" t="str">
        <f t="shared" si="0"/>
        <v>4.2Viet</v>
      </c>
      <c r="D50" s="25" t="s">
        <v>136</v>
      </c>
      <c r="E50" s="24" t="s">
        <v>3</v>
      </c>
      <c r="F50" s="20" t="str">
        <f t="shared" si="1"/>
        <v/>
      </c>
      <c r="G50" s="23" t="str">
        <f t="shared" si="2"/>
        <v/>
      </c>
    </row>
    <row r="51" spans="1:8" x14ac:dyDescent="0.25">
      <c r="A51" s="15">
        <v>15</v>
      </c>
      <c r="B51" s="24" t="s">
        <v>22</v>
      </c>
      <c r="C51" s="24" t="str">
        <f t="shared" si="0"/>
        <v>4.2Eng</v>
      </c>
      <c r="D51" s="25" t="s">
        <v>76</v>
      </c>
      <c r="E51" s="24" t="s">
        <v>4</v>
      </c>
      <c r="F51" s="20" t="str">
        <f t="shared" si="1"/>
        <v>https://docs.google.com/uc?export=download&amp;id=1tm4Gnp4Mc1R_e0cAvtW0nRkB2RNR8TJe</v>
      </c>
      <c r="G51" s="23" t="str">
        <f t="shared" si="2"/>
        <v>1tm4Gnp4Mc1R_e0cAvtW0nRkB2RNR8TJe</v>
      </c>
      <c r="H51" s="21" t="s">
        <v>189</v>
      </c>
    </row>
    <row r="52" spans="1:8" x14ac:dyDescent="0.25">
      <c r="B52" s="24" t="s">
        <v>22</v>
      </c>
      <c r="C52" s="24" t="str">
        <f t="shared" si="0"/>
        <v>4.2Phon</v>
      </c>
      <c r="D52" s="25" t="s">
        <v>77</v>
      </c>
      <c r="E52" s="24" t="s">
        <v>5</v>
      </c>
      <c r="F52" s="20" t="str">
        <f t="shared" si="1"/>
        <v/>
      </c>
      <c r="G52" s="23" t="str">
        <f t="shared" si="2"/>
        <v/>
      </c>
    </row>
    <row r="53" spans="1:8" x14ac:dyDescent="0.25">
      <c r="B53" s="24" t="s">
        <v>23</v>
      </c>
      <c r="C53" s="24" t="str">
        <f t="shared" si="0"/>
        <v>4.3Viet</v>
      </c>
      <c r="D53" s="25" t="s">
        <v>137</v>
      </c>
      <c r="E53" s="24" t="s">
        <v>3</v>
      </c>
      <c r="F53" s="20" t="str">
        <f t="shared" si="1"/>
        <v/>
      </c>
      <c r="G53" s="23" t="str">
        <f t="shared" si="2"/>
        <v/>
      </c>
    </row>
    <row r="54" spans="1:8" x14ac:dyDescent="0.25">
      <c r="A54" s="15">
        <v>16</v>
      </c>
      <c r="B54" s="24" t="s">
        <v>23</v>
      </c>
      <c r="C54" s="24" t="str">
        <f t="shared" si="0"/>
        <v>4.3Eng</v>
      </c>
      <c r="D54" s="25" t="s">
        <v>78</v>
      </c>
      <c r="E54" s="24" t="s">
        <v>4</v>
      </c>
      <c r="F54" s="20" t="str">
        <f t="shared" si="1"/>
        <v>https://docs.google.com/uc?export=download&amp;id=1hudp3O_q8Tdd_w7ZG93Nr57puvad2U7B</v>
      </c>
      <c r="G54" s="23" t="str">
        <f t="shared" si="2"/>
        <v>1hudp3O_q8Tdd_w7ZG93Nr57puvad2U7B</v>
      </c>
      <c r="H54" s="21" t="s">
        <v>190</v>
      </c>
    </row>
    <row r="55" spans="1:8" x14ac:dyDescent="0.25">
      <c r="B55" s="24" t="s">
        <v>23</v>
      </c>
      <c r="C55" s="24" t="str">
        <f t="shared" si="0"/>
        <v>4.3Phon</v>
      </c>
      <c r="D55" s="25" t="s">
        <v>79</v>
      </c>
      <c r="E55" s="24" t="s">
        <v>5</v>
      </c>
      <c r="F55" s="20" t="str">
        <f t="shared" si="1"/>
        <v/>
      </c>
      <c r="G55" s="23" t="str">
        <f t="shared" si="2"/>
        <v/>
      </c>
    </row>
    <row r="56" spans="1:8" x14ac:dyDescent="0.25">
      <c r="B56" s="24" t="s">
        <v>42</v>
      </c>
      <c r="C56" s="24" t="str">
        <f t="shared" si="0"/>
        <v>4.4Viet</v>
      </c>
      <c r="D56" s="25" t="s">
        <v>138</v>
      </c>
      <c r="E56" s="24" t="s">
        <v>3</v>
      </c>
      <c r="F56" s="20" t="str">
        <f t="shared" si="1"/>
        <v/>
      </c>
      <c r="G56" s="23" t="str">
        <f t="shared" si="2"/>
        <v/>
      </c>
    </row>
    <row r="57" spans="1:8" x14ac:dyDescent="0.25">
      <c r="A57" s="15">
        <v>17</v>
      </c>
      <c r="B57" s="24" t="s">
        <v>42</v>
      </c>
      <c r="C57" s="24" t="str">
        <f t="shared" si="0"/>
        <v>4.4Eng</v>
      </c>
      <c r="D57" s="25" t="s">
        <v>80</v>
      </c>
      <c r="E57" s="24" t="s">
        <v>4</v>
      </c>
      <c r="F57" s="20" t="str">
        <f t="shared" si="1"/>
        <v>https://docs.google.com/uc?export=download&amp;id=1Ysqk608y9XWGZ5GwRGfei6JM4X_z2djQ</v>
      </c>
      <c r="G57" s="23" t="str">
        <f t="shared" si="2"/>
        <v>1Ysqk608y9XWGZ5GwRGfei6JM4X_z2djQ</v>
      </c>
      <c r="H57" s="21" t="s">
        <v>191</v>
      </c>
    </row>
    <row r="58" spans="1:8" x14ac:dyDescent="0.25">
      <c r="B58" s="24" t="s">
        <v>42</v>
      </c>
      <c r="C58" s="24" t="str">
        <f t="shared" si="0"/>
        <v>4.4Phon</v>
      </c>
      <c r="D58" s="25" t="s">
        <v>81</v>
      </c>
      <c r="E58" s="24" t="s">
        <v>5</v>
      </c>
      <c r="F58" s="20" t="str">
        <f t="shared" si="1"/>
        <v/>
      </c>
      <c r="G58" s="23" t="str">
        <f t="shared" si="2"/>
        <v/>
      </c>
    </row>
    <row r="59" spans="1:8" s="10" customFormat="1" x14ac:dyDescent="0.25">
      <c r="A59" s="15"/>
      <c r="B59" s="24" t="s">
        <v>172</v>
      </c>
      <c r="C59" s="24" t="str">
        <f t="shared" si="0"/>
        <v>4.5Viet</v>
      </c>
      <c r="D59" s="25" t="s">
        <v>139</v>
      </c>
      <c r="E59" s="24" t="s">
        <v>3</v>
      </c>
      <c r="F59" s="20" t="str">
        <f t="shared" si="1"/>
        <v/>
      </c>
      <c r="G59" s="23" t="str">
        <f t="shared" si="2"/>
        <v/>
      </c>
      <c r="H59" s="21"/>
    </row>
    <row r="60" spans="1:8" x14ac:dyDescent="0.25">
      <c r="A60" s="15">
        <v>18</v>
      </c>
      <c r="B60" s="24" t="s">
        <v>172</v>
      </c>
      <c r="C60" s="24" t="str">
        <f t="shared" si="0"/>
        <v>4.5Eng</v>
      </c>
      <c r="D60" s="25" t="s">
        <v>82</v>
      </c>
      <c r="E60" s="24" t="s">
        <v>4</v>
      </c>
      <c r="F60" s="20" t="str">
        <f t="shared" si="1"/>
        <v>https://docs.google.com/uc?export=download&amp;id=1mDQ_WXrwVEegUfubbbcdIn83wkNtrLkl</v>
      </c>
      <c r="G60" s="23" t="str">
        <f t="shared" si="2"/>
        <v>1mDQ_WXrwVEegUfubbbcdIn83wkNtrLkl</v>
      </c>
      <c r="H60" s="21" t="s">
        <v>192</v>
      </c>
    </row>
    <row r="61" spans="1:8" x14ac:dyDescent="0.25">
      <c r="B61" s="24" t="s">
        <v>172</v>
      </c>
      <c r="C61" s="24" t="str">
        <f t="shared" si="0"/>
        <v>4.5Phon</v>
      </c>
      <c r="D61" s="25" t="s">
        <v>83</v>
      </c>
      <c r="E61" s="24" t="s">
        <v>5</v>
      </c>
      <c r="F61" s="20" t="str">
        <f t="shared" si="1"/>
        <v/>
      </c>
      <c r="G61" s="23" t="str">
        <f t="shared" si="2"/>
        <v/>
      </c>
    </row>
    <row r="62" spans="1:8" x14ac:dyDescent="0.25">
      <c r="B62" s="24">
        <v>5</v>
      </c>
      <c r="C62" s="24" t="str">
        <f t="shared" si="0"/>
        <v>5Struc</v>
      </c>
      <c r="D62" s="25" t="s">
        <v>163</v>
      </c>
      <c r="E62" s="24" t="s">
        <v>11</v>
      </c>
      <c r="F62" s="20" t="str">
        <f t="shared" si="1"/>
        <v/>
      </c>
      <c r="G62" s="23" t="str">
        <f t="shared" si="2"/>
        <v/>
      </c>
    </row>
    <row r="63" spans="1:8" x14ac:dyDescent="0.25">
      <c r="B63" s="24" t="s">
        <v>24</v>
      </c>
      <c r="C63" s="24" t="str">
        <f t="shared" si="0"/>
        <v>5.1Viet</v>
      </c>
      <c r="D63" s="25" t="s">
        <v>140</v>
      </c>
      <c r="E63" s="24" t="s">
        <v>3</v>
      </c>
      <c r="F63" s="20" t="str">
        <f t="shared" si="1"/>
        <v/>
      </c>
      <c r="G63" s="23" t="str">
        <f t="shared" si="2"/>
        <v/>
      </c>
    </row>
    <row r="64" spans="1:8" x14ac:dyDescent="0.25">
      <c r="A64" s="15">
        <v>19</v>
      </c>
      <c r="B64" s="24" t="s">
        <v>24</v>
      </c>
      <c r="C64" s="24" t="str">
        <f t="shared" si="0"/>
        <v>5.1Eng</v>
      </c>
      <c r="D64" s="25" t="s">
        <v>84</v>
      </c>
      <c r="E64" s="24" t="s">
        <v>4</v>
      </c>
      <c r="F64" s="20" t="str">
        <f t="shared" si="1"/>
        <v>https://docs.google.com/uc?export=download&amp;id=1WvpeOQQZyGQrbpSpngApp4J7-9sreG5v</v>
      </c>
      <c r="G64" s="23" t="str">
        <f t="shared" si="2"/>
        <v>1WvpeOQQZyGQrbpSpngApp4J7-9sreG5v</v>
      </c>
      <c r="H64" s="21" t="s">
        <v>193</v>
      </c>
    </row>
    <row r="65" spans="1:8" x14ac:dyDescent="0.25">
      <c r="B65" s="24" t="s">
        <v>24</v>
      </c>
      <c r="C65" s="24" t="str">
        <f t="shared" si="0"/>
        <v>5.1Phon</v>
      </c>
      <c r="D65" s="25" t="s">
        <v>85</v>
      </c>
      <c r="E65" s="24" t="s">
        <v>5</v>
      </c>
      <c r="F65" s="20" t="str">
        <f t="shared" si="1"/>
        <v/>
      </c>
      <c r="G65" s="23" t="str">
        <f t="shared" si="2"/>
        <v/>
      </c>
    </row>
    <row r="66" spans="1:8" x14ac:dyDescent="0.25">
      <c r="B66" s="24" t="s">
        <v>25</v>
      </c>
      <c r="C66" s="24" t="str">
        <f t="shared" si="0"/>
        <v>5.2Viet</v>
      </c>
      <c r="D66" s="25" t="s">
        <v>141</v>
      </c>
      <c r="E66" s="24" t="s">
        <v>3</v>
      </c>
      <c r="F66" s="20" t="str">
        <f t="shared" si="1"/>
        <v/>
      </c>
      <c r="G66" s="23" t="str">
        <f t="shared" si="2"/>
        <v/>
      </c>
    </row>
    <row r="67" spans="1:8" x14ac:dyDescent="0.25">
      <c r="A67" s="15">
        <v>20</v>
      </c>
      <c r="B67" s="24" t="s">
        <v>25</v>
      </c>
      <c r="C67" s="24" t="str">
        <f t="shared" si="0"/>
        <v>5.2Eng</v>
      </c>
      <c r="D67" s="25" t="s">
        <v>86</v>
      </c>
      <c r="E67" s="24" t="s">
        <v>4</v>
      </c>
      <c r="F67" s="20" t="str">
        <f t="shared" si="1"/>
        <v>https://docs.google.com/uc?export=download&amp;id=1QJqf8HdWqsdgZdYfv7MHDCs55RRqf3-g</v>
      </c>
      <c r="G67" s="23" t="str">
        <f t="shared" si="2"/>
        <v>1QJqf8HdWqsdgZdYfv7MHDCs55RRqf3-g</v>
      </c>
      <c r="H67" s="21" t="s">
        <v>194</v>
      </c>
    </row>
    <row r="68" spans="1:8" x14ac:dyDescent="0.25">
      <c r="B68" s="24" t="s">
        <v>25</v>
      </c>
      <c r="C68" s="24" t="str">
        <f t="shared" si="0"/>
        <v>5.2Phon</v>
      </c>
      <c r="D68" s="25" t="s">
        <v>87</v>
      </c>
      <c r="E68" s="24" t="s">
        <v>5</v>
      </c>
      <c r="F68" s="20" t="str">
        <f t="shared" si="1"/>
        <v/>
      </c>
      <c r="G68" s="23" t="str">
        <f t="shared" si="2"/>
        <v/>
      </c>
    </row>
    <row r="69" spans="1:8" x14ac:dyDescent="0.25">
      <c r="B69" s="24" t="s">
        <v>26</v>
      </c>
      <c r="C69" s="24" t="str">
        <f t="shared" ref="C69:C123" si="3">B69&amp;E69</f>
        <v>5.3Viet</v>
      </c>
      <c r="D69" s="25" t="s">
        <v>142</v>
      </c>
      <c r="E69" s="24" t="s">
        <v>3</v>
      </c>
      <c r="F69" s="20" t="str">
        <f t="shared" ref="F69:F123" si="4">IF(G69="","","https://docs.google.com/uc?export=download&amp;id="&amp;G69)</f>
        <v/>
      </c>
      <c r="G69" s="23" t="str">
        <f t="shared" si="2"/>
        <v/>
      </c>
    </row>
    <row r="70" spans="1:8" x14ac:dyDescent="0.25">
      <c r="A70" s="15">
        <v>21</v>
      </c>
      <c r="B70" s="24" t="s">
        <v>26</v>
      </c>
      <c r="C70" s="24" t="str">
        <f t="shared" si="3"/>
        <v>5.3Eng</v>
      </c>
      <c r="D70" s="25" t="s">
        <v>88</v>
      </c>
      <c r="E70" s="24" t="s">
        <v>4</v>
      </c>
      <c r="F70" s="20" t="str">
        <f t="shared" si="4"/>
        <v>https://docs.google.com/uc?export=download&amp;id=1NtQ4ZGBV9JHqBOCLhc2KI0dQWTb_hkbd</v>
      </c>
      <c r="G70" s="23" t="str">
        <f t="shared" ref="G70:G123" si="5">IFERROR(LEFT(RIGHT(H70,LEN(H70)-32),LEN(RIGHT(H70,LEN(H70)-32))-17),"")</f>
        <v>1NtQ4ZGBV9JHqBOCLhc2KI0dQWTb_hkbd</v>
      </c>
      <c r="H70" s="21" t="s">
        <v>195</v>
      </c>
    </row>
    <row r="71" spans="1:8" x14ac:dyDescent="0.25">
      <c r="B71" s="24" t="s">
        <v>26</v>
      </c>
      <c r="C71" s="24" t="str">
        <f t="shared" si="3"/>
        <v>5.3Phon</v>
      </c>
      <c r="D71" s="25" t="s">
        <v>89</v>
      </c>
      <c r="E71" s="24" t="s">
        <v>5</v>
      </c>
      <c r="F71" s="20" t="str">
        <f t="shared" si="4"/>
        <v/>
      </c>
      <c r="G71" s="23" t="str">
        <f t="shared" si="5"/>
        <v/>
      </c>
    </row>
    <row r="72" spans="1:8" s="10" customFormat="1" x14ac:dyDescent="0.25">
      <c r="A72" s="15"/>
      <c r="B72" s="24" t="s">
        <v>43</v>
      </c>
      <c r="C72" s="24" t="str">
        <f t="shared" si="3"/>
        <v>5.4Viet</v>
      </c>
      <c r="D72" s="25" t="s">
        <v>143</v>
      </c>
      <c r="E72" s="24" t="s">
        <v>3</v>
      </c>
      <c r="F72" s="20" t="str">
        <f t="shared" si="4"/>
        <v/>
      </c>
      <c r="G72" s="23" t="str">
        <f t="shared" si="5"/>
        <v/>
      </c>
      <c r="H72" s="21"/>
    </row>
    <row r="73" spans="1:8" x14ac:dyDescent="0.25">
      <c r="A73" s="15">
        <v>22</v>
      </c>
      <c r="B73" s="24" t="s">
        <v>43</v>
      </c>
      <c r="C73" s="24" t="str">
        <f t="shared" si="3"/>
        <v>5.4Eng</v>
      </c>
      <c r="D73" s="25" t="s">
        <v>90</v>
      </c>
      <c r="E73" s="24" t="s">
        <v>4</v>
      </c>
      <c r="F73" s="20" t="str">
        <f t="shared" si="4"/>
        <v>https://docs.google.com/uc?export=download&amp;id=1O04orj2O75hH7wv-4gfM2W-2mlodkXse</v>
      </c>
      <c r="G73" s="23" t="str">
        <f t="shared" si="5"/>
        <v>1O04orj2O75hH7wv-4gfM2W-2mlodkXse</v>
      </c>
      <c r="H73" s="21" t="s">
        <v>196</v>
      </c>
    </row>
    <row r="74" spans="1:8" x14ac:dyDescent="0.25">
      <c r="B74" s="24" t="s">
        <v>43</v>
      </c>
      <c r="C74" s="24" t="str">
        <f t="shared" si="3"/>
        <v>5.4Phon</v>
      </c>
      <c r="D74" s="25" t="s">
        <v>91</v>
      </c>
      <c r="E74" s="24" t="s">
        <v>5</v>
      </c>
      <c r="F74" s="20" t="str">
        <f t="shared" si="4"/>
        <v/>
      </c>
      <c r="G74" s="23" t="str">
        <f t="shared" si="5"/>
        <v/>
      </c>
    </row>
    <row r="75" spans="1:8" x14ac:dyDescent="0.25">
      <c r="B75" s="24">
        <v>6</v>
      </c>
      <c r="C75" s="24" t="str">
        <f t="shared" si="3"/>
        <v>6Struc</v>
      </c>
      <c r="D75" s="25" t="s">
        <v>164</v>
      </c>
      <c r="E75" s="24" t="s">
        <v>11</v>
      </c>
      <c r="F75" s="20" t="str">
        <f t="shared" si="4"/>
        <v/>
      </c>
      <c r="G75" s="23" t="str">
        <f t="shared" si="5"/>
        <v/>
      </c>
    </row>
    <row r="76" spans="1:8" x14ac:dyDescent="0.25">
      <c r="B76" s="24" t="s">
        <v>27</v>
      </c>
      <c r="C76" s="24" t="str">
        <f t="shared" si="3"/>
        <v>6.1Viet</v>
      </c>
      <c r="D76" s="25" t="s">
        <v>144</v>
      </c>
      <c r="E76" s="24" t="s">
        <v>3</v>
      </c>
      <c r="F76" s="20" t="str">
        <f t="shared" si="4"/>
        <v/>
      </c>
      <c r="G76" s="23" t="str">
        <f t="shared" si="5"/>
        <v/>
      </c>
    </row>
    <row r="77" spans="1:8" x14ac:dyDescent="0.25">
      <c r="A77" s="15">
        <v>23</v>
      </c>
      <c r="B77" s="24" t="s">
        <v>27</v>
      </c>
      <c r="C77" s="24" t="str">
        <f t="shared" si="3"/>
        <v>6.1Eng</v>
      </c>
      <c r="D77" s="25" t="s">
        <v>92</v>
      </c>
      <c r="E77" s="24" t="s">
        <v>4</v>
      </c>
      <c r="F77" s="20" t="str">
        <f t="shared" si="4"/>
        <v>https://docs.google.com/uc?export=download&amp;id=1M9lf3OdKptlmxQu9QvOltuyukcyFqb8Z</v>
      </c>
      <c r="G77" s="23" t="str">
        <f t="shared" si="5"/>
        <v>1M9lf3OdKptlmxQu9QvOltuyukcyFqb8Z</v>
      </c>
      <c r="H77" s="21" t="s">
        <v>197</v>
      </c>
    </row>
    <row r="78" spans="1:8" x14ac:dyDescent="0.25">
      <c r="B78" s="24" t="s">
        <v>27</v>
      </c>
      <c r="C78" s="24" t="str">
        <f t="shared" si="3"/>
        <v>6.1Phon</v>
      </c>
      <c r="D78" s="25" t="s">
        <v>93</v>
      </c>
      <c r="E78" s="24" t="s">
        <v>5</v>
      </c>
      <c r="F78" s="20" t="str">
        <f t="shared" si="4"/>
        <v/>
      </c>
      <c r="G78" s="23" t="str">
        <f t="shared" si="5"/>
        <v/>
      </c>
    </row>
    <row r="79" spans="1:8" x14ac:dyDescent="0.25">
      <c r="B79" s="24" t="s">
        <v>28</v>
      </c>
      <c r="C79" s="24" t="str">
        <f t="shared" si="3"/>
        <v>6.2Viet</v>
      </c>
      <c r="D79" s="25" t="s">
        <v>145</v>
      </c>
      <c r="E79" s="24" t="s">
        <v>3</v>
      </c>
      <c r="F79" s="20" t="str">
        <f t="shared" si="4"/>
        <v/>
      </c>
      <c r="G79" s="23" t="str">
        <f t="shared" si="5"/>
        <v/>
      </c>
    </row>
    <row r="80" spans="1:8" x14ac:dyDescent="0.25">
      <c r="A80" s="15">
        <v>24</v>
      </c>
      <c r="B80" s="24" t="s">
        <v>28</v>
      </c>
      <c r="C80" s="24" t="str">
        <f t="shared" si="3"/>
        <v>6.2Eng</v>
      </c>
      <c r="D80" s="25" t="s">
        <v>94</v>
      </c>
      <c r="E80" s="24" t="s">
        <v>4</v>
      </c>
      <c r="F80" s="20" t="str">
        <f t="shared" si="4"/>
        <v>https://docs.google.com/uc?export=download&amp;id=1PzTlZOBZqm5Aul-7lINgCjDC7gmhDi3u</v>
      </c>
      <c r="G80" s="23" t="str">
        <f t="shared" si="5"/>
        <v>1PzTlZOBZqm5Aul-7lINgCjDC7gmhDi3u</v>
      </c>
      <c r="H80" s="21" t="s">
        <v>198</v>
      </c>
    </row>
    <row r="81" spans="1:8" x14ac:dyDescent="0.25">
      <c r="B81" s="24" t="s">
        <v>28</v>
      </c>
      <c r="C81" s="24" t="str">
        <f t="shared" si="3"/>
        <v>6.2Phon</v>
      </c>
      <c r="D81" s="25" t="s">
        <v>95</v>
      </c>
      <c r="E81" s="24" t="s">
        <v>5</v>
      </c>
      <c r="F81" s="20" t="str">
        <f t="shared" si="4"/>
        <v/>
      </c>
      <c r="G81" s="23" t="str">
        <f t="shared" si="5"/>
        <v/>
      </c>
    </row>
    <row r="82" spans="1:8" x14ac:dyDescent="0.25">
      <c r="B82" s="24" t="s">
        <v>29</v>
      </c>
      <c r="C82" s="24" t="str">
        <f t="shared" si="3"/>
        <v>6.3Viet</v>
      </c>
      <c r="D82" s="25" t="s">
        <v>146</v>
      </c>
      <c r="E82" s="24" t="s">
        <v>3</v>
      </c>
      <c r="F82" s="20" t="str">
        <f t="shared" si="4"/>
        <v/>
      </c>
      <c r="G82" s="23" t="str">
        <f t="shared" si="5"/>
        <v/>
      </c>
    </row>
    <row r="83" spans="1:8" x14ac:dyDescent="0.25">
      <c r="A83" s="15">
        <v>25</v>
      </c>
      <c r="B83" s="24" t="s">
        <v>29</v>
      </c>
      <c r="C83" s="24" t="str">
        <f t="shared" si="3"/>
        <v>6.3Eng</v>
      </c>
      <c r="D83" s="25" t="s">
        <v>96</v>
      </c>
      <c r="E83" s="24" t="s">
        <v>4</v>
      </c>
      <c r="F83" s="20" t="str">
        <f t="shared" si="4"/>
        <v>https://docs.google.com/uc?export=download&amp;id=1GLUtk4k8d9VJTp_JMi2GzGhbV2Symurq</v>
      </c>
      <c r="G83" s="23" t="str">
        <f t="shared" si="5"/>
        <v>1GLUtk4k8d9VJTp_JMi2GzGhbV2Symurq</v>
      </c>
      <c r="H83" s="21" t="s">
        <v>199</v>
      </c>
    </row>
    <row r="84" spans="1:8" x14ac:dyDescent="0.25">
      <c r="B84" s="24" t="s">
        <v>29</v>
      </c>
      <c r="C84" s="24" t="str">
        <f t="shared" si="3"/>
        <v>6.3Phon</v>
      </c>
      <c r="D84" s="25" t="s">
        <v>97</v>
      </c>
      <c r="E84" s="24" t="s">
        <v>5</v>
      </c>
      <c r="F84" s="20" t="str">
        <f t="shared" si="4"/>
        <v/>
      </c>
      <c r="G84" s="23" t="str">
        <f t="shared" si="5"/>
        <v/>
      </c>
    </row>
    <row r="85" spans="1:8" s="10" customFormat="1" x14ac:dyDescent="0.25">
      <c r="A85" s="15"/>
      <c r="B85" s="24" t="s">
        <v>173</v>
      </c>
      <c r="C85" s="24" t="str">
        <f t="shared" si="3"/>
        <v>6.4Viet</v>
      </c>
      <c r="D85" s="25" t="s">
        <v>147</v>
      </c>
      <c r="E85" s="24" t="s">
        <v>3</v>
      </c>
      <c r="F85" s="20" t="str">
        <f t="shared" si="4"/>
        <v/>
      </c>
      <c r="G85" s="23" t="str">
        <f t="shared" si="5"/>
        <v/>
      </c>
      <c r="H85" s="21"/>
    </row>
    <row r="86" spans="1:8" x14ac:dyDescent="0.25">
      <c r="A86" s="15">
        <v>26</v>
      </c>
      <c r="B86" s="24" t="s">
        <v>173</v>
      </c>
      <c r="C86" s="24" t="str">
        <f t="shared" si="3"/>
        <v>6.4Eng</v>
      </c>
      <c r="D86" s="25" t="s">
        <v>98</v>
      </c>
      <c r="E86" s="24" t="s">
        <v>4</v>
      </c>
      <c r="F86" s="20" t="str">
        <f t="shared" si="4"/>
        <v>https://docs.google.com/uc?export=download&amp;id=1EtkXwkNT-X0oZ5qA4w8KLTuMG1bg1SO6</v>
      </c>
      <c r="G86" s="23" t="str">
        <f t="shared" si="5"/>
        <v>1EtkXwkNT-X0oZ5qA4w8KLTuMG1bg1SO6</v>
      </c>
      <c r="H86" s="21" t="s">
        <v>200</v>
      </c>
    </row>
    <row r="87" spans="1:8" x14ac:dyDescent="0.25">
      <c r="B87" s="24" t="s">
        <v>173</v>
      </c>
      <c r="C87" s="24" t="str">
        <f t="shared" si="3"/>
        <v>6.4Phon</v>
      </c>
      <c r="D87" s="25" t="s">
        <v>99</v>
      </c>
      <c r="E87" s="24" t="s">
        <v>5</v>
      </c>
      <c r="F87" s="20" t="str">
        <f t="shared" si="4"/>
        <v/>
      </c>
      <c r="G87" s="23" t="str">
        <f t="shared" si="5"/>
        <v/>
      </c>
    </row>
    <row r="88" spans="1:8" x14ac:dyDescent="0.25">
      <c r="B88" s="24">
        <v>7</v>
      </c>
      <c r="C88" s="24" t="str">
        <f t="shared" si="3"/>
        <v>7Struc</v>
      </c>
      <c r="D88" s="25" t="s">
        <v>165</v>
      </c>
      <c r="E88" s="24" t="s">
        <v>11</v>
      </c>
      <c r="F88" s="20" t="str">
        <f t="shared" si="4"/>
        <v/>
      </c>
      <c r="G88" s="23" t="str">
        <f t="shared" si="5"/>
        <v/>
      </c>
    </row>
    <row r="89" spans="1:8" x14ac:dyDescent="0.25">
      <c r="B89" s="24" t="s">
        <v>30</v>
      </c>
      <c r="C89" s="24" t="str">
        <f t="shared" si="3"/>
        <v>7.1Viet</v>
      </c>
      <c r="D89" s="25" t="s">
        <v>148</v>
      </c>
      <c r="E89" s="24" t="s">
        <v>3</v>
      </c>
      <c r="F89" s="20" t="str">
        <f t="shared" si="4"/>
        <v/>
      </c>
      <c r="G89" s="23" t="str">
        <f t="shared" si="5"/>
        <v/>
      </c>
    </row>
    <row r="90" spans="1:8" x14ac:dyDescent="0.25">
      <c r="A90" s="15">
        <v>27</v>
      </c>
      <c r="B90" s="24" t="s">
        <v>30</v>
      </c>
      <c r="C90" s="24" t="str">
        <f t="shared" si="3"/>
        <v>7.1Eng</v>
      </c>
      <c r="D90" s="25" t="s">
        <v>100</v>
      </c>
      <c r="E90" s="24" t="s">
        <v>4</v>
      </c>
      <c r="F90" s="20" t="str">
        <f t="shared" si="4"/>
        <v>https://docs.google.com/uc?export=download&amp;id=10ZsUs4hoFuTC4muY_TccrHmIP40m6kPO</v>
      </c>
      <c r="G90" s="23" t="str">
        <f t="shared" si="5"/>
        <v>10ZsUs4hoFuTC4muY_TccrHmIP40m6kPO</v>
      </c>
      <c r="H90" s="21" t="s">
        <v>201</v>
      </c>
    </row>
    <row r="91" spans="1:8" x14ac:dyDescent="0.25">
      <c r="B91" s="24" t="s">
        <v>30</v>
      </c>
      <c r="C91" s="24" t="str">
        <f t="shared" si="3"/>
        <v>7.1Phon</v>
      </c>
      <c r="D91" s="25" t="s">
        <v>101</v>
      </c>
      <c r="E91" s="24" t="s">
        <v>5</v>
      </c>
      <c r="F91" s="20" t="str">
        <f t="shared" si="4"/>
        <v/>
      </c>
      <c r="G91" s="23" t="str">
        <f t="shared" si="5"/>
        <v/>
      </c>
    </row>
    <row r="92" spans="1:8" x14ac:dyDescent="0.25">
      <c r="B92" s="24" t="s">
        <v>31</v>
      </c>
      <c r="C92" s="24" t="str">
        <f t="shared" si="3"/>
        <v>7.2Viet</v>
      </c>
      <c r="D92" s="25" t="s">
        <v>149</v>
      </c>
      <c r="E92" s="24" t="s">
        <v>3</v>
      </c>
      <c r="F92" s="20" t="str">
        <f t="shared" si="4"/>
        <v/>
      </c>
      <c r="G92" s="23" t="str">
        <f t="shared" si="5"/>
        <v/>
      </c>
    </row>
    <row r="93" spans="1:8" x14ac:dyDescent="0.25">
      <c r="A93" s="15">
        <v>28</v>
      </c>
      <c r="B93" s="24" t="s">
        <v>31</v>
      </c>
      <c r="C93" s="24" t="str">
        <f t="shared" si="3"/>
        <v>7.2Eng</v>
      </c>
      <c r="D93" s="25" t="s">
        <v>102</v>
      </c>
      <c r="E93" s="24" t="s">
        <v>4</v>
      </c>
      <c r="F93" s="20" t="str">
        <f t="shared" si="4"/>
        <v>https://docs.google.com/uc?export=download&amp;id=1n6Yun3uL7YDvei7GgizFwmVM9xI7diEm</v>
      </c>
      <c r="G93" s="23" t="str">
        <f t="shared" si="5"/>
        <v>1n6Yun3uL7YDvei7GgizFwmVM9xI7diEm</v>
      </c>
      <c r="H93" s="21" t="s">
        <v>202</v>
      </c>
    </row>
    <row r="94" spans="1:8" x14ac:dyDescent="0.25">
      <c r="B94" s="24" t="s">
        <v>31</v>
      </c>
      <c r="C94" s="24" t="str">
        <f t="shared" si="3"/>
        <v>7.2Phon</v>
      </c>
      <c r="D94" s="25" t="s">
        <v>103</v>
      </c>
      <c r="E94" s="24" t="s">
        <v>5</v>
      </c>
      <c r="F94" s="20" t="str">
        <f t="shared" si="4"/>
        <v/>
      </c>
      <c r="G94" s="23" t="str">
        <f t="shared" si="5"/>
        <v/>
      </c>
    </row>
    <row r="95" spans="1:8" x14ac:dyDescent="0.25">
      <c r="B95" s="24" t="s">
        <v>32</v>
      </c>
      <c r="C95" s="24" t="str">
        <f t="shared" si="3"/>
        <v>7.3Viet</v>
      </c>
      <c r="D95" s="25" t="s">
        <v>150</v>
      </c>
      <c r="E95" s="24" t="s">
        <v>3</v>
      </c>
      <c r="F95" s="20" t="str">
        <f t="shared" si="4"/>
        <v/>
      </c>
      <c r="G95" s="23" t="str">
        <f t="shared" si="5"/>
        <v/>
      </c>
    </row>
    <row r="96" spans="1:8" x14ac:dyDescent="0.25">
      <c r="A96" s="15">
        <v>29</v>
      </c>
      <c r="B96" s="24" t="s">
        <v>32</v>
      </c>
      <c r="C96" s="24" t="str">
        <f t="shared" si="3"/>
        <v>7.3Eng</v>
      </c>
      <c r="D96" s="25" t="s">
        <v>104</v>
      </c>
      <c r="E96" s="24" t="s">
        <v>4</v>
      </c>
      <c r="F96" s="20" t="str">
        <f t="shared" si="4"/>
        <v>https://docs.google.com/uc?export=download&amp;id=1xgl9N_RU2r8Ab0d00xmjEQsvo5Bn5W8i</v>
      </c>
      <c r="G96" s="23" t="str">
        <f t="shared" si="5"/>
        <v>1xgl9N_RU2r8Ab0d00xmjEQsvo5Bn5W8i</v>
      </c>
      <c r="H96" s="21" t="s">
        <v>203</v>
      </c>
    </row>
    <row r="97" spans="1:8" x14ac:dyDescent="0.25">
      <c r="B97" s="24" t="s">
        <v>32</v>
      </c>
      <c r="C97" s="24" t="str">
        <f t="shared" si="3"/>
        <v>7.3Phon</v>
      </c>
      <c r="D97" s="25" t="s">
        <v>105</v>
      </c>
      <c r="E97" s="24" t="s">
        <v>5</v>
      </c>
      <c r="F97" s="20" t="str">
        <f t="shared" si="4"/>
        <v/>
      </c>
      <c r="G97" s="23" t="str">
        <f t="shared" si="5"/>
        <v/>
      </c>
    </row>
    <row r="98" spans="1:8" x14ac:dyDescent="0.25">
      <c r="B98" s="24" t="s">
        <v>44</v>
      </c>
      <c r="C98" s="24" t="str">
        <f t="shared" si="3"/>
        <v>7.4Viet</v>
      </c>
      <c r="D98" s="25" t="s">
        <v>151</v>
      </c>
      <c r="E98" s="24" t="s">
        <v>3</v>
      </c>
      <c r="F98" s="20" t="str">
        <f t="shared" si="4"/>
        <v/>
      </c>
      <c r="G98" s="23" t="str">
        <f t="shared" si="5"/>
        <v/>
      </c>
    </row>
    <row r="99" spans="1:8" x14ac:dyDescent="0.25">
      <c r="A99" s="15">
        <v>30</v>
      </c>
      <c r="B99" s="24" t="s">
        <v>44</v>
      </c>
      <c r="C99" s="24" t="str">
        <f t="shared" si="3"/>
        <v>7.4Eng</v>
      </c>
      <c r="D99" s="25" t="s">
        <v>106</v>
      </c>
      <c r="E99" s="24" t="s">
        <v>4</v>
      </c>
      <c r="F99" s="20" t="str">
        <f t="shared" si="4"/>
        <v>https://docs.google.com/uc?export=download&amp;id=15z_jqzpC4BFyPGxMuloQcG3sXCWaBgBv</v>
      </c>
      <c r="G99" s="23" t="str">
        <f t="shared" si="5"/>
        <v>15z_jqzpC4BFyPGxMuloQcG3sXCWaBgBv</v>
      </c>
      <c r="H99" s="21" t="s">
        <v>204</v>
      </c>
    </row>
    <row r="100" spans="1:8" x14ac:dyDescent="0.25">
      <c r="B100" s="24" t="s">
        <v>44</v>
      </c>
      <c r="C100" s="24" t="str">
        <f t="shared" si="3"/>
        <v>7.4Phon</v>
      </c>
      <c r="D100" s="25" t="s">
        <v>107</v>
      </c>
      <c r="E100" s="24" t="s">
        <v>5</v>
      </c>
      <c r="F100" s="20" t="str">
        <f t="shared" si="4"/>
        <v/>
      </c>
      <c r="G100" s="23" t="str">
        <f t="shared" si="5"/>
        <v/>
      </c>
    </row>
    <row r="101" spans="1:8" x14ac:dyDescent="0.25">
      <c r="B101" s="24">
        <v>8</v>
      </c>
      <c r="C101" s="24" t="str">
        <f t="shared" si="3"/>
        <v>8Struc</v>
      </c>
      <c r="D101" s="25" t="s">
        <v>166</v>
      </c>
      <c r="E101" s="24" t="s">
        <v>11</v>
      </c>
      <c r="F101" s="20" t="str">
        <f t="shared" si="4"/>
        <v/>
      </c>
      <c r="G101" s="23" t="str">
        <f t="shared" si="5"/>
        <v/>
      </c>
    </row>
    <row r="102" spans="1:8" x14ac:dyDescent="0.25">
      <c r="B102" s="24" t="s">
        <v>33</v>
      </c>
      <c r="C102" s="24" t="str">
        <f t="shared" si="3"/>
        <v>8.1Viet</v>
      </c>
      <c r="D102" s="25" t="s">
        <v>152</v>
      </c>
      <c r="E102" s="24" t="s">
        <v>3</v>
      </c>
      <c r="F102" s="20" t="str">
        <f t="shared" si="4"/>
        <v/>
      </c>
      <c r="G102" s="23" t="str">
        <f t="shared" si="5"/>
        <v/>
      </c>
    </row>
    <row r="103" spans="1:8" x14ac:dyDescent="0.25">
      <c r="A103" s="15">
        <v>31</v>
      </c>
      <c r="B103" s="24" t="s">
        <v>33</v>
      </c>
      <c r="C103" s="24" t="str">
        <f t="shared" si="3"/>
        <v>8.1Eng</v>
      </c>
      <c r="D103" s="25" t="s">
        <v>108</v>
      </c>
      <c r="E103" s="24" t="s">
        <v>4</v>
      </c>
      <c r="F103" s="20" t="str">
        <f t="shared" si="4"/>
        <v>https://docs.google.com/uc?export=download&amp;id=1v-NpunXTiboHLcEyI_kaGy1BCn0JkPYf</v>
      </c>
      <c r="G103" s="23" t="str">
        <f t="shared" si="5"/>
        <v>1v-NpunXTiboHLcEyI_kaGy1BCn0JkPYf</v>
      </c>
      <c r="H103" s="21" t="s">
        <v>205</v>
      </c>
    </row>
    <row r="104" spans="1:8" x14ac:dyDescent="0.25">
      <c r="B104" s="24" t="s">
        <v>33</v>
      </c>
      <c r="C104" s="24" t="str">
        <f t="shared" si="3"/>
        <v>8.1Phon</v>
      </c>
      <c r="D104" s="25" t="s">
        <v>109</v>
      </c>
      <c r="E104" s="24" t="s">
        <v>5</v>
      </c>
      <c r="F104" s="20" t="str">
        <f t="shared" si="4"/>
        <v/>
      </c>
      <c r="G104" s="23" t="str">
        <f t="shared" si="5"/>
        <v/>
      </c>
    </row>
    <row r="105" spans="1:8" x14ac:dyDescent="0.25">
      <c r="B105" s="24" t="s">
        <v>34</v>
      </c>
      <c r="C105" s="24" t="str">
        <f t="shared" si="3"/>
        <v>8.2Viet</v>
      </c>
      <c r="D105" s="25" t="s">
        <v>153</v>
      </c>
      <c r="E105" s="24" t="s">
        <v>3</v>
      </c>
      <c r="F105" s="20" t="str">
        <f t="shared" si="4"/>
        <v/>
      </c>
      <c r="G105" s="23" t="str">
        <f t="shared" si="5"/>
        <v/>
      </c>
    </row>
    <row r="106" spans="1:8" x14ac:dyDescent="0.25">
      <c r="A106" s="15">
        <v>32</v>
      </c>
      <c r="B106" s="24" t="s">
        <v>34</v>
      </c>
      <c r="C106" s="24" t="str">
        <f t="shared" si="3"/>
        <v>8.2Eng</v>
      </c>
      <c r="D106" s="25" t="s">
        <v>110</v>
      </c>
      <c r="E106" s="24" t="s">
        <v>4</v>
      </c>
      <c r="F106" s="20" t="str">
        <f t="shared" si="4"/>
        <v>https://docs.google.com/uc?export=download&amp;id=1Zg87SjsVf6Qz-SHPH6wUeivBq_fIpBAz</v>
      </c>
      <c r="G106" s="23" t="str">
        <f t="shared" si="5"/>
        <v>1Zg87SjsVf6Qz-SHPH6wUeivBq_fIpBAz</v>
      </c>
      <c r="H106" s="21" t="s">
        <v>206</v>
      </c>
    </row>
    <row r="107" spans="1:8" x14ac:dyDescent="0.25">
      <c r="B107" s="24" t="s">
        <v>34</v>
      </c>
      <c r="C107" s="24" t="str">
        <f t="shared" si="3"/>
        <v>8.2Phon</v>
      </c>
      <c r="D107" s="25" t="s">
        <v>111</v>
      </c>
      <c r="E107" s="24" t="s">
        <v>5</v>
      </c>
      <c r="F107" s="20" t="str">
        <f t="shared" si="4"/>
        <v/>
      </c>
      <c r="G107" s="23" t="str">
        <f t="shared" si="5"/>
        <v/>
      </c>
    </row>
    <row r="108" spans="1:8" x14ac:dyDescent="0.25">
      <c r="B108" s="24" t="s">
        <v>35</v>
      </c>
      <c r="C108" s="24" t="str">
        <f t="shared" si="3"/>
        <v>8.3Viet</v>
      </c>
      <c r="D108" s="25" t="s">
        <v>154</v>
      </c>
      <c r="E108" s="24" t="s">
        <v>3</v>
      </c>
      <c r="F108" s="20" t="str">
        <f t="shared" si="4"/>
        <v/>
      </c>
      <c r="G108" s="23" t="str">
        <f t="shared" si="5"/>
        <v/>
      </c>
    </row>
    <row r="109" spans="1:8" x14ac:dyDescent="0.25">
      <c r="A109" s="15">
        <v>33</v>
      </c>
      <c r="B109" s="24" t="s">
        <v>35</v>
      </c>
      <c r="C109" s="24" t="str">
        <f t="shared" si="3"/>
        <v>8.3Eng</v>
      </c>
      <c r="D109" s="25" t="s">
        <v>112</v>
      </c>
      <c r="E109" s="24" t="s">
        <v>4</v>
      </c>
      <c r="F109" s="20" t="str">
        <f t="shared" si="4"/>
        <v>https://docs.google.com/uc?export=download&amp;id=1lk2qAacn5UwVowMIDvkkn4YVGbi5LClC</v>
      </c>
      <c r="G109" s="23" t="str">
        <f t="shared" si="5"/>
        <v>1lk2qAacn5UwVowMIDvkkn4YVGbi5LClC</v>
      </c>
      <c r="H109" s="21" t="s">
        <v>207</v>
      </c>
    </row>
    <row r="110" spans="1:8" x14ac:dyDescent="0.25">
      <c r="B110" s="24" t="s">
        <v>35</v>
      </c>
      <c r="C110" s="24" t="str">
        <f t="shared" si="3"/>
        <v>8.3Phon</v>
      </c>
      <c r="D110" s="25" t="s">
        <v>113</v>
      </c>
      <c r="E110" s="24" t="s">
        <v>5</v>
      </c>
      <c r="F110" s="20" t="str">
        <f t="shared" si="4"/>
        <v/>
      </c>
      <c r="G110" s="23" t="str">
        <f t="shared" si="5"/>
        <v/>
      </c>
    </row>
    <row r="111" spans="1:8" x14ac:dyDescent="0.25">
      <c r="B111" s="24" t="s">
        <v>45</v>
      </c>
      <c r="C111" s="24" t="str">
        <f t="shared" si="3"/>
        <v>8.4Viet</v>
      </c>
      <c r="D111" s="25" t="s">
        <v>155</v>
      </c>
      <c r="E111" s="24" t="s">
        <v>3</v>
      </c>
      <c r="F111" s="20" t="str">
        <f t="shared" si="4"/>
        <v/>
      </c>
      <c r="G111" s="23" t="str">
        <f t="shared" si="5"/>
        <v/>
      </c>
    </row>
    <row r="112" spans="1:8" x14ac:dyDescent="0.25">
      <c r="A112" s="15">
        <v>34</v>
      </c>
      <c r="B112" s="24" t="s">
        <v>45</v>
      </c>
      <c r="C112" s="24" t="str">
        <f t="shared" si="3"/>
        <v>8.4Eng</v>
      </c>
      <c r="D112" s="25" t="s">
        <v>114</v>
      </c>
      <c r="E112" s="24" t="s">
        <v>4</v>
      </c>
      <c r="F112" s="20" t="str">
        <f t="shared" si="4"/>
        <v>https://docs.google.com/uc?export=download&amp;id=1G-lEpOwUFfnJhjBm2QqPJKP5ywH3kqZs</v>
      </c>
      <c r="G112" s="23" t="str">
        <f t="shared" si="5"/>
        <v>1G-lEpOwUFfnJhjBm2QqPJKP5ywH3kqZs</v>
      </c>
      <c r="H112" s="26" t="s">
        <v>208</v>
      </c>
    </row>
    <row r="113" spans="1:8" x14ac:dyDescent="0.25">
      <c r="B113" s="24" t="s">
        <v>45</v>
      </c>
      <c r="C113" s="24" t="str">
        <f t="shared" si="3"/>
        <v>8.4Phon</v>
      </c>
      <c r="D113" s="25" t="s">
        <v>115</v>
      </c>
      <c r="E113" s="24" t="s">
        <v>5</v>
      </c>
      <c r="F113" s="20" t="str">
        <f t="shared" si="4"/>
        <v/>
      </c>
      <c r="G113" s="23" t="str">
        <f t="shared" si="5"/>
        <v/>
      </c>
    </row>
    <row r="114" spans="1:8" x14ac:dyDescent="0.25">
      <c r="B114" s="24">
        <v>9</v>
      </c>
      <c r="C114" s="24" t="str">
        <f t="shared" si="3"/>
        <v>9Struc</v>
      </c>
      <c r="D114" s="25" t="s">
        <v>167</v>
      </c>
      <c r="E114" s="24" t="s">
        <v>11</v>
      </c>
      <c r="F114" s="20" t="str">
        <f t="shared" si="4"/>
        <v/>
      </c>
      <c r="G114" s="23" t="str">
        <f t="shared" si="5"/>
        <v/>
      </c>
      <c r="H114" s="20"/>
    </row>
    <row r="115" spans="1:8" x14ac:dyDescent="0.25">
      <c r="B115" s="24" t="s">
        <v>36</v>
      </c>
      <c r="C115" s="24" t="str">
        <f t="shared" si="3"/>
        <v>9.1Viet</v>
      </c>
      <c r="D115" s="25" t="s">
        <v>156</v>
      </c>
      <c r="E115" s="24" t="s">
        <v>3</v>
      </c>
      <c r="F115" s="20" t="str">
        <f t="shared" si="4"/>
        <v/>
      </c>
      <c r="G115" s="23" t="str">
        <f t="shared" si="5"/>
        <v/>
      </c>
    </row>
    <row r="116" spans="1:8" x14ac:dyDescent="0.25">
      <c r="A116" s="15">
        <v>35</v>
      </c>
      <c r="B116" s="24" t="s">
        <v>36</v>
      </c>
      <c r="C116" s="24" t="str">
        <f t="shared" si="3"/>
        <v>9.1Eng</v>
      </c>
      <c r="D116" s="25" t="s">
        <v>116</v>
      </c>
      <c r="E116" s="24" t="s">
        <v>4</v>
      </c>
      <c r="F116" s="20" t="str">
        <f t="shared" si="4"/>
        <v>https://docs.google.com/uc?export=download&amp;id=19fj7np5nSo8Alcx0TPTGLyfTSRPLt5Cm</v>
      </c>
      <c r="G116" s="23" t="str">
        <f t="shared" si="5"/>
        <v>19fj7np5nSo8Alcx0TPTGLyfTSRPLt5Cm</v>
      </c>
      <c r="H116" s="21" t="s">
        <v>209</v>
      </c>
    </row>
    <row r="117" spans="1:8" x14ac:dyDescent="0.25">
      <c r="B117" s="24" t="s">
        <v>36</v>
      </c>
      <c r="C117" s="24" t="str">
        <f t="shared" si="3"/>
        <v>9.1Phon</v>
      </c>
      <c r="D117" s="25" t="s">
        <v>117</v>
      </c>
      <c r="E117" s="24" t="s">
        <v>5</v>
      </c>
      <c r="F117" s="20" t="str">
        <f t="shared" si="4"/>
        <v/>
      </c>
      <c r="G117" s="23" t="str">
        <f t="shared" si="5"/>
        <v/>
      </c>
    </row>
    <row r="118" spans="1:8" x14ac:dyDescent="0.25">
      <c r="B118" s="24" t="s">
        <v>37</v>
      </c>
      <c r="C118" s="24" t="str">
        <f t="shared" si="3"/>
        <v>9.2Viet</v>
      </c>
      <c r="D118" s="25" t="s">
        <v>157</v>
      </c>
      <c r="E118" s="24" t="s">
        <v>3</v>
      </c>
      <c r="F118" s="20" t="str">
        <f t="shared" si="4"/>
        <v/>
      </c>
      <c r="G118" s="23" t="str">
        <f t="shared" si="5"/>
        <v/>
      </c>
    </row>
    <row r="119" spans="1:8" x14ac:dyDescent="0.25">
      <c r="A119" s="15">
        <v>36</v>
      </c>
      <c r="B119" s="24" t="s">
        <v>37</v>
      </c>
      <c r="C119" s="24" t="str">
        <f t="shared" si="3"/>
        <v>9.2Eng</v>
      </c>
      <c r="D119" s="25" t="s">
        <v>118</v>
      </c>
      <c r="E119" s="24" t="s">
        <v>4</v>
      </c>
      <c r="F119" s="20" t="str">
        <f t="shared" si="4"/>
        <v>https://docs.google.com/uc?export=download&amp;id=1uB3PO3nq1poxlOc5fSrQToo_oTz6bv8L</v>
      </c>
      <c r="G119" s="23" t="str">
        <f t="shared" si="5"/>
        <v>1uB3PO3nq1poxlOc5fSrQToo_oTz6bv8L</v>
      </c>
      <c r="H119" s="21" t="s">
        <v>210</v>
      </c>
    </row>
    <row r="120" spans="1:8" x14ac:dyDescent="0.25">
      <c r="B120" s="24" t="s">
        <v>37</v>
      </c>
      <c r="C120" s="24" t="str">
        <f t="shared" si="3"/>
        <v>9.2Phon</v>
      </c>
      <c r="D120" s="25" t="s">
        <v>119</v>
      </c>
      <c r="E120" s="24" t="s">
        <v>5</v>
      </c>
      <c r="F120" s="20" t="str">
        <f t="shared" si="4"/>
        <v/>
      </c>
      <c r="G120" s="23" t="str">
        <f t="shared" si="5"/>
        <v/>
      </c>
    </row>
    <row r="121" spans="1:8" x14ac:dyDescent="0.25">
      <c r="B121" s="24" t="s">
        <v>38</v>
      </c>
      <c r="C121" s="24" t="str">
        <f t="shared" si="3"/>
        <v>9.3Viet</v>
      </c>
      <c r="D121" s="25" t="s">
        <v>158</v>
      </c>
      <c r="E121" s="24" t="s">
        <v>3</v>
      </c>
      <c r="F121" s="20" t="str">
        <f t="shared" si="4"/>
        <v/>
      </c>
      <c r="G121" s="23" t="str">
        <f t="shared" si="5"/>
        <v/>
      </c>
    </row>
    <row r="122" spans="1:8" x14ac:dyDescent="0.25">
      <c r="A122" s="15">
        <v>37</v>
      </c>
      <c r="B122" s="24" t="s">
        <v>38</v>
      </c>
      <c r="C122" s="24" t="str">
        <f t="shared" si="3"/>
        <v>9.3Eng</v>
      </c>
      <c r="D122" s="25" t="s">
        <v>120</v>
      </c>
      <c r="E122" s="24" t="s">
        <v>4</v>
      </c>
      <c r="F122" s="20" t="str">
        <f t="shared" si="4"/>
        <v>https://docs.google.com/uc?export=download&amp;id=1unw9bz9V_6_kiUvAniWyXZ-laHYH4dA6</v>
      </c>
      <c r="G122" s="23" t="str">
        <f t="shared" si="5"/>
        <v>1unw9bz9V_6_kiUvAniWyXZ-laHYH4dA6</v>
      </c>
      <c r="H122" s="21" t="s">
        <v>211</v>
      </c>
    </row>
    <row r="123" spans="1:8" x14ac:dyDescent="0.25">
      <c r="B123" s="24" t="s">
        <v>38</v>
      </c>
      <c r="C123" s="24" t="str">
        <f t="shared" si="3"/>
        <v>9.3Phon</v>
      </c>
      <c r="D123" s="25" t="s">
        <v>121</v>
      </c>
      <c r="E123" s="24" t="s">
        <v>5</v>
      </c>
      <c r="F123" s="20" t="str">
        <f t="shared" si="4"/>
        <v/>
      </c>
      <c r="G123" s="23" t="str">
        <f t="shared" si="5"/>
        <v/>
      </c>
    </row>
  </sheetData>
  <autoFilter ref="A3:H123" xr:uid="{409C9D1B-A452-401C-9733-8750E50DAAFC}"/>
  <conditionalFormatting sqref="H1:H113 H115:H1048576">
    <cfRule type="duplicateValues" dxfId="2" priority="3"/>
  </conditionalFormatting>
  <conditionalFormatting sqref="I1:I1048576">
    <cfRule type="duplicateValues" dxfId="1" priority="5"/>
  </conditionalFormatting>
  <hyperlinks>
    <hyperlink ref="H112" r:id="rId1" xr:uid="{CC99189C-3111-42FA-94B0-33E6F8315E6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291B-7D61-4F66-87A2-BCE4B8C6F943}">
  <dimension ref="B2:E7"/>
  <sheetViews>
    <sheetView tabSelected="1" topLeftCell="A2" workbookViewId="0">
      <selection activeCell="C5" sqref="C5"/>
    </sheetView>
  </sheetViews>
  <sheetFormatPr defaultRowHeight="13.8" x14ac:dyDescent="0.25"/>
  <cols>
    <col min="2" max="2" width="12.19921875" style="1" bestFit="1" customWidth="1"/>
    <col min="3" max="3" width="75.8984375" customWidth="1"/>
    <col min="5" max="5" width="74.2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39</v>
      </c>
      <c r="C3" s="6" t="str">
        <f>IF(D3="","","https://docs.google.com/uc?export=download&amp;id="&amp;D3)</f>
        <v>https://docs.google.com/uc?export=download&amp;id=1LKgh_q2mt_AZMy1WT6LYZlYzAit_8BdL</v>
      </c>
      <c r="D3" s="7" t="str">
        <f t="shared" ref="D3:D4" si="0">IFERROR(LEFT(RIGHT(E3,LEN(E3)-32),LEN(RIGHT(E3,LEN(E3)-32))-17),"")</f>
        <v>1LKgh_q2mt_AZMy1WT6LYZlYzAit_8BdL</v>
      </c>
      <c r="E3" s="7" t="s">
        <v>213</v>
      </c>
    </row>
    <row r="4" spans="2:5" x14ac:dyDescent="0.25">
      <c r="B4" s="8" t="s">
        <v>174</v>
      </c>
      <c r="C4" s="6" t="str">
        <f t="shared" ref="C4" si="1">IF(D4="","","https://docs.google.com/uc?export=download&amp;id="&amp;D4)</f>
        <v>https://docs.google.com/uc?export=download&amp;id=1DSjExOEA3oqHmLgEnME5-urB9iOR9874</v>
      </c>
      <c r="D4" s="7" t="str">
        <f t="shared" si="0"/>
        <v>1DSjExOEA3oqHmLgEnME5-urB9iOR9874</v>
      </c>
      <c r="E4" s="7" t="s">
        <v>214</v>
      </c>
    </row>
    <row r="5" spans="2:5" x14ac:dyDescent="0.25">
      <c r="B5" s="8" t="s">
        <v>215</v>
      </c>
      <c r="C5" s="6" t="str">
        <f t="shared" ref="C5:C7" si="2">IF(D5="","","https://docs.google.com/uc?export=download&amp;id="&amp;D5)</f>
        <v>https://docs.google.com/uc?export=download&amp;id=1v-P7zZ-ycJFQSn_ZrN3BGTr1nQda6NeA</v>
      </c>
      <c r="D5" s="7" t="str">
        <f t="shared" ref="D5:D7" si="3">IFERROR(LEFT(RIGHT(E5,LEN(E5)-32),LEN(RIGHT(E5,LEN(E5)-32))-17),"")</f>
        <v>1v-P7zZ-ycJFQSn_ZrN3BGTr1nQda6NeA</v>
      </c>
      <c r="E5" s="7" t="s">
        <v>216</v>
      </c>
    </row>
    <row r="6" spans="2:5" x14ac:dyDescent="0.25">
      <c r="B6" s="8"/>
      <c r="C6" s="6" t="str">
        <f t="shared" si="2"/>
        <v/>
      </c>
      <c r="D6" s="7" t="str">
        <f t="shared" si="3"/>
        <v/>
      </c>
      <c r="E6" s="7"/>
    </row>
    <row r="7" spans="2:5" x14ac:dyDescent="0.25">
      <c r="B7" s="8"/>
      <c r="C7" s="6" t="str">
        <f t="shared" si="2"/>
        <v/>
      </c>
      <c r="D7" s="7" t="str">
        <f t="shared" si="3"/>
        <v/>
      </c>
      <c r="E7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D948-479B-4B09-9139-09BEE512E2E7}">
  <dimension ref="B2:E4"/>
  <sheetViews>
    <sheetView workbookViewId="0">
      <selection activeCell="C8" sqref="C8"/>
    </sheetView>
  </sheetViews>
  <sheetFormatPr defaultRowHeight="13.8" x14ac:dyDescent="0.25"/>
  <cols>
    <col min="2" max="2" width="11.3984375" bestFit="1" customWidth="1"/>
    <col min="3" max="3" width="75.69921875" bestFit="1" customWidth="1"/>
    <col min="5" max="5" width="74.7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41</v>
      </c>
      <c r="C3" s="6" t="str">
        <f>IF(D3="","","https://docs.google.com/uc?export=download&amp;id="&amp;D3)</f>
        <v/>
      </c>
      <c r="D3" s="7" t="str">
        <f t="shared" ref="D3" si="0">IFERROR(LEFT(RIGHT(E3,LEN(E3)-32),LEN(RIGHT(E3,LEN(E3)-32))-17),"")</f>
        <v/>
      </c>
      <c r="E3" s="7"/>
    </row>
    <row r="4" spans="2:5" x14ac:dyDescent="0.25">
      <c r="B4" s="8" t="s">
        <v>40</v>
      </c>
      <c r="C4" s="6" t="str">
        <f>IF(D4="","","https://docs.google.com/uc?export=download&amp;id="&amp;D4)</f>
        <v/>
      </c>
      <c r="D4" s="7" t="str">
        <f t="shared" ref="D4" si="1">IFERROR(LEFT(RIGHT(E4,LEN(E4)-32),LEN(RIGHT(E4,LEN(E4)-32))-17),"")</f>
        <v/>
      </c>
      <c r="E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5BF-F702-4B6A-BC96-7718E75F032C}">
  <dimension ref="A1:M295"/>
  <sheetViews>
    <sheetView topLeftCell="C1" zoomScale="86" zoomScaleNormal="86" workbookViewId="0">
      <selection activeCell="F25" sqref="F25"/>
    </sheetView>
  </sheetViews>
  <sheetFormatPr defaultRowHeight="13.8" x14ac:dyDescent="0.25"/>
  <cols>
    <col min="1" max="1" width="4.796875" hidden="1" customWidth="1"/>
    <col min="2" max="2" width="6.796875" hidden="1" customWidth="1"/>
    <col min="3" max="3" width="7.09765625" style="1" customWidth="1"/>
    <col min="4" max="4" width="7.09765625" customWidth="1"/>
    <col min="5" max="5" width="54.8984375" bestFit="1" customWidth="1"/>
    <col min="6" max="6" width="68.8984375" bestFit="1" customWidth="1"/>
  </cols>
  <sheetData>
    <row r="1" spans="1:11" ht="17.399999999999999" customHeight="1" x14ac:dyDescent="0.25">
      <c r="B1" t="s">
        <v>6</v>
      </c>
      <c r="C1" s="16">
        <v>23</v>
      </c>
      <c r="D1" s="3"/>
    </row>
    <row r="2" spans="1:11" x14ac:dyDescent="0.25">
      <c r="B2" t="s">
        <v>7</v>
      </c>
      <c r="C2" s="16">
        <v>37</v>
      </c>
      <c r="D2" s="3"/>
    </row>
    <row r="3" spans="1:11" x14ac:dyDescent="0.25">
      <c r="C3" s="17" t="s">
        <v>1</v>
      </c>
      <c r="D3" s="4" t="s">
        <v>1</v>
      </c>
      <c r="E3" s="4" t="s">
        <v>3</v>
      </c>
      <c r="F3" s="4" t="s">
        <v>4</v>
      </c>
    </row>
    <row r="4" spans="1:11" x14ac:dyDescent="0.25">
      <c r="A4">
        <f>C1</f>
        <v>23</v>
      </c>
      <c r="B4">
        <f t="shared" ref="B4:B67" ca="1" si="0">IF(A4="","",RANDBETWEEN($C$1,$C$2))</f>
        <v>23</v>
      </c>
      <c r="C4" s="1">
        <f ca="1">IFERROR($C$1-1+_xlfn.RANK.EQ(B4,$B$4:$B$40)+COUNTIF(B$4:$B4,B4)-1,"")</f>
        <v>37</v>
      </c>
      <c r="D4" s="1" t="str">
        <f ca="1">IFERROR(VLOOKUP(C4,'At Home'!A:B,2,0),"")</f>
        <v>9.3</v>
      </c>
      <c r="E4" t="str">
        <f ca="1">IFERROR(VLOOKUP(D4&amp;"Viet",'At Home'!C:D,2,0),"")</f>
        <v>Dường như anh có vẻ cáu giận, có chuyện gì hả?</v>
      </c>
      <c r="F4" t="str">
        <f ca="1">IFERROR(VLOOKUP(D4&amp;"Eng",'At Home'!C:D,2,0),"")</f>
        <v>You seem angry, has something happened?</v>
      </c>
    </row>
    <row r="5" spans="1:11" x14ac:dyDescent="0.25">
      <c r="A5">
        <f>IFERROR(IF(A4+1&gt;$C$2,"",A4+1),"")</f>
        <v>24</v>
      </c>
      <c r="B5">
        <f t="shared" ca="1" si="0"/>
        <v>33</v>
      </c>
      <c r="C5" s="1">
        <f ca="1">IFERROR($C$1-1+_xlfn.RANK.EQ(B5,$B$4:$B$40)+COUNTIF(B$4:$B5,B5)-1,"")</f>
        <v>27</v>
      </c>
      <c r="D5" s="1" t="str">
        <f ca="1">IFERROR(VLOOKUP(C5,'At Home'!A:B,2,0),"")</f>
        <v>7.1</v>
      </c>
      <c r="E5" t="str">
        <f ca="1">IFERROR(VLOOKUP(D5&amp;"Viet",'At Home'!C:D,2,0),"")</f>
        <v>Em có muốn thử ăn hàng rong không?</v>
      </c>
      <c r="F5" t="str">
        <f ca="1">IFERROR(VLOOKUP(D5&amp;"Eng",'At Home'!C:D,2,0),"")</f>
        <v>Do you feel like trying some vendor food?</v>
      </c>
    </row>
    <row r="6" spans="1:11" x14ac:dyDescent="0.25">
      <c r="A6">
        <f t="shared" ref="A6:A69" si="1">IFERROR(IF(A5+1&gt;$C$2,"",A5+1),"")</f>
        <v>25</v>
      </c>
      <c r="B6">
        <f t="shared" ca="1" si="0"/>
        <v>25</v>
      </c>
      <c r="C6" s="1">
        <f ca="1">IFERROR($C$1-1+_xlfn.RANK.EQ(B6,$B$4:$B$40)+COUNTIF(B$4:$B6,B6)-1,"")</f>
        <v>33</v>
      </c>
      <c r="D6" s="1" t="str">
        <f ca="1">IFERROR(VLOOKUP(C6,'At Home'!A:B,2,0),"")</f>
        <v>8.3</v>
      </c>
      <c r="E6" t="str">
        <f ca="1">IFERROR(VLOOKUP(D6&amp;"Viet",'At Home'!C:D,2,0),"")</f>
        <v>Anh còn bụng cho bữa tối không?</v>
      </c>
      <c r="F6" t="str">
        <f ca="1">IFERROR(VLOOKUP(D6&amp;"Eng",'At Home'!C:D,2,0),"")</f>
        <v>Do you still have room for dinner?</v>
      </c>
    </row>
    <row r="7" spans="1:11" x14ac:dyDescent="0.25">
      <c r="A7">
        <f t="shared" si="1"/>
        <v>26</v>
      </c>
      <c r="B7">
        <f t="shared" ca="1" si="0"/>
        <v>34</v>
      </c>
      <c r="C7" s="1">
        <f ca="1">IFERROR($C$1-1+_xlfn.RANK.EQ(B7,$B$4:$B$40)+COUNTIF(B$4:$B7,B7)-1,"")</f>
        <v>26</v>
      </c>
      <c r="D7" s="1" t="str">
        <f ca="1">IFERROR(VLOOKUP(C7,'At Home'!A:B,2,0),"")</f>
        <v>6.4</v>
      </c>
      <c r="E7" t="str">
        <f ca="1">IFERROR(VLOOKUP(D7&amp;"Viet",'At Home'!C:D,2,0),"")</f>
        <v>Anh ấy không muốn đi ra ngoài vào tối nay.</v>
      </c>
      <c r="F7" t="str">
        <f ca="1">IFERROR(VLOOKUP(D7&amp;"Eng",'At Home'!C:D,2,0),"")</f>
        <v>He doesn’t feel like going out tonight.</v>
      </c>
    </row>
    <row r="8" spans="1:11" x14ac:dyDescent="0.25">
      <c r="A8">
        <f t="shared" si="1"/>
        <v>27</v>
      </c>
      <c r="B8">
        <f t="shared" ca="1" si="0"/>
        <v>31</v>
      </c>
      <c r="C8" s="1">
        <f ca="1">IFERROR($C$1-1+_xlfn.RANK.EQ(B8,$B$4:$B$40)+COUNTIF(B$4:$B8,B8)-1,"")</f>
        <v>28</v>
      </c>
      <c r="D8" s="1" t="str">
        <f ca="1">IFERROR(VLOOKUP(C8,'At Home'!A:B,2,0),"")</f>
        <v>7.2</v>
      </c>
      <c r="E8" t="str">
        <f ca="1">IFERROR(VLOOKUP(D8&amp;"Viet",'At Home'!C:D,2,0),"")</f>
        <v>Anh có muốn thử cái gì đó mới không?</v>
      </c>
      <c r="F8" t="str">
        <f ca="1">IFERROR(VLOOKUP(D8&amp;"Eng",'At Home'!C:D,2,0),"")</f>
        <v>Do you feel like trying something new?</v>
      </c>
    </row>
    <row r="9" spans="1:11" x14ac:dyDescent="0.25">
      <c r="A9">
        <f t="shared" si="1"/>
        <v>28</v>
      </c>
      <c r="B9">
        <f t="shared" ca="1" si="0"/>
        <v>26</v>
      </c>
      <c r="C9" s="1">
        <f ca="1">IFERROR($C$1-1+_xlfn.RANK.EQ(B9,$B$4:$B$40)+COUNTIF(B$4:$B9,B9)-1,"")</f>
        <v>31</v>
      </c>
      <c r="D9" s="1" t="str">
        <f ca="1">IFERROR(VLOOKUP(C9,'At Home'!A:B,2,0),"")</f>
        <v>8.1</v>
      </c>
      <c r="E9" t="str">
        <f ca="1">IFERROR(VLOOKUP(D9&amp;"Viet",'At Home'!C:D,2,0),"")</f>
        <v>Con vẫn còn bụng để ăn mấy miếng gà rút xương.</v>
      </c>
      <c r="F9" t="str">
        <f ca="1">IFERROR(VLOOKUP(D9&amp;"Eng",'At Home'!C:D,2,0),"")</f>
        <v>I still have room for chicken nuggets.</v>
      </c>
    </row>
    <row r="10" spans="1:11" x14ac:dyDescent="0.25">
      <c r="A10">
        <f t="shared" si="1"/>
        <v>29</v>
      </c>
      <c r="B10">
        <f t="shared" ca="1" si="0"/>
        <v>27</v>
      </c>
      <c r="C10" s="1">
        <f ca="1">IFERROR($C$1-1+_xlfn.RANK.EQ(B10,$B$4:$B$40)+COUNTIF(B$4:$B10,B10)-1,"")</f>
        <v>30</v>
      </c>
      <c r="D10" s="1" t="str">
        <f ca="1">IFERROR(VLOOKUP(C10,'At Home'!A:B,2,0),"")</f>
        <v>7.4</v>
      </c>
      <c r="E10" t="str">
        <f ca="1">IFERROR(VLOOKUP(D10&amp;"Viet",'At Home'!C:D,2,0),"")</f>
        <v>Em có muốn thử món khác không?</v>
      </c>
      <c r="F10" t="str">
        <f ca="1">IFERROR(VLOOKUP(D10&amp;"Eng",'At Home'!C:D,2,0),"")</f>
        <v>Do you feel like trying different dish?</v>
      </c>
    </row>
    <row r="11" spans="1:11" x14ac:dyDescent="0.25">
      <c r="A11">
        <f t="shared" si="1"/>
        <v>30</v>
      </c>
      <c r="B11">
        <f t="shared" ca="1" si="0"/>
        <v>35</v>
      </c>
      <c r="C11" s="1">
        <f ca="1">IFERROR($C$1-1+_xlfn.RANK.EQ(B11,$B$4:$B$40)+COUNTIF(B$4:$B11,B11)-1,"")</f>
        <v>25</v>
      </c>
      <c r="D11" s="1" t="str">
        <f ca="1">IFERROR(VLOOKUP(C11,'At Home'!A:B,2,0),"")</f>
        <v>6.3</v>
      </c>
      <c r="E11" t="str">
        <f ca="1">IFERROR(VLOOKUP(D11&amp;"Viet",'At Home'!C:D,2,0),"")</f>
        <v>Tối nay em không muốn ăn.</v>
      </c>
      <c r="F11" t="str">
        <f ca="1">IFERROR(VLOOKUP(D11&amp;"Eng",'At Home'!C:D,2,0),"")</f>
        <v>I don’t feel like eating tonight.</v>
      </c>
    </row>
    <row r="12" spans="1:11" x14ac:dyDescent="0.25">
      <c r="A12">
        <f t="shared" si="1"/>
        <v>31</v>
      </c>
      <c r="B12">
        <f t="shared" ca="1" si="0"/>
        <v>37</v>
      </c>
      <c r="C12" s="1">
        <f ca="1">IFERROR($C$1-1+_xlfn.RANK.EQ(B12,$B$4:$B$40)+COUNTIF(B$4:$B12,B12)-1,"")</f>
        <v>23</v>
      </c>
      <c r="D12" s="1" t="str">
        <f ca="1">IFERROR(VLOOKUP(C12,'At Home'!A:B,2,0),"")</f>
        <v>6.1</v>
      </c>
      <c r="E12" t="str">
        <f ca="1">IFERROR(VLOOKUP(D12&amp;"Viet",'At Home'!C:D,2,0),"")</f>
        <v>Tối nay em không muốn nấu ăn.</v>
      </c>
      <c r="F12" t="str">
        <f ca="1">IFERROR(VLOOKUP(D12&amp;"Eng",'At Home'!C:D,2,0),"")</f>
        <v>I don’t feel like cooking tonight.</v>
      </c>
      <c r="J12" s="18"/>
    </row>
    <row r="13" spans="1:11" x14ac:dyDescent="0.25">
      <c r="A13">
        <f t="shared" si="1"/>
        <v>32</v>
      </c>
      <c r="B13">
        <f t="shared" ca="1" si="0"/>
        <v>36</v>
      </c>
      <c r="C13" s="1">
        <f ca="1">IFERROR($C$1-1+_xlfn.RANK.EQ(B13,$B$4:$B$40)+COUNTIF(B$4:$B13,B13)-1,"")</f>
        <v>24</v>
      </c>
      <c r="D13" s="1" t="str">
        <f ca="1">IFERROR(VLOOKUP(C13,'At Home'!A:B,2,0),"")</f>
        <v>6.2</v>
      </c>
      <c r="E13" t="str">
        <f ca="1">IFERROR(VLOOKUP(D13&amp;"Viet",'At Home'!C:D,2,0),"")</f>
        <v>Hôm nay em không muốn làm gì cả.</v>
      </c>
      <c r="F13" t="str">
        <f ca="1">IFERROR(VLOOKUP(D13&amp;"Eng",'At Home'!C:D,2,0),"")</f>
        <v>I don’t feel like doing anything today.</v>
      </c>
    </row>
    <row r="14" spans="1:11" x14ac:dyDescent="0.25">
      <c r="A14">
        <f t="shared" si="1"/>
        <v>33</v>
      </c>
      <c r="B14">
        <f t="shared" ca="1" si="0"/>
        <v>26</v>
      </c>
      <c r="C14" s="1">
        <f ca="1">IFERROR($C$1-1+_xlfn.RANK.EQ(B14,$B$4:$B$40)+COUNTIF(B$4:$B14,B14)-1,"")</f>
        <v>32</v>
      </c>
      <c r="D14" s="1" t="str">
        <f ca="1">IFERROR(VLOOKUP(C14,'At Home'!A:B,2,0),"")</f>
        <v>8.2</v>
      </c>
      <c r="E14" t="str">
        <f ca="1">IFERROR(VLOOKUP(D14&amp;"Viet",'At Home'!C:D,2,0),"")</f>
        <v>Em vẫn còn bụng cho bữa trưa.</v>
      </c>
      <c r="F14" t="str">
        <f ca="1">IFERROR(VLOOKUP(D14&amp;"Eng",'At Home'!C:D,2,0),"")</f>
        <v>I still have room for lunch.</v>
      </c>
    </row>
    <row r="15" spans="1:11" x14ac:dyDescent="0.25">
      <c r="A15">
        <f t="shared" si="1"/>
        <v>34</v>
      </c>
      <c r="B15">
        <f t="shared" ca="1" si="0"/>
        <v>24</v>
      </c>
      <c r="C15" s="1">
        <f ca="1">IFERROR($C$1-1+_xlfn.RANK.EQ(B15,$B$4:$B$40)+COUNTIF(B$4:$B15,B15)-1,"")</f>
        <v>34</v>
      </c>
      <c r="D15" s="1" t="str">
        <f ca="1">IFERROR(VLOOKUP(C15,'At Home'!A:B,2,0),"")</f>
        <v>8.4</v>
      </c>
      <c r="E15" t="str">
        <f ca="1">IFERROR(VLOOKUP(D15&amp;"Viet",'At Home'!C:D,2,0),"")</f>
        <v>Tôi no rồi, nhưng vẫn còn bụng cho khoai tây chiên.</v>
      </c>
      <c r="F15" t="str">
        <f ca="1">IFERROR(VLOOKUP(D15&amp;"Eng",'At Home'!C:D,2,0),"")</f>
        <v>I’m full but I still have room for chips.</v>
      </c>
      <c r="K15">
        <v>4</v>
      </c>
    </row>
    <row r="16" spans="1:11" x14ac:dyDescent="0.25">
      <c r="A16">
        <f t="shared" si="1"/>
        <v>35</v>
      </c>
      <c r="B16">
        <f t="shared" ca="1" si="0"/>
        <v>24</v>
      </c>
      <c r="C16" s="1">
        <f ca="1">IFERROR($C$1-1+_xlfn.RANK.EQ(B16,$B$4:$B$40)+COUNTIF(B$4:$B16,B16)-1,"")</f>
        <v>35</v>
      </c>
      <c r="D16" s="1" t="str">
        <f ca="1">IFERROR(VLOOKUP(C16,'At Home'!A:B,2,0),"")</f>
        <v>9.1</v>
      </c>
      <c r="E16" t="str">
        <f ca="1">IFERROR(VLOOKUP(D16&amp;"Viet",'At Home'!C:D,2,0),"")</f>
        <v>Dường như anh có vẻ đau buồn, có chuyện gì sao?</v>
      </c>
      <c r="F16" t="str">
        <f ca="1">IFERROR(VLOOKUP(D16&amp;"Eng",'At Home'!C:D,2,0),"")</f>
        <v>You seem upset, has something happened?</v>
      </c>
    </row>
    <row r="17" spans="1:13" x14ac:dyDescent="0.25">
      <c r="A17">
        <f t="shared" si="1"/>
        <v>36</v>
      </c>
      <c r="B17">
        <f t="shared" ca="1" si="0"/>
        <v>24</v>
      </c>
      <c r="C17" s="1">
        <f ca="1">IFERROR($C$1-1+_xlfn.RANK.EQ(B17,$B$4:$B$40)+COUNTIF(B$4:$B17,B17)-1,"")</f>
        <v>36</v>
      </c>
      <c r="D17" s="1" t="str">
        <f ca="1">IFERROR(VLOOKUP(C17,'At Home'!A:B,2,0),"")</f>
        <v>9.2</v>
      </c>
      <c r="E17" t="str">
        <f ca="1">IFERROR(VLOOKUP(D17&amp;"Viet",'At Home'!C:D,2,0),"")</f>
        <v>Dường như anh lo lắng, có chuyện gì sao?</v>
      </c>
      <c r="F17" t="str">
        <f ca="1">IFERROR(VLOOKUP(D17&amp;"Eng",'At Home'!C:D,2,0),"")</f>
        <v>You seem agitated, has something happened?</v>
      </c>
      <c r="L17">
        <v>4</v>
      </c>
    </row>
    <row r="18" spans="1:13" ht="12.6" customHeight="1" x14ac:dyDescent="0.25">
      <c r="A18">
        <f t="shared" si="1"/>
        <v>37</v>
      </c>
      <c r="B18">
        <f t="shared" ca="1" si="0"/>
        <v>30</v>
      </c>
      <c r="C18" s="1">
        <f ca="1">IFERROR($C$1-1+_xlfn.RANK.EQ(B18,$B$4:$B$40)+COUNTIF(B$4:$B18,B18)-1,"")</f>
        <v>29</v>
      </c>
      <c r="D18" s="1" t="str">
        <f ca="1">IFERROR(VLOOKUP(C18,'At Home'!A:B,2,0),"")</f>
        <v>7.3</v>
      </c>
      <c r="E18" t="str">
        <f ca="1">IFERROR(VLOOKUP(D18&amp;"Viet",'At Home'!C:D,2,0),"")</f>
        <v>Bạn có muốn thử màu khác không?</v>
      </c>
      <c r="F18" t="str">
        <f ca="1">IFERROR(VLOOKUP(D18&amp;"Eng",'At Home'!C:D,2,0),"")</f>
        <v>Do you feel like trying different color?</v>
      </c>
      <c r="M18" t="s">
        <v>212</v>
      </c>
    </row>
    <row r="19" spans="1:13" x14ac:dyDescent="0.25">
      <c r="A19" t="str">
        <f t="shared" si="1"/>
        <v/>
      </c>
      <c r="B19" t="str">
        <f t="shared" ca="1" si="0"/>
        <v/>
      </c>
      <c r="C19" s="1" t="str">
        <f ca="1">IFERROR($C$1-1+_xlfn.RANK.EQ(B19,$B$4:$B$40)+COUNTIF(B$4:$B19,B19)-1,"")</f>
        <v/>
      </c>
      <c r="D19" s="1" t="str">
        <f ca="1">IFERROR(VLOOKUP(C19,'At Home'!A:B,2,0),"")</f>
        <v/>
      </c>
      <c r="E19" t="str">
        <f ca="1">IFERROR(VLOOKUP(D19&amp;"Viet",'At Home'!C:D,2,0),"")</f>
        <v/>
      </c>
      <c r="F19" t="str">
        <f ca="1">IFERROR(VLOOKUP(D19&amp;"Eng",'At Home'!C:D,2,0),"")</f>
        <v/>
      </c>
      <c r="L19" t="s">
        <v>46</v>
      </c>
    </row>
    <row r="20" spans="1:13" x14ac:dyDescent="0.25">
      <c r="A20" t="str">
        <f t="shared" si="1"/>
        <v/>
      </c>
      <c r="B20" t="str">
        <f t="shared" ca="1" si="0"/>
        <v/>
      </c>
      <c r="C20" s="1" t="str">
        <f ca="1">IFERROR($C$1-1+_xlfn.RANK.EQ(B20,$B$4:$B$40)+COUNTIF(B$4:$B20,B20)-1,"")</f>
        <v/>
      </c>
      <c r="D20" s="1" t="str">
        <f ca="1">IFERROR(VLOOKUP(C20,'At Home'!A:B,2,0),"")</f>
        <v/>
      </c>
      <c r="E20" t="str">
        <f ca="1">IFERROR(VLOOKUP(D20&amp;"Viet",'At Home'!C:D,2,0),"")</f>
        <v/>
      </c>
      <c r="F20" t="str">
        <f ca="1">IFERROR(VLOOKUP(D20&amp;"Eng",'At Home'!C:D,2,0),"")</f>
        <v/>
      </c>
    </row>
    <row r="21" spans="1:13" x14ac:dyDescent="0.25">
      <c r="A21" t="str">
        <f t="shared" si="1"/>
        <v/>
      </c>
      <c r="B21" t="str">
        <f t="shared" ca="1" si="0"/>
        <v/>
      </c>
      <c r="C21" s="1" t="str">
        <f ca="1">IFERROR($C$1-1+_xlfn.RANK.EQ(B21,$B$4:$B$40)+COUNTIF(B$4:$B21,B21)-1,"")</f>
        <v/>
      </c>
      <c r="D21" s="1" t="str">
        <f ca="1">IFERROR(VLOOKUP(C21,'At Home'!A:B,2,0),"")</f>
        <v/>
      </c>
      <c r="E21" t="str">
        <f ca="1">IFERROR(VLOOKUP(D21&amp;"Viet",'At Home'!C:D,2,0),"")</f>
        <v/>
      </c>
      <c r="F21" t="str">
        <f ca="1">IFERROR(VLOOKUP(D21&amp;"Eng",'At Home'!C:D,2,0),"")</f>
        <v/>
      </c>
    </row>
    <row r="22" spans="1:13" x14ac:dyDescent="0.25">
      <c r="A22" t="str">
        <f t="shared" si="1"/>
        <v/>
      </c>
      <c r="B22" t="str">
        <f t="shared" ca="1" si="0"/>
        <v/>
      </c>
      <c r="C22" s="1" t="str">
        <f ca="1">IFERROR($C$1-1+_xlfn.RANK.EQ(B22,$B$4:$B$40)+COUNTIF(B$4:$B22,B22)-1,"")</f>
        <v/>
      </c>
      <c r="D22" s="1" t="str">
        <f ca="1">IFERROR(VLOOKUP(C22,'At Home'!A:B,2,0),"")</f>
        <v/>
      </c>
      <c r="E22" t="str">
        <f ca="1">IFERROR(VLOOKUP(D22&amp;"Viet",'At Home'!C:D,2,0),"")</f>
        <v/>
      </c>
      <c r="F22" t="str">
        <f ca="1">IFERROR(VLOOKUP(D22&amp;"Eng",'At Home'!C:D,2,0),"")</f>
        <v/>
      </c>
    </row>
    <row r="23" spans="1:13" x14ac:dyDescent="0.25">
      <c r="A23" t="str">
        <f t="shared" si="1"/>
        <v/>
      </c>
      <c r="B23" t="str">
        <f t="shared" ca="1" si="0"/>
        <v/>
      </c>
      <c r="C23" s="1" t="str">
        <f ca="1">IFERROR($C$1-1+_xlfn.RANK.EQ(B23,$B$4:$B$40)+COUNTIF(B$4:$B23,B23)-1,"")</f>
        <v/>
      </c>
      <c r="D23" s="1" t="str">
        <f ca="1">IFERROR(VLOOKUP(C23,'At Home'!A:B,2,0),"")</f>
        <v/>
      </c>
      <c r="E23" t="str">
        <f ca="1">IFERROR(VLOOKUP(D23&amp;"Viet",'At Home'!C:D,2,0),"")</f>
        <v/>
      </c>
      <c r="F23" t="str">
        <f ca="1">IFERROR(VLOOKUP(D23&amp;"Eng",'At Home'!C:D,2,0),"")</f>
        <v/>
      </c>
    </row>
    <row r="24" spans="1:13" x14ac:dyDescent="0.25">
      <c r="A24" t="str">
        <f t="shared" si="1"/>
        <v/>
      </c>
      <c r="B24" t="str">
        <f t="shared" ca="1" si="0"/>
        <v/>
      </c>
      <c r="C24" s="1" t="str">
        <f ca="1">IFERROR($C$1-1+_xlfn.RANK.EQ(B24,$B$4:$B$40)+COUNTIF(B$4:$B24,B24)-1,"")</f>
        <v/>
      </c>
      <c r="D24" s="1" t="str">
        <f ca="1">IFERROR(VLOOKUP(C24,'At Home'!A:B,2,0),"")</f>
        <v/>
      </c>
      <c r="E24" t="str">
        <f ca="1">IFERROR(VLOOKUP(D24&amp;"Viet",'At Home'!C:D,2,0),"")</f>
        <v/>
      </c>
      <c r="F24" t="str">
        <f ca="1">IFERROR(VLOOKUP(D24&amp;"Eng",'At Home'!C:D,2,0),"")</f>
        <v/>
      </c>
    </row>
    <row r="25" spans="1:13" x14ac:dyDescent="0.25">
      <c r="A25" t="str">
        <f t="shared" si="1"/>
        <v/>
      </c>
      <c r="B25" t="str">
        <f t="shared" ca="1" si="0"/>
        <v/>
      </c>
      <c r="C25" s="1" t="str">
        <f ca="1">IFERROR($C$1-1+_xlfn.RANK.EQ(B25,$B$4:$B$40)+COUNTIF(B$4:$B25,B25)-1,"")</f>
        <v/>
      </c>
      <c r="D25" s="1" t="str">
        <f ca="1">IFERROR(VLOOKUP(C25,'At Home'!A:B,2,0),"")</f>
        <v/>
      </c>
      <c r="E25" t="str">
        <f ca="1">IFERROR(VLOOKUP(D25&amp;"Viet",'At Home'!C:D,2,0),"")</f>
        <v/>
      </c>
      <c r="F25" t="str">
        <f ca="1">IFERROR(VLOOKUP(D25&amp;"Eng",'At Home'!C:D,2,0),"")</f>
        <v/>
      </c>
    </row>
    <row r="26" spans="1:13" x14ac:dyDescent="0.25">
      <c r="A26" t="str">
        <f t="shared" si="1"/>
        <v/>
      </c>
      <c r="B26" t="str">
        <f t="shared" ca="1" si="0"/>
        <v/>
      </c>
      <c r="C26" s="1" t="str">
        <f ca="1">IFERROR($C$1-1+_xlfn.RANK.EQ(B26,$B$4:$B$40)+COUNTIF(B$4:$B26,B26)-1,"")</f>
        <v/>
      </c>
      <c r="D26" s="1" t="str">
        <f ca="1">IFERROR(VLOOKUP(C26,'At Home'!A:B,2,0),"")</f>
        <v/>
      </c>
      <c r="E26" t="str">
        <f ca="1">IFERROR(VLOOKUP(D26&amp;"Viet",'At Home'!C:D,2,0),"")</f>
        <v/>
      </c>
      <c r="F26" t="str">
        <f ca="1">IFERROR(VLOOKUP(D26&amp;"Eng",'At Home'!C:D,2,0),"")</f>
        <v/>
      </c>
    </row>
    <row r="27" spans="1:13" x14ac:dyDescent="0.25">
      <c r="A27" t="str">
        <f t="shared" si="1"/>
        <v/>
      </c>
      <c r="B27" t="str">
        <f t="shared" ca="1" si="0"/>
        <v/>
      </c>
      <c r="C27" s="1" t="str">
        <f ca="1">IFERROR($C$1-1+_xlfn.RANK.EQ(B27,$B$4:$B$40)+COUNTIF(B$4:$B27,B27)-1,"")</f>
        <v/>
      </c>
      <c r="D27" s="1" t="str">
        <f ca="1">IFERROR(VLOOKUP(C27,'At Home'!A:B,2,0),"")</f>
        <v/>
      </c>
      <c r="E27" t="str">
        <f ca="1">IFERROR(VLOOKUP(D27&amp;"Viet",'At Home'!C:D,2,0),"")</f>
        <v/>
      </c>
      <c r="F27" t="str">
        <f ca="1">IFERROR(VLOOKUP(D27&amp;"Eng",'At Home'!C:D,2,0),"")</f>
        <v/>
      </c>
    </row>
    <row r="28" spans="1:13" x14ac:dyDescent="0.25">
      <c r="A28" t="str">
        <f t="shared" si="1"/>
        <v/>
      </c>
      <c r="B28" t="str">
        <f t="shared" ca="1" si="0"/>
        <v/>
      </c>
      <c r="C28" s="1" t="str">
        <f ca="1">IFERROR($C$1-1+_xlfn.RANK.EQ(B28,$B$4:$B$40)+COUNTIF(B$4:$B28,B28)-1,"")</f>
        <v/>
      </c>
      <c r="D28" s="1" t="str">
        <f ca="1">IFERROR(VLOOKUP(C28,'At Home'!A:B,2,0),"")</f>
        <v/>
      </c>
      <c r="E28" t="str">
        <f ca="1">IFERROR(VLOOKUP(D28&amp;"Viet",'At Home'!C:D,2,0),"")</f>
        <v/>
      </c>
      <c r="F28" t="str">
        <f ca="1">IFERROR(VLOOKUP(D28&amp;"Eng",'At Home'!C:D,2,0),"")</f>
        <v/>
      </c>
    </row>
    <row r="29" spans="1:13" x14ac:dyDescent="0.25">
      <c r="A29" t="str">
        <f t="shared" si="1"/>
        <v/>
      </c>
      <c r="B29" t="str">
        <f t="shared" ca="1" si="0"/>
        <v/>
      </c>
      <c r="C29" s="1" t="str">
        <f ca="1">IFERROR($C$1-1+_xlfn.RANK.EQ(B29,$B$4:$B$40)+COUNTIF(B$4:$B29,B29)-1,"")</f>
        <v/>
      </c>
      <c r="D29" s="1" t="str">
        <f ca="1">IFERROR(VLOOKUP(C29,'At Home'!A:B,2,0),"")</f>
        <v/>
      </c>
      <c r="E29" t="str">
        <f ca="1">IFERROR(VLOOKUP(D29&amp;"Viet",'At Home'!C:D,2,0),"")</f>
        <v/>
      </c>
      <c r="F29" t="str">
        <f ca="1">IFERROR(VLOOKUP(D29&amp;"Eng",'At Home'!C:D,2,0),"")</f>
        <v/>
      </c>
    </row>
    <row r="30" spans="1:13" x14ac:dyDescent="0.25">
      <c r="A30" t="str">
        <f t="shared" si="1"/>
        <v/>
      </c>
      <c r="B30" t="str">
        <f t="shared" ca="1" si="0"/>
        <v/>
      </c>
      <c r="C30" s="1" t="str">
        <f ca="1">IFERROR($C$1-1+_xlfn.RANK.EQ(B30,$B$4:$B$40)+COUNTIF(B$4:$B30,B30)-1,"")</f>
        <v/>
      </c>
      <c r="D30" s="1" t="str">
        <f ca="1">IFERROR(VLOOKUP(C30,'At Home'!A:B,2,0),"")</f>
        <v/>
      </c>
      <c r="E30" t="str">
        <f ca="1">IFERROR(VLOOKUP(D30&amp;"Viet",'At Home'!C:D,2,0),"")</f>
        <v/>
      </c>
      <c r="F30" t="str">
        <f ca="1">IFERROR(VLOOKUP(D30&amp;"Eng",'At Home'!C:D,2,0),"")</f>
        <v/>
      </c>
    </row>
    <row r="31" spans="1:13" x14ac:dyDescent="0.25">
      <c r="A31" t="str">
        <f t="shared" si="1"/>
        <v/>
      </c>
      <c r="B31" t="str">
        <f t="shared" ca="1" si="0"/>
        <v/>
      </c>
      <c r="C31" s="1" t="str">
        <f ca="1">IFERROR($C$1-1+_xlfn.RANK.EQ(B31,$B$4:$B$40)+COUNTIF(B$4:$B31,B31)-1,"")</f>
        <v/>
      </c>
      <c r="D31" s="1" t="str">
        <f ca="1">IFERROR(VLOOKUP(C31,'At Home'!A:B,2,0),"")</f>
        <v/>
      </c>
      <c r="E31" t="str">
        <f ca="1">IFERROR(VLOOKUP(D31&amp;"Viet",'At Home'!C:D,2,0),"")</f>
        <v/>
      </c>
      <c r="F31" t="str">
        <f ca="1">IFERROR(VLOOKUP(D31&amp;"Eng",'At Home'!C:D,2,0),"")</f>
        <v/>
      </c>
    </row>
    <row r="32" spans="1:13" x14ac:dyDescent="0.25">
      <c r="A32" t="str">
        <f t="shared" si="1"/>
        <v/>
      </c>
      <c r="B32" t="str">
        <f t="shared" ca="1" si="0"/>
        <v/>
      </c>
      <c r="C32" s="1" t="str">
        <f ca="1">IFERROR($C$1-1+_xlfn.RANK.EQ(B32,$B$4:$B$40)+COUNTIF(B$4:$B32,B32)-1,"")</f>
        <v/>
      </c>
      <c r="D32" s="1" t="str">
        <f ca="1">IFERROR(VLOOKUP(C32,'At Home'!A:B,2,0),"")</f>
        <v/>
      </c>
      <c r="E32" t="str">
        <f ca="1">IFERROR(VLOOKUP(D32&amp;"Viet",'At Home'!C:D,2,0),"")</f>
        <v/>
      </c>
      <c r="F32" t="str">
        <f ca="1">IFERROR(VLOOKUP(D32&amp;"Eng",'At Home'!C:D,2,0),"")</f>
        <v/>
      </c>
    </row>
    <row r="33" spans="1:6" x14ac:dyDescent="0.25">
      <c r="A33" t="str">
        <f t="shared" si="1"/>
        <v/>
      </c>
      <c r="B33" t="str">
        <f t="shared" ca="1" si="0"/>
        <v/>
      </c>
      <c r="C33" s="1" t="str">
        <f ca="1">IFERROR($C$1-1+_xlfn.RANK.EQ(B33,$B$4:$B$40)+COUNTIF(B$4:$B33,B33)-1,"")</f>
        <v/>
      </c>
      <c r="D33" s="1" t="str">
        <f ca="1">IFERROR(VLOOKUP(C33,'At Home'!A:B,2,0),"")</f>
        <v/>
      </c>
      <c r="E33" t="str">
        <f ca="1">IFERROR(VLOOKUP(D33&amp;"Viet",'At Home'!C:D,2,0),"")</f>
        <v/>
      </c>
      <c r="F33" t="str">
        <f ca="1">IFERROR(VLOOKUP(D33&amp;"Eng",'At Home'!C:D,2,0),"")</f>
        <v/>
      </c>
    </row>
    <row r="34" spans="1:6" x14ac:dyDescent="0.25">
      <c r="A34" t="str">
        <f t="shared" si="1"/>
        <v/>
      </c>
      <c r="B34" t="str">
        <f t="shared" ca="1" si="0"/>
        <v/>
      </c>
      <c r="C34" s="1" t="str">
        <f ca="1">IFERROR($C$1-1+_xlfn.RANK.EQ(B34,$B$4:$B$40)+COUNTIF(B$4:$B34,B34)-1,"")</f>
        <v/>
      </c>
      <c r="D34" s="1" t="str">
        <f ca="1">IFERROR(VLOOKUP(C34,'At Home'!A:B,2,0),"")</f>
        <v/>
      </c>
      <c r="E34" t="str">
        <f ca="1">IFERROR(VLOOKUP(D34&amp;"Viet",'At Home'!C:D,2,0),"")</f>
        <v/>
      </c>
      <c r="F34" t="str">
        <f ca="1">IFERROR(VLOOKUP(D34&amp;"Eng",'At Home'!C:D,2,0),"")</f>
        <v/>
      </c>
    </row>
    <row r="35" spans="1:6" x14ac:dyDescent="0.25">
      <c r="A35" t="str">
        <f t="shared" si="1"/>
        <v/>
      </c>
      <c r="B35" t="str">
        <f t="shared" ca="1" si="0"/>
        <v/>
      </c>
      <c r="C35" s="1" t="str">
        <f ca="1">IFERROR($C$1-1+_xlfn.RANK.EQ(B35,$B$4:$B$40)+COUNTIF(B$4:$B35,B35)-1,"")</f>
        <v/>
      </c>
      <c r="D35" s="1" t="str">
        <f ca="1">IFERROR(VLOOKUP(C35,'At Home'!A:B,2,0),"")</f>
        <v/>
      </c>
      <c r="E35" t="str">
        <f ca="1">IFERROR(VLOOKUP(D35&amp;"Viet",'At Home'!C:D,2,0),"")</f>
        <v/>
      </c>
      <c r="F35" t="str">
        <f ca="1">IFERROR(VLOOKUP(D35&amp;"Eng",'At Home'!C:D,2,0),"")</f>
        <v/>
      </c>
    </row>
    <row r="36" spans="1:6" x14ac:dyDescent="0.25">
      <c r="A36" t="str">
        <f t="shared" si="1"/>
        <v/>
      </c>
      <c r="B36" t="str">
        <f t="shared" ca="1" si="0"/>
        <v/>
      </c>
      <c r="C36" s="1" t="str">
        <f ca="1">IFERROR($C$1-1+_xlfn.RANK.EQ(B36,$B$4:$B$40)+COUNTIF(B$4:$B36,B36)-1,"")</f>
        <v/>
      </c>
      <c r="D36" s="1" t="str">
        <f ca="1">IFERROR(VLOOKUP(C36,'At Home'!A:B,2,0),"")</f>
        <v/>
      </c>
      <c r="E36" t="str">
        <f ca="1">IFERROR(VLOOKUP(D36&amp;"Viet",'At Home'!C:D,2,0),"")</f>
        <v/>
      </c>
      <c r="F36" t="str">
        <f ca="1">IFERROR(VLOOKUP(D36&amp;"Eng",'At Home'!C:D,2,0),"")</f>
        <v/>
      </c>
    </row>
    <row r="37" spans="1:6" x14ac:dyDescent="0.25">
      <c r="A37" t="str">
        <f t="shared" si="1"/>
        <v/>
      </c>
      <c r="B37" t="str">
        <f t="shared" ca="1" si="0"/>
        <v/>
      </c>
      <c r="C37" s="1" t="str">
        <f ca="1">IFERROR($C$1-1+_xlfn.RANK.EQ(B37,$B$4:$B$40)+COUNTIF(B$4:$B37,B37)-1,"")</f>
        <v/>
      </c>
      <c r="D37" s="1" t="str">
        <f ca="1">IFERROR(VLOOKUP(C37,'At Home'!A:B,2,0),"")</f>
        <v/>
      </c>
      <c r="E37" t="str">
        <f ca="1">IFERROR(VLOOKUP(D37&amp;"Viet",'At Home'!C:D,2,0),"")</f>
        <v/>
      </c>
      <c r="F37" t="str">
        <f ca="1">IFERROR(VLOOKUP(D37&amp;"Eng",'At Home'!C:D,2,0),"")</f>
        <v/>
      </c>
    </row>
    <row r="38" spans="1:6" x14ac:dyDescent="0.25">
      <c r="A38" t="str">
        <f t="shared" si="1"/>
        <v/>
      </c>
      <c r="B38" t="str">
        <f t="shared" ca="1" si="0"/>
        <v/>
      </c>
      <c r="C38" s="1" t="str">
        <f ca="1">IFERROR($C$1-1+_xlfn.RANK.EQ(B38,$B$4:$B$40)+COUNTIF(B$4:$B38,B38)-1,"")</f>
        <v/>
      </c>
      <c r="D38" s="1" t="str">
        <f ca="1">IFERROR(VLOOKUP(C38,'At Home'!A:B,2,0),"")</f>
        <v/>
      </c>
      <c r="E38" t="str">
        <f ca="1">IFERROR(VLOOKUP(D38&amp;"Viet",'At Home'!C:D,2,0),"")</f>
        <v/>
      </c>
      <c r="F38" t="str">
        <f ca="1">IFERROR(VLOOKUP(D38&amp;"Eng",'At Home'!C:D,2,0),"")</f>
        <v/>
      </c>
    </row>
    <row r="39" spans="1:6" x14ac:dyDescent="0.25">
      <c r="A39" t="str">
        <f t="shared" si="1"/>
        <v/>
      </c>
      <c r="B39" t="str">
        <f t="shared" ca="1" si="0"/>
        <v/>
      </c>
      <c r="C39" s="1" t="str">
        <f ca="1">IFERROR($C$1-1+_xlfn.RANK.EQ(B39,$B$4:$B$40)+COUNTIF(B$4:$B39,B39)-1,"")</f>
        <v/>
      </c>
      <c r="D39" s="1" t="str">
        <f ca="1">IFERROR(VLOOKUP(C39,'At Home'!A:B,2,0),"")</f>
        <v/>
      </c>
      <c r="E39" t="str">
        <f ca="1">IFERROR(VLOOKUP(D39&amp;"Viet",'At Home'!C:D,2,0),"")</f>
        <v/>
      </c>
      <c r="F39" t="str">
        <f ca="1">IFERROR(VLOOKUP(D39&amp;"Eng",'At Home'!C:D,2,0),"")</f>
        <v/>
      </c>
    </row>
    <row r="40" spans="1:6" x14ac:dyDescent="0.25">
      <c r="A40" t="str">
        <f t="shared" si="1"/>
        <v/>
      </c>
      <c r="B40" t="str">
        <f t="shared" ca="1" si="0"/>
        <v/>
      </c>
      <c r="C40" s="1" t="str">
        <f ca="1">IFERROR($C$1-1+_xlfn.RANK.EQ(B40,$B$4:$B$40)+COUNTIF(B$4:$B40,B40)-1,"")</f>
        <v/>
      </c>
      <c r="D40" s="1" t="str">
        <f ca="1">IFERROR(VLOOKUP(C40,'At Home'!A:B,2,0),"")</f>
        <v/>
      </c>
      <c r="E40" t="str">
        <f ca="1">IFERROR(VLOOKUP(D40&amp;"Viet",'At Home'!C:D,2,0),"")</f>
        <v/>
      </c>
      <c r="F40" t="str">
        <f ca="1">IFERROR(VLOOKUP(D40&amp;"Eng",'At Home'!C:D,2,0),"")</f>
        <v/>
      </c>
    </row>
    <row r="41" spans="1:6" x14ac:dyDescent="0.25">
      <c r="A41" t="str">
        <f t="shared" si="1"/>
        <v/>
      </c>
      <c r="B41" t="str">
        <f t="shared" ca="1" si="0"/>
        <v/>
      </c>
      <c r="C41" s="1" t="str">
        <f ca="1">IFERROR($C$1-1+_xlfn.RANK.EQ(B41,$B$4:$B$40)+COUNTIF(B$4:$B41,B41)-1,"")</f>
        <v/>
      </c>
      <c r="D41" s="1" t="str">
        <f ca="1">IFERROR(VLOOKUP(C41,'At Home'!A:B,2,0),"")</f>
        <v/>
      </c>
      <c r="E41" t="str">
        <f ca="1">IFERROR(VLOOKUP(D41&amp;"Viet",'At Home'!C:D,2,0),"")</f>
        <v/>
      </c>
      <c r="F41" t="str">
        <f ca="1">IFERROR(VLOOKUP(D41&amp;"Eng",'At Home'!C:D,2,0),"")</f>
        <v/>
      </c>
    </row>
    <row r="42" spans="1:6" x14ac:dyDescent="0.25">
      <c r="A42" t="str">
        <f t="shared" si="1"/>
        <v/>
      </c>
      <c r="B42" t="str">
        <f t="shared" ca="1" si="0"/>
        <v/>
      </c>
      <c r="C42" s="1" t="str">
        <f ca="1">IFERROR($C$1-1+_xlfn.RANK.EQ(B42,$B$4:$B$40)+COUNTIF(B$4:$B42,B42)-1,"")</f>
        <v/>
      </c>
      <c r="D42" s="1" t="str">
        <f ca="1">IFERROR(VLOOKUP(C42,'At Home'!A:B,2,0),"")</f>
        <v/>
      </c>
      <c r="E42" t="str">
        <f ca="1">IFERROR(VLOOKUP(D42&amp;"Viet",'At Home'!C:D,2,0),"")</f>
        <v/>
      </c>
      <c r="F42" t="str">
        <f ca="1">IFERROR(VLOOKUP(D42&amp;"Eng",'At Home'!C:D,2,0),"")</f>
        <v/>
      </c>
    </row>
    <row r="43" spans="1:6" x14ac:dyDescent="0.25">
      <c r="A43" t="str">
        <f t="shared" si="1"/>
        <v/>
      </c>
      <c r="B43" t="str">
        <f t="shared" ca="1" si="0"/>
        <v/>
      </c>
      <c r="C43" s="1" t="str">
        <f ca="1">IFERROR($C$1-1+_xlfn.RANK.EQ(B43,$B$4:$B$40)+COUNTIF(B$4:$B43,B43)-1,"")</f>
        <v/>
      </c>
      <c r="D43" s="1" t="str">
        <f ca="1">IFERROR(VLOOKUP(C43,'At Home'!A:B,2,0),"")</f>
        <v/>
      </c>
      <c r="E43" t="str">
        <f ca="1">IFERROR(VLOOKUP(D43&amp;"Viet",'At Home'!C:D,2,0),"")</f>
        <v/>
      </c>
      <c r="F43" t="str">
        <f ca="1">IFERROR(VLOOKUP(D43&amp;"Eng",'At Home'!C:D,2,0),"")</f>
        <v/>
      </c>
    </row>
    <row r="44" spans="1:6" x14ac:dyDescent="0.25">
      <c r="A44" t="str">
        <f t="shared" si="1"/>
        <v/>
      </c>
      <c r="B44" t="str">
        <f t="shared" ca="1" si="0"/>
        <v/>
      </c>
      <c r="C44" s="1" t="str">
        <f ca="1">IFERROR($C$1-1+_xlfn.RANK.EQ(B44,$B$4:$B$40)+COUNTIF(B$4:$B44,B44)-1,"")</f>
        <v/>
      </c>
      <c r="D44" s="1" t="str">
        <f ca="1">IFERROR(VLOOKUP(C44,'At Home'!A:B,2,0),"")</f>
        <v/>
      </c>
      <c r="E44" t="str">
        <f ca="1">IFERROR(VLOOKUP(D44&amp;"Viet",'At Home'!C:D,2,0),"")</f>
        <v/>
      </c>
      <c r="F44" t="str">
        <f ca="1">IFERROR(VLOOKUP(D44&amp;"Eng",'At Home'!C:D,2,0),"")</f>
        <v/>
      </c>
    </row>
    <row r="45" spans="1:6" x14ac:dyDescent="0.25">
      <c r="A45" t="str">
        <f t="shared" si="1"/>
        <v/>
      </c>
      <c r="B45" t="str">
        <f t="shared" ca="1" si="0"/>
        <v/>
      </c>
      <c r="C45" s="1" t="str">
        <f ca="1">IFERROR($C$1-1+_xlfn.RANK.EQ(B45,$B$4:$B$40)+COUNTIF(B$4:$B45,B45)-1,"")</f>
        <v/>
      </c>
      <c r="D45" s="1" t="str">
        <f ca="1">IFERROR(VLOOKUP(C45,'At Home'!A:B,2,0),"")</f>
        <v/>
      </c>
      <c r="E45" t="str">
        <f ca="1">IFERROR(VLOOKUP(D45&amp;"Viet",'At Home'!C:D,2,0),"")</f>
        <v/>
      </c>
      <c r="F45" t="str">
        <f ca="1">IFERROR(VLOOKUP(D45&amp;"Eng",'At Home'!C:D,2,0),"")</f>
        <v/>
      </c>
    </row>
    <row r="46" spans="1:6" x14ac:dyDescent="0.25">
      <c r="A46" t="str">
        <f t="shared" si="1"/>
        <v/>
      </c>
      <c r="B46" t="str">
        <f t="shared" ca="1" si="0"/>
        <v/>
      </c>
      <c r="C46" s="1" t="str">
        <f ca="1">IFERROR($C$1-1+_xlfn.RANK.EQ(B46,$B$4:$B$40)+COUNTIF(B$4:$B46,B46)-1,"")</f>
        <v/>
      </c>
      <c r="D46" s="1" t="str">
        <f ca="1">IFERROR(VLOOKUP(C46,'At Home'!A:B,2,0),"")</f>
        <v/>
      </c>
      <c r="E46" t="str">
        <f ca="1">IFERROR(VLOOKUP(D46&amp;"Viet",'At Home'!C:D,2,0),"")</f>
        <v/>
      </c>
      <c r="F46" t="str">
        <f ca="1">IFERROR(VLOOKUP(D46&amp;"Eng",'At Home'!C:D,2,0),"")</f>
        <v/>
      </c>
    </row>
    <row r="47" spans="1:6" x14ac:dyDescent="0.25">
      <c r="A47" t="str">
        <f t="shared" si="1"/>
        <v/>
      </c>
      <c r="B47" t="str">
        <f t="shared" ca="1" si="0"/>
        <v/>
      </c>
      <c r="C47" s="1" t="str">
        <f ca="1">IFERROR($C$1-1+_xlfn.RANK.EQ(B47,$B$4:$B$40)+COUNTIF(B$4:$B47,B47)-1,"")</f>
        <v/>
      </c>
      <c r="D47" s="1" t="str">
        <f ca="1">IFERROR(VLOOKUP(C47,'At Home'!A:B,2,0),"")</f>
        <v/>
      </c>
      <c r="E47" t="str">
        <f ca="1">IFERROR(VLOOKUP(D47&amp;"Viet",'At Home'!C:D,2,0),"")</f>
        <v/>
      </c>
      <c r="F47" t="str">
        <f ca="1">IFERROR(VLOOKUP(D47&amp;"Eng",'At Home'!C:D,2,0),"")</f>
        <v/>
      </c>
    </row>
    <row r="48" spans="1:6" x14ac:dyDescent="0.25">
      <c r="A48" t="str">
        <f t="shared" si="1"/>
        <v/>
      </c>
      <c r="B48" t="str">
        <f t="shared" ca="1" si="0"/>
        <v/>
      </c>
      <c r="C48" s="1" t="str">
        <f ca="1">IFERROR($C$1-1+_xlfn.RANK.EQ(B48,$B$4:$B$40)+COUNTIF(B$4:$B48,B48)-1,"")</f>
        <v/>
      </c>
      <c r="D48" s="1" t="str">
        <f ca="1">IFERROR(VLOOKUP(C48,'At Home'!A:B,2,0),"")</f>
        <v/>
      </c>
      <c r="E48" t="str">
        <f ca="1">IFERROR(VLOOKUP(D48&amp;"Viet",'At Home'!C:D,2,0),"")</f>
        <v/>
      </c>
      <c r="F48" t="str">
        <f ca="1">IFERROR(VLOOKUP(D48&amp;"Eng",'At Home'!C:D,2,0),"")</f>
        <v/>
      </c>
    </row>
    <row r="49" spans="1:6" x14ac:dyDescent="0.25">
      <c r="A49" t="str">
        <f t="shared" si="1"/>
        <v/>
      </c>
      <c r="B49" t="str">
        <f t="shared" ca="1" si="0"/>
        <v/>
      </c>
      <c r="C49" s="1" t="str">
        <f ca="1">IFERROR($C$1-1+_xlfn.RANK.EQ(B49,$B$4:$B$40)+COUNTIF(B$4:$B49,B49)-1,"")</f>
        <v/>
      </c>
      <c r="D49" s="1" t="str">
        <f ca="1">IFERROR(VLOOKUP(C49,'At Home'!A:B,2,0),"")</f>
        <v/>
      </c>
      <c r="E49" t="str">
        <f ca="1">IFERROR(VLOOKUP(D49&amp;"Viet",'At Home'!C:D,2,0),"")</f>
        <v/>
      </c>
      <c r="F49" t="str">
        <f ca="1">IFERROR(VLOOKUP(D49&amp;"Eng",'At Home'!C:D,2,0),"")</f>
        <v/>
      </c>
    </row>
    <row r="50" spans="1:6" x14ac:dyDescent="0.25">
      <c r="A50" t="str">
        <f t="shared" si="1"/>
        <v/>
      </c>
      <c r="B50" t="str">
        <f t="shared" ca="1" si="0"/>
        <v/>
      </c>
      <c r="C50" s="1" t="str">
        <f ca="1">IFERROR($C$1-1+_xlfn.RANK.EQ(B50,$B$4:$B$40)+COUNTIF(B$4:$B50,B50)-1,"")</f>
        <v/>
      </c>
      <c r="D50" s="1" t="str">
        <f ca="1">IFERROR(VLOOKUP(C50,'At Home'!A:B,2,0),"")</f>
        <v/>
      </c>
      <c r="E50" t="str">
        <f ca="1">IFERROR(VLOOKUP(D50&amp;"Viet",'At Home'!C:D,2,0),"")</f>
        <v/>
      </c>
      <c r="F50" t="str">
        <f ca="1">IFERROR(VLOOKUP(D50&amp;"Eng",'At Home'!C:D,2,0),"")</f>
        <v/>
      </c>
    </row>
    <row r="51" spans="1:6" x14ac:dyDescent="0.25">
      <c r="A51" t="str">
        <f t="shared" si="1"/>
        <v/>
      </c>
      <c r="B51" t="str">
        <f t="shared" ca="1" si="0"/>
        <v/>
      </c>
      <c r="C51" s="1" t="str">
        <f ca="1">IFERROR($C$1-1+_xlfn.RANK.EQ(B51,$B$4:$B$40)+COUNTIF(B$4:$B51,B51)-1,"")</f>
        <v/>
      </c>
      <c r="D51" s="1" t="str">
        <f ca="1">IFERROR(VLOOKUP(C51,'At Home'!A:B,2,0),"")</f>
        <v/>
      </c>
      <c r="E51" t="str">
        <f ca="1">IFERROR(VLOOKUP(D51&amp;"Viet",'At Home'!C:D,2,0),"")</f>
        <v/>
      </c>
      <c r="F51" t="str">
        <f ca="1">IFERROR(VLOOKUP(D51&amp;"Eng",'At Home'!C:D,2,0),"")</f>
        <v/>
      </c>
    </row>
    <row r="52" spans="1:6" x14ac:dyDescent="0.25">
      <c r="A52" t="str">
        <f t="shared" si="1"/>
        <v/>
      </c>
      <c r="B52" t="str">
        <f t="shared" ca="1" si="0"/>
        <v/>
      </c>
      <c r="C52" s="1" t="str">
        <f ca="1">IFERROR($C$1-1+_xlfn.RANK.EQ(B52,$B$4:$B$40)+COUNTIF(B$4:$B52,B52)-1,"")</f>
        <v/>
      </c>
      <c r="D52" s="1" t="str">
        <f ca="1">IFERROR(VLOOKUP(C52,'At Home'!A:B,2,0),"")</f>
        <v/>
      </c>
      <c r="E52" t="str">
        <f ca="1">IFERROR(VLOOKUP(D52&amp;"Viet",'At Home'!C:D,2,0),"")</f>
        <v/>
      </c>
      <c r="F52" t="str">
        <f ca="1">IFERROR(VLOOKUP(D52&amp;"Eng",'At Home'!C:D,2,0),"")</f>
        <v/>
      </c>
    </row>
    <row r="53" spans="1:6" x14ac:dyDescent="0.25">
      <c r="A53" t="str">
        <f t="shared" si="1"/>
        <v/>
      </c>
      <c r="B53" t="str">
        <f t="shared" ca="1" si="0"/>
        <v/>
      </c>
      <c r="C53" s="1" t="str">
        <f ca="1">IFERROR($C$1-1+_xlfn.RANK.EQ(B53,$B$4:$B$40)+COUNTIF(B$4:$B53,B53)-1,"")</f>
        <v/>
      </c>
      <c r="D53" s="1" t="str">
        <f ca="1">IFERROR(VLOOKUP(C53,'At Home'!A:B,2,0),"")</f>
        <v/>
      </c>
      <c r="E53" t="str">
        <f ca="1">IFERROR(VLOOKUP(D53&amp;"Viet",'At Home'!C:D,2,0),"")</f>
        <v/>
      </c>
      <c r="F53" t="str">
        <f ca="1">IFERROR(VLOOKUP(D53&amp;"Eng",'At Home'!C:D,2,0),"")</f>
        <v/>
      </c>
    </row>
    <row r="54" spans="1:6" x14ac:dyDescent="0.25">
      <c r="A54" t="str">
        <f t="shared" si="1"/>
        <v/>
      </c>
      <c r="B54" t="str">
        <f t="shared" ca="1" si="0"/>
        <v/>
      </c>
      <c r="C54" s="1" t="str">
        <f ca="1">IFERROR($C$1-1+_xlfn.RANK.EQ(B54,$B$4:$B$40)+COUNTIF(B$4:$B54,B54)-1,"")</f>
        <v/>
      </c>
      <c r="D54" s="1" t="str">
        <f ca="1">IFERROR(VLOOKUP(C54,'At Home'!A:B,2,0),"")</f>
        <v/>
      </c>
      <c r="E54" t="str">
        <f ca="1">IFERROR(VLOOKUP(D54&amp;"Viet",'At Home'!C:D,2,0),"")</f>
        <v/>
      </c>
      <c r="F54" t="str">
        <f ca="1">IFERROR(VLOOKUP(D54&amp;"Eng",'At Home'!C:D,2,0),"")</f>
        <v/>
      </c>
    </row>
    <row r="55" spans="1:6" x14ac:dyDescent="0.25">
      <c r="A55" t="str">
        <f t="shared" si="1"/>
        <v/>
      </c>
      <c r="B55" t="str">
        <f t="shared" ca="1" si="0"/>
        <v/>
      </c>
      <c r="C55" s="1" t="str">
        <f ca="1">IFERROR($C$1-1+_xlfn.RANK.EQ(B55,$B$4:$B$40)+COUNTIF(B$4:$B55,B55)-1,"")</f>
        <v/>
      </c>
      <c r="D55" s="1" t="str">
        <f ca="1">IFERROR(VLOOKUP(C55,'At Home'!A:B,2,0),"")</f>
        <v/>
      </c>
      <c r="E55" t="str">
        <f ca="1">IFERROR(VLOOKUP(D55&amp;"Viet",'At Home'!C:D,2,0),"")</f>
        <v/>
      </c>
      <c r="F55" t="str">
        <f ca="1">IFERROR(VLOOKUP(D55&amp;"Eng",'At Home'!C:D,2,0),"")</f>
        <v/>
      </c>
    </row>
    <row r="56" spans="1:6" x14ac:dyDescent="0.25">
      <c r="A56" t="str">
        <f t="shared" si="1"/>
        <v/>
      </c>
      <c r="B56" t="str">
        <f t="shared" ca="1" si="0"/>
        <v/>
      </c>
      <c r="C56" s="1" t="str">
        <f ca="1">IFERROR($C$1-1+_xlfn.RANK.EQ(B56,$B$4:$B$40)+COUNTIF(B$4:$B56,B56)-1,"")</f>
        <v/>
      </c>
      <c r="D56" s="1" t="str">
        <f ca="1">IFERROR(VLOOKUP(C56,'At Home'!A:B,2,0),"")</f>
        <v/>
      </c>
      <c r="E56" t="str">
        <f ca="1">IFERROR(VLOOKUP(D56&amp;"Viet",'At Home'!C:D,2,0),"")</f>
        <v/>
      </c>
      <c r="F56" t="str">
        <f ca="1">IFERROR(VLOOKUP(D56&amp;"Eng",'At Home'!C:D,2,0),"")</f>
        <v/>
      </c>
    </row>
    <row r="57" spans="1:6" x14ac:dyDescent="0.25">
      <c r="A57" t="str">
        <f t="shared" si="1"/>
        <v/>
      </c>
      <c r="B57" t="str">
        <f t="shared" ca="1" si="0"/>
        <v/>
      </c>
      <c r="C57" s="1" t="str">
        <f ca="1">IFERROR($C$1-1+_xlfn.RANK.EQ(B57,$B$4:$B$40)+COUNTIF(B$4:$B57,B57)-1,"")</f>
        <v/>
      </c>
      <c r="D57" s="1" t="str">
        <f ca="1">IFERROR(VLOOKUP(C57,'At Home'!A:B,2,0),"")</f>
        <v/>
      </c>
      <c r="E57" t="str">
        <f ca="1">IFERROR(VLOOKUP(D57&amp;"Viet",'At Home'!C:D,2,0),"")</f>
        <v/>
      </c>
      <c r="F57" t="str">
        <f ca="1">IFERROR(VLOOKUP(D57&amp;"Eng",'At Home'!C:D,2,0),"")</f>
        <v/>
      </c>
    </row>
    <row r="58" spans="1:6" x14ac:dyDescent="0.25">
      <c r="A58" t="str">
        <f t="shared" si="1"/>
        <v/>
      </c>
      <c r="B58" t="str">
        <f t="shared" ca="1" si="0"/>
        <v/>
      </c>
      <c r="C58" s="1" t="str">
        <f ca="1">IFERROR($C$1-1+_xlfn.RANK.EQ(B58,$B$4:$B$40)+COUNTIF(B$4:$B58,B58)-1,"")</f>
        <v/>
      </c>
      <c r="D58" s="1" t="str">
        <f ca="1">IFERROR(VLOOKUP(C58,'At Home'!A:B,2,0),"")</f>
        <v/>
      </c>
      <c r="E58" t="str">
        <f ca="1">IFERROR(VLOOKUP(D58&amp;"Viet",'At Home'!C:D,2,0),"")</f>
        <v/>
      </c>
      <c r="F58" t="str">
        <f ca="1">IFERROR(VLOOKUP(D58&amp;"Eng",'At Home'!C:D,2,0),"")</f>
        <v/>
      </c>
    </row>
    <row r="59" spans="1:6" x14ac:dyDescent="0.25">
      <c r="A59" t="str">
        <f t="shared" si="1"/>
        <v/>
      </c>
      <c r="B59" t="str">
        <f t="shared" ca="1" si="0"/>
        <v/>
      </c>
      <c r="C59" s="1" t="str">
        <f ca="1">IFERROR($C$1-1+_xlfn.RANK.EQ(B59,$B$4:$B$40)+COUNTIF(B$4:$B59,B59)-1,"")</f>
        <v/>
      </c>
      <c r="D59" s="1" t="str">
        <f ca="1">IFERROR(VLOOKUP(C59,'At Home'!A:B,2,0),"")</f>
        <v/>
      </c>
      <c r="E59" t="str">
        <f ca="1">IFERROR(VLOOKUP(D59&amp;"Viet",'At Home'!C:D,2,0),"")</f>
        <v/>
      </c>
      <c r="F59" t="str">
        <f ca="1">IFERROR(VLOOKUP(D59&amp;"Eng",'At Home'!C:D,2,0),"")</f>
        <v/>
      </c>
    </row>
    <row r="60" spans="1:6" x14ac:dyDescent="0.25">
      <c r="A60" t="str">
        <f t="shared" si="1"/>
        <v/>
      </c>
      <c r="B60" t="str">
        <f t="shared" ca="1" si="0"/>
        <v/>
      </c>
      <c r="C60" s="1" t="str">
        <f ca="1">IFERROR($C$1-1+_xlfn.RANK.EQ(B60,$B$4:$B$40)+COUNTIF(B$4:$B60,B60)-1,"")</f>
        <v/>
      </c>
      <c r="D60" s="1" t="str">
        <f ca="1">IFERROR(VLOOKUP(C60,'At Home'!A:B,2,0),"")</f>
        <v/>
      </c>
      <c r="E60" t="str">
        <f ca="1">IFERROR(VLOOKUP(D60&amp;"Viet",'At Home'!C:D,2,0),"")</f>
        <v/>
      </c>
      <c r="F60" t="str">
        <f ca="1">IFERROR(VLOOKUP(D60&amp;"Eng",'At Home'!C:D,2,0),"")</f>
        <v/>
      </c>
    </row>
    <row r="61" spans="1:6" x14ac:dyDescent="0.25">
      <c r="A61" t="str">
        <f t="shared" si="1"/>
        <v/>
      </c>
      <c r="B61" t="str">
        <f t="shared" ca="1" si="0"/>
        <v/>
      </c>
      <c r="C61" s="1" t="str">
        <f ca="1">IFERROR($C$1-1+_xlfn.RANK.EQ(B61,$B$4:$B$40)+COUNTIF(B$4:$B61,B61)-1,"")</f>
        <v/>
      </c>
      <c r="D61" s="1" t="str">
        <f ca="1">IFERROR(VLOOKUP(C61,'At Home'!A:B,2,0),"")</f>
        <v/>
      </c>
      <c r="E61" t="str">
        <f ca="1">IFERROR(VLOOKUP(D61&amp;"Viet",'At Home'!C:D,2,0),"")</f>
        <v/>
      </c>
      <c r="F61" t="str">
        <f ca="1">IFERROR(VLOOKUP(D61&amp;"Eng",'At Home'!C:D,2,0),"")</f>
        <v/>
      </c>
    </row>
    <row r="62" spans="1:6" x14ac:dyDescent="0.25">
      <c r="A62" t="str">
        <f t="shared" si="1"/>
        <v/>
      </c>
      <c r="B62" t="str">
        <f t="shared" ca="1" si="0"/>
        <v/>
      </c>
      <c r="C62" s="1" t="str">
        <f ca="1">IFERROR($C$1-1+_xlfn.RANK.EQ(B62,$B$4:$B$40)+COUNTIF(B$4:$B62,B62)-1,"")</f>
        <v/>
      </c>
      <c r="D62" s="1" t="str">
        <f ca="1">IFERROR(VLOOKUP(C62,'At Home'!A:B,2,0),"")</f>
        <v/>
      </c>
      <c r="E62" t="str">
        <f ca="1">IFERROR(VLOOKUP(D62&amp;"Viet",'At Home'!C:D,2,0),"")</f>
        <v/>
      </c>
      <c r="F62" t="str">
        <f ca="1">IFERROR(VLOOKUP(D62&amp;"Eng",'At Home'!C:D,2,0),"")</f>
        <v/>
      </c>
    </row>
    <row r="63" spans="1:6" x14ac:dyDescent="0.25">
      <c r="A63" t="str">
        <f t="shared" si="1"/>
        <v/>
      </c>
      <c r="B63" t="str">
        <f t="shared" ca="1" si="0"/>
        <v/>
      </c>
      <c r="C63" s="1" t="str">
        <f ca="1">IFERROR($C$1-1+_xlfn.RANK.EQ(B63,$B$4:$B$40)+COUNTIF(B$4:$B63,B63)-1,"")</f>
        <v/>
      </c>
      <c r="D63" s="1" t="str">
        <f ca="1">IFERROR(VLOOKUP(C63,'At Home'!A:B,2,0),"")</f>
        <v/>
      </c>
      <c r="E63" t="str">
        <f ca="1">IFERROR(VLOOKUP(D63&amp;"Viet",'At Home'!C:D,2,0),"")</f>
        <v/>
      </c>
      <c r="F63" t="str">
        <f ca="1">IFERROR(VLOOKUP(D63&amp;"Eng",'At Home'!C:D,2,0),"")</f>
        <v/>
      </c>
    </row>
    <row r="64" spans="1:6" x14ac:dyDescent="0.25">
      <c r="A64" t="str">
        <f t="shared" si="1"/>
        <v/>
      </c>
      <c r="B64" t="str">
        <f t="shared" ca="1" si="0"/>
        <v/>
      </c>
      <c r="C64" s="1" t="str">
        <f ca="1">IFERROR($C$1-1+_xlfn.RANK.EQ(B64,$B$4:$B$40)+COUNTIF(B$4:$B64,B64)-1,"")</f>
        <v/>
      </c>
      <c r="D64" s="1" t="str">
        <f ca="1">IFERROR(VLOOKUP(C64,'At Home'!A:B,2,0),"")</f>
        <v/>
      </c>
      <c r="E64" t="str">
        <f ca="1">IFERROR(VLOOKUP(D64&amp;"Viet",'At Home'!C:D,2,0),"")</f>
        <v/>
      </c>
      <c r="F64" t="str">
        <f ca="1">IFERROR(VLOOKUP(D64&amp;"Eng",'At Home'!C:D,2,0),"")</f>
        <v/>
      </c>
    </row>
    <row r="65" spans="1:6" x14ac:dyDescent="0.25">
      <c r="A65" t="str">
        <f t="shared" si="1"/>
        <v/>
      </c>
      <c r="B65" t="str">
        <f t="shared" ca="1" si="0"/>
        <v/>
      </c>
      <c r="C65" s="1" t="str">
        <f ca="1">IFERROR($C$1-1+_xlfn.RANK.EQ(B65,$B$4:$B$40)+COUNTIF(B$4:$B65,B65)-1,"")</f>
        <v/>
      </c>
      <c r="D65" s="1" t="str">
        <f ca="1">IFERROR(VLOOKUP(C65,'At Home'!A:B,2,0),"")</f>
        <v/>
      </c>
      <c r="E65" t="str">
        <f ca="1">IFERROR(VLOOKUP(D65&amp;"Viet",'At Home'!C:D,2,0),"")</f>
        <v/>
      </c>
      <c r="F65" t="str">
        <f ca="1">IFERROR(VLOOKUP(D65&amp;"Eng",'At Home'!C:D,2,0),"")</f>
        <v/>
      </c>
    </row>
    <row r="66" spans="1:6" x14ac:dyDescent="0.25">
      <c r="A66" t="str">
        <f t="shared" si="1"/>
        <v/>
      </c>
      <c r="B66" t="str">
        <f t="shared" ca="1" si="0"/>
        <v/>
      </c>
      <c r="C66" s="1" t="str">
        <f ca="1">IFERROR($C$1-1+_xlfn.RANK.EQ(B66,$B$4:$B$40)+COUNTIF(B$4:$B66,B66)-1,"")</f>
        <v/>
      </c>
      <c r="D66" s="1" t="str">
        <f ca="1">IFERROR(VLOOKUP(C66,'At Home'!A:B,2,0),"")</f>
        <v/>
      </c>
      <c r="E66" t="str">
        <f ca="1">IFERROR(VLOOKUP(D66&amp;"Viet",'At Home'!C:D,2,0),"")</f>
        <v/>
      </c>
      <c r="F66" t="str">
        <f ca="1">IFERROR(VLOOKUP(D66&amp;"Eng",'At Home'!C:D,2,0),"")</f>
        <v/>
      </c>
    </row>
    <row r="67" spans="1:6" x14ac:dyDescent="0.25">
      <c r="A67" t="str">
        <f t="shared" si="1"/>
        <v/>
      </c>
      <c r="B67" t="str">
        <f t="shared" ca="1" si="0"/>
        <v/>
      </c>
      <c r="C67" s="1" t="str">
        <f ca="1">IFERROR($C$1-1+_xlfn.RANK.EQ(B67,$B$4:$B$40)+COUNTIF(B$4:$B67,B67)-1,"")</f>
        <v/>
      </c>
      <c r="D67" s="1" t="str">
        <f ca="1">IFERROR(VLOOKUP(C67,'At Home'!A:B,2,0),"")</f>
        <v/>
      </c>
      <c r="E67" t="str">
        <f ca="1">IFERROR(VLOOKUP(D67&amp;"Viet",'At Home'!C:D,2,0),"")</f>
        <v/>
      </c>
      <c r="F67" t="str">
        <f ca="1">IFERROR(VLOOKUP(D67&amp;"Eng",'At Home'!C:D,2,0),"")</f>
        <v/>
      </c>
    </row>
    <row r="68" spans="1:6" x14ac:dyDescent="0.25">
      <c r="A68" t="str">
        <f t="shared" si="1"/>
        <v/>
      </c>
      <c r="B68" t="str">
        <f t="shared" ref="B68:B131" ca="1" si="2">IF(A68="","",RANDBETWEEN($C$1,$C$2))</f>
        <v/>
      </c>
      <c r="C68" s="1" t="str">
        <f ca="1">IFERROR($C$1-1+_xlfn.RANK.EQ(B68,$B$4:$B$40)+COUNTIF(B$4:$B68,B68)-1,"")</f>
        <v/>
      </c>
      <c r="D68" s="1" t="str">
        <f ca="1">IFERROR(VLOOKUP(C68,'At Home'!A:B,2,0),"")</f>
        <v/>
      </c>
      <c r="E68" t="str">
        <f ca="1">IFERROR(VLOOKUP(D68&amp;"Viet",'At Home'!C:D,2,0),"")</f>
        <v/>
      </c>
      <c r="F68" t="str">
        <f ca="1">IFERROR(VLOOKUP(D68&amp;"Eng",'At Home'!C:D,2,0),"")</f>
        <v/>
      </c>
    </row>
    <row r="69" spans="1:6" x14ac:dyDescent="0.25">
      <c r="A69" t="str">
        <f t="shared" si="1"/>
        <v/>
      </c>
      <c r="B69" t="str">
        <f t="shared" ca="1" si="2"/>
        <v/>
      </c>
      <c r="C69" s="1" t="str">
        <f ca="1">IFERROR($C$1-1+_xlfn.RANK.EQ(B69,$B$4:$B$40)+COUNTIF(B$4:$B69,B69)-1,"")</f>
        <v/>
      </c>
      <c r="D69" s="1" t="str">
        <f ca="1">IFERROR(VLOOKUP(C69,'At Home'!A:B,2,0),"")</f>
        <v/>
      </c>
      <c r="E69" t="str">
        <f ca="1">IFERROR(VLOOKUP(D69&amp;"Viet",'At Home'!C:D,2,0),"")</f>
        <v/>
      </c>
      <c r="F69" t="str">
        <f ca="1">IFERROR(VLOOKUP(D69&amp;"Eng",'At Home'!C:D,2,0),"")</f>
        <v/>
      </c>
    </row>
    <row r="70" spans="1:6" x14ac:dyDescent="0.25">
      <c r="A70" t="str">
        <f t="shared" ref="A70:A133" si="3">IFERROR(IF(A69+1&gt;$C$2,"",A69+1),"")</f>
        <v/>
      </c>
      <c r="B70" t="str">
        <f t="shared" ca="1" si="2"/>
        <v/>
      </c>
      <c r="C70" s="1" t="str">
        <f ca="1">IFERROR($C$1-1+_xlfn.RANK.EQ(B70,$B$4:$B$40)+COUNTIF(B$4:$B70,B70)-1,"")</f>
        <v/>
      </c>
      <c r="D70" s="1" t="str">
        <f ca="1">IFERROR(VLOOKUP(C70,'At Home'!A:B,2,0),"")</f>
        <v/>
      </c>
      <c r="E70" t="str">
        <f ca="1">IFERROR(VLOOKUP(D70&amp;"Viet",'At Home'!C:D,2,0),"")</f>
        <v/>
      </c>
      <c r="F70" t="str">
        <f ca="1">IFERROR(VLOOKUP(D70&amp;"Eng",'At Home'!C:D,2,0),"")</f>
        <v/>
      </c>
    </row>
    <row r="71" spans="1:6" x14ac:dyDescent="0.25">
      <c r="A71" t="str">
        <f t="shared" si="3"/>
        <v/>
      </c>
      <c r="B71" t="str">
        <f t="shared" ca="1" si="2"/>
        <v/>
      </c>
      <c r="C71" s="1" t="str">
        <f ca="1">IFERROR($C$1-1+_xlfn.RANK.EQ(B71,$B$4:$B$40)+COUNTIF(B$4:$B71,B71)-1,"")</f>
        <v/>
      </c>
      <c r="D71" s="1" t="str">
        <f ca="1">IFERROR(VLOOKUP(C71,'At Home'!A:B,2,0),"")</f>
        <v/>
      </c>
      <c r="E71" t="str">
        <f ca="1">IFERROR(VLOOKUP(D71&amp;"Viet",'At Home'!C:D,2,0),"")</f>
        <v/>
      </c>
      <c r="F71" t="str">
        <f ca="1">IFERROR(VLOOKUP(D71&amp;"Eng",'At Home'!C:D,2,0),"")</f>
        <v/>
      </c>
    </row>
    <row r="72" spans="1:6" x14ac:dyDescent="0.25">
      <c r="A72" t="str">
        <f t="shared" si="3"/>
        <v/>
      </c>
      <c r="B72" t="str">
        <f t="shared" ca="1" si="2"/>
        <v/>
      </c>
      <c r="C72" s="1" t="str">
        <f ca="1">IFERROR($C$1-1+_xlfn.RANK.EQ(B72,$B$4:$B$40)+COUNTIF(B$4:$B72,B72)-1,"")</f>
        <v/>
      </c>
      <c r="D72" s="1" t="str">
        <f ca="1">IFERROR(VLOOKUP(C72,'At Home'!A:B,2,0),"")</f>
        <v/>
      </c>
      <c r="E72" t="str">
        <f ca="1">IFERROR(VLOOKUP(D72&amp;"Viet",'At Home'!C:D,2,0),"")</f>
        <v/>
      </c>
      <c r="F72" t="str">
        <f ca="1">IFERROR(VLOOKUP(D72&amp;"Eng",'At Home'!C:D,2,0),"")</f>
        <v/>
      </c>
    </row>
    <row r="73" spans="1:6" x14ac:dyDescent="0.25">
      <c r="A73" t="str">
        <f t="shared" si="3"/>
        <v/>
      </c>
      <c r="B73" t="str">
        <f t="shared" ca="1" si="2"/>
        <v/>
      </c>
      <c r="C73" s="1" t="str">
        <f ca="1">IFERROR($C$1-1+_xlfn.RANK.EQ(B73,$B$4:$B$40)+COUNTIF(B$4:$B73,B73)-1,"")</f>
        <v/>
      </c>
      <c r="D73" s="1" t="str">
        <f ca="1">IFERROR(VLOOKUP(C73,'At Home'!A:B,2,0),"")</f>
        <v/>
      </c>
    </row>
    <row r="74" spans="1:6" x14ac:dyDescent="0.25">
      <c r="A74" t="str">
        <f t="shared" si="3"/>
        <v/>
      </c>
      <c r="B74" t="str">
        <f t="shared" ca="1" si="2"/>
        <v/>
      </c>
      <c r="C74" s="1" t="str">
        <f ca="1">IFERROR($C$1-1+_xlfn.RANK.EQ(B74,$B$4:$B$40)+COUNTIF(B$4:$B74,B74)-1,"")</f>
        <v/>
      </c>
      <c r="D74" s="1" t="str">
        <f ca="1">IFERROR(VLOOKUP(C74,'At Home'!A:B,2,0),"")</f>
        <v/>
      </c>
    </row>
    <row r="75" spans="1:6" x14ac:dyDescent="0.25">
      <c r="A75" t="str">
        <f t="shared" si="3"/>
        <v/>
      </c>
      <c r="B75" t="str">
        <f t="shared" ca="1" si="2"/>
        <v/>
      </c>
      <c r="C75" s="1" t="str">
        <f ca="1">IFERROR($C$1-1+_xlfn.RANK.EQ(B75,$B$4:$B$40)+COUNTIF(B$4:$B75,B75)-1,"")</f>
        <v/>
      </c>
      <c r="D75" s="1" t="str">
        <f ca="1">IFERROR(VLOOKUP(C75,'At Home'!A:B,2,0),"")</f>
        <v/>
      </c>
    </row>
    <row r="76" spans="1:6" x14ac:dyDescent="0.25">
      <c r="A76" t="str">
        <f t="shared" si="3"/>
        <v/>
      </c>
      <c r="B76" t="str">
        <f t="shared" ca="1" si="2"/>
        <v/>
      </c>
      <c r="C76" s="1" t="str">
        <f ca="1">IFERROR($C$1-1+_xlfn.RANK.EQ(B76,$B$4:$B$40)+COUNTIF(B$4:$B76,B76)-1,"")</f>
        <v/>
      </c>
      <c r="D76" s="1" t="str">
        <f ca="1">IFERROR(VLOOKUP(C76,'At Home'!A:B,2,0),"")</f>
        <v/>
      </c>
    </row>
    <row r="77" spans="1:6" x14ac:dyDescent="0.25">
      <c r="A77" t="str">
        <f t="shared" si="3"/>
        <v/>
      </c>
      <c r="B77" t="str">
        <f t="shared" ca="1" si="2"/>
        <v/>
      </c>
      <c r="C77" s="1" t="str">
        <f ca="1">IFERROR($C$1-1+_xlfn.RANK.EQ(B77,$B$4:$B$40)+COUNTIF(B$4:$B77,B77)-1,"")</f>
        <v/>
      </c>
      <c r="D77" s="1" t="str">
        <f ca="1">IFERROR(VLOOKUP(C77,'At Home'!A:B,2,0),"")</f>
        <v/>
      </c>
    </row>
    <row r="78" spans="1:6" x14ac:dyDescent="0.25">
      <c r="A78" t="str">
        <f t="shared" si="3"/>
        <v/>
      </c>
      <c r="B78" t="str">
        <f t="shared" ca="1" si="2"/>
        <v/>
      </c>
      <c r="C78" s="1" t="str">
        <f ca="1">IFERROR($C$1-1+_xlfn.RANK.EQ(B78,$B$4:$B$40)+COUNTIF(B$4:$B78,B78)-1,"")</f>
        <v/>
      </c>
      <c r="D78" s="1" t="str">
        <f ca="1">IFERROR(VLOOKUP(C78,'At Home'!A:B,2,0),"")</f>
        <v/>
      </c>
    </row>
    <row r="79" spans="1:6" x14ac:dyDescent="0.25">
      <c r="A79" t="str">
        <f t="shared" si="3"/>
        <v/>
      </c>
      <c r="B79" t="str">
        <f t="shared" ca="1" si="2"/>
        <v/>
      </c>
      <c r="C79" s="1" t="str">
        <f ca="1">IFERROR($C$1-1+_xlfn.RANK.EQ(B79,$B$4:$B$40)+COUNTIF(B$4:$B79,B79)-1,"")</f>
        <v/>
      </c>
      <c r="D79" s="1" t="str">
        <f ca="1">IFERROR(VLOOKUP(C79,'At Home'!A:B,2,0),"")</f>
        <v/>
      </c>
    </row>
    <row r="80" spans="1:6" x14ac:dyDescent="0.25">
      <c r="A80" t="str">
        <f t="shared" si="3"/>
        <v/>
      </c>
      <c r="B80" t="str">
        <f t="shared" ca="1" si="2"/>
        <v/>
      </c>
      <c r="C80" s="1" t="str">
        <f ca="1">IFERROR($C$1-1+_xlfn.RANK.EQ(B80,$B$4:$B$40)+COUNTIF(B$4:$B80,B80)-1,"")</f>
        <v/>
      </c>
      <c r="D80" s="1" t="str">
        <f ca="1">IFERROR(VLOOKUP(C80,'At Home'!A:B,2,0),"")</f>
        <v/>
      </c>
    </row>
    <row r="81" spans="1:4" x14ac:dyDescent="0.25">
      <c r="A81" t="str">
        <f t="shared" si="3"/>
        <v/>
      </c>
      <c r="B81" t="str">
        <f t="shared" ca="1" si="2"/>
        <v/>
      </c>
      <c r="C81" s="1" t="str">
        <f ca="1">IFERROR($C$1-1+_xlfn.RANK.EQ(B81,$B$4:$B$40)+COUNTIF(B$4:$B81,B81)-1,"")</f>
        <v/>
      </c>
      <c r="D81" s="1" t="str">
        <f ca="1">IFERROR(VLOOKUP(C81,'At Home'!A:B,2,0),"")</f>
        <v/>
      </c>
    </row>
    <row r="82" spans="1:4" x14ac:dyDescent="0.25">
      <c r="A82" t="str">
        <f t="shared" si="3"/>
        <v/>
      </c>
      <c r="B82" t="str">
        <f t="shared" ca="1" si="2"/>
        <v/>
      </c>
      <c r="C82" s="1" t="str">
        <f ca="1">IFERROR($C$1-1+_xlfn.RANK.EQ(B82,$B$4:$B$40)+COUNTIF(B$4:$B82,B82)-1,"")</f>
        <v/>
      </c>
      <c r="D82" s="1" t="str">
        <f ca="1">IFERROR(VLOOKUP(C82,'At Home'!A:B,2,0),"")</f>
        <v/>
      </c>
    </row>
    <row r="83" spans="1:4" x14ac:dyDescent="0.25">
      <c r="A83" t="str">
        <f t="shared" si="3"/>
        <v/>
      </c>
      <c r="B83" t="str">
        <f t="shared" ca="1" si="2"/>
        <v/>
      </c>
      <c r="C83" s="1" t="str">
        <f ca="1">IFERROR($C$1-1+_xlfn.RANK.EQ(B83,$B$4:$B$40)+COUNTIF(B$4:$B83,B83)-1,"")</f>
        <v/>
      </c>
      <c r="D83" s="1" t="str">
        <f ca="1">IFERROR(VLOOKUP(C83,'At Home'!A:B,2,0),"")</f>
        <v/>
      </c>
    </row>
    <row r="84" spans="1:4" x14ac:dyDescent="0.25">
      <c r="A84" t="str">
        <f t="shared" si="3"/>
        <v/>
      </c>
      <c r="B84" t="str">
        <f t="shared" ca="1" si="2"/>
        <v/>
      </c>
      <c r="C84" s="1" t="str">
        <f ca="1">IFERROR($C$1-1+_xlfn.RANK.EQ(B84,$B$4:$B$40)+COUNTIF(B$4:$B84,B84)-1,"")</f>
        <v/>
      </c>
      <c r="D84" s="1" t="str">
        <f ca="1">IFERROR(VLOOKUP(C84,'At Home'!A:B,2,0),"")</f>
        <v/>
      </c>
    </row>
    <row r="85" spans="1:4" x14ac:dyDescent="0.25">
      <c r="A85" t="str">
        <f t="shared" si="3"/>
        <v/>
      </c>
      <c r="B85" t="str">
        <f t="shared" ca="1" si="2"/>
        <v/>
      </c>
      <c r="C85" s="1" t="str">
        <f ca="1">IFERROR($C$1-1+_xlfn.RANK.EQ(B85,$B$4:$B$40)+COUNTIF(B$4:$B85,B85)-1,"")</f>
        <v/>
      </c>
      <c r="D85" s="1" t="str">
        <f ca="1">IFERROR(VLOOKUP(C85,'At Home'!A:B,2,0),"")</f>
        <v/>
      </c>
    </row>
    <row r="86" spans="1:4" x14ac:dyDescent="0.25">
      <c r="A86" t="str">
        <f t="shared" si="3"/>
        <v/>
      </c>
      <c r="B86" t="str">
        <f t="shared" ca="1" si="2"/>
        <v/>
      </c>
      <c r="C86" s="1" t="str">
        <f ca="1">IFERROR($C$1-1+_xlfn.RANK.EQ(B86,$B$4:$B$40)+COUNTIF(B$4:$B86,B86)-1,"")</f>
        <v/>
      </c>
      <c r="D86" s="1" t="str">
        <f ca="1">IFERROR(VLOOKUP(C86,'At Home'!A:B,2,0),"")</f>
        <v/>
      </c>
    </row>
    <row r="87" spans="1:4" x14ac:dyDescent="0.25">
      <c r="A87" t="str">
        <f t="shared" si="3"/>
        <v/>
      </c>
      <c r="B87" t="str">
        <f t="shared" ca="1" si="2"/>
        <v/>
      </c>
      <c r="C87" s="1" t="str">
        <f ca="1">IFERROR($C$1-1+_xlfn.RANK.EQ(B87,$B$4:$B$40)+COUNTIF(B$4:$B87,B87)-1,"")</f>
        <v/>
      </c>
      <c r="D87" s="1" t="str">
        <f ca="1">IFERROR(VLOOKUP(C87,'At Home'!A:B,2,0),"")</f>
        <v/>
      </c>
    </row>
    <row r="88" spans="1:4" x14ac:dyDescent="0.25">
      <c r="A88" t="str">
        <f t="shared" si="3"/>
        <v/>
      </c>
      <c r="B88" t="str">
        <f t="shared" ca="1" si="2"/>
        <v/>
      </c>
      <c r="C88" s="1" t="str">
        <f ca="1">IFERROR($C$1-1+_xlfn.RANK.EQ(B88,$B$4:$B$40)+COUNTIF(B$4:$B88,B88)-1,"")</f>
        <v/>
      </c>
      <c r="D88" s="1" t="str">
        <f ca="1">IFERROR(VLOOKUP(C88,'At Home'!A:B,2,0),"")</f>
        <v/>
      </c>
    </row>
    <row r="89" spans="1:4" x14ac:dyDescent="0.25">
      <c r="A89" t="str">
        <f t="shared" si="3"/>
        <v/>
      </c>
      <c r="B89" t="str">
        <f t="shared" ca="1" si="2"/>
        <v/>
      </c>
      <c r="C89" s="1" t="str">
        <f ca="1">IFERROR($C$1-1+_xlfn.RANK.EQ(B89,$B$4:$B$40)+COUNTIF(B$4:$B89,B89)-1,"")</f>
        <v/>
      </c>
      <c r="D89" s="1" t="str">
        <f ca="1">IFERROR(VLOOKUP(C89,'At Home'!A:B,2,0),"")</f>
        <v/>
      </c>
    </row>
    <row r="90" spans="1:4" x14ac:dyDescent="0.25">
      <c r="A90" t="str">
        <f t="shared" si="3"/>
        <v/>
      </c>
      <c r="B90" t="str">
        <f t="shared" ca="1" si="2"/>
        <v/>
      </c>
      <c r="C90" s="1" t="str">
        <f ca="1">IFERROR($C$1-1+_xlfn.RANK.EQ(B90,$B$4:$B$40)+COUNTIF(B$4:$B90,B90)-1,"")</f>
        <v/>
      </c>
      <c r="D90" s="1" t="str">
        <f ca="1">IFERROR(VLOOKUP(C90,'At Home'!A:B,2,0),"")</f>
        <v/>
      </c>
    </row>
    <row r="91" spans="1:4" x14ac:dyDescent="0.25">
      <c r="A91" t="str">
        <f t="shared" si="3"/>
        <v/>
      </c>
      <c r="B91" t="str">
        <f t="shared" ca="1" si="2"/>
        <v/>
      </c>
      <c r="C91" s="1" t="str">
        <f ca="1">IFERROR($C$1-1+_xlfn.RANK.EQ(B91,$B$4:$B$40)+COUNTIF(B$4:$B91,B91)-1,"")</f>
        <v/>
      </c>
      <c r="D91" s="1" t="str">
        <f ca="1">IFERROR(VLOOKUP(C91,'At Home'!A:B,2,0),"")</f>
        <v/>
      </c>
    </row>
    <row r="92" spans="1:4" x14ac:dyDescent="0.25">
      <c r="A92" t="str">
        <f t="shared" si="3"/>
        <v/>
      </c>
      <c r="B92" t="str">
        <f t="shared" ca="1" si="2"/>
        <v/>
      </c>
      <c r="C92" s="1" t="str">
        <f ca="1">IFERROR($C$1-1+_xlfn.RANK.EQ(B92,$B$4:$B$40)+COUNTIF(B$4:$B92,B92)-1,"")</f>
        <v/>
      </c>
      <c r="D92" s="1" t="str">
        <f ca="1">IFERROR(VLOOKUP(C92,'At Home'!A:B,2,0),"")</f>
        <v/>
      </c>
    </row>
    <row r="93" spans="1:4" x14ac:dyDescent="0.25">
      <c r="A93" t="str">
        <f t="shared" si="3"/>
        <v/>
      </c>
      <c r="B93" t="str">
        <f t="shared" ca="1" si="2"/>
        <v/>
      </c>
      <c r="C93" s="1" t="str">
        <f ca="1">IFERROR($C$1-1+_xlfn.RANK.EQ(B93,$B$4:$B$40)+COUNTIF(B$4:$B93,B93)-1,"")</f>
        <v/>
      </c>
      <c r="D93" s="1" t="str">
        <f ca="1">IFERROR(VLOOKUP(C93,'At Home'!A:B,2,0),"")</f>
        <v/>
      </c>
    </row>
    <row r="94" spans="1:4" x14ac:dyDescent="0.25">
      <c r="A94" t="str">
        <f t="shared" si="3"/>
        <v/>
      </c>
      <c r="B94" t="str">
        <f t="shared" ca="1" si="2"/>
        <v/>
      </c>
      <c r="C94" s="1" t="str">
        <f ca="1">IFERROR($C$1-1+_xlfn.RANK.EQ(B94,$B$4:$B$40)+COUNTIF(B$4:$B94,B94)-1,"")</f>
        <v/>
      </c>
      <c r="D94" s="1" t="str">
        <f ca="1">IFERROR(VLOOKUP(C94,'At Home'!A:B,2,0),"")</f>
        <v/>
      </c>
    </row>
    <row r="95" spans="1:4" x14ac:dyDescent="0.25">
      <c r="A95" t="str">
        <f t="shared" si="3"/>
        <v/>
      </c>
      <c r="B95" t="str">
        <f t="shared" ca="1" si="2"/>
        <v/>
      </c>
      <c r="C95" s="1" t="str">
        <f ca="1">IFERROR($C$1-1+_xlfn.RANK.EQ(B95,$B$4:$B$40)+COUNTIF(B$4:$B95,B95)-1,"")</f>
        <v/>
      </c>
      <c r="D95" s="1" t="str">
        <f ca="1">IFERROR(VLOOKUP(C95,'At Home'!A:B,2,0),"")</f>
        <v/>
      </c>
    </row>
    <row r="96" spans="1:4" x14ac:dyDescent="0.25">
      <c r="A96" t="str">
        <f t="shared" si="3"/>
        <v/>
      </c>
      <c r="B96" t="str">
        <f t="shared" ca="1" si="2"/>
        <v/>
      </c>
      <c r="C96" s="1" t="str">
        <f ca="1">IFERROR($C$1-1+_xlfn.RANK.EQ(B96,$B$4:$B$40)+COUNTIF(B$4:$B96,B96)-1,"")</f>
        <v/>
      </c>
      <c r="D96" s="1" t="str">
        <f ca="1">IFERROR(VLOOKUP(C96,'At Home'!A:B,2,0),"")</f>
        <v/>
      </c>
    </row>
    <row r="97" spans="1:4" x14ac:dyDescent="0.25">
      <c r="A97" t="str">
        <f t="shared" si="3"/>
        <v/>
      </c>
      <c r="B97" t="str">
        <f t="shared" ca="1" si="2"/>
        <v/>
      </c>
      <c r="C97" s="1" t="str">
        <f ca="1">IFERROR($C$1-1+_xlfn.RANK.EQ(B97,$B$4:$B$40)+COUNTIF(B$4:$B97,B97)-1,"")</f>
        <v/>
      </c>
      <c r="D97" s="1" t="str">
        <f ca="1">IFERROR(VLOOKUP(C97,'At Home'!A:B,2,0),"")</f>
        <v/>
      </c>
    </row>
    <row r="98" spans="1:4" x14ac:dyDescent="0.25">
      <c r="A98" t="str">
        <f t="shared" si="3"/>
        <v/>
      </c>
      <c r="B98" t="str">
        <f t="shared" ca="1" si="2"/>
        <v/>
      </c>
      <c r="C98" s="1" t="str">
        <f ca="1">IFERROR($C$1-1+_xlfn.RANK.EQ(B98,$B$4:$B$40)+COUNTIF(B$4:$B98,B98)-1,"")</f>
        <v/>
      </c>
      <c r="D98" s="1" t="str">
        <f ca="1">IFERROR(VLOOKUP(C98,'At Home'!A:B,2,0),"")</f>
        <v/>
      </c>
    </row>
    <row r="99" spans="1:4" x14ac:dyDescent="0.25">
      <c r="A99" t="str">
        <f t="shared" si="3"/>
        <v/>
      </c>
      <c r="B99" t="str">
        <f t="shared" ca="1" si="2"/>
        <v/>
      </c>
      <c r="C99" s="1" t="str">
        <f ca="1">IFERROR($C$1-1+_xlfn.RANK.EQ(B99,$B$4:$B$40)+COUNTIF(B$4:$B99,B99)-1,"")</f>
        <v/>
      </c>
      <c r="D99" s="1" t="str">
        <f ca="1">IFERROR(VLOOKUP(C99,'At Home'!A:B,2,0),"")</f>
        <v/>
      </c>
    </row>
    <row r="100" spans="1:4" x14ac:dyDescent="0.25">
      <c r="A100" t="str">
        <f t="shared" si="3"/>
        <v/>
      </c>
      <c r="B100" t="str">
        <f t="shared" ca="1" si="2"/>
        <v/>
      </c>
      <c r="C100" s="1" t="str">
        <f ca="1">IFERROR($C$1-1+_xlfn.RANK.EQ(B100,$B$4:$B$40)+COUNTIF(B$4:$B100,B100)-1,"")</f>
        <v/>
      </c>
      <c r="D100" s="1" t="str">
        <f ca="1">IFERROR(VLOOKUP(C100,'At Home'!A:B,2,0),"")</f>
        <v/>
      </c>
    </row>
    <row r="101" spans="1:4" x14ac:dyDescent="0.25">
      <c r="A101" t="str">
        <f t="shared" si="3"/>
        <v/>
      </c>
      <c r="B101" t="str">
        <f t="shared" ca="1" si="2"/>
        <v/>
      </c>
      <c r="C101" s="1" t="str">
        <f ca="1">IFERROR($C$1-1+_xlfn.RANK.EQ(B101,$B$4:$B$40)+COUNTIF(B$4:$B101,B101)-1,"")</f>
        <v/>
      </c>
      <c r="D101" s="1" t="str">
        <f ca="1">IFERROR(VLOOKUP(C101,'At Home'!A:B,2,0),"")</f>
        <v/>
      </c>
    </row>
    <row r="102" spans="1:4" x14ac:dyDescent="0.25">
      <c r="A102" t="str">
        <f t="shared" si="3"/>
        <v/>
      </c>
      <c r="B102" t="str">
        <f t="shared" ca="1" si="2"/>
        <v/>
      </c>
      <c r="C102" s="1" t="str">
        <f ca="1">IFERROR($C$1-1+_xlfn.RANK.EQ(B102,$B$4:$B$40)+COUNTIF(B$4:$B102,B102)-1,"")</f>
        <v/>
      </c>
      <c r="D102" s="1" t="str">
        <f ca="1">IFERROR(VLOOKUP(C102,'At Home'!A:B,2,0),"")</f>
        <v/>
      </c>
    </row>
    <row r="103" spans="1:4" x14ac:dyDescent="0.25">
      <c r="A103" t="str">
        <f t="shared" si="3"/>
        <v/>
      </c>
      <c r="B103" t="str">
        <f t="shared" ca="1" si="2"/>
        <v/>
      </c>
      <c r="C103" s="1" t="str">
        <f ca="1">IFERROR($C$1-1+_xlfn.RANK.EQ(B103,$B$4:$B$40)+COUNTIF(B$4:$B103,B103)-1,"")</f>
        <v/>
      </c>
      <c r="D103" s="1" t="str">
        <f ca="1">IFERROR(VLOOKUP(C103,'At Home'!A:B,2,0),"")</f>
        <v/>
      </c>
    </row>
    <row r="104" spans="1:4" x14ac:dyDescent="0.25">
      <c r="A104" t="str">
        <f t="shared" si="3"/>
        <v/>
      </c>
      <c r="B104" t="str">
        <f t="shared" ca="1" si="2"/>
        <v/>
      </c>
      <c r="C104" s="1" t="str">
        <f ca="1">IFERROR($C$1-1+_xlfn.RANK.EQ(B104,$B$4:$B$40)+COUNTIF(B$4:$B104,B104)-1,"")</f>
        <v/>
      </c>
      <c r="D104" s="1" t="str">
        <f ca="1">IFERROR(VLOOKUP(C104,'At Home'!A:B,2,0),"")</f>
        <v/>
      </c>
    </row>
    <row r="105" spans="1:4" x14ac:dyDescent="0.25">
      <c r="A105" t="str">
        <f t="shared" si="3"/>
        <v/>
      </c>
      <c r="B105" t="str">
        <f t="shared" ca="1" si="2"/>
        <v/>
      </c>
      <c r="C105" s="1" t="str">
        <f ca="1">IFERROR($C$1-1+_xlfn.RANK.EQ(B105,$B$4:$B$40)+COUNTIF(B$4:$B105,B105)-1,"")</f>
        <v/>
      </c>
      <c r="D105" s="1" t="str">
        <f ca="1">IFERROR(VLOOKUP(C105,'At Home'!A:B,2,0),"")</f>
        <v/>
      </c>
    </row>
    <row r="106" spans="1:4" x14ac:dyDescent="0.25">
      <c r="A106" t="str">
        <f t="shared" si="3"/>
        <v/>
      </c>
      <c r="B106" t="str">
        <f t="shared" ca="1" si="2"/>
        <v/>
      </c>
      <c r="C106" s="1" t="str">
        <f ca="1">IFERROR($C$1-1+_xlfn.RANK.EQ(B106,$B$4:$B$40)+COUNTIF(B$4:$B106,B106)-1,"")</f>
        <v/>
      </c>
      <c r="D106" s="1" t="str">
        <f ca="1">IFERROR(VLOOKUP(C106,'At Home'!A:B,2,0),"")</f>
        <v/>
      </c>
    </row>
    <row r="107" spans="1:4" x14ac:dyDescent="0.25">
      <c r="A107" t="str">
        <f t="shared" si="3"/>
        <v/>
      </c>
      <c r="B107" t="str">
        <f t="shared" ca="1" si="2"/>
        <v/>
      </c>
      <c r="C107" s="1" t="str">
        <f ca="1">IFERROR($C$1-1+_xlfn.RANK.EQ(B107,$B$4:$B$40)+COUNTIF(B$4:$B107,B107)-1,"")</f>
        <v/>
      </c>
      <c r="D107" s="1" t="str">
        <f ca="1">IFERROR(VLOOKUP(C107,'At Home'!A:B,2,0),"")</f>
        <v/>
      </c>
    </row>
    <row r="108" spans="1:4" x14ac:dyDescent="0.25">
      <c r="A108" t="str">
        <f t="shared" si="3"/>
        <v/>
      </c>
      <c r="B108" t="str">
        <f t="shared" ca="1" si="2"/>
        <v/>
      </c>
      <c r="C108" s="1" t="str">
        <f ca="1">IFERROR($C$1-1+_xlfn.RANK.EQ(B108,$B$4:$B$40)+COUNTIF(B$4:$B108,B108)-1,"")</f>
        <v/>
      </c>
      <c r="D108" s="1" t="str">
        <f ca="1">IFERROR(VLOOKUP(C108,'At Home'!A:B,2,0),"")</f>
        <v/>
      </c>
    </row>
    <row r="109" spans="1:4" x14ac:dyDescent="0.25">
      <c r="A109" t="str">
        <f t="shared" si="3"/>
        <v/>
      </c>
      <c r="B109" t="str">
        <f t="shared" ca="1" si="2"/>
        <v/>
      </c>
      <c r="C109" s="1" t="str">
        <f ca="1">IFERROR($C$1-1+_xlfn.RANK.EQ(B109,$B$4:$B$40)+COUNTIF(B$4:$B109,B109)-1,"")</f>
        <v/>
      </c>
      <c r="D109" s="1" t="str">
        <f ca="1">IFERROR(VLOOKUP(C109,'At Home'!A:B,2,0),"")</f>
        <v/>
      </c>
    </row>
    <row r="110" spans="1:4" x14ac:dyDescent="0.25">
      <c r="A110" t="str">
        <f t="shared" si="3"/>
        <v/>
      </c>
      <c r="B110" t="str">
        <f t="shared" ca="1" si="2"/>
        <v/>
      </c>
      <c r="C110" s="1" t="str">
        <f ca="1">IFERROR($C$1-1+_xlfn.RANK.EQ(B110,$B$4:$B$40)+COUNTIF(B$4:$B110,B110)-1,"")</f>
        <v/>
      </c>
      <c r="D110" s="1" t="str">
        <f ca="1">IFERROR(VLOOKUP(C110,'At Home'!A:B,2,0),"")</f>
        <v/>
      </c>
    </row>
    <row r="111" spans="1:4" x14ac:dyDescent="0.25">
      <c r="A111" t="str">
        <f t="shared" si="3"/>
        <v/>
      </c>
      <c r="B111" t="str">
        <f t="shared" ca="1" si="2"/>
        <v/>
      </c>
      <c r="C111" s="1" t="str">
        <f ca="1">IFERROR($C$1-1+_xlfn.RANK.EQ(B111,$B$4:$B$40)+COUNTIF(B$4:$B111,B111)-1,"")</f>
        <v/>
      </c>
      <c r="D111" s="1" t="str">
        <f ca="1">IFERROR(VLOOKUP(C111,'At Home'!A:B,2,0),"")</f>
        <v/>
      </c>
    </row>
    <row r="112" spans="1:4" x14ac:dyDescent="0.25">
      <c r="A112" t="str">
        <f t="shared" si="3"/>
        <v/>
      </c>
      <c r="B112" t="str">
        <f t="shared" ca="1" si="2"/>
        <v/>
      </c>
      <c r="C112" s="1" t="str">
        <f ca="1">IFERROR($C$1-1+_xlfn.RANK.EQ(B112,$B$4:$B$40)+COUNTIF(B$4:$B112,B112)-1,"")</f>
        <v/>
      </c>
      <c r="D112" s="1" t="str">
        <f ca="1">IFERROR(VLOOKUP(C112,'At Home'!A:B,2,0),"")</f>
        <v/>
      </c>
    </row>
    <row r="113" spans="1:4" x14ac:dyDescent="0.25">
      <c r="A113" t="str">
        <f t="shared" si="3"/>
        <v/>
      </c>
      <c r="B113" t="str">
        <f t="shared" ca="1" si="2"/>
        <v/>
      </c>
      <c r="C113" s="1" t="str">
        <f ca="1">IFERROR($C$1-1+_xlfn.RANK.EQ(B113,$B$4:$B$40)+COUNTIF(B$4:$B113,B113)-1,"")</f>
        <v/>
      </c>
      <c r="D113" s="1" t="str">
        <f ca="1">IFERROR(VLOOKUP(C113,'At Home'!A:B,2,0),"")</f>
        <v/>
      </c>
    </row>
    <row r="114" spans="1:4" x14ac:dyDescent="0.25">
      <c r="A114" t="str">
        <f t="shared" si="3"/>
        <v/>
      </c>
      <c r="B114" t="str">
        <f t="shared" ca="1" si="2"/>
        <v/>
      </c>
      <c r="C114" s="1" t="str">
        <f ca="1">IFERROR($C$1-1+_xlfn.RANK.EQ(B114,$B$4:$B$40)+COUNTIF(B$4:$B114,B114)-1,"")</f>
        <v/>
      </c>
      <c r="D114" s="1" t="str">
        <f ca="1">IFERROR(VLOOKUP(C114,'At Home'!A:B,2,0),"")</f>
        <v/>
      </c>
    </row>
    <row r="115" spans="1:4" x14ac:dyDescent="0.25">
      <c r="A115" t="str">
        <f t="shared" si="3"/>
        <v/>
      </c>
      <c r="B115" t="str">
        <f t="shared" ca="1" si="2"/>
        <v/>
      </c>
      <c r="C115" s="1" t="str">
        <f ca="1">IFERROR($C$1-1+_xlfn.RANK.EQ(B115,$B$4:$B$40)+COUNTIF(B$4:$B115,B115)-1,"")</f>
        <v/>
      </c>
      <c r="D115" s="1" t="str">
        <f ca="1">IFERROR(VLOOKUP(C115,'At Home'!A:B,2,0),"")</f>
        <v/>
      </c>
    </row>
    <row r="116" spans="1:4" x14ac:dyDescent="0.25">
      <c r="A116" t="str">
        <f t="shared" si="3"/>
        <v/>
      </c>
      <c r="B116" t="str">
        <f t="shared" ca="1" si="2"/>
        <v/>
      </c>
      <c r="C116" s="1" t="str">
        <f ca="1">IFERROR($C$1-1+_xlfn.RANK.EQ(B116,$B$4:$B$40)+COUNTIF(B$4:$B116,B116)-1,"")</f>
        <v/>
      </c>
      <c r="D116" s="1" t="str">
        <f ca="1">IFERROR(VLOOKUP(C116,'At Home'!A:B,2,0),"")</f>
        <v/>
      </c>
    </row>
    <row r="117" spans="1:4" x14ac:dyDescent="0.25">
      <c r="A117" t="str">
        <f t="shared" si="3"/>
        <v/>
      </c>
      <c r="B117" t="str">
        <f t="shared" ca="1" si="2"/>
        <v/>
      </c>
      <c r="C117" s="1" t="str">
        <f ca="1">IFERROR($C$1-1+_xlfn.RANK.EQ(B117,$B$4:$B$40)+COUNTIF(B$4:$B117,B117)-1,"")</f>
        <v/>
      </c>
      <c r="D117" s="1" t="str">
        <f ca="1">IFERROR(VLOOKUP(C117,'At Home'!A:B,2,0),"")</f>
        <v/>
      </c>
    </row>
    <row r="118" spans="1:4" x14ac:dyDescent="0.25">
      <c r="A118" t="str">
        <f t="shared" si="3"/>
        <v/>
      </c>
      <c r="B118" t="str">
        <f t="shared" ca="1" si="2"/>
        <v/>
      </c>
      <c r="C118" s="1" t="str">
        <f ca="1">IFERROR($C$1-1+_xlfn.RANK.EQ(B118,$B$4:$B$40)+COUNTIF(B$4:$B118,B118)-1,"")</f>
        <v/>
      </c>
      <c r="D118" s="1" t="str">
        <f ca="1">IFERROR(VLOOKUP(C118,'At Home'!A:B,2,0),"")</f>
        <v/>
      </c>
    </row>
    <row r="119" spans="1:4" x14ac:dyDescent="0.25">
      <c r="A119" t="str">
        <f t="shared" si="3"/>
        <v/>
      </c>
      <c r="B119" t="str">
        <f t="shared" ca="1" si="2"/>
        <v/>
      </c>
      <c r="C119" s="1" t="str">
        <f ca="1">IFERROR($C$1-1+_xlfn.RANK.EQ(B119,$B$4:$B$40)+COUNTIF(B$4:$B119,B119)-1,"")</f>
        <v/>
      </c>
      <c r="D119" s="1" t="str">
        <f ca="1">IFERROR(VLOOKUP(C119,'At Home'!A:B,2,0),"")</f>
        <v/>
      </c>
    </row>
    <row r="120" spans="1:4" x14ac:dyDescent="0.25">
      <c r="A120" t="str">
        <f t="shared" si="3"/>
        <v/>
      </c>
      <c r="B120" t="str">
        <f t="shared" ca="1" si="2"/>
        <v/>
      </c>
      <c r="C120" s="1" t="str">
        <f ca="1">IFERROR($C$1-1+_xlfn.RANK.EQ(B120,$B$4:$B$40)+COUNTIF(B$4:$B120,B120)-1,"")</f>
        <v/>
      </c>
      <c r="D120" s="1" t="str">
        <f ca="1">IFERROR(VLOOKUP(C120,'At Home'!A:B,2,0),"")</f>
        <v/>
      </c>
    </row>
    <row r="121" spans="1:4" x14ac:dyDescent="0.25">
      <c r="A121" t="str">
        <f t="shared" si="3"/>
        <v/>
      </c>
      <c r="B121" t="str">
        <f t="shared" ca="1" si="2"/>
        <v/>
      </c>
      <c r="C121" s="1" t="str">
        <f ca="1">IFERROR($C$1-1+_xlfn.RANK.EQ(B121,$B$4:$B$40)+COUNTIF(B$4:$B121,B121)-1,"")</f>
        <v/>
      </c>
      <c r="D121" s="1" t="str">
        <f ca="1">IFERROR(VLOOKUP(C121,'At Home'!A:B,2,0),"")</f>
        <v/>
      </c>
    </row>
    <row r="122" spans="1:4" x14ac:dyDescent="0.25">
      <c r="A122" t="str">
        <f t="shared" si="3"/>
        <v/>
      </c>
      <c r="B122" t="str">
        <f t="shared" ca="1" si="2"/>
        <v/>
      </c>
      <c r="C122" s="1" t="str">
        <f ca="1">IFERROR($C$1-1+_xlfn.RANK.EQ(B122,$B$4:$B$40)+COUNTIF(B$4:$B122,B122)-1,"")</f>
        <v/>
      </c>
      <c r="D122" s="1" t="str">
        <f ca="1">IFERROR(VLOOKUP(C122,'At Home'!A:B,2,0),"")</f>
        <v/>
      </c>
    </row>
    <row r="123" spans="1:4" x14ac:dyDescent="0.25">
      <c r="A123" t="str">
        <f t="shared" si="3"/>
        <v/>
      </c>
      <c r="B123" t="str">
        <f t="shared" ca="1" si="2"/>
        <v/>
      </c>
      <c r="C123" s="1" t="str">
        <f ca="1">IFERROR($C$1-1+_xlfn.RANK.EQ(B123,$B$4:$B$40)+COUNTIF(B$4:$B123,B123)-1,"")</f>
        <v/>
      </c>
      <c r="D123" s="1" t="str">
        <f ca="1">IFERROR(VLOOKUP(C123,'At Home'!A:B,2,0),"")</f>
        <v/>
      </c>
    </row>
    <row r="124" spans="1:4" x14ac:dyDescent="0.25">
      <c r="A124" t="str">
        <f t="shared" si="3"/>
        <v/>
      </c>
      <c r="B124" t="str">
        <f t="shared" ca="1" si="2"/>
        <v/>
      </c>
      <c r="C124" s="1" t="str">
        <f ca="1">IFERROR($C$1-1+_xlfn.RANK.EQ(B124,$B$4:$B$40)+COUNTIF(B$4:$B124,B124)-1,"")</f>
        <v/>
      </c>
      <c r="D124" s="1" t="str">
        <f ca="1">IFERROR(VLOOKUP(C124,'At Home'!A:B,2,0),"")</f>
        <v/>
      </c>
    </row>
    <row r="125" spans="1:4" x14ac:dyDescent="0.25">
      <c r="A125" t="str">
        <f t="shared" si="3"/>
        <v/>
      </c>
      <c r="B125" t="str">
        <f t="shared" ca="1" si="2"/>
        <v/>
      </c>
      <c r="C125" s="1" t="str">
        <f ca="1">IFERROR($C$1-1+_xlfn.RANK.EQ(B125,$B$4:$B$40)+COUNTIF(B$4:$B125,B125)-1,"")</f>
        <v/>
      </c>
      <c r="D125" s="1" t="str">
        <f ca="1">IFERROR(VLOOKUP(C125,'At Home'!A:B,2,0),"")</f>
        <v/>
      </c>
    </row>
    <row r="126" spans="1:4" x14ac:dyDescent="0.25">
      <c r="A126" t="str">
        <f t="shared" si="3"/>
        <v/>
      </c>
      <c r="B126" t="str">
        <f t="shared" ca="1" si="2"/>
        <v/>
      </c>
      <c r="C126" s="1" t="str">
        <f ca="1">IFERROR($C$1-1+_xlfn.RANK.EQ(B126,$B$4:$B$40)+COUNTIF(B$4:$B126,B126)-1,"")</f>
        <v/>
      </c>
      <c r="D126" s="1" t="str">
        <f ca="1">IFERROR(VLOOKUP(C126,'At Home'!A:B,2,0),"")</f>
        <v/>
      </c>
    </row>
    <row r="127" spans="1:4" x14ac:dyDescent="0.25">
      <c r="A127" t="str">
        <f t="shared" si="3"/>
        <v/>
      </c>
      <c r="B127" t="str">
        <f t="shared" ca="1" si="2"/>
        <v/>
      </c>
      <c r="C127" s="1" t="str">
        <f ca="1">IFERROR($C$1-1+_xlfn.RANK.EQ(B127,$B$4:$B$40)+COUNTIF(B$4:$B127,B127)-1,"")</f>
        <v/>
      </c>
      <c r="D127" s="1" t="str">
        <f ca="1">IFERROR(VLOOKUP(C127,'At Home'!A:B,2,0),"")</f>
        <v/>
      </c>
    </row>
    <row r="128" spans="1:4" x14ac:dyDescent="0.25">
      <c r="A128" t="str">
        <f t="shared" si="3"/>
        <v/>
      </c>
      <c r="B128" t="str">
        <f t="shared" ca="1" si="2"/>
        <v/>
      </c>
      <c r="C128" s="1" t="str">
        <f ca="1">IFERROR($C$1-1+_xlfn.RANK.EQ(B128,$B$4:$B$40)+COUNTIF(B$4:$B128,B128)-1,"")</f>
        <v/>
      </c>
      <c r="D128" s="1" t="str">
        <f ca="1">IFERROR(VLOOKUP(C128,'At Home'!A:B,2,0),"")</f>
        <v/>
      </c>
    </row>
    <row r="129" spans="1:4" x14ac:dyDescent="0.25">
      <c r="A129" t="str">
        <f t="shared" si="3"/>
        <v/>
      </c>
      <c r="B129" t="str">
        <f t="shared" ca="1" si="2"/>
        <v/>
      </c>
      <c r="C129" s="1" t="str">
        <f ca="1">IFERROR($C$1-1+_xlfn.RANK.EQ(B129,$B$4:$B$40)+COUNTIF(B$4:$B129,B129)-1,"")</f>
        <v/>
      </c>
      <c r="D129" s="1" t="str">
        <f ca="1">IFERROR(VLOOKUP(C129,'At Home'!A:B,2,0),"")</f>
        <v/>
      </c>
    </row>
    <row r="130" spans="1:4" x14ac:dyDescent="0.25">
      <c r="A130" t="str">
        <f t="shared" si="3"/>
        <v/>
      </c>
      <c r="B130" t="str">
        <f t="shared" ca="1" si="2"/>
        <v/>
      </c>
      <c r="C130" s="1" t="str">
        <f ca="1">IFERROR($C$1-1+_xlfn.RANK.EQ(B130,$B$4:$B$40)+COUNTIF(B$4:$B130,B130)-1,"")</f>
        <v/>
      </c>
      <c r="D130" s="1" t="str">
        <f ca="1">IFERROR(VLOOKUP(C130,'At Home'!A:B,2,0),"")</f>
        <v/>
      </c>
    </row>
    <row r="131" spans="1:4" x14ac:dyDescent="0.25">
      <c r="A131" t="str">
        <f t="shared" si="3"/>
        <v/>
      </c>
      <c r="B131" t="str">
        <f t="shared" ca="1" si="2"/>
        <v/>
      </c>
      <c r="C131" s="1" t="str">
        <f ca="1">IFERROR($C$1-1+_xlfn.RANK.EQ(B131,$B$4:$B$40)+COUNTIF(B$4:$B131,B131)-1,"")</f>
        <v/>
      </c>
      <c r="D131" s="1" t="str">
        <f ca="1">IFERROR(VLOOKUP(C131,'At Home'!A:B,2,0),"")</f>
        <v/>
      </c>
    </row>
    <row r="132" spans="1:4" x14ac:dyDescent="0.25">
      <c r="A132" t="str">
        <f t="shared" si="3"/>
        <v/>
      </c>
      <c r="B132" t="str">
        <f t="shared" ref="B132:B195" ca="1" si="4">IF(A132="","",RANDBETWEEN($C$1,$C$2))</f>
        <v/>
      </c>
      <c r="C132" s="1" t="str">
        <f ca="1">IFERROR($C$1-1+_xlfn.RANK.EQ(B132,$B$4:$B$40)+COUNTIF(B$4:$B132,B132)-1,"")</f>
        <v/>
      </c>
      <c r="D132" s="1" t="str">
        <f ca="1">IFERROR(VLOOKUP(C132,'At Home'!A:B,2,0),"")</f>
        <v/>
      </c>
    </row>
    <row r="133" spans="1:4" x14ac:dyDescent="0.25">
      <c r="A133" t="str">
        <f t="shared" si="3"/>
        <v/>
      </c>
      <c r="B133" t="str">
        <f t="shared" ca="1" si="4"/>
        <v/>
      </c>
      <c r="C133" s="1" t="str">
        <f ca="1">IFERROR($C$1-1+_xlfn.RANK.EQ(B133,$B$4:$B$40)+COUNTIF(B$4:$B133,B133)-1,"")</f>
        <v/>
      </c>
      <c r="D133" s="1" t="str">
        <f ca="1">IFERROR(VLOOKUP(C133,'At Home'!A:B,2,0),"")</f>
        <v/>
      </c>
    </row>
    <row r="134" spans="1:4" x14ac:dyDescent="0.25">
      <c r="A134" t="str">
        <f t="shared" ref="A134:A197" si="5">IFERROR(IF(A133+1&gt;$C$2,"",A133+1),"")</f>
        <v/>
      </c>
      <c r="B134" t="str">
        <f t="shared" ca="1" si="4"/>
        <v/>
      </c>
      <c r="C134" s="1" t="str">
        <f ca="1">IFERROR($C$1-1+_xlfn.RANK.EQ(B134,$B$4:$B$40)+COUNTIF(B$4:$B134,B134)-1,"")</f>
        <v/>
      </c>
      <c r="D134" s="1" t="str">
        <f ca="1">IFERROR(VLOOKUP(C134,'At Home'!A:B,2,0),"")</f>
        <v/>
      </c>
    </row>
    <row r="135" spans="1:4" x14ac:dyDescent="0.25">
      <c r="A135" t="str">
        <f t="shared" si="5"/>
        <v/>
      </c>
      <c r="B135" t="str">
        <f t="shared" ca="1" si="4"/>
        <v/>
      </c>
      <c r="C135" s="1" t="str">
        <f ca="1">IFERROR($C$1-1+_xlfn.RANK.EQ(B135,$B$4:$B$40)+COUNTIF(B$4:$B135,B135)-1,"")</f>
        <v/>
      </c>
      <c r="D135" s="1" t="str">
        <f ca="1">IFERROR(VLOOKUP(C135,'At Home'!A:B,2,0),"")</f>
        <v/>
      </c>
    </row>
    <row r="136" spans="1:4" x14ac:dyDescent="0.25">
      <c r="A136" t="str">
        <f t="shared" si="5"/>
        <v/>
      </c>
      <c r="B136" t="str">
        <f t="shared" ca="1" si="4"/>
        <v/>
      </c>
      <c r="C136" s="1" t="str">
        <f ca="1">IFERROR($C$1-1+_xlfn.RANK.EQ(B136,$B$4:$B$40)+COUNTIF(B$4:$B136,B136)-1,"")</f>
        <v/>
      </c>
      <c r="D136" s="1" t="str">
        <f ca="1">IFERROR(VLOOKUP(C136,'At Home'!A:B,2,0),"")</f>
        <v/>
      </c>
    </row>
    <row r="137" spans="1:4" x14ac:dyDescent="0.25">
      <c r="A137" t="str">
        <f t="shared" si="5"/>
        <v/>
      </c>
      <c r="B137" t="str">
        <f t="shared" ca="1" si="4"/>
        <v/>
      </c>
      <c r="C137" s="1" t="str">
        <f ca="1">IFERROR($C$1-1+_xlfn.RANK.EQ(B137,$B$4:$B$40)+COUNTIF(B$4:$B137,B137)-1,"")</f>
        <v/>
      </c>
      <c r="D137" s="1" t="str">
        <f ca="1">IFERROR(VLOOKUP(C137,'At Home'!A:B,2,0),"")</f>
        <v/>
      </c>
    </row>
    <row r="138" spans="1:4" x14ac:dyDescent="0.25">
      <c r="A138" t="str">
        <f t="shared" si="5"/>
        <v/>
      </c>
      <c r="B138" t="str">
        <f t="shared" ca="1" si="4"/>
        <v/>
      </c>
      <c r="C138" s="1" t="str">
        <f ca="1">IFERROR($C$1-1+_xlfn.RANK.EQ(B138,$B$4:$B$40)+COUNTIF(B$4:$B138,B138)-1,"")</f>
        <v/>
      </c>
      <c r="D138" s="1" t="str">
        <f ca="1">IFERROR(VLOOKUP(C138,'At Home'!A:B,2,0),"")</f>
        <v/>
      </c>
    </row>
    <row r="139" spans="1:4" x14ac:dyDescent="0.25">
      <c r="A139" t="str">
        <f t="shared" si="5"/>
        <v/>
      </c>
      <c r="B139" t="str">
        <f t="shared" ca="1" si="4"/>
        <v/>
      </c>
      <c r="C139" s="1" t="str">
        <f ca="1">IFERROR($C$1-1+_xlfn.RANK.EQ(B139,$B$4:$B$40)+COUNTIF(B$4:$B139,B139)-1,"")</f>
        <v/>
      </c>
      <c r="D139" s="1" t="str">
        <f ca="1">IFERROR(VLOOKUP(C139,'At Home'!A:B,2,0),"")</f>
        <v/>
      </c>
    </row>
    <row r="140" spans="1:4" x14ac:dyDescent="0.25">
      <c r="A140" t="str">
        <f t="shared" si="5"/>
        <v/>
      </c>
      <c r="B140" t="str">
        <f t="shared" ca="1" si="4"/>
        <v/>
      </c>
      <c r="C140" s="1" t="str">
        <f ca="1">IFERROR($C$1-1+_xlfn.RANK.EQ(B140,$B$4:$B$40)+COUNTIF(B$4:$B140,B140)-1,"")</f>
        <v/>
      </c>
      <c r="D140" s="1" t="str">
        <f ca="1">IFERROR(VLOOKUP(C140,'At Home'!A:B,2,0),"")</f>
        <v/>
      </c>
    </row>
    <row r="141" spans="1:4" x14ac:dyDescent="0.25">
      <c r="A141" t="str">
        <f t="shared" si="5"/>
        <v/>
      </c>
      <c r="B141" t="str">
        <f t="shared" ca="1" si="4"/>
        <v/>
      </c>
      <c r="C141" s="1" t="str">
        <f ca="1">IFERROR($C$1-1+_xlfn.RANK.EQ(B141,$B$4:$B$40)+COUNTIF(B$4:$B141,B141)-1,"")</f>
        <v/>
      </c>
      <c r="D141" s="1" t="str">
        <f ca="1">IFERROR(VLOOKUP(C141,'At Home'!A:B,2,0),"")</f>
        <v/>
      </c>
    </row>
    <row r="142" spans="1:4" x14ac:dyDescent="0.25">
      <c r="A142" t="str">
        <f t="shared" si="5"/>
        <v/>
      </c>
      <c r="B142" t="str">
        <f t="shared" ca="1" si="4"/>
        <v/>
      </c>
      <c r="C142" s="1" t="str">
        <f ca="1">IFERROR($C$1-1+_xlfn.RANK.EQ(B142,$B$4:$B$40)+COUNTIF(B$4:$B142,B142)-1,"")</f>
        <v/>
      </c>
      <c r="D142" s="1" t="str">
        <f ca="1">IFERROR(VLOOKUP(C142,'At Home'!A:B,2,0),"")</f>
        <v/>
      </c>
    </row>
    <row r="143" spans="1:4" x14ac:dyDescent="0.25">
      <c r="A143" t="str">
        <f t="shared" si="5"/>
        <v/>
      </c>
      <c r="B143" t="str">
        <f t="shared" ca="1" si="4"/>
        <v/>
      </c>
      <c r="D143" s="1"/>
    </row>
    <row r="144" spans="1:4" x14ac:dyDescent="0.25">
      <c r="A144" t="str">
        <f t="shared" si="5"/>
        <v/>
      </c>
      <c r="B144" t="str">
        <f t="shared" ca="1" si="4"/>
        <v/>
      </c>
      <c r="D144" s="1"/>
    </row>
    <row r="145" spans="1:4" x14ac:dyDescent="0.25">
      <c r="A145" t="str">
        <f t="shared" si="5"/>
        <v/>
      </c>
      <c r="B145" t="str">
        <f t="shared" ca="1" si="4"/>
        <v/>
      </c>
      <c r="D145" s="1"/>
    </row>
    <row r="146" spans="1:4" x14ac:dyDescent="0.25">
      <c r="A146" t="str">
        <f t="shared" si="5"/>
        <v/>
      </c>
      <c r="B146" t="str">
        <f t="shared" ca="1" si="4"/>
        <v/>
      </c>
      <c r="D146" s="1"/>
    </row>
    <row r="147" spans="1:4" x14ac:dyDescent="0.25">
      <c r="A147" t="str">
        <f t="shared" si="5"/>
        <v/>
      </c>
      <c r="B147" t="str">
        <f t="shared" ca="1" si="4"/>
        <v/>
      </c>
      <c r="D147" s="1"/>
    </row>
    <row r="148" spans="1:4" x14ac:dyDescent="0.25">
      <c r="A148" t="str">
        <f t="shared" si="5"/>
        <v/>
      </c>
      <c r="B148" t="str">
        <f t="shared" ca="1" si="4"/>
        <v/>
      </c>
      <c r="D148" s="1"/>
    </row>
    <row r="149" spans="1:4" x14ac:dyDescent="0.25">
      <c r="A149" t="str">
        <f t="shared" si="5"/>
        <v/>
      </c>
      <c r="B149" t="str">
        <f t="shared" ca="1" si="4"/>
        <v/>
      </c>
      <c r="D149" s="1"/>
    </row>
    <row r="150" spans="1:4" x14ac:dyDescent="0.25">
      <c r="A150" t="str">
        <f t="shared" si="5"/>
        <v/>
      </c>
      <c r="B150" t="str">
        <f t="shared" ca="1" si="4"/>
        <v/>
      </c>
      <c r="D150" s="1"/>
    </row>
    <row r="151" spans="1:4" x14ac:dyDescent="0.25">
      <c r="A151" t="str">
        <f t="shared" si="5"/>
        <v/>
      </c>
      <c r="B151" t="str">
        <f t="shared" ca="1" si="4"/>
        <v/>
      </c>
      <c r="D151" s="1"/>
    </row>
    <row r="152" spans="1:4" x14ac:dyDescent="0.25">
      <c r="A152" t="str">
        <f t="shared" si="5"/>
        <v/>
      </c>
      <c r="B152" t="str">
        <f t="shared" ca="1" si="4"/>
        <v/>
      </c>
      <c r="D152" s="1"/>
    </row>
    <row r="153" spans="1:4" x14ac:dyDescent="0.25">
      <c r="A153" t="str">
        <f t="shared" si="5"/>
        <v/>
      </c>
      <c r="B153" t="str">
        <f t="shared" ca="1" si="4"/>
        <v/>
      </c>
      <c r="D153" s="1"/>
    </row>
    <row r="154" spans="1:4" x14ac:dyDescent="0.25">
      <c r="A154" t="str">
        <f t="shared" si="5"/>
        <v/>
      </c>
      <c r="B154" t="str">
        <f t="shared" ca="1" si="4"/>
        <v/>
      </c>
      <c r="D154" s="1"/>
    </row>
    <row r="155" spans="1:4" x14ac:dyDescent="0.25">
      <c r="A155" t="str">
        <f t="shared" si="5"/>
        <v/>
      </c>
      <c r="B155" t="str">
        <f t="shared" ca="1" si="4"/>
        <v/>
      </c>
      <c r="D155" s="1"/>
    </row>
    <row r="156" spans="1:4" x14ac:dyDescent="0.25">
      <c r="A156" t="str">
        <f t="shared" si="5"/>
        <v/>
      </c>
      <c r="B156" t="str">
        <f t="shared" ca="1" si="4"/>
        <v/>
      </c>
      <c r="D156" s="1"/>
    </row>
    <row r="157" spans="1:4" x14ac:dyDescent="0.25">
      <c r="A157" t="str">
        <f t="shared" si="5"/>
        <v/>
      </c>
      <c r="B157" t="str">
        <f t="shared" ca="1" si="4"/>
        <v/>
      </c>
      <c r="D157" s="1"/>
    </row>
    <row r="158" spans="1:4" x14ac:dyDescent="0.25">
      <c r="A158" t="str">
        <f t="shared" si="5"/>
        <v/>
      </c>
      <c r="B158" t="str">
        <f t="shared" ca="1" si="4"/>
        <v/>
      </c>
      <c r="D158" s="1"/>
    </row>
    <row r="159" spans="1:4" x14ac:dyDescent="0.25">
      <c r="A159" t="str">
        <f t="shared" si="5"/>
        <v/>
      </c>
      <c r="B159" t="str">
        <f t="shared" ca="1" si="4"/>
        <v/>
      </c>
      <c r="D159" s="1"/>
    </row>
    <row r="160" spans="1:4" x14ac:dyDescent="0.25">
      <c r="A160" t="str">
        <f t="shared" si="5"/>
        <v/>
      </c>
      <c r="B160" t="str">
        <f t="shared" ca="1" si="4"/>
        <v/>
      </c>
      <c r="D160" s="1"/>
    </row>
    <row r="161" spans="1:4" x14ac:dyDescent="0.25">
      <c r="A161" t="str">
        <f t="shared" si="5"/>
        <v/>
      </c>
      <c r="B161" t="str">
        <f t="shared" ca="1" si="4"/>
        <v/>
      </c>
      <c r="D161" s="1"/>
    </row>
    <row r="162" spans="1:4" x14ac:dyDescent="0.25">
      <c r="A162" t="str">
        <f t="shared" si="5"/>
        <v/>
      </c>
      <c r="B162" t="str">
        <f t="shared" ca="1" si="4"/>
        <v/>
      </c>
      <c r="D162" s="1"/>
    </row>
    <row r="163" spans="1:4" x14ac:dyDescent="0.25">
      <c r="A163" t="str">
        <f t="shared" si="5"/>
        <v/>
      </c>
      <c r="B163" t="str">
        <f t="shared" ca="1" si="4"/>
        <v/>
      </c>
      <c r="D163" s="1"/>
    </row>
    <row r="164" spans="1:4" x14ac:dyDescent="0.25">
      <c r="A164" t="str">
        <f t="shared" si="5"/>
        <v/>
      </c>
      <c r="B164" t="str">
        <f t="shared" ca="1" si="4"/>
        <v/>
      </c>
      <c r="D164" s="1"/>
    </row>
    <row r="165" spans="1:4" x14ac:dyDescent="0.25">
      <c r="A165" t="str">
        <f t="shared" si="5"/>
        <v/>
      </c>
      <c r="B165" t="str">
        <f t="shared" ca="1" si="4"/>
        <v/>
      </c>
      <c r="D165" s="1"/>
    </row>
    <row r="166" spans="1:4" x14ac:dyDescent="0.25">
      <c r="A166" t="str">
        <f t="shared" si="5"/>
        <v/>
      </c>
      <c r="B166" t="str">
        <f t="shared" ca="1" si="4"/>
        <v/>
      </c>
      <c r="D166" s="1"/>
    </row>
    <row r="167" spans="1:4" x14ac:dyDescent="0.25">
      <c r="A167" t="str">
        <f t="shared" si="5"/>
        <v/>
      </c>
      <c r="B167" t="str">
        <f t="shared" ca="1" si="4"/>
        <v/>
      </c>
      <c r="D167" s="1"/>
    </row>
    <row r="168" spans="1:4" x14ac:dyDescent="0.25">
      <c r="A168" t="str">
        <f t="shared" si="5"/>
        <v/>
      </c>
      <c r="B168" t="str">
        <f t="shared" ca="1" si="4"/>
        <v/>
      </c>
      <c r="D168" s="1"/>
    </row>
    <row r="169" spans="1:4" x14ac:dyDescent="0.25">
      <c r="A169" t="str">
        <f t="shared" si="5"/>
        <v/>
      </c>
      <c r="B169" t="str">
        <f t="shared" ca="1" si="4"/>
        <v/>
      </c>
      <c r="D169" s="1"/>
    </row>
    <row r="170" spans="1:4" x14ac:dyDescent="0.25">
      <c r="A170" t="str">
        <f t="shared" si="5"/>
        <v/>
      </c>
      <c r="B170" t="str">
        <f t="shared" ca="1" si="4"/>
        <v/>
      </c>
      <c r="D170" s="1"/>
    </row>
    <row r="171" spans="1:4" x14ac:dyDescent="0.25">
      <c r="A171" t="str">
        <f t="shared" si="5"/>
        <v/>
      </c>
      <c r="B171" t="str">
        <f t="shared" ca="1" si="4"/>
        <v/>
      </c>
      <c r="D171" s="1"/>
    </row>
    <row r="172" spans="1:4" x14ac:dyDescent="0.25">
      <c r="A172" t="str">
        <f t="shared" si="5"/>
        <v/>
      </c>
      <c r="B172" t="str">
        <f t="shared" ca="1" si="4"/>
        <v/>
      </c>
      <c r="D172" s="1"/>
    </row>
    <row r="173" spans="1:4" x14ac:dyDescent="0.25">
      <c r="A173" t="str">
        <f t="shared" si="5"/>
        <v/>
      </c>
      <c r="B173" t="str">
        <f t="shared" ca="1" si="4"/>
        <v/>
      </c>
      <c r="D173" s="1"/>
    </row>
    <row r="174" spans="1:4" x14ac:dyDescent="0.25">
      <c r="A174" t="str">
        <f t="shared" si="5"/>
        <v/>
      </c>
      <c r="B174" t="str">
        <f t="shared" ca="1" si="4"/>
        <v/>
      </c>
      <c r="D174" s="1"/>
    </row>
    <row r="175" spans="1:4" x14ac:dyDescent="0.25">
      <c r="A175" t="str">
        <f t="shared" si="5"/>
        <v/>
      </c>
      <c r="B175" t="str">
        <f t="shared" ca="1" si="4"/>
        <v/>
      </c>
      <c r="D175" s="1"/>
    </row>
    <row r="176" spans="1:4" x14ac:dyDescent="0.25">
      <c r="A176" t="str">
        <f t="shared" si="5"/>
        <v/>
      </c>
      <c r="B176" t="str">
        <f t="shared" ca="1" si="4"/>
        <v/>
      </c>
      <c r="D176" s="1"/>
    </row>
    <row r="177" spans="1:4" x14ac:dyDescent="0.25">
      <c r="A177" t="str">
        <f t="shared" si="5"/>
        <v/>
      </c>
      <c r="B177" t="str">
        <f t="shared" ca="1" si="4"/>
        <v/>
      </c>
      <c r="D177" s="1"/>
    </row>
    <row r="178" spans="1:4" x14ac:dyDescent="0.25">
      <c r="A178" t="str">
        <f t="shared" si="5"/>
        <v/>
      </c>
      <c r="B178" t="str">
        <f t="shared" ca="1" si="4"/>
        <v/>
      </c>
      <c r="D178" s="1"/>
    </row>
    <row r="179" spans="1:4" x14ac:dyDescent="0.25">
      <c r="A179" t="str">
        <f t="shared" si="5"/>
        <v/>
      </c>
      <c r="B179" t="str">
        <f t="shared" ca="1" si="4"/>
        <v/>
      </c>
      <c r="D179" s="1"/>
    </row>
    <row r="180" spans="1:4" x14ac:dyDescent="0.25">
      <c r="A180" t="str">
        <f t="shared" si="5"/>
        <v/>
      </c>
      <c r="B180" t="str">
        <f t="shared" ca="1" si="4"/>
        <v/>
      </c>
      <c r="D180" s="1"/>
    </row>
    <row r="181" spans="1:4" x14ac:dyDescent="0.25">
      <c r="A181" t="str">
        <f t="shared" si="5"/>
        <v/>
      </c>
      <c r="B181" t="str">
        <f t="shared" ca="1" si="4"/>
        <v/>
      </c>
      <c r="D181" s="1"/>
    </row>
    <row r="182" spans="1:4" x14ac:dyDescent="0.25">
      <c r="A182" t="str">
        <f t="shared" si="5"/>
        <v/>
      </c>
      <c r="B182" t="str">
        <f t="shared" ca="1" si="4"/>
        <v/>
      </c>
      <c r="D182" s="1"/>
    </row>
    <row r="183" spans="1:4" x14ac:dyDescent="0.25">
      <c r="A183" t="str">
        <f t="shared" si="5"/>
        <v/>
      </c>
      <c r="B183" t="str">
        <f t="shared" ca="1" si="4"/>
        <v/>
      </c>
      <c r="D183" s="1"/>
    </row>
    <row r="184" spans="1:4" x14ac:dyDescent="0.25">
      <c r="A184" t="str">
        <f t="shared" si="5"/>
        <v/>
      </c>
      <c r="B184" t="str">
        <f t="shared" ca="1" si="4"/>
        <v/>
      </c>
      <c r="D184" s="1"/>
    </row>
    <row r="185" spans="1:4" x14ac:dyDescent="0.25">
      <c r="A185" t="str">
        <f t="shared" si="5"/>
        <v/>
      </c>
      <c r="B185" t="str">
        <f t="shared" ca="1" si="4"/>
        <v/>
      </c>
      <c r="D185" s="1"/>
    </row>
    <row r="186" spans="1:4" x14ac:dyDescent="0.25">
      <c r="A186" t="str">
        <f t="shared" si="5"/>
        <v/>
      </c>
      <c r="B186" t="str">
        <f t="shared" ca="1" si="4"/>
        <v/>
      </c>
      <c r="D186" s="1"/>
    </row>
    <row r="187" spans="1:4" x14ac:dyDescent="0.25">
      <c r="A187" t="str">
        <f t="shared" si="5"/>
        <v/>
      </c>
      <c r="B187" t="str">
        <f t="shared" ca="1" si="4"/>
        <v/>
      </c>
      <c r="D187" s="1"/>
    </row>
    <row r="188" spans="1:4" x14ac:dyDescent="0.25">
      <c r="A188" t="str">
        <f t="shared" si="5"/>
        <v/>
      </c>
      <c r="B188" t="str">
        <f t="shared" ca="1" si="4"/>
        <v/>
      </c>
      <c r="D188" s="1"/>
    </row>
    <row r="189" spans="1:4" x14ac:dyDescent="0.25">
      <c r="A189" t="str">
        <f t="shared" si="5"/>
        <v/>
      </c>
      <c r="B189" t="str">
        <f t="shared" ca="1" si="4"/>
        <v/>
      </c>
      <c r="D189" s="1"/>
    </row>
    <row r="190" spans="1:4" x14ac:dyDescent="0.25">
      <c r="A190" t="str">
        <f t="shared" si="5"/>
        <v/>
      </c>
      <c r="B190" t="str">
        <f t="shared" ca="1" si="4"/>
        <v/>
      </c>
      <c r="D190" s="1"/>
    </row>
    <row r="191" spans="1:4" x14ac:dyDescent="0.25">
      <c r="A191" t="str">
        <f t="shared" si="5"/>
        <v/>
      </c>
      <c r="B191" t="str">
        <f t="shared" ca="1" si="4"/>
        <v/>
      </c>
      <c r="D191" s="1"/>
    </row>
    <row r="192" spans="1:4" x14ac:dyDescent="0.25">
      <c r="A192" t="str">
        <f t="shared" si="5"/>
        <v/>
      </c>
      <c r="B192" t="str">
        <f t="shared" ca="1" si="4"/>
        <v/>
      </c>
      <c r="D192" s="1"/>
    </row>
    <row r="193" spans="1:4" x14ac:dyDescent="0.25">
      <c r="A193" t="str">
        <f t="shared" si="5"/>
        <v/>
      </c>
      <c r="B193" t="str">
        <f t="shared" ca="1" si="4"/>
        <v/>
      </c>
      <c r="D193" s="1"/>
    </row>
    <row r="194" spans="1:4" x14ac:dyDescent="0.25">
      <c r="A194" t="str">
        <f t="shared" si="5"/>
        <v/>
      </c>
      <c r="B194" t="str">
        <f t="shared" ca="1" si="4"/>
        <v/>
      </c>
      <c r="D194" s="1"/>
    </row>
    <row r="195" spans="1:4" x14ac:dyDescent="0.25">
      <c r="A195" t="str">
        <f t="shared" si="5"/>
        <v/>
      </c>
      <c r="B195" t="str">
        <f t="shared" ca="1" si="4"/>
        <v/>
      </c>
      <c r="D195" s="1"/>
    </row>
    <row r="196" spans="1:4" x14ac:dyDescent="0.25">
      <c r="A196" t="str">
        <f t="shared" si="5"/>
        <v/>
      </c>
      <c r="B196" t="str">
        <f t="shared" ref="B196:B259" ca="1" si="6">IF(A196="","",RANDBETWEEN($C$1,$C$2))</f>
        <v/>
      </c>
      <c r="D196" s="1"/>
    </row>
    <row r="197" spans="1:4" x14ac:dyDescent="0.25">
      <c r="A197" t="str">
        <f t="shared" si="5"/>
        <v/>
      </c>
      <c r="B197" t="str">
        <f t="shared" ca="1" si="6"/>
        <v/>
      </c>
      <c r="D197" s="1"/>
    </row>
    <row r="198" spans="1:4" x14ac:dyDescent="0.25">
      <c r="A198" t="str">
        <f t="shared" ref="A198:A261" si="7">IFERROR(IF(A197+1&gt;$C$2,"",A197+1),"")</f>
        <v/>
      </c>
      <c r="B198" t="str">
        <f t="shared" ca="1" si="6"/>
        <v/>
      </c>
      <c r="D198" s="1"/>
    </row>
    <row r="199" spans="1:4" x14ac:dyDescent="0.25">
      <c r="A199" t="str">
        <f t="shared" si="7"/>
        <v/>
      </c>
      <c r="B199" t="str">
        <f t="shared" ca="1" si="6"/>
        <v/>
      </c>
      <c r="D199" s="1"/>
    </row>
    <row r="200" spans="1:4" x14ac:dyDescent="0.25">
      <c r="A200" t="str">
        <f t="shared" si="7"/>
        <v/>
      </c>
      <c r="B200" t="str">
        <f t="shared" ca="1" si="6"/>
        <v/>
      </c>
      <c r="D200" s="1"/>
    </row>
    <row r="201" spans="1:4" x14ac:dyDescent="0.25">
      <c r="A201" t="str">
        <f t="shared" si="7"/>
        <v/>
      </c>
      <c r="B201" t="str">
        <f t="shared" ca="1" si="6"/>
        <v/>
      </c>
      <c r="D201" s="1"/>
    </row>
    <row r="202" spans="1:4" x14ac:dyDescent="0.25">
      <c r="A202" t="str">
        <f t="shared" si="7"/>
        <v/>
      </c>
      <c r="B202" t="str">
        <f t="shared" ca="1" si="6"/>
        <v/>
      </c>
      <c r="D202" s="1"/>
    </row>
    <row r="203" spans="1:4" x14ac:dyDescent="0.25">
      <c r="A203" t="str">
        <f t="shared" si="7"/>
        <v/>
      </c>
      <c r="B203" t="str">
        <f t="shared" ca="1" si="6"/>
        <v/>
      </c>
      <c r="D203" s="1"/>
    </row>
    <row r="204" spans="1:4" x14ac:dyDescent="0.25">
      <c r="A204" t="str">
        <f t="shared" si="7"/>
        <v/>
      </c>
      <c r="B204" t="str">
        <f t="shared" ca="1" si="6"/>
        <v/>
      </c>
      <c r="D204" s="1"/>
    </row>
    <row r="205" spans="1:4" x14ac:dyDescent="0.25">
      <c r="A205" t="str">
        <f t="shared" si="7"/>
        <v/>
      </c>
      <c r="B205" t="str">
        <f t="shared" ca="1" si="6"/>
        <v/>
      </c>
      <c r="D205" s="1"/>
    </row>
    <row r="206" spans="1:4" x14ac:dyDescent="0.25">
      <c r="A206" t="str">
        <f t="shared" si="7"/>
        <v/>
      </c>
      <c r="B206" t="str">
        <f t="shared" ca="1" si="6"/>
        <v/>
      </c>
      <c r="D206" s="1"/>
    </row>
    <row r="207" spans="1:4" x14ac:dyDescent="0.25">
      <c r="A207" t="str">
        <f t="shared" si="7"/>
        <v/>
      </c>
      <c r="B207" t="str">
        <f t="shared" ca="1" si="6"/>
        <v/>
      </c>
      <c r="D207" s="1"/>
    </row>
    <row r="208" spans="1:4" x14ac:dyDescent="0.25">
      <c r="A208" t="str">
        <f t="shared" si="7"/>
        <v/>
      </c>
      <c r="B208" t="str">
        <f t="shared" ca="1" si="6"/>
        <v/>
      </c>
      <c r="D208" s="1"/>
    </row>
    <row r="209" spans="1:4" x14ac:dyDescent="0.25">
      <c r="A209" t="str">
        <f t="shared" si="7"/>
        <v/>
      </c>
      <c r="B209" t="str">
        <f t="shared" ca="1" si="6"/>
        <v/>
      </c>
      <c r="D209" s="1"/>
    </row>
    <row r="210" spans="1:4" x14ac:dyDescent="0.25">
      <c r="A210" t="str">
        <f t="shared" si="7"/>
        <v/>
      </c>
      <c r="B210" t="str">
        <f t="shared" ca="1" si="6"/>
        <v/>
      </c>
      <c r="D210" s="1"/>
    </row>
    <row r="211" spans="1:4" x14ac:dyDescent="0.25">
      <c r="A211" t="str">
        <f t="shared" si="7"/>
        <v/>
      </c>
      <c r="B211" t="str">
        <f t="shared" ca="1" si="6"/>
        <v/>
      </c>
      <c r="D211" s="1"/>
    </row>
    <row r="212" spans="1:4" x14ac:dyDescent="0.25">
      <c r="A212" t="str">
        <f t="shared" si="7"/>
        <v/>
      </c>
      <c r="B212" t="str">
        <f t="shared" ca="1" si="6"/>
        <v/>
      </c>
      <c r="D212" s="1"/>
    </row>
    <row r="213" spans="1:4" x14ac:dyDescent="0.25">
      <c r="A213" t="str">
        <f t="shared" si="7"/>
        <v/>
      </c>
      <c r="B213" t="str">
        <f t="shared" ca="1" si="6"/>
        <v/>
      </c>
      <c r="D213" s="1"/>
    </row>
    <row r="214" spans="1:4" x14ac:dyDescent="0.25">
      <c r="A214" t="str">
        <f t="shared" si="7"/>
        <v/>
      </c>
      <c r="B214" t="str">
        <f t="shared" ca="1" si="6"/>
        <v/>
      </c>
      <c r="D214" s="1"/>
    </row>
    <row r="215" spans="1:4" x14ac:dyDescent="0.25">
      <c r="A215" t="str">
        <f t="shared" si="7"/>
        <v/>
      </c>
      <c r="B215" t="str">
        <f t="shared" ca="1" si="6"/>
        <v/>
      </c>
      <c r="D215" s="1"/>
    </row>
    <row r="216" spans="1:4" x14ac:dyDescent="0.25">
      <c r="A216" t="str">
        <f t="shared" si="7"/>
        <v/>
      </c>
      <c r="B216" t="str">
        <f t="shared" ca="1" si="6"/>
        <v/>
      </c>
      <c r="D216" s="1"/>
    </row>
    <row r="217" spans="1:4" x14ac:dyDescent="0.25">
      <c r="A217" t="str">
        <f t="shared" si="7"/>
        <v/>
      </c>
      <c r="B217" t="str">
        <f t="shared" ca="1" si="6"/>
        <v/>
      </c>
      <c r="D217" s="1"/>
    </row>
    <row r="218" spans="1:4" x14ac:dyDescent="0.25">
      <c r="A218" t="str">
        <f t="shared" si="7"/>
        <v/>
      </c>
      <c r="B218" t="str">
        <f t="shared" ca="1" si="6"/>
        <v/>
      </c>
      <c r="D218" s="1"/>
    </row>
    <row r="219" spans="1:4" x14ac:dyDescent="0.25">
      <c r="A219" t="str">
        <f t="shared" si="7"/>
        <v/>
      </c>
      <c r="B219" t="str">
        <f t="shared" ca="1" si="6"/>
        <v/>
      </c>
      <c r="D219" s="1"/>
    </row>
    <row r="220" spans="1:4" x14ac:dyDescent="0.25">
      <c r="A220" t="str">
        <f t="shared" si="7"/>
        <v/>
      </c>
      <c r="B220" t="str">
        <f t="shared" ca="1" si="6"/>
        <v/>
      </c>
      <c r="D220" s="1"/>
    </row>
    <row r="221" spans="1:4" x14ac:dyDescent="0.25">
      <c r="A221" t="str">
        <f t="shared" si="7"/>
        <v/>
      </c>
      <c r="B221" t="str">
        <f t="shared" ca="1" si="6"/>
        <v/>
      </c>
      <c r="D221" s="1"/>
    </row>
    <row r="222" spans="1:4" x14ac:dyDescent="0.25">
      <c r="A222" t="str">
        <f t="shared" si="7"/>
        <v/>
      </c>
      <c r="B222" t="str">
        <f t="shared" ca="1" si="6"/>
        <v/>
      </c>
      <c r="D222" s="1"/>
    </row>
    <row r="223" spans="1:4" x14ac:dyDescent="0.25">
      <c r="A223" t="str">
        <f t="shared" si="7"/>
        <v/>
      </c>
      <c r="B223" t="str">
        <f t="shared" ca="1" si="6"/>
        <v/>
      </c>
      <c r="D223" s="1"/>
    </row>
    <row r="224" spans="1:4" x14ac:dyDescent="0.25">
      <c r="A224" t="str">
        <f t="shared" si="7"/>
        <v/>
      </c>
      <c r="B224" t="str">
        <f t="shared" ca="1" si="6"/>
        <v/>
      </c>
      <c r="D224" s="1"/>
    </row>
    <row r="225" spans="1:4" x14ac:dyDescent="0.25">
      <c r="A225" t="str">
        <f t="shared" si="7"/>
        <v/>
      </c>
      <c r="B225" t="str">
        <f t="shared" ca="1" si="6"/>
        <v/>
      </c>
      <c r="D225" s="1"/>
    </row>
    <row r="226" spans="1:4" x14ac:dyDescent="0.25">
      <c r="A226" t="str">
        <f t="shared" si="7"/>
        <v/>
      </c>
      <c r="B226" t="str">
        <f t="shared" ca="1" si="6"/>
        <v/>
      </c>
      <c r="D226" s="1"/>
    </row>
    <row r="227" spans="1:4" x14ac:dyDescent="0.25">
      <c r="A227" t="str">
        <f t="shared" si="7"/>
        <v/>
      </c>
      <c r="B227" t="str">
        <f t="shared" ca="1" si="6"/>
        <v/>
      </c>
      <c r="D227" s="1"/>
    </row>
    <row r="228" spans="1:4" x14ac:dyDescent="0.25">
      <c r="A228" t="str">
        <f t="shared" si="7"/>
        <v/>
      </c>
      <c r="B228" t="str">
        <f t="shared" ca="1" si="6"/>
        <v/>
      </c>
      <c r="D228" s="1"/>
    </row>
    <row r="229" spans="1:4" x14ac:dyDescent="0.25">
      <c r="A229" t="str">
        <f t="shared" si="7"/>
        <v/>
      </c>
      <c r="B229" t="str">
        <f t="shared" ca="1" si="6"/>
        <v/>
      </c>
      <c r="D229" s="1"/>
    </row>
    <row r="230" spans="1:4" x14ac:dyDescent="0.25">
      <c r="A230" t="str">
        <f t="shared" si="7"/>
        <v/>
      </c>
      <c r="B230" t="str">
        <f t="shared" ca="1" si="6"/>
        <v/>
      </c>
      <c r="D230" s="1"/>
    </row>
    <row r="231" spans="1:4" x14ac:dyDescent="0.25">
      <c r="A231" t="str">
        <f t="shared" si="7"/>
        <v/>
      </c>
      <c r="B231" t="str">
        <f t="shared" ca="1" si="6"/>
        <v/>
      </c>
      <c r="D231" s="1"/>
    </row>
    <row r="232" spans="1:4" x14ac:dyDescent="0.25">
      <c r="A232" t="str">
        <f t="shared" si="7"/>
        <v/>
      </c>
      <c r="B232" t="str">
        <f t="shared" ca="1" si="6"/>
        <v/>
      </c>
      <c r="D232" s="1"/>
    </row>
    <row r="233" spans="1:4" x14ac:dyDescent="0.25">
      <c r="A233" t="str">
        <f t="shared" si="7"/>
        <v/>
      </c>
      <c r="B233" t="str">
        <f t="shared" ca="1" si="6"/>
        <v/>
      </c>
      <c r="D233" s="1"/>
    </row>
    <row r="234" spans="1:4" x14ac:dyDescent="0.25">
      <c r="A234" t="str">
        <f t="shared" si="7"/>
        <v/>
      </c>
      <c r="B234" t="str">
        <f t="shared" ca="1" si="6"/>
        <v/>
      </c>
      <c r="D234" s="1"/>
    </row>
    <row r="235" spans="1:4" x14ac:dyDescent="0.25">
      <c r="A235" t="str">
        <f t="shared" si="7"/>
        <v/>
      </c>
      <c r="B235" t="str">
        <f t="shared" ca="1" si="6"/>
        <v/>
      </c>
      <c r="D235" s="1"/>
    </row>
    <row r="236" spans="1:4" x14ac:dyDescent="0.25">
      <c r="A236" t="str">
        <f t="shared" si="7"/>
        <v/>
      </c>
      <c r="B236" t="str">
        <f t="shared" ca="1" si="6"/>
        <v/>
      </c>
      <c r="D236" s="1"/>
    </row>
    <row r="237" spans="1:4" x14ac:dyDescent="0.25">
      <c r="A237" t="str">
        <f t="shared" si="7"/>
        <v/>
      </c>
      <c r="B237" t="str">
        <f t="shared" ca="1" si="6"/>
        <v/>
      </c>
      <c r="D237" s="1"/>
    </row>
    <row r="238" spans="1:4" x14ac:dyDescent="0.25">
      <c r="A238" t="str">
        <f t="shared" si="7"/>
        <v/>
      </c>
      <c r="B238" t="str">
        <f t="shared" ca="1" si="6"/>
        <v/>
      </c>
      <c r="D238" s="1"/>
    </row>
    <row r="239" spans="1:4" x14ac:dyDescent="0.25">
      <c r="A239" t="str">
        <f t="shared" si="7"/>
        <v/>
      </c>
      <c r="B239" t="str">
        <f t="shared" ca="1" si="6"/>
        <v/>
      </c>
      <c r="D239" s="1"/>
    </row>
    <row r="240" spans="1:4" x14ac:dyDescent="0.25">
      <c r="A240" t="str">
        <f t="shared" si="7"/>
        <v/>
      </c>
      <c r="B240" t="str">
        <f t="shared" ca="1" si="6"/>
        <v/>
      </c>
      <c r="D240" s="1"/>
    </row>
    <row r="241" spans="1:4" x14ac:dyDescent="0.25">
      <c r="A241" t="str">
        <f t="shared" si="7"/>
        <v/>
      </c>
      <c r="B241" t="str">
        <f t="shared" ca="1" si="6"/>
        <v/>
      </c>
      <c r="D241" s="1"/>
    </row>
    <row r="242" spans="1:4" x14ac:dyDescent="0.25">
      <c r="A242" t="str">
        <f t="shared" si="7"/>
        <v/>
      </c>
      <c r="B242" t="str">
        <f t="shared" ca="1" si="6"/>
        <v/>
      </c>
      <c r="D242" s="1"/>
    </row>
    <row r="243" spans="1:4" x14ac:dyDescent="0.25">
      <c r="A243" t="str">
        <f t="shared" si="7"/>
        <v/>
      </c>
      <c r="B243" t="str">
        <f t="shared" ca="1" si="6"/>
        <v/>
      </c>
      <c r="D243" s="1"/>
    </row>
    <row r="244" spans="1:4" x14ac:dyDescent="0.25">
      <c r="A244" t="str">
        <f t="shared" si="7"/>
        <v/>
      </c>
      <c r="B244" t="str">
        <f t="shared" ca="1" si="6"/>
        <v/>
      </c>
      <c r="D244" s="1"/>
    </row>
    <row r="245" spans="1:4" x14ac:dyDescent="0.25">
      <c r="A245" t="str">
        <f t="shared" si="7"/>
        <v/>
      </c>
      <c r="B245" t="str">
        <f t="shared" ca="1" si="6"/>
        <v/>
      </c>
      <c r="D245" s="1"/>
    </row>
    <row r="246" spans="1:4" x14ac:dyDescent="0.25">
      <c r="A246" t="str">
        <f t="shared" si="7"/>
        <v/>
      </c>
      <c r="B246" t="str">
        <f t="shared" ca="1" si="6"/>
        <v/>
      </c>
      <c r="D246" s="1"/>
    </row>
    <row r="247" spans="1:4" x14ac:dyDescent="0.25">
      <c r="A247" t="str">
        <f t="shared" si="7"/>
        <v/>
      </c>
      <c r="B247" t="str">
        <f t="shared" ca="1" si="6"/>
        <v/>
      </c>
      <c r="D247" s="1"/>
    </row>
    <row r="248" spans="1:4" x14ac:dyDescent="0.25">
      <c r="A248" t="str">
        <f t="shared" si="7"/>
        <v/>
      </c>
      <c r="B248" t="str">
        <f t="shared" ca="1" si="6"/>
        <v/>
      </c>
      <c r="D248" s="1"/>
    </row>
    <row r="249" spans="1:4" x14ac:dyDescent="0.25">
      <c r="A249" t="str">
        <f t="shared" si="7"/>
        <v/>
      </c>
      <c r="B249" t="str">
        <f t="shared" ca="1" si="6"/>
        <v/>
      </c>
      <c r="D249" s="1"/>
    </row>
    <row r="250" spans="1:4" x14ac:dyDescent="0.25">
      <c r="A250" t="str">
        <f t="shared" si="7"/>
        <v/>
      </c>
      <c r="B250" t="str">
        <f t="shared" ca="1" si="6"/>
        <v/>
      </c>
      <c r="D250" s="1"/>
    </row>
    <row r="251" spans="1:4" x14ac:dyDescent="0.25">
      <c r="A251" t="str">
        <f t="shared" si="7"/>
        <v/>
      </c>
      <c r="B251" t="str">
        <f t="shared" ca="1" si="6"/>
        <v/>
      </c>
      <c r="D251" s="1"/>
    </row>
    <row r="252" spans="1:4" x14ac:dyDescent="0.25">
      <c r="A252" t="str">
        <f t="shared" si="7"/>
        <v/>
      </c>
      <c r="B252" t="str">
        <f t="shared" ca="1" si="6"/>
        <v/>
      </c>
      <c r="D252" s="1"/>
    </row>
    <row r="253" spans="1:4" x14ac:dyDescent="0.25">
      <c r="A253" t="str">
        <f t="shared" si="7"/>
        <v/>
      </c>
      <c r="B253" t="str">
        <f t="shared" ca="1" si="6"/>
        <v/>
      </c>
      <c r="D253" s="1"/>
    </row>
    <row r="254" spans="1:4" x14ac:dyDescent="0.25">
      <c r="A254" t="str">
        <f t="shared" si="7"/>
        <v/>
      </c>
      <c r="B254" t="str">
        <f t="shared" ca="1" si="6"/>
        <v/>
      </c>
      <c r="D254" s="1"/>
    </row>
    <row r="255" spans="1:4" x14ac:dyDescent="0.25">
      <c r="A255" t="str">
        <f t="shared" si="7"/>
        <v/>
      </c>
      <c r="B255" t="str">
        <f t="shared" ca="1" si="6"/>
        <v/>
      </c>
      <c r="D255" s="1"/>
    </row>
    <row r="256" spans="1:4" x14ac:dyDescent="0.25">
      <c r="A256" t="str">
        <f t="shared" si="7"/>
        <v/>
      </c>
      <c r="B256" t="str">
        <f t="shared" ca="1" si="6"/>
        <v/>
      </c>
      <c r="D256" s="1"/>
    </row>
    <row r="257" spans="1:4" x14ac:dyDescent="0.25">
      <c r="A257" t="str">
        <f t="shared" si="7"/>
        <v/>
      </c>
      <c r="B257" t="str">
        <f t="shared" ca="1" si="6"/>
        <v/>
      </c>
      <c r="D257" s="1"/>
    </row>
    <row r="258" spans="1:4" x14ac:dyDescent="0.25">
      <c r="A258" t="str">
        <f t="shared" si="7"/>
        <v/>
      </c>
      <c r="B258" t="str">
        <f t="shared" ca="1" si="6"/>
        <v/>
      </c>
      <c r="D258" s="1"/>
    </row>
    <row r="259" spans="1:4" x14ac:dyDescent="0.25">
      <c r="A259" t="str">
        <f t="shared" si="7"/>
        <v/>
      </c>
      <c r="B259" t="str">
        <f t="shared" ca="1" si="6"/>
        <v/>
      </c>
      <c r="D259" s="1"/>
    </row>
    <row r="260" spans="1:4" x14ac:dyDescent="0.25">
      <c r="A260" t="str">
        <f t="shared" si="7"/>
        <v/>
      </c>
      <c r="B260" t="str">
        <f t="shared" ref="B260:B295" ca="1" si="8">IF(A260="","",RANDBETWEEN($C$1,$C$2))</f>
        <v/>
      </c>
      <c r="D260" s="1"/>
    </row>
    <row r="261" spans="1:4" x14ac:dyDescent="0.25">
      <c r="A261" t="str">
        <f t="shared" si="7"/>
        <v/>
      </c>
      <c r="B261" t="str">
        <f t="shared" ca="1" si="8"/>
        <v/>
      </c>
      <c r="D261" s="1"/>
    </row>
    <row r="262" spans="1:4" x14ac:dyDescent="0.25">
      <c r="A262" t="str">
        <f t="shared" ref="A262:A295" si="9">IFERROR(IF(A261+1&gt;$C$2,"",A261+1),"")</f>
        <v/>
      </c>
      <c r="B262" t="str">
        <f t="shared" ca="1" si="8"/>
        <v/>
      </c>
      <c r="D262" s="1"/>
    </row>
    <row r="263" spans="1:4" x14ac:dyDescent="0.25">
      <c r="A263" t="str">
        <f t="shared" si="9"/>
        <v/>
      </c>
      <c r="B263" t="str">
        <f t="shared" ca="1" si="8"/>
        <v/>
      </c>
      <c r="D263" s="1"/>
    </row>
    <row r="264" spans="1:4" x14ac:dyDescent="0.25">
      <c r="A264" t="str">
        <f t="shared" si="9"/>
        <v/>
      </c>
      <c r="B264" t="str">
        <f t="shared" ca="1" si="8"/>
        <v/>
      </c>
      <c r="D264" s="1"/>
    </row>
    <row r="265" spans="1:4" x14ac:dyDescent="0.25">
      <c r="A265" t="str">
        <f t="shared" si="9"/>
        <v/>
      </c>
      <c r="B265" t="str">
        <f t="shared" ca="1" si="8"/>
        <v/>
      </c>
      <c r="D265" s="1"/>
    </row>
    <row r="266" spans="1:4" x14ac:dyDescent="0.25">
      <c r="A266" t="str">
        <f t="shared" si="9"/>
        <v/>
      </c>
      <c r="B266" t="str">
        <f t="shared" ca="1" si="8"/>
        <v/>
      </c>
      <c r="D266" s="1"/>
    </row>
    <row r="267" spans="1:4" x14ac:dyDescent="0.25">
      <c r="A267" t="str">
        <f t="shared" si="9"/>
        <v/>
      </c>
      <c r="B267" t="str">
        <f t="shared" ca="1" si="8"/>
        <v/>
      </c>
      <c r="D267" s="1"/>
    </row>
    <row r="268" spans="1:4" x14ac:dyDescent="0.25">
      <c r="A268" t="str">
        <f t="shared" si="9"/>
        <v/>
      </c>
      <c r="B268" t="str">
        <f t="shared" ca="1" si="8"/>
        <v/>
      </c>
      <c r="D268" s="1"/>
    </row>
    <row r="269" spans="1:4" x14ac:dyDescent="0.25">
      <c r="A269" t="str">
        <f t="shared" si="9"/>
        <v/>
      </c>
      <c r="B269" t="str">
        <f t="shared" ca="1" si="8"/>
        <v/>
      </c>
      <c r="D269" s="1"/>
    </row>
    <row r="270" spans="1:4" x14ac:dyDescent="0.25">
      <c r="A270" t="str">
        <f t="shared" si="9"/>
        <v/>
      </c>
      <c r="B270" t="str">
        <f t="shared" ca="1" si="8"/>
        <v/>
      </c>
      <c r="D270" s="1"/>
    </row>
    <row r="271" spans="1:4" x14ac:dyDescent="0.25">
      <c r="A271" t="str">
        <f t="shared" si="9"/>
        <v/>
      </c>
      <c r="B271" t="str">
        <f t="shared" ca="1" si="8"/>
        <v/>
      </c>
      <c r="D271" s="1"/>
    </row>
    <row r="272" spans="1:4" x14ac:dyDescent="0.25">
      <c r="A272" t="str">
        <f t="shared" si="9"/>
        <v/>
      </c>
      <c r="B272" t="str">
        <f t="shared" ca="1" si="8"/>
        <v/>
      </c>
      <c r="D272" s="1"/>
    </row>
    <row r="273" spans="1:4" x14ac:dyDescent="0.25">
      <c r="A273" t="str">
        <f t="shared" si="9"/>
        <v/>
      </c>
      <c r="B273" t="str">
        <f t="shared" ca="1" si="8"/>
        <v/>
      </c>
      <c r="D273" s="1"/>
    </row>
    <row r="274" spans="1:4" x14ac:dyDescent="0.25">
      <c r="A274" t="str">
        <f t="shared" si="9"/>
        <v/>
      </c>
      <c r="B274" t="str">
        <f t="shared" ca="1" si="8"/>
        <v/>
      </c>
      <c r="D274" s="1"/>
    </row>
    <row r="275" spans="1:4" x14ac:dyDescent="0.25">
      <c r="A275" t="str">
        <f t="shared" si="9"/>
        <v/>
      </c>
      <c r="B275" t="str">
        <f t="shared" ca="1" si="8"/>
        <v/>
      </c>
      <c r="D275" s="1"/>
    </row>
    <row r="276" spans="1:4" x14ac:dyDescent="0.25">
      <c r="A276" t="str">
        <f t="shared" si="9"/>
        <v/>
      </c>
      <c r="B276" t="str">
        <f t="shared" ca="1" si="8"/>
        <v/>
      </c>
      <c r="D276" s="1"/>
    </row>
    <row r="277" spans="1:4" x14ac:dyDescent="0.25">
      <c r="A277" t="str">
        <f t="shared" si="9"/>
        <v/>
      </c>
      <c r="B277" t="str">
        <f t="shared" ca="1" si="8"/>
        <v/>
      </c>
      <c r="D277" s="1"/>
    </row>
    <row r="278" spans="1:4" x14ac:dyDescent="0.25">
      <c r="A278" t="str">
        <f t="shared" si="9"/>
        <v/>
      </c>
      <c r="B278" t="str">
        <f t="shared" ca="1" si="8"/>
        <v/>
      </c>
      <c r="D278" s="1"/>
    </row>
    <row r="279" spans="1:4" x14ac:dyDescent="0.25">
      <c r="A279" t="str">
        <f t="shared" si="9"/>
        <v/>
      </c>
      <c r="B279" t="str">
        <f t="shared" ca="1" si="8"/>
        <v/>
      </c>
      <c r="D279" s="1"/>
    </row>
    <row r="280" spans="1:4" x14ac:dyDescent="0.25">
      <c r="A280" t="str">
        <f t="shared" si="9"/>
        <v/>
      </c>
      <c r="B280" t="str">
        <f t="shared" ca="1" si="8"/>
        <v/>
      </c>
      <c r="D280" s="1"/>
    </row>
    <row r="281" spans="1:4" x14ac:dyDescent="0.25">
      <c r="A281" t="str">
        <f t="shared" si="9"/>
        <v/>
      </c>
      <c r="B281" t="str">
        <f t="shared" ca="1" si="8"/>
        <v/>
      </c>
      <c r="D281" s="1"/>
    </row>
    <row r="282" spans="1:4" x14ac:dyDescent="0.25">
      <c r="A282" t="str">
        <f t="shared" si="9"/>
        <v/>
      </c>
      <c r="B282" t="str">
        <f t="shared" ca="1" si="8"/>
        <v/>
      </c>
      <c r="D282" s="1"/>
    </row>
    <row r="283" spans="1:4" x14ac:dyDescent="0.25">
      <c r="A283" t="str">
        <f t="shared" si="9"/>
        <v/>
      </c>
      <c r="B283" t="str">
        <f t="shared" ca="1" si="8"/>
        <v/>
      </c>
      <c r="D283" s="1"/>
    </row>
    <row r="284" spans="1:4" x14ac:dyDescent="0.25">
      <c r="A284" t="str">
        <f t="shared" si="9"/>
        <v/>
      </c>
      <c r="B284" t="str">
        <f t="shared" ca="1" si="8"/>
        <v/>
      </c>
      <c r="D284" s="1"/>
    </row>
    <row r="285" spans="1:4" x14ac:dyDescent="0.25">
      <c r="A285" t="str">
        <f t="shared" si="9"/>
        <v/>
      </c>
      <c r="B285" t="str">
        <f t="shared" ca="1" si="8"/>
        <v/>
      </c>
      <c r="D285" s="1"/>
    </row>
    <row r="286" spans="1:4" x14ac:dyDescent="0.25">
      <c r="A286" t="str">
        <f t="shared" si="9"/>
        <v/>
      </c>
      <c r="B286" t="str">
        <f t="shared" ca="1" si="8"/>
        <v/>
      </c>
      <c r="D286" s="1"/>
    </row>
    <row r="287" spans="1:4" x14ac:dyDescent="0.25">
      <c r="A287" t="str">
        <f t="shared" si="9"/>
        <v/>
      </c>
      <c r="B287" t="str">
        <f t="shared" ca="1" si="8"/>
        <v/>
      </c>
      <c r="D287" s="1"/>
    </row>
    <row r="288" spans="1:4" x14ac:dyDescent="0.25">
      <c r="A288" t="str">
        <f t="shared" si="9"/>
        <v/>
      </c>
      <c r="B288" t="str">
        <f t="shared" ca="1" si="8"/>
        <v/>
      </c>
      <c r="D288" s="1"/>
    </row>
    <row r="289" spans="1:4" x14ac:dyDescent="0.25">
      <c r="A289" t="str">
        <f t="shared" si="9"/>
        <v/>
      </c>
      <c r="B289" t="str">
        <f t="shared" ca="1" si="8"/>
        <v/>
      </c>
      <c r="D289" s="1"/>
    </row>
    <row r="290" spans="1:4" x14ac:dyDescent="0.25">
      <c r="A290" t="str">
        <f t="shared" si="9"/>
        <v/>
      </c>
      <c r="B290" t="str">
        <f t="shared" ca="1" si="8"/>
        <v/>
      </c>
      <c r="D290" s="1"/>
    </row>
    <row r="291" spans="1:4" x14ac:dyDescent="0.25">
      <c r="A291" t="str">
        <f t="shared" si="9"/>
        <v/>
      </c>
      <c r="B291" t="str">
        <f t="shared" ca="1" si="8"/>
        <v/>
      </c>
      <c r="D291" s="1"/>
    </row>
    <row r="292" spans="1:4" x14ac:dyDescent="0.25">
      <c r="A292" t="str">
        <f t="shared" si="9"/>
        <v/>
      </c>
      <c r="B292" t="str">
        <f t="shared" ca="1" si="8"/>
        <v/>
      </c>
      <c r="D292" s="1"/>
    </row>
    <row r="293" spans="1:4" x14ac:dyDescent="0.25">
      <c r="A293" t="str">
        <f t="shared" si="9"/>
        <v/>
      </c>
      <c r="B293" t="str">
        <f t="shared" ca="1" si="8"/>
        <v/>
      </c>
      <c r="D293" s="1"/>
    </row>
    <row r="294" spans="1:4" x14ac:dyDescent="0.25">
      <c r="A294" t="str">
        <f t="shared" si="9"/>
        <v/>
      </c>
      <c r="B294" t="str">
        <f t="shared" ca="1" si="8"/>
        <v/>
      </c>
      <c r="D294" s="1"/>
    </row>
    <row r="295" spans="1:4" x14ac:dyDescent="0.25">
      <c r="A295" t="str">
        <f t="shared" si="9"/>
        <v/>
      </c>
      <c r="B295" t="str">
        <f t="shared" ca="1" si="8"/>
        <v/>
      </c>
      <c r="D295" s="1"/>
    </row>
  </sheetData>
  <autoFilter ref="B3:F295" xr:uid="{510055BF-F702-4B6A-BC96-7718E75F032C}">
    <sortState xmlns:xlrd2="http://schemas.microsoft.com/office/spreadsheetml/2017/richdata2" ref="B4:F295">
      <sortCondition ref="C3:C72"/>
    </sortState>
  </autoFilter>
  <conditionalFormatting sqref="C296:D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FE1B-A582-4851-A850-E4BF4217E78E}">
  <dimension ref="A1:E1"/>
  <sheetViews>
    <sheetView topLeftCell="A95" zoomScale="96" zoomScaleNormal="96" workbookViewId="0">
      <selection activeCell="A95" sqref="A1:XFD1048576"/>
    </sheetView>
  </sheetViews>
  <sheetFormatPr defaultRowHeight="13.8" x14ac:dyDescent="0.25"/>
  <cols>
    <col min="1" max="3" width="8.796875" style="1"/>
    <col min="5" max="5" width="8.796875" style="1"/>
  </cols>
  <sheetData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6718-A9E9-438B-B207-C9ED05A276B1}">
  <dimension ref="A1"/>
  <sheetViews>
    <sheetView topLeftCell="A11" workbookViewId="0">
      <selection activeCell="A11" sqref="A1:XFD1048576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 Home</vt:lpstr>
      <vt:lpstr>Viet</vt:lpstr>
      <vt:lpstr>Sum</vt:lpstr>
      <vt:lpstr>Ramdom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2023-04-28T06:54:49Z</dcterms:created>
  <dcterms:modified xsi:type="dcterms:W3CDTF">2023-07-08T13:12:28Z</dcterms:modified>
</cp:coreProperties>
</file>