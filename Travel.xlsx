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Travel\"/>
    </mc:Choice>
  </mc:AlternateContent>
  <xr:revisionPtr revIDLastSave="0" documentId="13_ncr:1_{44B71F61-E97B-45FB-8E6A-112C7F6BD6B3}" xr6:coauthVersionLast="47" xr6:coauthVersionMax="47" xr10:uidLastSave="{00000000-0000-0000-0000-000000000000}"/>
  <bookViews>
    <workbookView xWindow="-108" yWindow="-108" windowWidth="23256" windowHeight="12456" tabRatio="634" activeTab="1" xr2:uid="{719E5D2F-C632-4960-9266-638D7C9B24E2}"/>
  </bookViews>
  <sheets>
    <sheet name="Travel" sheetId="1" r:id="rId1"/>
    <sheet name="Viet" sheetId="5" r:id="rId2"/>
    <sheet name="Sum" sheetId="6" r:id="rId3"/>
    <sheet name="Ramdom" sheetId="2" r:id="rId4"/>
    <sheet name="Sheet1" sheetId="7" r:id="rId5"/>
    <sheet name="Sheet2" sheetId="8" r:id="rId6"/>
    <sheet name="Sheet3" sheetId="9" r:id="rId7"/>
  </sheets>
  <definedNames>
    <definedName name="_xlnm._FilterDatabase" localSheetId="3" hidden="1">Ramdom!$B$3:$F$295</definedName>
    <definedName name="_xlnm._FilterDatabase" localSheetId="0" hidden="1">Travel!$A$3:$H$373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C8" i="5"/>
  <c r="D5" i="5"/>
  <c r="C5" i="5" s="1"/>
  <c r="D6" i="5"/>
  <c r="C6" i="5" s="1"/>
  <c r="D7" i="5"/>
  <c r="C7" i="5" s="1"/>
  <c r="F4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8" i="1"/>
  <c r="F158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G190" i="1"/>
  <c r="F190" i="1" s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G198" i="1"/>
  <c r="F198" i="1" s="1"/>
  <c r="G199" i="1"/>
  <c r="F199" i="1" s="1"/>
  <c r="G200" i="1"/>
  <c r="F200" i="1" s="1"/>
  <c r="G201" i="1"/>
  <c r="F201" i="1" s="1"/>
  <c r="G202" i="1"/>
  <c r="F202" i="1" s="1"/>
  <c r="G203" i="1"/>
  <c r="F203" i="1" s="1"/>
  <c r="G204" i="1"/>
  <c r="F204" i="1" s="1"/>
  <c r="G205" i="1"/>
  <c r="F205" i="1" s="1"/>
  <c r="G206" i="1"/>
  <c r="F206" i="1" s="1"/>
  <c r="G207" i="1"/>
  <c r="F207" i="1" s="1"/>
  <c r="G208" i="1"/>
  <c r="F208" i="1" s="1"/>
  <c r="G209" i="1"/>
  <c r="F209" i="1" s="1"/>
  <c r="G210" i="1"/>
  <c r="F210" i="1" s="1"/>
  <c r="G211" i="1"/>
  <c r="F211" i="1" s="1"/>
  <c r="G212" i="1"/>
  <c r="F212" i="1" s="1"/>
  <c r="G213" i="1"/>
  <c r="F213" i="1" s="1"/>
  <c r="G214" i="1"/>
  <c r="F214" i="1" s="1"/>
  <c r="G215" i="1"/>
  <c r="F215" i="1" s="1"/>
  <c r="G216" i="1"/>
  <c r="F216" i="1" s="1"/>
  <c r="G217" i="1"/>
  <c r="F217" i="1" s="1"/>
  <c r="G218" i="1"/>
  <c r="F218" i="1" s="1"/>
  <c r="G219" i="1"/>
  <c r="F219" i="1" s="1"/>
  <c r="G220" i="1"/>
  <c r="F220" i="1" s="1"/>
  <c r="G221" i="1"/>
  <c r="F221" i="1" s="1"/>
  <c r="G222" i="1"/>
  <c r="F222" i="1" s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G282" i="1"/>
  <c r="F282" i="1" s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F312" i="1" s="1"/>
  <c r="G313" i="1"/>
  <c r="F313" i="1" s="1"/>
  <c r="G314" i="1"/>
  <c r="F314" i="1" s="1"/>
  <c r="G315" i="1"/>
  <c r="F315" i="1" s="1"/>
  <c r="G316" i="1"/>
  <c r="F316" i="1" s="1"/>
  <c r="G317" i="1"/>
  <c r="F317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4" i="1"/>
  <c r="F324" i="1" s="1"/>
  <c r="G325" i="1"/>
  <c r="F325" i="1" s="1"/>
  <c r="G326" i="1"/>
  <c r="F326" i="1" s="1"/>
  <c r="G327" i="1"/>
  <c r="F327" i="1" s="1"/>
  <c r="G328" i="1"/>
  <c r="F328" i="1" s="1"/>
  <c r="G329" i="1"/>
  <c r="F329" i="1" s="1"/>
  <c r="G330" i="1"/>
  <c r="F330" i="1" s="1"/>
  <c r="G331" i="1"/>
  <c r="F331" i="1" s="1"/>
  <c r="G332" i="1"/>
  <c r="F332" i="1" s="1"/>
  <c r="G333" i="1"/>
  <c r="F333" i="1" s="1"/>
  <c r="G334" i="1"/>
  <c r="F334" i="1" s="1"/>
  <c r="G335" i="1"/>
  <c r="F335" i="1" s="1"/>
  <c r="G336" i="1"/>
  <c r="F336" i="1" s="1"/>
  <c r="G337" i="1"/>
  <c r="F337" i="1" s="1"/>
  <c r="G338" i="1"/>
  <c r="F338" i="1" s="1"/>
  <c r="G339" i="1"/>
  <c r="F339" i="1" s="1"/>
  <c r="G340" i="1"/>
  <c r="F340" i="1" s="1"/>
  <c r="G341" i="1"/>
  <c r="F341" i="1" s="1"/>
  <c r="G342" i="1"/>
  <c r="F342" i="1" s="1"/>
  <c r="G343" i="1"/>
  <c r="F343" i="1" s="1"/>
  <c r="G344" i="1"/>
  <c r="F344" i="1" s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F351" i="1" s="1"/>
  <c r="G352" i="1"/>
  <c r="F352" i="1" s="1"/>
  <c r="G353" i="1"/>
  <c r="F353" i="1" s="1"/>
  <c r="G354" i="1"/>
  <c r="F354" i="1" s="1"/>
  <c r="G355" i="1"/>
  <c r="F355" i="1" s="1"/>
  <c r="G356" i="1"/>
  <c r="F356" i="1" s="1"/>
  <c r="G357" i="1"/>
  <c r="F357" i="1" s="1"/>
  <c r="G358" i="1"/>
  <c r="F358" i="1" s="1"/>
  <c r="G359" i="1"/>
  <c r="F359" i="1" s="1"/>
  <c r="G360" i="1"/>
  <c r="F360" i="1" s="1"/>
  <c r="G361" i="1"/>
  <c r="F361" i="1" s="1"/>
  <c r="G362" i="1"/>
  <c r="F362" i="1" s="1"/>
  <c r="G363" i="1"/>
  <c r="F363" i="1" s="1"/>
  <c r="G364" i="1"/>
  <c r="F364" i="1" s="1"/>
  <c r="G365" i="1"/>
  <c r="F365" i="1" s="1"/>
  <c r="G366" i="1"/>
  <c r="F366" i="1" s="1"/>
  <c r="G367" i="1"/>
  <c r="F367" i="1" s="1"/>
  <c r="G368" i="1"/>
  <c r="F368" i="1" s="1"/>
  <c r="G369" i="1"/>
  <c r="F369" i="1" s="1"/>
  <c r="G370" i="1"/>
  <c r="F370" i="1" s="1"/>
  <c r="G371" i="1"/>
  <c r="F371" i="1" s="1"/>
  <c r="G372" i="1"/>
  <c r="F372" i="1" s="1"/>
  <c r="G373" i="1"/>
  <c r="F373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32" i="2" l="1"/>
  <c r="C34" i="2"/>
  <c r="C33" i="2"/>
  <c r="C35" i="2"/>
  <c r="C36" i="2"/>
  <c r="C37" i="2"/>
  <c r="C38" i="2"/>
  <c r="C39" i="2"/>
  <c r="C40" i="2"/>
  <c r="C41" i="2"/>
  <c r="C17" i="2"/>
  <c r="C16" i="2"/>
  <c r="C19" i="2"/>
  <c r="C20" i="2"/>
  <c r="C18" i="2"/>
  <c r="C22" i="2"/>
  <c r="C21" i="2"/>
  <c r="C24" i="2"/>
  <c r="C23" i="2"/>
  <c r="C25" i="2"/>
  <c r="C26" i="2"/>
  <c r="C27" i="2"/>
  <c r="C28" i="2"/>
  <c r="C29" i="2"/>
  <c r="C30" i="2"/>
  <c r="C31" i="2"/>
  <c r="C117" i="2"/>
  <c r="C10" i="2"/>
  <c r="C9" i="2"/>
  <c r="C6" i="2"/>
  <c r="C8" i="2"/>
  <c r="C7" i="2"/>
  <c r="C11" i="2"/>
  <c r="C5" i="2"/>
  <c r="C12" i="2"/>
  <c r="C13" i="2"/>
  <c r="C14" i="2"/>
  <c r="C15" i="2"/>
  <c r="C4" i="2"/>
  <c r="A119" i="2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<sst xmlns="http://schemas.openxmlformats.org/spreadsheetml/2006/main" count="1632" uniqueCount="1021">
  <si>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</si>
  <si>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</si>
  <si>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</si>
  <si>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</si>
  <si>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</si>
  <si>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</si>
  <si>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</si>
  <si>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</si>
  <si>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</si>
  <si>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</si>
  <si>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</si>
  <si>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</si>
  <si>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</si>
  <si>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</si>
  <si>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</si>
  <si>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</si>
  <si>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</si>
  <si>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</si>
  <si>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</si>
  <si>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</si>
  <si>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</si>
  <si>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</si>
  <si>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</si>
  <si>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</si>
  <si>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</si>
  <si>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</si>
  <si>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</si>
  <si>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</si>
  <si>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</si>
  <si>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</si>
  <si>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</si>
  <si>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</si>
  <si>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</si>
  <si>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</si>
  <si>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</si>
  <si>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</si>
  <si>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</si>
  <si>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</si>
  <si>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</si>
  <si>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01-05</t>
  </si>
  <si>
    <t>Man</t>
  </si>
  <si>
    <t>Woman</t>
  </si>
  <si>
    <t>1Struc</t>
  </si>
  <si>
    <t>1.1Viet</t>
  </si>
  <si>
    <t>1.1Eng</t>
  </si>
  <si>
    <t>1.2Viet</t>
  </si>
  <si>
    <t>1.2Eng</t>
  </si>
  <si>
    <t>1.3Viet</t>
  </si>
  <si>
    <t>1.3Eng</t>
  </si>
  <si>
    <t>2Struc</t>
  </si>
  <si>
    <t>2.1Viet</t>
  </si>
  <si>
    <t>2.1Eng</t>
  </si>
  <si>
    <t>2.2Viet</t>
  </si>
  <si>
    <t>2.2Eng</t>
  </si>
  <si>
    <t>2.3Viet</t>
  </si>
  <si>
    <t>2.3Eng</t>
  </si>
  <si>
    <t>3Struc</t>
  </si>
  <si>
    <t>3.3Eng</t>
  </si>
  <si>
    <t>3.1Viet</t>
  </si>
  <si>
    <t>3.1Eng</t>
  </si>
  <si>
    <t>3.2Viet</t>
  </si>
  <si>
    <t>3.2Eng</t>
  </si>
  <si>
    <t>3.3Viet</t>
  </si>
  <si>
    <t>4Struc</t>
  </si>
  <si>
    <t>4.1Viet</t>
  </si>
  <si>
    <t>4.1Eng</t>
  </si>
  <si>
    <t>4.2Viet</t>
  </si>
  <si>
    <t>4.2Eng</t>
  </si>
  <si>
    <t>4.3Viet</t>
  </si>
  <si>
    <t>4.3Eng</t>
  </si>
  <si>
    <t>5Struc</t>
  </si>
  <si>
    <t>5.1Viet</t>
  </si>
  <si>
    <t>5.1Eng</t>
  </si>
  <si>
    <t>5.2Viet</t>
  </si>
  <si>
    <t>5.2Eng</t>
  </si>
  <si>
    <t>5.3Viet</t>
  </si>
  <si>
    <t>5.3Eng</t>
  </si>
  <si>
    <t>6Struc</t>
  </si>
  <si>
    <t>6.1Viet</t>
  </si>
  <si>
    <t>6.1Eng</t>
  </si>
  <si>
    <t>6.2Viet</t>
  </si>
  <si>
    <t>6.2Eng</t>
  </si>
  <si>
    <t>6.3Viet</t>
  </si>
  <si>
    <t>6.3Eng</t>
  </si>
  <si>
    <t>7Struc</t>
  </si>
  <si>
    <t>7.1Viet</t>
  </si>
  <si>
    <t>7.1Eng</t>
  </si>
  <si>
    <t>7.2Viet</t>
  </si>
  <si>
    <t>7.2Eng</t>
  </si>
  <si>
    <t>7.3Viet</t>
  </si>
  <si>
    <t>7.3Eng</t>
  </si>
  <si>
    <t>8Struc</t>
  </si>
  <si>
    <t>8.1Viet</t>
  </si>
  <si>
    <t>8.1Eng</t>
  </si>
  <si>
    <t>8.2Viet</t>
  </si>
  <si>
    <t>8.2Eng</t>
  </si>
  <si>
    <t>8.3Viet</t>
  </si>
  <si>
    <t>8.3Eng</t>
  </si>
  <si>
    <t>9Struc</t>
  </si>
  <si>
    <t>9.1Viet</t>
  </si>
  <si>
    <t>9.1Eng</t>
  </si>
  <si>
    <t>9.2Viet</t>
  </si>
  <si>
    <t>9.2Eng</t>
  </si>
  <si>
    <t>9.3Viet</t>
  </si>
  <si>
    <t>9.3Eng</t>
  </si>
  <si>
    <t>1.1Phon</t>
  </si>
  <si>
    <t>1.2Phon</t>
  </si>
  <si>
    <t>1.3Phon</t>
  </si>
  <si>
    <t>2.1Phon</t>
  </si>
  <si>
    <t>2.2Phon</t>
  </si>
  <si>
    <t>2.3Phon</t>
  </si>
  <si>
    <t>3.1Phon</t>
  </si>
  <si>
    <t>3.2Phon</t>
  </si>
  <si>
    <t>3.3Phon</t>
  </si>
  <si>
    <t>4.1Phon</t>
  </si>
  <si>
    <t>4.2Phon</t>
  </si>
  <si>
    <t>4.3Phon</t>
  </si>
  <si>
    <t>5.1Phon</t>
  </si>
  <si>
    <t>5.2Phon</t>
  </si>
  <si>
    <t>5.3Phon</t>
  </si>
  <si>
    <t>6.1Phon</t>
  </si>
  <si>
    <t>6.2Phon</t>
  </si>
  <si>
    <t>6.3Phon</t>
  </si>
  <si>
    <t>7.1Phon</t>
  </si>
  <si>
    <t>7.2Phon</t>
  </si>
  <si>
    <t>7.3Phon</t>
  </si>
  <si>
    <t>8.1Phon</t>
  </si>
  <si>
    <t>8.2Phon</t>
  </si>
  <si>
    <t>8.3Phon</t>
  </si>
  <si>
    <t>9.1Phon</t>
  </si>
  <si>
    <t>9.2Phon</t>
  </si>
  <si>
    <t>9.3Phon</t>
  </si>
  <si>
    <t>TOPIC: TRAVEL</t>
  </si>
  <si>
    <t>I’ve never been abroad.</t>
  </si>
  <si>
    <t>aɪv ˈnɛvər bɪn əˈbrɔd</t>
  </si>
  <si>
    <t>aɪv ˈnɛvər bɪn tu ˈjuˈɛˈseɪ</t>
  </si>
  <si>
    <t>I’ve never been to Canada.</t>
  </si>
  <si>
    <t>aɪv ˈnɛvər bɪn tu ˈkænədə</t>
  </si>
  <si>
    <t>I’m taking a package tour of Japan.</t>
  </si>
  <si>
    <t>aɪm ˈteɪkɪŋ ə ˈpækəʤ tʊr ʌv ʤəˈpæn</t>
  </si>
  <si>
    <t>I’m taking a package tour of Thailand.</t>
  </si>
  <si>
    <t>aɪm ˈteɪkɪŋ ə ˈpækəʤ tʊr ʌv ˈtaɪˌlænd</t>
  </si>
  <si>
    <t>I’m taking a package tour of Taiwan.</t>
  </si>
  <si>
    <t>aɪm ˈteɪkɪŋ ə ˈpækəʤ tʊr ʌv ˈtaɪˈwɑn</t>
  </si>
  <si>
    <t>Paris will be very expensive during the peak season.</t>
  </si>
  <si>
    <t>ˈpɛrɪs wɪl bi ˈvɛri ɪkˈspɛnsɪv ˈdʊrɪŋ ðə pik ˈsizən</t>
  </si>
  <si>
    <t>Dalat will be very expensive during the peak season.</t>
  </si>
  <si>
    <t>Dalat wɪl bi ˈvɛri ɪkˈspɛnsɪv ˈdʊrɪŋ ðə pik ˈsizən</t>
  </si>
  <si>
    <t>Hongkong will be very expensive during the peak season.</t>
  </si>
  <si>
    <t>ˈhɔŋkɔŋ wɪl bi ˈvɛri ɪkˈspɛnsɪv ˈdʊrɪŋ ðə pik ˈsizən</t>
  </si>
  <si>
    <t>We can only afford to stay at a backpacker hostel.</t>
  </si>
  <si>
    <t>wi kæn ˈoʊnli əˈfɔrd tu steɪ æt ə ˈbækˌpækər ˈhɑstəl</t>
  </si>
  <si>
    <t>We can only afford to stay at a guesthouse.</t>
  </si>
  <si>
    <t>wi kæn ˈoʊnli əˈfɔrd tu steɪ æt ə ˈgɛstˌhaʊs</t>
  </si>
  <si>
    <t>We can only afford to stay at a small apartment .</t>
  </si>
  <si>
    <t>wi kæn ˈoʊnli əˈfɔrd tu steɪ æt ə smɔl əˈpɑrtmənt</t>
  </si>
  <si>
    <t>I can only afford to stay at a small hotel.</t>
  </si>
  <si>
    <t>aɪ kæn ˈoʊnli əˈfɔrd tu steɪ æt ə smɔl hoʊˈtɛl</t>
  </si>
  <si>
    <t>I got a special deal at a hotel.</t>
  </si>
  <si>
    <t>aɪ gɑt ə ˈspɛʃəl dil æt ə hoʊˈtɛl</t>
  </si>
  <si>
    <t>I got a special deal at a resort.</t>
  </si>
  <si>
    <t>aɪ gɑt ə ˈspɛʃəl dil æt ə rɪˈzɔrt</t>
  </si>
  <si>
    <t>I got a special deal at a restaurant.</t>
  </si>
  <si>
    <t>aɪ gɑt ə ˈspɛʃəl dil æt ə ˈrɛstəˌrɑnt</t>
  </si>
  <si>
    <t>I got a special deal at a hostel.</t>
  </si>
  <si>
    <t>aɪ gɑt ə ˈspɛʃəl dil æt ə ˈhɑstəl</t>
  </si>
  <si>
    <t>My visa will expire in two days.</t>
  </si>
  <si>
    <t>maɪ ˈvizə wɪl ɪkˈspaɪr ɪn tu deɪz</t>
  </si>
  <si>
    <t>My visa will expire in two weeks.</t>
  </si>
  <si>
    <t>maɪ ˈvizə wɪl ɪkˈspaɪr ɪn tu wiks</t>
  </si>
  <si>
    <t>My visa will expire in 1 year.</t>
  </si>
  <si>
    <t>maɪ ˈvizə wɪl ɪkˈspaɪr ɪn wʌn jɪr</t>
  </si>
  <si>
    <t>I will pack travel pillow in my suitcase.</t>
  </si>
  <si>
    <t>aɪ wɪl pæk ˈtrævəl ˈpɪloʊ ɪn maɪ ˈsutˌkeɪs</t>
  </si>
  <si>
    <t>I will pack a selfie stick in my suitcase.</t>
  </si>
  <si>
    <t>aɪ wɪl pæk ə selfie stɪk ɪn maɪ ˈsutˌkeɪs</t>
  </si>
  <si>
    <t>I will pack a camera in my suitcase.</t>
  </si>
  <si>
    <t>aɪ wɪl pæk ə ˈkæmərə ɪn maɪ ˈsutˌkeɪs</t>
  </si>
  <si>
    <t>I will pack a portable charger in my suitcase.</t>
  </si>
  <si>
    <t>aɪ wɪl pæk ə ˈpɔrtəbəl ˈʧɑrʤər ɪn maɪ ˈsutˌkeɪs</t>
  </si>
  <si>
    <t>I will pack a toiletry bag in my suitcase.</t>
  </si>
  <si>
    <t>aɪ wɪl pæk ə ˈtɔɪlətri bæg ɪn maɪ ˈsutˌkeɪs</t>
  </si>
  <si>
    <t>I will pack a mp4 player and my earbuds in my suitcase.</t>
  </si>
  <si>
    <t>aɪ wɪl pæk ə mp4 ˈpleɪər ænd maɪ earbuds ɪn maɪ ˈsutˌkeɪs</t>
  </si>
  <si>
    <t>Which terminal do Singapore flights depart from?</t>
  </si>
  <si>
    <t>wɪʧ ˈtɜrmənəl du ˈsɪŋəˌpɔr flaɪts dɪˈpɑrt frʌm</t>
  </si>
  <si>
    <t>Which terminal do international flights depart from?</t>
  </si>
  <si>
    <t>wɪʧ ˈtɜrmənəl du ˌɪntərˈnæʃənəl flaɪts dɪˈpɑrt frʌm</t>
  </si>
  <si>
    <t>Which terminal do Taiwan flights depart from?</t>
  </si>
  <si>
    <t>wɪʧ ˈtɜrmənəl du ˈtaɪˈwɑn flaɪts dɪˈpɑrt frʌm</t>
  </si>
  <si>
    <t>Which terminal do domestic flight depart from?</t>
  </si>
  <si>
    <t>wɪʧ ˈtɜrmənəl du dəˈmɛstɪk flaɪt dɪˈpɑrt frʌm</t>
  </si>
  <si>
    <t>Can you show me how to fill out the Customs Declaration Form?</t>
  </si>
  <si>
    <t>kæn ju ʃoʊ mi haʊ tu fɪl aʊt ðə ˈkʌstəmz ˌdɛkləˈreɪʃən fɔrm</t>
  </si>
  <si>
    <t>I am filling out the Customs Declaration form.</t>
  </si>
  <si>
    <t>aɪ æm ˈfɪlɪŋ aʊt ðə ˈkʌstəmz ˌdɛkləˈreɪʃən fɔrm</t>
  </si>
  <si>
    <t>I don’t know how to fill out the Customs Declaration form.</t>
  </si>
  <si>
    <t>aɪ doʊnt noʊ haʊ tu fɪl aʊt ðə ˈkʌstəmz ˌdɛkləˈreɪʃən fɔrm</t>
  </si>
  <si>
    <t>Could I get a seat close to the front?</t>
  </si>
  <si>
    <t>kʊd aɪ gɛt ə sit kloʊs tu ðə frʌnt</t>
  </si>
  <si>
    <t>Could I get a window seat?</t>
  </si>
  <si>
    <t>kʊd aɪ gɛt ə ˈwɪndoʊ sit</t>
  </si>
  <si>
    <t>Could I get a aisle seat?</t>
  </si>
  <si>
    <t>kʊd aɪ gɛt ə aɪl sit</t>
  </si>
  <si>
    <t>Could I get a first-class seat?</t>
  </si>
  <si>
    <t>kʊd aɪ gɛt ə fɜrst-klæs sit</t>
  </si>
  <si>
    <t>Could I get a middle seat?</t>
  </si>
  <si>
    <t>kʊd aɪ gɛt ə ˈmɪdəl sit</t>
  </si>
  <si>
    <t>Will all my luggage be sent to New York directly?</t>
  </si>
  <si>
    <t>wɪl ɔl maɪ ˈlʌgəʤ bi sɛnt tu nu jɔrk dəˈrɛktli</t>
  </si>
  <si>
    <t>Will all my luggage be sent to Changi airport directly?</t>
  </si>
  <si>
    <t>wɪl ɔl maɪ ˈlʌgəʤ bi sɛnt tu Changi ˈɛrˌpɔrt dəˈrɛktli</t>
  </si>
  <si>
    <t>Will all my luggage be sent to Tan Son Nhat airport directly?</t>
  </si>
  <si>
    <t>wɪl ɔl maɪ ˈlʌgəʤ bi sɛnt tu tæn sʌn Nhat ˈɛrˌpɔrt dəˈrɛktli</t>
  </si>
  <si>
    <t>Could you show me the way to the transfer desk?</t>
  </si>
  <si>
    <t>kʊd ju ʃoʊ mi ðə weɪ tu ðə ˈtrænsfər dɛsk</t>
  </si>
  <si>
    <t>Could you show me the way to the check–in desk?</t>
  </si>
  <si>
    <t>kʊd ju ʃoʊ mi ðə weɪ tu ðə ʧɛk–ɪn dɛsk</t>
  </si>
  <si>
    <t>Could you show me the way to the information desk?</t>
  </si>
  <si>
    <t>kʊd ju ʃoʊ mi ðə weɪ tu ði ˌɪnfərˈmeɪʃən dɛsk</t>
  </si>
  <si>
    <t>Could you show me the way to Currency Exchange counters?</t>
  </si>
  <si>
    <t>kʊd ju ʃoʊ mi ðə weɪ tu ˈkɜrənsi ɪksˈʧeɪnʤ ˈkaʊntərz</t>
  </si>
  <si>
    <t>Could you show me the way to lounge?</t>
  </si>
  <si>
    <t>kʊd ju ʃoʊ mi ðə weɪ tu laʊnʤ</t>
  </si>
  <si>
    <t>Could you show me the way to the arrivals lounge?</t>
  </si>
  <si>
    <t>kʊd ju ʃoʊ mi ðə weɪ tu ði əˈraɪvəlz laʊnʤ</t>
  </si>
  <si>
    <t>Could you show me the way to the departure hall?</t>
  </si>
  <si>
    <t>kʊd ju ʃoʊ mi ðə weɪ tu ðə dɪˈpɑrʧər hɔl</t>
  </si>
  <si>
    <t>Could you show me the way to the baggage claim?</t>
  </si>
  <si>
    <t>kʊd ju ʃoʊ mi ðə weɪ tu ðə ˈbægɪʤ kleɪm</t>
  </si>
  <si>
    <t>Could you show me the way to the lost and found?</t>
  </si>
  <si>
    <t>kʊd ju ʃoʊ mi ðə weɪ tu ðə lɔst ænd faʊnd</t>
  </si>
  <si>
    <t>Could you show me the way to the baggage carousel?</t>
  </si>
  <si>
    <t>kʊd ju ʃoʊ mi ðə weɪ tu ðə ˈbægɪʤ ˈkɛrəˌsɛl</t>
  </si>
  <si>
    <t>Would you like anything from duty-free?</t>
  </si>
  <si>
    <t>wʊd ju laɪk ˈɛniˌθɪŋ frʌm ˈduti-fri</t>
  </si>
  <si>
    <t>Would you like to buy perfume from duty-free?</t>
  </si>
  <si>
    <t>wʊd ju laɪk tu baɪ ˈpɜrfjum frʌm ˈduti-fri</t>
  </si>
  <si>
    <t>Would you like to buy wine from duty-free?</t>
  </si>
  <si>
    <t>wʊd ju laɪk tu baɪ waɪn frʌm ˈduti-fri</t>
  </si>
  <si>
    <t>Would you like to buy cosmetics from duty-free?</t>
  </si>
  <si>
    <t>wʊd ju laɪk tu baɪ kɑzˈmɛtɪks frʌm ˈduti-fri</t>
  </si>
  <si>
    <t>Is there a complimentary breakfast?</t>
  </si>
  <si>
    <t>ɪz ðɛr ə ˌkɑmpləˈmɛntəri ˈbrɛkfəst</t>
  </si>
  <si>
    <t>Is there a breakfast voucher?</t>
  </si>
  <si>
    <t>ɪz ðɛr ə ˈbrɛkfəst ˈvaʊʧər</t>
  </si>
  <si>
    <t>Is there a motorbike rental service?</t>
  </si>
  <si>
    <t>ɪz ðɛr ə ˈmoʊtərˌbaɪk ˈrɛntəl ˈsɜrvɪs</t>
  </si>
  <si>
    <t>Could you send a cleaner to room 221, please?</t>
  </si>
  <si>
    <t>kʊd ju sɛnd ə ˈklinər tu rum 221 pliz</t>
  </si>
  <si>
    <t>Could you send a maid to room 101, please?</t>
  </si>
  <si>
    <t>kʊd ju sɛnd ə meɪd tu rum 101 pliz</t>
  </si>
  <si>
    <t>Could you send a porter to room 100,please?</t>
  </si>
  <si>
    <t>kʊd ju sɛnd ə ˈpɔrtər tu rum 100 pliz</t>
  </si>
  <si>
    <t>Could you send a concierge to room 202, please ?</t>
  </si>
  <si>
    <t>kʊd ju sɛnd ə ˌkɑnsiˈɛrʒ tu rum 202 pliz</t>
  </si>
  <si>
    <t>Could you send a masseuse to room 101, please?</t>
  </si>
  <si>
    <t>I booked a double room online two days ago. I would like to check in now.</t>
  </si>
  <si>
    <t>aɪ bʊkt ə ˈdʌbəl rum ˈɔnˌlaɪn tu deɪz əˈgoʊ aɪ wʊd laɪk tu ʧɛk ɪn naʊ</t>
  </si>
  <si>
    <t>I booked a single room online three days ago, I would like to check in now.</t>
  </si>
  <si>
    <t>aɪ bʊkt ə ˈsɪŋgəl rum ˈɔnˌlaɪn θri deɪz əˈgoʊ aɪ wʊd laɪk tu ʧɛk ɪn naʊ</t>
  </si>
  <si>
    <t>I booked a twin room online yesterday, I would like to check in now.</t>
  </si>
  <si>
    <t>aɪ bʊkt ə twɪn rum ˈɔnˌlaɪn ˈjɛstərˌdeɪ aɪ wʊd laɪk tu ʧɛk ɪn naʊ</t>
  </si>
  <si>
    <t>Excuse me, there is something wrong with my room. The sink in the bathroom is clogged.</t>
  </si>
  <si>
    <t>ɪkˈskjus mi ðɛr ɪz ˈsʌmθɪŋ rɔŋ wɪð maɪ rum ðə sɪŋk ɪn ðə ˈbæˌθrum ɪz klɔgd</t>
  </si>
  <si>
    <t>Excuse me, there is something wrong with my room. The air conditioner keeps making funny noise.</t>
  </si>
  <si>
    <t>ɪkˈskjus mi ðɛr ɪz ˈsʌmθɪŋ rɔŋ wɪð maɪ rum ði ɛr kənˈdɪʃənər kips ˈmeɪkɪŋ ˈfʌni nɔɪz</t>
  </si>
  <si>
    <t>Excuse me, there is something wrong with my room. The TV is broken, it  just won’t turn on.</t>
  </si>
  <si>
    <t>ɪkˈskjus mi ðɛr ɪz ˈsʌmθɪŋ rɔŋ wɪð maɪ rum ðə ˈtiˈvi ɪz ˈbroʊkən ɪt ʤʌst woʊnt tɜrn ɑn</t>
  </si>
  <si>
    <t>Excuse me, there is something wrong with my room. I can not connect to wifi.</t>
  </si>
  <si>
    <t>ɪkˈskjus mi ðɛr ɪz ˈsʌmθɪŋ rɔŋ wɪð maɪ rum aɪ kæn nɑt kəˈnɛkt tu wifi</t>
  </si>
  <si>
    <t>Can I get a newspaper?</t>
  </si>
  <si>
    <t>kæn aɪ gɛt ə ˈnuzˌpeɪpər</t>
  </si>
  <si>
    <t>Can I get a pen?</t>
  </si>
  <si>
    <t>kæn aɪ gɛt ə pɛn</t>
  </si>
  <si>
    <t>Can I get a pillow?</t>
  </si>
  <si>
    <t>kæn aɪ gɛt ə ˈpɪloʊ</t>
  </si>
  <si>
    <t>Can I get a sleeping mask?</t>
  </si>
  <si>
    <t>kæn aɪ gɛt ə ˈslipɪŋ mæsk</t>
  </si>
  <si>
    <t>Can I get headphones?</t>
  </si>
  <si>
    <t>kæn aɪ gɛt ˈhɛdˌfoʊnz</t>
  </si>
  <si>
    <t>Can I get earbuds?</t>
  </si>
  <si>
    <t>kæn aɪ gɛt ɪrbʌdz</t>
  </si>
  <si>
    <t>Could you help me?</t>
  </si>
  <si>
    <t>kʊd ju hɛlp mi</t>
  </si>
  <si>
    <t>Could you wake me for meals?</t>
  </si>
  <si>
    <t>kʊd ju weɪk mi fɔr milz</t>
  </si>
  <si>
    <t>Could you move my seat up?</t>
  </si>
  <si>
    <t>kʊd ju muv maɪ sit ʌp</t>
  </si>
  <si>
    <t>Could you switch seats with me?</t>
  </si>
  <si>
    <t>kʊd ju swɪʧ sits wɪð mi</t>
  </si>
  <si>
    <t>I am here for on vacation.</t>
  </si>
  <si>
    <t>aɪ æm hɪr fɔr ɑn veɪˈkeɪʃən</t>
  </si>
  <si>
    <t>I am here for on business.</t>
  </si>
  <si>
    <t>aɪ æm hɪr fɔr ɑn ˈbɪznɪs</t>
  </si>
  <si>
    <t>I am here to visit my friends.</t>
  </si>
  <si>
    <t>aɪ æm hɪr tu ˈvɪzɪt maɪ frɛndz</t>
  </si>
  <si>
    <t>I am here for sightseeing.</t>
  </si>
  <si>
    <t>aɪ æm hɪr fɔr ˈsaɪtˈsiɪŋ</t>
  </si>
  <si>
    <t>I plan to stay for 3 days.</t>
  </si>
  <si>
    <t>aɪ plæn tu steɪ fɔr 3 deɪz</t>
  </si>
  <si>
    <t>I plan to stay for a week.</t>
  </si>
  <si>
    <t>aɪ plæn tu steɪ fɔr ə wik</t>
  </si>
  <si>
    <t>I plan to stay for a month.</t>
  </si>
  <si>
    <t>aɪ plæn tu steɪ fɔr ə mʌnθ</t>
  </si>
  <si>
    <t>I plan to stay for ten days.</t>
  </si>
  <si>
    <t>aɪ plæn tu steɪ fɔr tɛn deɪz</t>
  </si>
  <si>
    <t>Which bus goes to the airport?</t>
  </si>
  <si>
    <t>wɪʧ bʌs goʊz tu ði ˈɛrˌpɔrt</t>
  </si>
  <si>
    <t>Which bus goes to the station?</t>
  </si>
  <si>
    <t>wɪʧ bʌs goʊz tu ðə ˈsteɪʃən</t>
  </si>
  <si>
    <t>Which bus goes to the shopping mall?</t>
  </si>
  <si>
    <t>wɪʧ bʌs goʊz tu ðə ˈʃɑpɪŋ mɔl</t>
  </si>
  <si>
    <t>Could you take me to this address?</t>
  </si>
  <si>
    <t>kʊd ju teɪk mi tu ðɪs ˈæˌdrɛs</t>
  </si>
  <si>
    <t>Could you take me to the bus station?</t>
  </si>
  <si>
    <t>kʊd ju teɪk mi tu ðə bʌs ˈsteɪʃən</t>
  </si>
  <si>
    <t>Could you take me to the city center?</t>
  </si>
  <si>
    <t>kʊd ju teɪk mi tu ðə ˈsɪti ˈsɛntər</t>
  </si>
  <si>
    <t>Is there a laundry service?</t>
  </si>
  <si>
    <t>ɪz ðɛr ə ˈlɔndri ˈsɜrvɪs</t>
  </si>
  <si>
    <t>Is there room service?</t>
  </si>
  <si>
    <t>ɪz ðɛr rum ˈsɜrvɪs</t>
  </si>
  <si>
    <t>Is there valet parking?</t>
  </si>
  <si>
    <t>ɪz ðɛr væˈleɪ ˈpɑrkɪŋ</t>
  </si>
  <si>
    <t>Is there a wake- up call service?</t>
  </si>
  <si>
    <t>ɪz ðɛr ə weɪk- ʌp kɔl ˈsɜrvɪs</t>
  </si>
  <si>
    <t>I would like to reserve a double room, please.</t>
  </si>
  <si>
    <t>aɪ wʊd laɪk tu rɪˈzɜrv ə ˈdʌbəl rum pliz</t>
  </si>
  <si>
    <t>I would like to reserve a single room, please.</t>
  </si>
  <si>
    <t>aɪ wʊd laɪk tu rɪˈzɜrv ə ˈsɪŋgəl rum pliz</t>
  </si>
  <si>
    <t>I would like to reserve a suite.</t>
  </si>
  <si>
    <t>aɪ wʊd laɪk tu rɪˈzɜrv ə swit</t>
  </si>
  <si>
    <t>I would like to reserve a deluxe room.</t>
  </si>
  <si>
    <t>aɪ wʊd laɪk tu rɪˈzɜrv ə dəˈlʌks rum</t>
  </si>
  <si>
    <t>I would like to reserve a standard room.</t>
  </si>
  <si>
    <t>aɪ wʊd laɪk tu rɪˈzɜrv ə ˈstændərd rum</t>
  </si>
  <si>
    <t>The shower doesn’t work.</t>
  </si>
  <si>
    <t>ðə ˈʃaʊər ˈdʌzənt wɜrk</t>
  </si>
  <si>
    <t>The fridge doesn’t work.</t>
  </si>
  <si>
    <t>ðə frɪʤ ˈdʌzənt wɜrk</t>
  </si>
  <si>
    <t>The remote control doesn’t work.</t>
  </si>
  <si>
    <t>ðə rɪˈmoʊt kənˈtroʊl ˈdʌzənt wɜrk</t>
  </si>
  <si>
    <t>The lamp doesn’t work.</t>
  </si>
  <si>
    <t>ðə læmp ˈdʌzənt wɜrk</t>
  </si>
  <si>
    <t>There is no towel.</t>
  </si>
  <si>
    <t>ðɛr ɪz noʊ ˈtaʊəl</t>
  </si>
  <si>
    <t>There is no hairdryer.</t>
  </si>
  <si>
    <t>ðɛr ɪz noʊ hɛr ˈdraɪər</t>
  </si>
  <si>
    <t>There is no toothpaste.</t>
  </si>
  <si>
    <t>ðɛr ɪz noʊ ˈtuθˌpeɪst</t>
  </si>
  <si>
    <t>Is it possible to check out late?</t>
  </si>
  <si>
    <t>ɪz ɪt ˈpɑsəbəl tu ʧɛk aʊt leɪt</t>
  </si>
  <si>
    <t>Is it possible to leave my luggage here?</t>
  </si>
  <si>
    <t>ɪz ɪt ˈpɑsəbəl tu li:v maɪ ˈlʌgɪʤ hɪr</t>
  </si>
  <si>
    <t>Is it possible to stay one more night?</t>
  </si>
  <si>
    <t>ɪz ɪt ˈpɑsəbəl tu steɪ wʌn mɔr naɪt</t>
  </si>
  <si>
    <t>Is it possible to leave a day earlier?</t>
  </si>
  <si>
    <t>ɪz ɪt ˈpɑsəbəl tu liv ə deɪ ˈɜrliər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</si>
  <si>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</si>
  <si>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</si>
  <si>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</si>
  <si>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</si>
  <si>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</si>
  <si>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</si>
  <si>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</si>
  <si>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</si>
  <si>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</si>
  <si>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</si>
  <si>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</si>
  <si>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</si>
  <si>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</si>
  <si>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</si>
  <si>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</si>
  <si>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</si>
  <si>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</si>
  <si>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</si>
  <si>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</si>
  <si>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</si>
  <si>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</si>
  <si>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</si>
  <si>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</si>
  <si>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</si>
  <si>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</si>
  <si>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</si>
  <si>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</si>
  <si>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</si>
  <si>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Tôi chưa bao giờ đi nước ngoài.</t>
  </si>
  <si>
    <t>Tôi chưa bao giờ đi Mỹ.</t>
  </si>
  <si>
    <t>Tôi chưa bao giờ đi Canada.</t>
  </si>
  <si>
    <t>Tôi sẽ đi một chuyến trọn gói đến Nhật Bản.</t>
  </si>
  <si>
    <t>Tôi sẽ đi một chuyến trọn gói đến Thái Lan.</t>
  </si>
  <si>
    <t>Tôi sẽ đi một chuyến trọn gói đến Đài Loan.</t>
  </si>
  <si>
    <t>Paris rất đắt trong suốt mùa cao điểm.</t>
  </si>
  <si>
    <t>Đà Lạt rất là đắc đỏ trong suốt mùa cao điểm.</t>
  </si>
  <si>
    <t>Hong Kong rất đắc đỏ trong suốt mùa cao điểm.</t>
  </si>
  <si>
    <t>S + CAN ONLY AFFORD TO STAY AT A + DẠNG KHÁCH SẠN/ NHÀ Ở /Chúng tôi chỉ đủ khả năng trả nổi tiền ở cho …/</t>
  </si>
  <si>
    <t>Chúng tôi chỉ đủ khả năng trả nổi tiền ở cho nhà nghỉ tập thể cho khách du lịch bụi thôi.</t>
  </si>
  <si>
    <t>Chúng tôi chỉ đủ khả năng trả nổi tiền cho nhà khách thôi.</t>
  </si>
  <si>
    <t>Chúng tôi chỉ đủ khả năng ở trong căn hộ nhỏ thôi.</t>
  </si>
  <si>
    <t>Tôi chỉ đủ khả năng để ở trong khách sạn nhỏ thôi.</t>
  </si>
  <si>
    <t>I GOT A SPECIAL DEAL AT A + TÊN NƠI Ở / Tôi đã tìm được ưu đãi giảm giá tại …/</t>
  </si>
  <si>
    <t>Tôi đã tìm được ưu đãi giảm giá tại một khách sạn.</t>
  </si>
  <si>
    <t>Tôi đã tìm được ưu đãi giảm giá tại một khu nghỉ dưỡng.</t>
  </si>
  <si>
    <t>Tôi đã tìm được ưu đãi giảm giá tại một nhà hàng.</t>
  </si>
  <si>
    <t>Tôi đã tìm được ưu đãi giảm giá tại một nhà nghỉ tập thể.</t>
  </si>
  <si>
    <t>MY VISA WILL EXPIRE IN + THỜI GIAN /…thị thực của em sẽ hết hạn/</t>
  </si>
  <si>
    <t>Hai ngày nữa thị thực của em sẽ hết hạn.</t>
  </si>
  <si>
    <t>2 tuần nữa thị thực của tôi sẽ hết hạn.</t>
  </si>
  <si>
    <t>I WILL PACK + TÊN MÓN ĐỒ IN MY SUITCASE /Tôi sẽ cho …. Vào hành lí/</t>
  </si>
  <si>
    <t>Tôi sẽ cho gối du lịch vào vali.</t>
  </si>
  <si>
    <t>Tôi sẽ cho gậy selfie vào vali.</t>
  </si>
  <si>
    <t>Tôi sẽ cho máy ảnh vào vali.</t>
  </si>
  <si>
    <t>Tôi sẽ cho cục sạc bỏ túi vào va li.</t>
  </si>
  <si>
    <t>Tôi sẽ cho túi đựng đồ vệ sinh cá nhân vào vali.</t>
  </si>
  <si>
    <t>Tôi sẽ cho máy nghe nhạc mp4 và tai nghe vào vali.</t>
  </si>
  <si>
    <t>WHICH TERMINAL DO + TÊN CHUYẾN BAY DEPART FROM? /Chuyến bay … khởi hành từ ga nào vậy?/</t>
  </si>
  <si>
    <t>Các chuyến bay đi Singapore khởi hành từ ga nào vậy?</t>
  </si>
  <si>
    <t>Các chuyến bay quốc tế khởi hành từ ga nào vậy?</t>
  </si>
  <si>
    <t>Các chuyến bay đi Đài Loan khời hành từ ga nào vậy?</t>
  </si>
  <si>
    <t>Các chuyến bay nội địa khởi hành từ ga nào vậy?</t>
  </si>
  <si>
    <t>… FILL OUT THE CUSTOMS DECLARATION FORM. /...Điền vào tờ khai báo hải quan/</t>
  </si>
  <si>
    <t>Anh có thể chỉ tôi cách điền vào tờ khai báo hải quan không?</t>
  </si>
  <si>
    <t>Tôi đang điền tờ khai báo hải quan.</t>
  </si>
  <si>
    <t>Tôi không biết cách điền tờ khai báo hải quan.</t>
  </si>
  <si>
    <t>COULD I GET ….? /Có thể cho tôi ….?/</t>
  </si>
  <si>
    <t>Vui lòng cho tôi ghế gần phía trước nhe?</t>
  </si>
  <si>
    <t>Vui lòng cho tôi ghế gần cửa sổ?</t>
  </si>
  <si>
    <t>Vui lòng cho tôi ghế cạnh lối đi?</t>
  </si>
  <si>
    <t>Vui lòng cho tôi ghế hạng nhất?</t>
  </si>
  <si>
    <t>Vui lòng cho tôi ghế giữa?</t>
  </si>
  <si>
    <t>WILL ALL MY LUGGAGE BE SENT TO + TÊN ĐỊA DANH ? /Tất cả hành ký của tôi sẽ được gửi …?/</t>
  </si>
  <si>
    <t>Tất cả hành lý của tôi sẽ được gửi thẳng đến New York phải không ?</t>
  </si>
  <si>
    <t>Tất cả hành lý của tôi sẽ được gửi thẳng đến sân bay Changi hả?</t>
  </si>
  <si>
    <t>Tất cả hành lý của tôi sẽ được gửi thẳng đến sân bay Tân Sơn Nhất hả?</t>
  </si>
  <si>
    <t>COULD YOU SHOW ME THE WAY TO THE + ĐỊA ĐIỂM TRONG SÂN BAY? /Bạn có thể chỉ giùm tôi chỗ ….?/</t>
  </si>
  <si>
    <t>Bạn có thể chỉ giùm tôi đường đến bàn làm thủ tục chuyển chuyến bay không ạ?</t>
  </si>
  <si>
    <t>Bạn có thể chỉ giùm tôi đường đến quầy làm thủ tục lên máy bay với?</t>
  </si>
  <si>
    <t>Bạn có thể chỉ giùm tôi đường đến bàn thông tin được không ạ?</t>
  </si>
  <si>
    <t>Bạn có thể chỉ giùm tôi đường đến quầy đổi ngoại tệ không ạ?</t>
  </si>
  <si>
    <t>Bạn có thể chỉ giùm tôi đường đến phòng chờ không ạ?</t>
  </si>
  <si>
    <t>Bạn có thể chỉ giùm tôi đường đến phòng chờ khu đến không?</t>
  </si>
  <si>
    <t>Bạn có thể chỉ giùm tôi đường đến sảnh đi không ?</t>
  </si>
  <si>
    <t>Bạn có thể chỉ giùm tôi đường đên nơi nhận hành lý không?</t>
  </si>
  <si>
    <t>Bạn có thể chỉ giùm tôi đường đến quầy tìm/trả hành lý thất lạc không?</t>
  </si>
  <si>
    <t>Bạn có thể chỉ giùm tôi đường đến băng chuyền hành lý được không ạ?</t>
  </si>
  <si>
    <t>WOULD YOU LIKE + TÊN MÓN HÀNG FROM DUTY- FREE? /Có muốn mua ….ở cửa hàng miễn thuế không?/</t>
  </si>
  <si>
    <t>Bạn muốn mua gì ở cửa hàng miễn thuế không?</t>
  </si>
  <si>
    <t>Bạn có muốn mua nước hoa ở cửa hàng miễn thuế không?</t>
  </si>
  <si>
    <t>Bạn có muốn mua rượu ở cửa hàng miễn thuế không?</t>
  </si>
  <si>
    <t>Bạn có muốn mua mỹ phẩm ở cửa hàng miễn thuế không?</t>
  </si>
  <si>
    <t>IS THERE A….? /Ở đây có …?/</t>
  </si>
  <si>
    <t>Có tặng bữa sáng không?</t>
  </si>
  <si>
    <t>Có phiếu ăn sáng miễn phí không?</t>
  </si>
  <si>
    <t>Có dịch vụ thuê xe máy không?</t>
  </si>
  <si>
    <t>COULD YOU SEND A + NOUN TO ROOM + SỐ PHÒNG, PLEASE? /Bên bạn gửi …. đến phòng … (số phòng) được không?/</t>
  </si>
  <si>
    <t>Bên bạn gửi nhân viên vệ sinh đến phòng 221 được không?</t>
  </si>
  <si>
    <t>Bên bạn gửi người dọn phòng đến phòng 101 được không?</t>
  </si>
  <si>
    <t>Bên bạn gửi nhân viên xách hành lý tới phòng 100 được không?</t>
  </si>
  <si>
    <t>Bên bạn gửi nhân viên hỗ trợ chạy vặt tới phòng 202 được không?</t>
  </si>
  <si>
    <t>Bên bạn gửi cho mình một nhân viên massage nữ tới phòng 101 nhe?</t>
  </si>
  <si>
    <t>I BOOKED A + KIỂU PHÒNG ONLINE + THỜI GIAN, I WOULD LIKE TO CHECK IN NOW /Tôi đã đặt 1 (kiểu phòng) online + thời gian, giờ tôi muốn nhận phòng/</t>
  </si>
  <si>
    <t>Tôi đã đặt 1 phòng đôi 2 ngày trước, giờ tôi muốn nhận phòng.</t>
  </si>
  <si>
    <t>Tôi đã đặt một phòng đơn 3 hôm trước, giờ tôi muốn nhận phòng.</t>
  </si>
  <si>
    <t>Tôi đã đặt một phòng 2 giường đơn hôm qua, giờ tôi muốn nhận phòng.</t>
  </si>
  <si>
    <t>EXCUSE ME, THERE IS SOMETHING WRONG WITH MY ROOM… /Xin lỗi phòng tôi có chút trục trặc,…/</t>
  </si>
  <si>
    <t>Xin lỗi phòng tôi có chút trục trặc, bồn rửa trong phòng tắm bị nghẽn.</t>
  </si>
  <si>
    <t>Xin lỗi phòng tôi có chút trục trặc, máy điều hoà cứ phát ra tiếng kì lạ.</t>
  </si>
  <si>
    <t>Xin lỗi phòng tôi có chút trục trặc, cái TV bị hỏng rồi, nó không bật lên được.</t>
  </si>
  <si>
    <t>Xin lỗi phòng tôi có chút trục trặc, tôi không thể kết nối wifi.</t>
  </si>
  <si>
    <t>CAN I GET + DANH TỪ ? /Có thể cho tôi …. Được không ?/</t>
  </si>
  <si>
    <t>Có thể cho tôi mượn tờ báo được không?</t>
  </si>
  <si>
    <t>Có thể cho tôi một cây bút được không?</t>
  </si>
  <si>
    <t>Có thể cho tôi cái gối được không?</t>
  </si>
  <si>
    <t>Có thể cho tôi miếng che mắt được không?</t>
  </si>
  <si>
    <t>Có thể cho tối cái tai nghe được không?</t>
  </si>
  <si>
    <t>Có thể cho tôi nút bịt tai được không?</t>
  </si>
  <si>
    <t>COULD YOU +…? /Bạn có thể …..được không?/</t>
  </si>
  <si>
    <t>Bạn có thể giúp tôi được không?</t>
  </si>
  <si>
    <t>Bạn có thể đánh thức tôi vào bữa ăn được không?</t>
  </si>
  <si>
    <t>Bạn có thể đẩy ghế thẳng lên giùm tôi được không?</t>
  </si>
  <si>
    <t>Có thể đổi chổ cho tôi được không?</t>
  </si>
  <si>
    <t>I AM HERE FOR/TO + …..? /Tôi đến đây để …/</t>
  </si>
  <si>
    <t>Tôi đến đây để nghỉ mát.</t>
  </si>
  <si>
    <t>Tôi đến đây để đi công tác.</t>
  </si>
  <si>
    <t>Tôi đến đây để thăm bạn.</t>
  </si>
  <si>
    <t>Tôi đến đây để tham quan.</t>
  </si>
  <si>
    <t>I PLAN TO STAY FOR…. /Tôi định ở đây khoảng…/</t>
  </si>
  <si>
    <t>Tôi định ở đây khoảng 3 ngày.</t>
  </si>
  <si>
    <t>Tôi định ở đây khoảng 1 tuần.</t>
  </si>
  <si>
    <t>Tôi định ở đây khoảng 1 tháng.</t>
  </si>
  <si>
    <t>Tôi định ở đây khoảng 10 ngày.</t>
  </si>
  <si>
    <t>WHICH BUS GOES TO …..? /Xe buýt nào đi đến ….?/</t>
  </si>
  <si>
    <t>Xe buýt nào đi đến sân bay?</t>
  </si>
  <si>
    <t>Xe buýt nào đi đến nhà ga?</t>
  </si>
  <si>
    <t>Xe buýt nào đi đến trung tâm mua sắm?</t>
  </si>
  <si>
    <t>COULD YOU TAKE ME TO ….? /Bạn có thể đưa tôi đến….. được không?/</t>
  </si>
  <si>
    <t>Bạn có thể đưa tôi đến địa chỉ này được không?</t>
  </si>
  <si>
    <t>Bạn có thể đưa tôi đến bến xe buýt được không?</t>
  </si>
  <si>
    <t>Bạn có thể đưa tôi đến trung tâm thành phố được không?</t>
  </si>
  <si>
    <t>IS THERE ….? /ở đây có …. không?/</t>
  </si>
  <si>
    <t>Ở đây có dịch vụ giặt là không?</t>
  </si>
  <si>
    <t>Ở đây có dịch vụ phong không?</t>
  </si>
  <si>
    <t>Ở đây có dịch vụ đỗ xe không?</t>
  </si>
  <si>
    <t>Ở đây có dịch vụ gọi dậy sớm không ?</t>
  </si>
  <si>
    <t>I WOULD LIKE TO RESERVE A + DẠNG PHÒNG, PLEASE /Tôi muốn đặt một …/</t>
  </si>
  <si>
    <t>Tôi muốn đặt một phòng đôi.</t>
  </si>
  <si>
    <t>Tôi muốn đặt một phòng đơn.</t>
  </si>
  <si>
    <t>Cho tôi đặt một phòng cao cấp.</t>
  </si>
  <si>
    <t>Tôi muốn đặt một phòng loại tốt.</t>
  </si>
  <si>
    <t>Tôi muốn đặt một phòng tiêu chuẩn.</t>
  </si>
  <si>
    <t>THE ... DOESN’T WORK? /…bị hỏng rồi/</t>
  </si>
  <si>
    <t>Cái vòi sen bị hỏng rồi.</t>
  </si>
  <si>
    <t>Cái tủ lạnh bị hỏng rồi.</t>
  </si>
  <si>
    <t>Cái điều khiển bị hỏng rồi.</t>
  </si>
  <si>
    <t>Cái đèn bàn hỏng rồi.</t>
  </si>
  <si>
    <t>THERE IS NO… /Ở đây không có…/</t>
  </si>
  <si>
    <t>Ở đây không có khăn tắm.</t>
  </si>
  <si>
    <t>Ở đây không có máy sấy tóc.</t>
  </si>
  <si>
    <t>Ở đây không có kem đánh răng.</t>
  </si>
  <si>
    <t>IS IT POSSIBLE TO …..? /Tôi có thể …. Không?/</t>
  </si>
  <si>
    <t>Tôi có thể làm thủ tục trả phòng muộn không?</t>
  </si>
  <si>
    <t>Tôi có thể gửi hành lí ở đây không?</t>
  </si>
  <si>
    <t>Tôi có thể ở lại thêm một đêm không?</t>
  </si>
  <si>
    <t>Tôi có thể rời đi sớm hơn một ngày không ?</t>
  </si>
  <si>
    <t>4.4</t>
  </si>
  <si>
    <t>5.4</t>
  </si>
  <si>
    <t>7.4</t>
  </si>
  <si>
    <t>7.5</t>
  </si>
  <si>
    <t>7.6</t>
  </si>
  <si>
    <t>8.4</t>
  </si>
  <si>
    <t>10.1</t>
  </si>
  <si>
    <t>10.2</t>
  </si>
  <si>
    <t>10.3</t>
  </si>
  <si>
    <t>10.4</t>
  </si>
  <si>
    <t>10.5</t>
  </si>
  <si>
    <t>11.1</t>
  </si>
  <si>
    <t>11.2</t>
  </si>
  <si>
    <t>11.3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</si>
  <si>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</si>
  <si>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</si>
  <si>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</si>
  <si>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</si>
  <si>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</si>
  <si>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</si>
  <si>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</si>
  <si>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</si>
  <si>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</si>
  <si>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</si>
  <si>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</si>
  <si>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</si>
  <si>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</si>
  <si>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</si>
  <si>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</si>
  <si>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</si>
  <si>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</si>
  <si>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</si>
  <si>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</si>
  <si>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15.4</t>
  </si>
  <si>
    <t>15.5</t>
  </si>
  <si>
    <t>16.1</t>
  </si>
  <si>
    <t>16.2</t>
  </si>
  <si>
    <t>16.3</t>
  </si>
  <si>
    <t>17.1</t>
  </si>
  <si>
    <t>17.2</t>
  </si>
  <si>
    <t>17.3</t>
  </si>
  <si>
    <t>17.4</t>
  </si>
  <si>
    <t>18.1</t>
  </si>
  <si>
    <t>18.2</t>
  </si>
  <si>
    <t>18.3</t>
  </si>
  <si>
    <t>18.4</t>
  </si>
  <si>
    <t>18.5</t>
  </si>
  <si>
    <t>18.6</t>
  </si>
  <si>
    <t>19.1</t>
  </si>
  <si>
    <t>19.2</t>
  </si>
  <si>
    <t>19.3</t>
  </si>
  <si>
    <t>19.4</t>
  </si>
  <si>
    <t>20.1</t>
  </si>
  <si>
    <t>20.2</t>
  </si>
  <si>
    <t>20.3</t>
  </si>
  <si>
    <t>20.4</t>
  </si>
  <si>
    <t>21.1</t>
  </si>
  <si>
    <t>21.2</t>
  </si>
  <si>
    <t>21.3</t>
  </si>
  <si>
    <t>21.4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</si>
  <si>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</si>
  <si>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</si>
  <si>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</si>
  <si>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</si>
  <si>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</si>
  <si>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</si>
  <si>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</si>
  <si>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</si>
  <si>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</si>
  <si>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24.4</t>
  </si>
  <si>
    <t>25.1</t>
  </si>
  <si>
    <t>25.2</t>
  </si>
  <si>
    <t>25.3</t>
  </si>
  <si>
    <t>25.4</t>
  </si>
  <si>
    <t>25.5</t>
  </si>
  <si>
    <t>26.1</t>
  </si>
  <si>
    <t>26.2</t>
  </si>
  <si>
    <t>26.3</t>
  </si>
  <si>
    <t>26.4</t>
  </si>
  <si>
    <t>27.1</t>
  </si>
  <si>
    <t>27.2</t>
  </si>
  <si>
    <t>27.3</t>
  </si>
  <si>
    <t>28.1</t>
  </si>
  <si>
    <t>28.2</t>
  </si>
  <si>
    <t>28.3</t>
  </si>
  <si>
    <t>28.4</t>
  </si>
  <si>
    <t>4.4Viet</t>
  </si>
  <si>
    <t>4.4Eng</t>
  </si>
  <si>
    <t>4.4Phon</t>
  </si>
  <si>
    <t>5.4Viet</t>
  </si>
  <si>
    <t>5.4Eng</t>
  </si>
  <si>
    <t>5.4Phon</t>
  </si>
  <si>
    <t>7.4Viet</t>
  </si>
  <si>
    <t>7.4Eng</t>
  </si>
  <si>
    <t>7.4Phon</t>
  </si>
  <si>
    <t>7.5Viet</t>
  </si>
  <si>
    <t>7.5Eng</t>
  </si>
  <si>
    <t>7.5Phon</t>
  </si>
  <si>
    <t>7.6Viet</t>
  </si>
  <si>
    <t>7.6Eng</t>
  </si>
  <si>
    <t>7.6Phon</t>
  </si>
  <si>
    <t>8.4Viet</t>
  </si>
  <si>
    <t>8.4Eng</t>
  </si>
  <si>
    <t>8.4Phon</t>
  </si>
  <si>
    <t>10Struc</t>
  </si>
  <si>
    <t>10.1Viet</t>
  </si>
  <si>
    <t>10.1Eng</t>
  </si>
  <si>
    <t>10.1Phon</t>
  </si>
  <si>
    <t>10.2Viet</t>
  </si>
  <si>
    <t>10.2Eng</t>
  </si>
  <si>
    <t>10.2Phon</t>
  </si>
  <si>
    <t>10.3Viet</t>
  </si>
  <si>
    <t>10.3Eng</t>
  </si>
  <si>
    <t>10.3Phon</t>
  </si>
  <si>
    <t>10.4Viet</t>
  </si>
  <si>
    <t>10.4Eng</t>
  </si>
  <si>
    <t>10.4Phon</t>
  </si>
  <si>
    <t>10.5Viet</t>
  </si>
  <si>
    <t>10.5Eng</t>
  </si>
  <si>
    <t>10.5Phon</t>
  </si>
  <si>
    <t>11Struc</t>
  </si>
  <si>
    <t>11.1Viet</t>
  </si>
  <si>
    <t>11.1Eng</t>
  </si>
  <si>
    <t>11.1Phon</t>
  </si>
  <si>
    <t>11.2Viet</t>
  </si>
  <si>
    <t>11.2Eng</t>
  </si>
  <si>
    <t>11.2Phon</t>
  </si>
  <si>
    <t>11.3Viet</t>
  </si>
  <si>
    <t>11.3Eng</t>
  </si>
  <si>
    <t>11.3Phon</t>
  </si>
  <si>
    <t>12Struc</t>
  </si>
  <si>
    <t>12.1Viet</t>
  </si>
  <si>
    <t>12.1Eng</t>
  </si>
  <si>
    <t>12.1Phon</t>
  </si>
  <si>
    <t>12.2Viet</t>
  </si>
  <si>
    <t>12.2Eng</t>
  </si>
  <si>
    <t>12.2Phon</t>
  </si>
  <si>
    <t>12.3Viet</t>
  </si>
  <si>
    <t>12.3Eng</t>
  </si>
  <si>
    <t>12.3Phon</t>
  </si>
  <si>
    <t>12.4Viet</t>
  </si>
  <si>
    <t>12.4Eng</t>
  </si>
  <si>
    <t>12.4Phon</t>
  </si>
  <si>
    <t>12.5Viet</t>
  </si>
  <si>
    <t>12.5Eng</t>
  </si>
  <si>
    <t>12.5Phon</t>
  </si>
  <si>
    <t>12.6Viet</t>
  </si>
  <si>
    <t>12.6Eng</t>
  </si>
  <si>
    <t>12.6Phon</t>
  </si>
  <si>
    <t>12.7Viet</t>
  </si>
  <si>
    <t>12.7Eng</t>
  </si>
  <si>
    <t>12.7Phon</t>
  </si>
  <si>
    <t>12.8Viet</t>
  </si>
  <si>
    <t>12.8Eng</t>
  </si>
  <si>
    <t>12.8Phon</t>
  </si>
  <si>
    <t>12.9Viet</t>
  </si>
  <si>
    <t>12.9Eng</t>
  </si>
  <si>
    <t>12.9Phon</t>
  </si>
  <si>
    <t>13Struc</t>
  </si>
  <si>
    <t>13.1Viet</t>
  </si>
  <si>
    <t>13.1Eng</t>
  </si>
  <si>
    <t>13.1Phon</t>
  </si>
  <si>
    <t>13.2Viet</t>
  </si>
  <si>
    <t>13.2Eng</t>
  </si>
  <si>
    <t>13.2Phon</t>
  </si>
  <si>
    <t>13.3Viet</t>
  </si>
  <si>
    <t>13.3Eng</t>
  </si>
  <si>
    <t>13.3Phon</t>
  </si>
  <si>
    <t>13.4Viet</t>
  </si>
  <si>
    <t>13.4Eng</t>
  </si>
  <si>
    <t>13.4Phon</t>
  </si>
  <si>
    <t>14Struc</t>
  </si>
  <si>
    <t>14.1Viet</t>
  </si>
  <si>
    <t>14.1Eng</t>
  </si>
  <si>
    <t>14.1Phon</t>
  </si>
  <si>
    <t>14.2Viet</t>
  </si>
  <si>
    <t>14.2Eng</t>
  </si>
  <si>
    <t>14.2Phon</t>
  </si>
  <si>
    <t>14.3Viet</t>
  </si>
  <si>
    <t>14.3Eng</t>
  </si>
  <si>
    <t>14.3Phon</t>
  </si>
  <si>
    <t>15Struc</t>
  </si>
  <si>
    <t>15.1Viet</t>
  </si>
  <si>
    <t>15.1Eng</t>
  </si>
  <si>
    <t>15.1Phon</t>
  </si>
  <si>
    <t>15.2Viet</t>
  </si>
  <si>
    <t>15.2Eng</t>
  </si>
  <si>
    <t>15.2Phon</t>
  </si>
  <si>
    <t>15.3Viet</t>
  </si>
  <si>
    <t>15.3Eng</t>
  </si>
  <si>
    <t>15.3Phon</t>
  </si>
  <si>
    <t>15.4Viet</t>
  </si>
  <si>
    <t>15.4Eng</t>
  </si>
  <si>
    <t>15.4Phon</t>
  </si>
  <si>
    <t>15.5Viet</t>
  </si>
  <si>
    <t>15.5Eng</t>
  </si>
  <si>
    <t>15.5Phon</t>
  </si>
  <si>
    <t>16Struc</t>
  </si>
  <si>
    <t>16.1Viet</t>
  </si>
  <si>
    <t>16.1Eng</t>
  </si>
  <si>
    <t>16.1Phon</t>
  </si>
  <si>
    <t>16.2Viet</t>
  </si>
  <si>
    <t>16.2Eng</t>
  </si>
  <si>
    <t>16.2Phon</t>
  </si>
  <si>
    <t>16.3Viet</t>
  </si>
  <si>
    <t>16.3Eng</t>
  </si>
  <si>
    <t>16.3Phon</t>
  </si>
  <si>
    <t>17Struc</t>
  </si>
  <si>
    <t>17.1Viet</t>
  </si>
  <si>
    <t>17.1Eng</t>
  </si>
  <si>
    <t>17.1Phon</t>
  </si>
  <si>
    <t>17.2Viet</t>
  </si>
  <si>
    <t>17.2Eng</t>
  </si>
  <si>
    <t>17.2Phon</t>
  </si>
  <si>
    <t>17.3Viet</t>
  </si>
  <si>
    <t>17.3Eng</t>
  </si>
  <si>
    <t>17.3Phon</t>
  </si>
  <si>
    <t>17.4Viet</t>
  </si>
  <si>
    <t>17.4Eng</t>
  </si>
  <si>
    <t>17.4Phon</t>
  </si>
  <si>
    <t>18Struc</t>
  </si>
  <si>
    <t>18.1Viet</t>
  </si>
  <si>
    <t>18.1Eng</t>
  </si>
  <si>
    <t>18.1Phon</t>
  </si>
  <si>
    <t>18.2Viet</t>
  </si>
  <si>
    <t>18.2Eng</t>
  </si>
  <si>
    <t>18.2Phon</t>
  </si>
  <si>
    <t>18.3Viet</t>
  </si>
  <si>
    <t>18.3Eng</t>
  </si>
  <si>
    <t>18.3Phon</t>
  </si>
  <si>
    <t>18.4Viet</t>
  </si>
  <si>
    <t>18.4Eng</t>
  </si>
  <si>
    <t>18.4Phon</t>
  </si>
  <si>
    <t>18.5Viet</t>
  </si>
  <si>
    <t>18.5Eng</t>
  </si>
  <si>
    <t>18.5Phon</t>
  </si>
  <si>
    <t>18.6Viet</t>
  </si>
  <si>
    <t>18.6Eng</t>
  </si>
  <si>
    <t>18.6Phon</t>
  </si>
  <si>
    <t>19Struc</t>
  </si>
  <si>
    <t>19.1Viet</t>
  </si>
  <si>
    <t>19.1Eng</t>
  </si>
  <si>
    <t>19.1Phon</t>
  </si>
  <si>
    <t>19.2Viet</t>
  </si>
  <si>
    <t>19.2Eng</t>
  </si>
  <si>
    <t>19.2Phon</t>
  </si>
  <si>
    <t>19.3Viet</t>
  </si>
  <si>
    <t>19.3Eng</t>
  </si>
  <si>
    <t>19.3Phon</t>
  </si>
  <si>
    <t>19.4Viet</t>
  </si>
  <si>
    <t>19.4Eng</t>
  </si>
  <si>
    <t>19.4Phon</t>
  </si>
  <si>
    <t>20Struc</t>
  </si>
  <si>
    <t>20.1Viet</t>
  </si>
  <si>
    <t>20.1Eng</t>
  </si>
  <si>
    <t>20.1Phon</t>
  </si>
  <si>
    <t>20.2Viet</t>
  </si>
  <si>
    <t>20.2Eng</t>
  </si>
  <si>
    <t>20.2Phon</t>
  </si>
  <si>
    <t>20.3Viet</t>
  </si>
  <si>
    <t>20.3Eng</t>
  </si>
  <si>
    <t>20.3Phon</t>
  </si>
  <si>
    <t>20.4Viet</t>
  </si>
  <si>
    <t>20.4Eng</t>
  </si>
  <si>
    <t>20.4Phon</t>
  </si>
  <si>
    <t>21Struc</t>
  </si>
  <si>
    <t>21.1Viet</t>
  </si>
  <si>
    <t>21.1Eng</t>
  </si>
  <si>
    <t>21.1Phon</t>
  </si>
  <si>
    <t>21.2Viet</t>
  </si>
  <si>
    <t>21.2Eng</t>
  </si>
  <si>
    <t>21.2Phon</t>
  </si>
  <si>
    <t>21.3Viet</t>
  </si>
  <si>
    <t>21.3Eng</t>
  </si>
  <si>
    <t>21.3Phon</t>
  </si>
  <si>
    <t>21.4Viet</t>
  </si>
  <si>
    <t>21.4Eng</t>
  </si>
  <si>
    <t>21.4Phon</t>
  </si>
  <si>
    <t>22Struc</t>
  </si>
  <si>
    <t>22.1Viet</t>
  </si>
  <si>
    <t>22.1Eng</t>
  </si>
  <si>
    <t>22.1Phon</t>
  </si>
  <si>
    <t>22.2Viet</t>
  </si>
  <si>
    <t>22.2Eng</t>
  </si>
  <si>
    <t>22.2Phon</t>
  </si>
  <si>
    <t>22.3Viet</t>
  </si>
  <si>
    <t>22.3Eng</t>
  </si>
  <si>
    <t>22.3Phon</t>
  </si>
  <si>
    <t>23Struc</t>
  </si>
  <si>
    <t>23.1Viet</t>
  </si>
  <si>
    <t>23.1Eng</t>
  </si>
  <si>
    <t>23.1Phon</t>
  </si>
  <si>
    <t>23.2Viet</t>
  </si>
  <si>
    <t>23.2Eng</t>
  </si>
  <si>
    <t>23.2Phon</t>
  </si>
  <si>
    <t>23.3Viet</t>
  </si>
  <si>
    <t>23.3Eng</t>
  </si>
  <si>
    <t>23.3Phon</t>
  </si>
  <si>
    <t>24Struc</t>
  </si>
  <si>
    <t>24.1Viet</t>
  </si>
  <si>
    <t>24.1Eng</t>
  </si>
  <si>
    <t>24.1Phon</t>
  </si>
  <si>
    <t>24.2Viet</t>
  </si>
  <si>
    <t>24.2Eng</t>
  </si>
  <si>
    <t>24.2Phon</t>
  </si>
  <si>
    <t>24.3Viet</t>
  </si>
  <si>
    <t>24.3Eng</t>
  </si>
  <si>
    <t>24.3Phon</t>
  </si>
  <si>
    <t>24.4Viet</t>
  </si>
  <si>
    <t>24.4Eng</t>
  </si>
  <si>
    <t>24.4Phon</t>
  </si>
  <si>
    <t>25Struc</t>
  </si>
  <si>
    <t>25.1Viet</t>
  </si>
  <si>
    <t>25.1Eng</t>
  </si>
  <si>
    <t>25.1Phon</t>
  </si>
  <si>
    <t>25.2Viet</t>
  </si>
  <si>
    <t>25.2Eng</t>
  </si>
  <si>
    <t>25.2Phon</t>
  </si>
  <si>
    <t>25.3Viet</t>
  </si>
  <si>
    <t>25.3Eng</t>
  </si>
  <si>
    <t>25.3Phon</t>
  </si>
  <si>
    <t>25.4Viet</t>
  </si>
  <si>
    <t>25.4Eng</t>
  </si>
  <si>
    <t>25.4Phon</t>
  </si>
  <si>
    <t>25.5Viet</t>
  </si>
  <si>
    <t>25.5Eng</t>
  </si>
  <si>
    <t>25.5Phon</t>
  </si>
  <si>
    <t>26Struc</t>
  </si>
  <si>
    <t>26.1Viet</t>
  </si>
  <si>
    <t>26.1Eng</t>
  </si>
  <si>
    <t>26.1Phon</t>
  </si>
  <si>
    <t>26.2Viet</t>
  </si>
  <si>
    <t>26.2Eng</t>
  </si>
  <si>
    <t>26.2Phon</t>
  </si>
  <si>
    <t>26.3Viet</t>
  </si>
  <si>
    <t>26.3Eng</t>
  </si>
  <si>
    <t>26.3Phon</t>
  </si>
  <si>
    <t>26.4Viet</t>
  </si>
  <si>
    <t>26.4Eng</t>
  </si>
  <si>
    <t>26.4Phon</t>
  </si>
  <si>
    <t>27Struc</t>
  </si>
  <si>
    <t>27.1Viet</t>
  </si>
  <si>
    <t>27.1Eng</t>
  </si>
  <si>
    <t>27.1Phon</t>
  </si>
  <si>
    <t>27.2Viet</t>
  </si>
  <si>
    <t>27.2Eng</t>
  </si>
  <si>
    <t>27.2Phon</t>
  </si>
  <si>
    <t>27.3Viet</t>
  </si>
  <si>
    <t>27.3Eng</t>
  </si>
  <si>
    <t>27.3Phon</t>
  </si>
  <si>
    <t>28Struc</t>
  </si>
  <si>
    <t>28.1Viet</t>
  </si>
  <si>
    <t>28.1Eng</t>
  </si>
  <si>
    <t>28.1Phon</t>
  </si>
  <si>
    <t>28.2Viet</t>
  </si>
  <si>
    <t>28.2Eng</t>
  </si>
  <si>
    <t>28.2Phon</t>
  </si>
  <si>
    <t>28.3Viet</t>
  </si>
  <si>
    <t>28.3Eng</t>
  </si>
  <si>
    <t>28.3Phon</t>
  </si>
  <si>
    <t>28.4Viet</t>
  </si>
  <si>
    <t>28.4Eng</t>
  </si>
  <si>
    <t>28.4Phon</t>
  </si>
  <si>
    <t>I’VE NEVER BEEN + TÊN NƠI ĐẾN / Tôi chưa bao giờ đi ... /</t>
  </si>
  <si>
    <t>I’M TAKING A PACKAGE TOUR OF + TÊN ĐỊA ĐIỂM / Tôi sẽ đi một chuyến trọn gói đến ... /</t>
  </si>
  <si>
    <t>ĐỊA ĐIỂM + WILL BE VERY EXPENSIVE DURING THE PEAK SEASON /…rất đắt vào mùa cao điểm/</t>
  </si>
  <si>
    <t>Một năm nữa thị thực của tôi sẽ hết hạn.</t>
  </si>
  <si>
    <t>I’ve never been to the USA.</t>
  </si>
  <si>
    <t>06-10</t>
  </si>
  <si>
    <t>11-15</t>
  </si>
  <si>
    <t>16-20</t>
  </si>
  <si>
    <t>21-28</t>
  </si>
  <si>
    <t>https://drive.google.com/file/d/1z-CK-LPThDVM8wVUsOVH1QcsU_B7s7n4/view?usp=sharing</t>
  </si>
  <si>
    <t>https://drive.google.com/file/d/136IuKU9AiM_ATjO6j9pn9t3hPxoRC9ah/view?usp=sharing</t>
  </si>
  <si>
    <t>https://drive.google.com/file/d/1VeoSpR_BnugwxUxk-9GrsriVybY-rPtU/view?usp=sharing</t>
  </si>
  <si>
    <t>https://drive.google.com/file/d/15tFxnGAiSrSez0jv3xL5BOCAQ4UmcL8_/view?usp=sharing</t>
  </si>
  <si>
    <t>https://drive.google.com/file/d/1v-zuEa8bbxlkOAdUsOJxpS4lpzfS5zE7/view?usp=sharing</t>
  </si>
  <si>
    <t>https://drive.google.com/file/d/1dQO2K25TXe9vxbD6PzWRwD4xFb08mc6h/view?usp=sharing</t>
  </si>
  <si>
    <t>https://drive.google.com/file/d/1sD_oQho_CjgEljOQrn6qmOtdCBQd4GtM/view?usp=sharing</t>
  </si>
  <si>
    <t>https://drive.google.com/file/d/1PtarE1EztOHonKmZXYl8qrzsfA7PfRY2/view?usp=sharing</t>
  </si>
  <si>
    <t>https://drive.google.com/file/d/1pfXg3PDQfVMBWM6FrX6n3wongj_Pmne2/view?usp=sharing</t>
  </si>
  <si>
    <t>https://drive.google.com/file/d/1cYOze8ARxXNNd4lxdeh3zZl4jX4es0MU/view?usp=sharing</t>
  </si>
  <si>
    <t>https://drive.google.com/file/d/1j-8gFK4fv___qUY5bygc8p_D637pmhhk/view?usp=sharing</t>
  </si>
  <si>
    <t>https://drive.google.com/file/d/1FzGKh-5qgJOQXF1H3hZNEUD7vH8ysYe1/view?usp=sharing</t>
  </si>
  <si>
    <t>https://drive.google.com/file/d/1T9b1jv2cWlMTlwF6eljZdSm_9ko6SnUV/view?usp=sharing</t>
  </si>
  <si>
    <t>https://drive.google.com/file/d/1sz7MmE36Q7fPkQWGMPcx3rhmGVNwrBri/view?usp=sharing</t>
  </si>
  <si>
    <t>https://drive.google.com/file/d/1GPZgZNKAQdfu8TmQKPMQ0RTKd0bxRJK4/view?usp=sharing</t>
  </si>
  <si>
    <t>https://drive.google.com/file/d/1duSPky0rlvzJc2bc1EIrL97a3m9kzgzL/view?usp=sharing</t>
  </si>
  <si>
    <t>https://drive.google.com/file/d/1K_SXkWxNXXJ0AJTNaTiHnEdOs_d405K7/view?usp=sharing</t>
  </si>
  <si>
    <t>https://drive.google.com/file/d/18irqKBEXe5JXmXwg6CVzVw_X7VVOnb_Z/view?usp=sharing</t>
  </si>
  <si>
    <t>https://drive.google.com/file/d/1BZ_fD8VBpF8VLRY5SimpIgyUzNdKyKrw/view?usp=sharing</t>
  </si>
  <si>
    <t>https://drive.google.com/file/d/16U4sDbc4TfGPsIluYRJckpv1XXSD4sG7/view?usp=sharing</t>
  </si>
  <si>
    <t>https://drive.google.com/file/d/1Pdwqr-nF_F-QOcGOa5aYa77ZBwWuKOrv/view?usp=sharing</t>
  </si>
  <si>
    <t>https://drive.google.com/file/d/1CEAfca8WRB2NnOxkqv4U220-mUPrDWuk/view?usp=sharing</t>
  </si>
  <si>
    <t>https://drive.google.com/file/d/1h98AVmF7FFagHgZGckuC84zWc1EQHmIU/view?usp=sharing</t>
  </si>
  <si>
    <t>https://drive.google.com/file/d/1Hi-7EvY5N8AZyGuUQ8Ef4hMDrxqlxWQx/view?usp=sharing</t>
  </si>
  <si>
    <t>https://drive.google.com/file/d/1-KLcdPgiKvFnxfsqmwqpW1mfDG56FTe1/view?usp=sharing</t>
  </si>
  <si>
    <t>https://drive.google.com/file/d/11q7TK0mlLvg877mp1iRByx7zc2CP4YT4/view?usp=sharing</t>
  </si>
  <si>
    <t>https://drive.google.com/file/d/1t6CaiBNwjQWb1FGl80iME44P-Vx0pj54/view?usp=sharing</t>
  </si>
  <si>
    <t>https://drive.google.com/file/d/1QNeY8843Yo-_HkCaIoK-2fzbWC_8zoAz/view?usp=sharing</t>
  </si>
  <si>
    <t>https://drive.google.com/file/d/1NJvYVNRCMzCquMCZ8taKojAgwibSNnnH/view?usp=sharing</t>
  </si>
  <si>
    <t>https://drive.google.com/file/d/1egLFTmlmpsrVtWdYhpCBIsdUEsOL07-I/view?usp=sharing</t>
  </si>
  <si>
    <t>https://drive.google.com/file/d/1_9TiGJc8K06dpV1GzXV3XRgvfILWxDGN/view?usp=sharing</t>
  </si>
  <si>
    <t>https://drive.google.com/file/d/19GUuD90KQ_MBZ8o2DMfUqWMBWRtsbd_L/view?usp=sharing</t>
  </si>
  <si>
    <t>https://drive.google.com/file/d/10qnx5nX7h9rFTN284NuyJ5rfGADks6eH/view?usp=sharing</t>
  </si>
  <si>
    <t>https://drive.google.com/file/d/1h_eJe2IqK_Mp4yX6InThdeFPZbjMCRsf/view?usp=sharing</t>
  </si>
  <si>
    <t>https://drive.google.com/file/d/16gd7snPVJgArNQqVjgDGN-KQTpAfCON5/view?usp=sharing</t>
  </si>
  <si>
    <t>https://drive.google.com/file/d/18AfqgNPhSPc75Y2ziwFLFdj5OWfoJhVp/view?usp=sharing</t>
  </si>
  <si>
    <t>https://drive.google.com/file/d/1qBlk-ikJMGlPRt4rhC4f72JEmAHmAzvI/view?usp=sharing</t>
  </si>
  <si>
    <t>https://drive.google.com/file/d/1nGviwsBhUbtnXjEHqQhqu8Hy2KIBI0Mb/view?usp=sharing</t>
  </si>
  <si>
    <t>https://drive.google.com/file/d/1ZFgaoMIUs5EOMs32EojUmoUG1FkUoe3S/view?usp=sharing</t>
  </si>
  <si>
    <t>https://drive.google.com/file/d/1IfjJdfYKq8vplhHZoMdZk9ZjoOLNeplZ/view?usp=sharing</t>
  </si>
  <si>
    <t>https://drive.google.com/file/d/1q0-sOse3oAdXf-t7S9T1IbM_SyQzjwbE/view?usp=sharing</t>
  </si>
  <si>
    <t>p</t>
  </si>
  <si>
    <t>https://drive.google.com/file/d/1mF8M7SBxeIJu26DMqCorS7r34UpRf0vG/view?usp=sharing</t>
  </si>
  <si>
    <t>https://drive.google.com/file/d/18Aka8AT1oIJvTXmS5NFPZKh9FFzAjw3k/view?usp=sharing</t>
  </si>
  <si>
    <t>12.10</t>
  </si>
  <si>
    <t>https://drive.google.com/file/d/15p95UiB_Gys0DAk2IpAqfYNqgToXpQFO/view?usp=sharing</t>
  </si>
  <si>
    <t>https://drive.google.com/file/d/1Ad5OoW9aDRoV4wAvZ-FuqBnzHdg0K44k/view?usp=sharing</t>
  </si>
  <si>
    <t>https://drive.google.com/file/d/11hNAmgDehqMhW3-1PJnLd50IQ-Nxm6tB/view?usp=sharing</t>
  </si>
  <si>
    <t>https://drive.google.com/file/d/1Le5y3MtlH2sQtIr69IJFsqNAOPwEWqL1/view?usp=sharing</t>
  </si>
  <si>
    <t>https://drive.google.com/file/d/1EReP4SzYz1_bD9tKAVYIBHK0iW3yi5J9/view?usp=sharing</t>
  </si>
  <si>
    <t>https://drive.google.com/file/d/1RtN99mZ8RPtBQjUbAUcf52RmkuR6MX-D/view?usp=sharing</t>
  </si>
  <si>
    <t>https://drive.google.com/file/d/1Yv1V8aVk8UemEQ8TjrmQV0t5Z6Yu7Hd4/view?usp=sharing</t>
  </si>
  <si>
    <t>https://drive.google.com/file/d/1Y08i90H-3A1gwne-dW8iN1md99v8P7Cd/view?usp=sharing</t>
  </si>
  <si>
    <t>https://drive.google.com/file/d/1WH8eJotxyPM7RE7h_TIit85emC67-o4R/view?usp=sharing</t>
  </si>
  <si>
    <t>https://drive.google.com/file/d/18B2N9Hrm1uQ2bw-a1mFUGwQ19rerMnG2/view?usp=sharing</t>
  </si>
  <si>
    <t>https://drive.google.com/file/d/1EBl0L0TXASBtDR7ctAnANdL2chMr33j4/view?usp=sharing</t>
  </si>
  <si>
    <t>https://drive.google.com/file/d/1ise2U7lriBA7Ge6g1j4TIu068NQi7V6y/view?usp=sharing</t>
  </si>
  <si>
    <t>https://drive.google.com/file/d/1ehKdHEU98-ryv72h4h6Gg6d1lbH5a-fs/view?usp=sharing</t>
  </si>
  <si>
    <t>https://drive.google.com/file/d/1gB2zWxG4XU01ZwCzdir-qIgXnY3tFk-q/view?usp=sharing</t>
  </si>
  <si>
    <t>https://drive.google.com/file/d/1COLOfHbwa3LOMV-YuHH1AdiWghHcQnDs/view?usp=sharing</t>
  </si>
  <si>
    <t>https://drive.google.com/file/d/13kEPFQBLGkCL8vzZMWoJpIf1zyp0czmn/view?usp=sharing</t>
  </si>
  <si>
    <t>https://drive.google.com/file/d/1_QT0YNRE1BNGRXJJnKTZN800cc34KKqV/view?usp=sharing</t>
  </si>
  <si>
    <t>https://drive.google.com/file/d/1AMDxJtXOZ30twcLU3OQU_ggOROxA7ZJS/view?usp=sharing</t>
  </si>
  <si>
    <t>https://drive.google.com/file/d/1Kg21DXuSs7bEt9xjLNCmBVkltDlo5VP-/view?usp=sharing</t>
  </si>
  <si>
    <t>https://drive.google.com/file/d/1HF6QhVNstvVa9XGGz1JN7y2fO0LU3nos/view?usp=sharing</t>
  </si>
  <si>
    <t>https://drive.google.com/file/d/1H_xCC4lCGH87tBhrgeAvPEG0AwAcalXF/view?usp=sharing</t>
  </si>
  <si>
    <t>https://drive.google.com/file/d/16qzmKXhZwR_2En3ECHvcQvS0j6zBMkd3/view?usp=sharing</t>
  </si>
  <si>
    <t>https://drive.google.com/file/d/1WodUSBijNFUEzNkMm6yNu7Fq78T_Q2v8/view?usp=sharing</t>
  </si>
  <si>
    <t>https://drive.google.com/file/d/1_2KaUTFXlg0kAFog8f4Lgx3uehp9T6WA/view?usp=sharing</t>
  </si>
  <si>
    <t>https://drive.google.com/file/d/1dfbk-J-QNKfkBzWg6KKJj8FtqnWfZpGF/view?usp=sharing</t>
  </si>
  <si>
    <t>https://drive.google.com/file/d/1ZL83GURqmKH-gUWa_7I40Flxox5VnJAh/view?usp=sharing</t>
  </si>
  <si>
    <t>https://drive.google.com/file/d/1rvJYAGL-asZbznb65SKUVHtVgoLsuN1u/view?usp=sharing</t>
  </si>
  <si>
    <t>https://drive.google.com/file/d/1avQrWUEKUVzv8vkhMIgCmV3b0ciiYu-g/view?usp=sharing</t>
  </si>
  <si>
    <t>https://drive.google.com/file/d/1A99ot-2_R6MHIk2kbj0NAvDWh5VyHZdJ/view?usp=sharing</t>
  </si>
  <si>
    <t>https://drive.google.com/file/d/1WBBNNDy0_A0Whr8oE12_L27hjSypqZqV/view?usp=sharing</t>
  </si>
  <si>
    <t>https://drive.google.com/file/d/1TvDp_3LoEC5jLPGB2CXnHWNGrI6MGDAE/view?usp=sharing</t>
  </si>
  <si>
    <t>https://drive.google.com/file/d/1iyY-R20YG6x3zq1iRj-58P2b1QPiZly3/view?usp=sharing</t>
  </si>
  <si>
    <t>https://drive.google.com/file/d/10DLcBwFdOckbfyXVl-HE3baV-dwZmSuL/view?usp=sharing</t>
  </si>
  <si>
    <t>https://drive.google.com/file/d/1aOtgEgrY8KBlrC9AviX0Pk3699a_ThJe/view?usp=sharing</t>
  </si>
  <si>
    <t>https://drive.google.com/file/d/1rzT3ik3TFISBdWVm_0iByXLa3SPPVCYi/view?usp=sharing</t>
  </si>
  <si>
    <t>https://drive.google.com/file/d/1-Z-KhBPbcrID-YT5WHY4t45tipqGqjzT/view?usp=sharing</t>
  </si>
  <si>
    <t>https://drive.google.com/file/d/1gyHKv4ArHmRDW1pZLDGyPIg8efbmQZlW/view?usp=sharing</t>
  </si>
  <si>
    <t>https://drive.google.com/file/d/1sNLOc3LbgWgP_lxZ4CgB2Sw4SzceagOW/view?usp=sharing</t>
  </si>
  <si>
    <t>https://drive.google.com/file/d/18QeYkA4d6qRw8sST7KS0UtTbpF5WI5kz/view?usp=sharing</t>
  </si>
  <si>
    <t>https://drive.google.com/file/d/1cPa1FlNFXykdPfHVxUDvBrvvuxAYlVt8/view?usp=sharing</t>
  </si>
  <si>
    <t>https://drive.google.com/file/d/1vqy_LFwZUsXP63J_Zm8R_lt9cBY39Bhu/view?usp=sharing</t>
  </si>
  <si>
    <t>https://drive.google.com/file/d/1g_7QBPwm_idcUO_eN9KV-4W5BBp-53Dr/view?usp=sharing</t>
  </si>
  <si>
    <t>https://drive.google.com/file/d/1vlDrLLNN2jObLxeR5Bnn8yTsrTMB6Ym1/view?usp=sharing</t>
  </si>
  <si>
    <t>https://drive.google.com/file/d/15CG-ZvXTKzG4cNjkMm2658jEn9gV1wMa/view?usp=sharing</t>
  </si>
  <si>
    <t>https://drive.google.com/file/d/1UmalapsR-CDEpysdnfnatu7bra65dCrr/view?usp=sharing</t>
  </si>
  <si>
    <t>https://drive.google.com/file/d/1fyPteBbGHM-yrePc1iJmMN7bA6G_q8_P/view?usp=sharing</t>
  </si>
  <si>
    <t>https://drive.google.com/file/d/1aweFLgu-TxPO60TfnUVJGpjlT-T_jtBf/view?usp=sharing</t>
  </si>
  <si>
    <t>https://drive.google.com/file/d/1GyKSxwAkKx6OpkgCRJnEDttIPNFHsdc7/view?usp=sharing</t>
  </si>
  <si>
    <t>https://drive.google.com/file/d/1u1wpFJoqPoIHKN23BZTm8a4Q9cn1jbPv/view?usp=sharing</t>
  </si>
  <si>
    <t>https://drive.google.com/file/d/1ewPONZlrW6LsatTijeu-J-MxP6L9CUUu/view?usp=sharing</t>
  </si>
  <si>
    <t>https://drive.google.com/file/d/1KgvLAMczSh7Is8xcF79nfiWzVccVxEms/view?usp=sharing</t>
  </si>
  <si>
    <t>https://drive.google.com/file/d/1nBwBfAnpHIs6tnWy8JBei5QvfaLzZMyp/view?usp=sharing</t>
  </si>
  <si>
    <t>https://drive.google.com/file/d/14R81V5KF9-eFL9JOuxy8-nnIEj3GgtS9/view?usp=sharing</t>
  </si>
  <si>
    <t>https://drive.google.com/file/d/1WLvF6qnccewlDPkPV9mDmVQrJ6UuyjAT/view?usp=sharing</t>
  </si>
  <si>
    <t>https://drive.google.com/file/d/10zDD4437H3QVSJo5AuwFiNiarkz7S6My/view?usp=sharing</t>
  </si>
  <si>
    <t>https://drive.google.com/file/d/1MlQCKaKoQ6PFT6la1_cQYH-QLgW66pn7/view?usp=sharing</t>
  </si>
  <si>
    <t>https://drive.google.com/file/d/1KNRuAReGeailXB9yLzhQLWKkmERNScFr/view?usp=sharing</t>
  </si>
  <si>
    <t>https://drive.google.com/file/d/1-WH1qp9oQZIJjJjW8uQfkOR_OOXUmlY2/view?usp=sharing</t>
  </si>
  <si>
    <t>https://drive.google.com/file/d/198p_u5J8B6AZ-iYk0RsKCAma5KtNiChT/view?usp=sharing</t>
  </si>
  <si>
    <t>https://drive.google.com/file/d/18pp4FClNsToaMsvEkX6yNTnXXI6XBL-W/view?usp=sharing</t>
  </si>
  <si>
    <t>https://drive.google.com/file/d/1ZzNSKbc6A9QGgmezf9hgw2YwHbQboagt/view?usp=sharing</t>
  </si>
  <si>
    <t>https://drive.google.com/file/d/15L1XPuBAzFAPB22NO7reehVRfwK-G3u2/view?usp=sharing</t>
  </si>
  <si>
    <t>https://drive.google.com/file/d/16Dm2XhDdtnlNjG2iaHosBg7CmF1gt4Ee/view?usp=sharing</t>
  </si>
  <si>
    <t>https://drive.google.com/file/d/1HDia_jysK3Ljfv23qWBLTN_jDBIeAvXy/view?usp=sharing</t>
  </si>
  <si>
    <t>https://drive.google.com/file/d/10s35pxt3fYoBdE_rXods4Ik0cvJIfUqt/view?usp=sharing</t>
  </si>
  <si>
    <t>https://drive.google.com/file/d/1_yWPdp9Yv-SKKL2QF5DhrEYHUDeAAUxI/view?usp=sharing</t>
  </si>
  <si>
    <t>https://drive.google.com/file/d/1Dvbuc7a52TZme2Go7x02WBIuwK3kxQXn/view?usp=sharing</t>
  </si>
  <si>
    <t>https://drive.google.com/file/d/1Qv9pMkU-tqBmg3eBByRImsiCyQqKaQfP/view?usp=sharing</t>
  </si>
  <si>
    <t>https://drive.google.com/file/d/1Ccsmf6UGj5k2URJ3ysBZ7CK6jGx8yYV1/view?usp=sharing</t>
  </si>
  <si>
    <t>https://drive.google.com/file/d/1do4kHZVYnqbNjejYS_98Df7Nv-O3JUy8/view?usp=sharing</t>
  </si>
  <si>
    <t>https://drive.google.com/file/d/1BQjgxTFxDqJk5jW9NgGADhJ01ZDP_PCU/view?usp=sharing</t>
  </si>
  <si>
    <t>https://drive.google.com/file/d/1mNxiLeXUxCaFOJbtBPHx1n_gu_n77hyu/view?usp=sharing</t>
  </si>
  <si>
    <t>https://drive.google.com/file/d/16VGylqdLO1z_tF6p8Mz2d_gpjUfbpnYz/view?usp=sharing</t>
  </si>
  <si>
    <t>https://drive.google.com/file/d/1FT2blD_NaEWltkByLzAd0Xmr--QAfUux/view?usp=sharing</t>
  </si>
  <si>
    <t>https://drive.google.com/file/d/1gPTNai1aXN76J7JvOgJghY6-VpRyopgQ/view?usp=sharing</t>
  </si>
  <si>
    <t>https://drive.google.com/file/d/1II9b9ELn9pH3bw5j7HKN2lodi48WeRMl/view?usp=sharing</t>
  </si>
  <si>
    <t>kʊd ju sɛnd ə mæˈsus tu rum 101 pliz</t>
  </si>
  <si>
    <t>https://drive.google.com/file/d/1kOT3642UsHN_ZYWCq7VjqkAXwBilZOJT/view?usp=sharing</t>
  </si>
  <si>
    <t>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</si>
</sst>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373"/>
  <sheetViews>
    <sheetView showGridLines="0" topLeftCell="A339" zoomScale="81" zoomScaleNormal="81" workbookViewId="0">
      <selection activeCell="M216" sqref="M216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8.8984375" style="15" customWidth="1"/>
    <col min="4" max="4" width="64.3984375" style="11" customWidth="1"/>
    <col min="5" max="5" width="8.8984375" style="15" customWidth="1"/>
    <col min="6" max="6" width="49.19921875" style="11" customWidth="1"/>
    <col min="7" max="7" width="7.296875" style="21" customWidth="1"/>
    <col min="8" max="8" width="79.5" style="21" bestFit="1" customWidth="1"/>
    <col min="9" max="16384" width="8.796875" style="21"/>
  </cols>
  <sheetData>
    <row r="2" spans="1:8" x14ac:dyDescent="0.25">
      <c r="B2" s="11" t="s">
        <v>132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 t="s">
        <v>359</v>
      </c>
      <c r="C4" s="14" t="s">
        <v>42</v>
      </c>
      <c r="D4" s="20" t="s">
        <v>888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">
        <v>43</v>
      </c>
      <c r="D5" s="25" t="s">
        <v>387</v>
      </c>
      <c r="E5" s="24" t="s">
        <v>3</v>
      </c>
      <c r="F5" s="20" t="str">
        <f t="shared" ref="F5:F68" si="0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44</v>
      </c>
      <c r="D6" s="25" t="s">
        <v>133</v>
      </c>
      <c r="E6" s="24" t="s">
        <v>4</v>
      </c>
      <c r="F6" s="20" t="str">
        <f t="shared" si="0"/>
        <v>https://docs.google.com/uc?export=download&amp;id=15tFxnGAiSrSez0jv3xL5BOCAQ4UmcL8_</v>
      </c>
      <c r="G6" s="23" t="str">
        <f t="shared" ref="G6:G69" si="1">IFERROR(LEFT(RIGHT(H6,LEN(H6)-32),LEN(RIGHT(H6,LEN(H6)-32))-17),"")</f>
        <v>15tFxnGAiSrSez0jv3xL5BOCAQ4UmcL8_</v>
      </c>
      <c r="H6" s="21" t="s">
        <v>900</v>
      </c>
    </row>
    <row r="7" spans="1:8" x14ac:dyDescent="0.25">
      <c r="B7" s="24" t="s">
        <v>13</v>
      </c>
      <c r="C7" s="24" t="s">
        <v>105</v>
      </c>
      <c r="D7" s="25" t="s">
        <v>134</v>
      </c>
      <c r="E7" s="24" t="s">
        <v>5</v>
      </c>
      <c r="F7" s="20" t="str">
        <f t="shared" si="0"/>
        <v/>
      </c>
      <c r="G7" s="23" t="str">
        <f t="shared" si="1"/>
        <v/>
      </c>
    </row>
    <row r="8" spans="1:8" x14ac:dyDescent="0.25">
      <c r="B8" s="24" t="s">
        <v>14</v>
      </c>
      <c r="C8" s="24" t="s">
        <v>45</v>
      </c>
      <c r="D8" s="25" t="s">
        <v>388</v>
      </c>
      <c r="E8" s="24" t="s">
        <v>3</v>
      </c>
      <c r="F8" s="20" t="str">
        <f t="shared" si="0"/>
        <v/>
      </c>
      <c r="G8" s="23" t="str">
        <f t="shared" si="1"/>
        <v/>
      </c>
    </row>
    <row r="9" spans="1:8" x14ac:dyDescent="0.25">
      <c r="A9" s="15">
        <v>2</v>
      </c>
      <c r="B9" s="24" t="s">
        <v>14</v>
      </c>
      <c r="C9" s="24" t="s">
        <v>46</v>
      </c>
      <c r="D9" s="25" t="s">
        <v>892</v>
      </c>
      <c r="E9" s="24" t="s">
        <v>4</v>
      </c>
      <c r="F9" s="20" t="str">
        <f t="shared" si="0"/>
        <v>https://docs.google.com/uc?export=download&amp;id=1v-zuEa8bbxlkOAdUsOJxpS4lpzfS5zE7</v>
      </c>
      <c r="G9" s="23" t="str">
        <f t="shared" si="1"/>
        <v>1v-zuEa8bbxlkOAdUsOJxpS4lpzfS5zE7</v>
      </c>
      <c r="H9" s="21" t="s">
        <v>901</v>
      </c>
    </row>
    <row r="10" spans="1:8" x14ac:dyDescent="0.25">
      <c r="B10" s="24" t="s">
        <v>14</v>
      </c>
      <c r="C10" s="24" t="s">
        <v>106</v>
      </c>
      <c r="D10" s="25" t="s">
        <v>135</v>
      </c>
      <c r="E10" s="24" t="s">
        <v>5</v>
      </c>
      <c r="F10" s="20" t="str">
        <f t="shared" si="0"/>
        <v/>
      </c>
      <c r="G10" s="23" t="str">
        <f t="shared" si="1"/>
        <v/>
      </c>
    </row>
    <row r="11" spans="1:8" x14ac:dyDescent="0.25">
      <c r="B11" s="24" t="s">
        <v>12</v>
      </c>
      <c r="C11" s="24" t="s">
        <v>47</v>
      </c>
      <c r="D11" s="25" t="s">
        <v>389</v>
      </c>
      <c r="E11" s="24" t="s">
        <v>3</v>
      </c>
      <c r="F11" s="20" t="str">
        <f t="shared" si="0"/>
        <v/>
      </c>
      <c r="G11" s="23" t="str">
        <f t="shared" si="1"/>
        <v/>
      </c>
    </row>
    <row r="12" spans="1:8" x14ac:dyDescent="0.25">
      <c r="A12" s="15">
        <v>3</v>
      </c>
      <c r="B12" s="24" t="s">
        <v>12</v>
      </c>
      <c r="C12" s="24" t="s">
        <v>48</v>
      </c>
      <c r="D12" s="25" t="s">
        <v>136</v>
      </c>
      <c r="E12" s="24" t="s">
        <v>4</v>
      </c>
      <c r="F12" s="20" t="str">
        <f t="shared" si="0"/>
        <v>https://docs.google.com/uc?export=download&amp;id=1dQO2K25TXe9vxbD6PzWRwD4xFb08mc6h</v>
      </c>
      <c r="G12" s="23" t="str">
        <f t="shared" si="1"/>
        <v>1dQO2K25TXe9vxbD6PzWRwD4xFb08mc6h</v>
      </c>
      <c r="H12" s="21" t="s">
        <v>902</v>
      </c>
    </row>
    <row r="13" spans="1:8" x14ac:dyDescent="0.25">
      <c r="B13" s="24" t="s">
        <v>12</v>
      </c>
      <c r="C13" s="24" t="s">
        <v>107</v>
      </c>
      <c r="D13" s="25" t="s">
        <v>137</v>
      </c>
      <c r="E13" s="24" t="s">
        <v>5</v>
      </c>
      <c r="F13" s="20" t="str">
        <f t="shared" si="0"/>
        <v/>
      </c>
      <c r="G13" s="23" t="str">
        <f t="shared" si="1"/>
        <v/>
      </c>
    </row>
    <row r="14" spans="1:8" x14ac:dyDescent="0.25">
      <c r="B14" s="24" t="s">
        <v>360</v>
      </c>
      <c r="C14" s="24" t="s">
        <v>49</v>
      </c>
      <c r="D14" s="25" t="s">
        <v>889</v>
      </c>
      <c r="E14" s="24" t="s">
        <v>11</v>
      </c>
      <c r="F14" s="20" t="str">
        <f t="shared" si="0"/>
        <v/>
      </c>
      <c r="G14" s="23" t="str">
        <f t="shared" si="1"/>
        <v/>
      </c>
    </row>
    <row r="15" spans="1:8" x14ac:dyDescent="0.25">
      <c r="B15" s="24" t="s">
        <v>15</v>
      </c>
      <c r="C15" s="24" t="s">
        <v>50</v>
      </c>
      <c r="D15" s="25" t="s">
        <v>390</v>
      </c>
      <c r="E15" s="24" t="s">
        <v>3</v>
      </c>
      <c r="F15" s="20" t="str">
        <f t="shared" si="0"/>
        <v/>
      </c>
      <c r="G15" s="23" t="str">
        <f t="shared" si="1"/>
        <v/>
      </c>
    </row>
    <row r="16" spans="1:8" x14ac:dyDescent="0.25">
      <c r="A16" s="15">
        <v>4</v>
      </c>
      <c r="B16" s="24" t="s">
        <v>15</v>
      </c>
      <c r="C16" s="24" t="s">
        <v>51</v>
      </c>
      <c r="D16" s="25" t="s">
        <v>138</v>
      </c>
      <c r="E16" s="24" t="s">
        <v>4</v>
      </c>
      <c r="F16" s="20" t="str">
        <f t="shared" si="0"/>
        <v>https://docs.google.com/uc?export=download&amp;id=1sD_oQho_CjgEljOQrn6qmOtdCBQd4GtM</v>
      </c>
      <c r="G16" s="23" t="str">
        <f t="shared" si="1"/>
        <v>1sD_oQho_CjgEljOQrn6qmOtdCBQd4GtM</v>
      </c>
      <c r="H16" s="21" t="s">
        <v>903</v>
      </c>
    </row>
    <row r="17" spans="1:8" s="10" customFormat="1" x14ac:dyDescent="0.25">
      <c r="A17" s="15"/>
      <c r="B17" s="24" t="s">
        <v>15</v>
      </c>
      <c r="C17" s="24" t="s">
        <v>108</v>
      </c>
      <c r="D17" s="25" t="s">
        <v>139</v>
      </c>
      <c r="E17" s="24" t="s">
        <v>5</v>
      </c>
      <c r="F17" s="20" t="str">
        <f t="shared" si="0"/>
        <v/>
      </c>
      <c r="G17" s="23" t="str">
        <f t="shared" si="1"/>
        <v/>
      </c>
      <c r="H17" s="21"/>
    </row>
    <row r="18" spans="1:8" x14ac:dyDescent="0.25">
      <c r="B18" s="24" t="s">
        <v>17</v>
      </c>
      <c r="C18" s="24" t="s">
        <v>52</v>
      </c>
      <c r="D18" s="25" t="s">
        <v>391</v>
      </c>
      <c r="E18" s="24" t="s">
        <v>3</v>
      </c>
      <c r="F18" s="20" t="str">
        <f t="shared" si="0"/>
        <v/>
      </c>
      <c r="G18" s="23" t="str">
        <f t="shared" si="1"/>
        <v/>
      </c>
    </row>
    <row r="19" spans="1:8" x14ac:dyDescent="0.25">
      <c r="A19" s="15">
        <v>5</v>
      </c>
      <c r="B19" s="24" t="s">
        <v>17</v>
      </c>
      <c r="C19" s="24" t="s">
        <v>53</v>
      </c>
      <c r="D19" s="25" t="s">
        <v>140</v>
      </c>
      <c r="E19" s="24" t="s">
        <v>4</v>
      </c>
      <c r="F19" s="20" t="str">
        <f t="shared" si="0"/>
        <v>https://docs.google.com/uc?export=download&amp;id=1PtarE1EztOHonKmZXYl8qrzsfA7PfRY2</v>
      </c>
      <c r="G19" s="23" t="str">
        <f t="shared" si="1"/>
        <v>1PtarE1EztOHonKmZXYl8qrzsfA7PfRY2</v>
      </c>
      <c r="H19" s="21" t="s">
        <v>904</v>
      </c>
    </row>
    <row r="20" spans="1:8" x14ac:dyDescent="0.25">
      <c r="B20" s="24" t="s">
        <v>17</v>
      </c>
      <c r="C20" s="24" t="s">
        <v>109</v>
      </c>
      <c r="D20" s="25" t="s">
        <v>141</v>
      </c>
      <c r="E20" s="24" t="s">
        <v>5</v>
      </c>
      <c r="F20" s="20" t="str">
        <f t="shared" si="0"/>
        <v/>
      </c>
      <c r="G20" s="23" t="str">
        <f t="shared" si="1"/>
        <v/>
      </c>
    </row>
    <row r="21" spans="1:8" x14ac:dyDescent="0.25">
      <c r="B21" s="24" t="s">
        <v>16</v>
      </c>
      <c r="C21" s="24" t="s">
        <v>54</v>
      </c>
      <c r="D21" s="25" t="s">
        <v>392</v>
      </c>
      <c r="E21" s="24" t="s">
        <v>3</v>
      </c>
      <c r="F21" s="20" t="str">
        <f t="shared" si="0"/>
        <v/>
      </c>
      <c r="G21" s="23" t="str">
        <f t="shared" si="1"/>
        <v/>
      </c>
    </row>
    <row r="22" spans="1:8" x14ac:dyDescent="0.25">
      <c r="A22" s="15">
        <v>6</v>
      </c>
      <c r="B22" s="24" t="s">
        <v>16</v>
      </c>
      <c r="C22" s="24" t="s">
        <v>55</v>
      </c>
      <c r="D22" s="25" t="s">
        <v>142</v>
      </c>
      <c r="E22" s="24" t="s">
        <v>4</v>
      </c>
      <c r="F22" s="20" t="str">
        <f t="shared" si="0"/>
        <v>https://docs.google.com/uc?export=download&amp;id=1pfXg3PDQfVMBWM6FrX6n3wongj_Pmne2</v>
      </c>
      <c r="G22" s="23" t="str">
        <f t="shared" si="1"/>
        <v>1pfXg3PDQfVMBWM6FrX6n3wongj_Pmne2</v>
      </c>
      <c r="H22" s="21" t="s">
        <v>905</v>
      </c>
    </row>
    <row r="23" spans="1:8" x14ac:dyDescent="0.25">
      <c r="B23" s="24" t="s">
        <v>16</v>
      </c>
      <c r="C23" s="24" t="s">
        <v>110</v>
      </c>
      <c r="D23" s="25" t="s">
        <v>143</v>
      </c>
      <c r="E23" s="24" t="s">
        <v>5</v>
      </c>
      <c r="F23" s="20" t="str">
        <f t="shared" si="0"/>
        <v/>
      </c>
      <c r="G23" s="23" t="str">
        <f t="shared" si="1"/>
        <v/>
      </c>
    </row>
    <row r="24" spans="1:8" x14ac:dyDescent="0.25">
      <c r="B24" s="24" t="s">
        <v>361</v>
      </c>
      <c r="C24" s="24" t="s">
        <v>56</v>
      </c>
      <c r="D24" s="25" t="s">
        <v>890</v>
      </c>
      <c r="E24" s="24" t="s">
        <v>11</v>
      </c>
      <c r="F24" s="20" t="str">
        <f t="shared" si="0"/>
        <v/>
      </c>
      <c r="G24" s="23" t="str">
        <f t="shared" si="1"/>
        <v/>
      </c>
    </row>
    <row r="25" spans="1:8" x14ac:dyDescent="0.25">
      <c r="B25" s="24" t="s">
        <v>18</v>
      </c>
      <c r="C25" s="24" t="s">
        <v>58</v>
      </c>
      <c r="D25" s="25" t="s">
        <v>393</v>
      </c>
      <c r="E25" s="24" t="s">
        <v>3</v>
      </c>
      <c r="F25" s="20" t="str">
        <f t="shared" si="0"/>
        <v/>
      </c>
      <c r="G25" s="23" t="str">
        <f t="shared" si="1"/>
        <v/>
      </c>
    </row>
    <row r="26" spans="1:8" x14ac:dyDescent="0.25">
      <c r="A26" s="15">
        <v>7</v>
      </c>
      <c r="B26" s="24" t="s">
        <v>18</v>
      </c>
      <c r="C26" s="24" t="s">
        <v>59</v>
      </c>
      <c r="D26" s="25" t="s">
        <v>144</v>
      </c>
      <c r="E26" s="24" t="s">
        <v>4</v>
      </c>
      <c r="F26" s="20" t="str">
        <f t="shared" si="0"/>
        <v>https://docs.google.com/uc?export=download&amp;id=1cYOze8ARxXNNd4lxdeh3zZl4jX4es0MU</v>
      </c>
      <c r="G26" s="23" t="str">
        <f t="shared" si="1"/>
        <v>1cYOze8ARxXNNd4lxdeh3zZl4jX4es0MU</v>
      </c>
      <c r="H26" s="21" t="s">
        <v>906</v>
      </c>
    </row>
    <row r="27" spans="1:8" x14ac:dyDescent="0.25">
      <c r="B27" s="24" t="s">
        <v>18</v>
      </c>
      <c r="C27" s="24" t="s">
        <v>111</v>
      </c>
      <c r="D27" s="25" t="s">
        <v>145</v>
      </c>
      <c r="E27" s="24" t="s">
        <v>5</v>
      </c>
      <c r="F27" s="20" t="str">
        <f t="shared" si="0"/>
        <v/>
      </c>
      <c r="G27" s="23" t="str">
        <f t="shared" si="1"/>
        <v/>
      </c>
    </row>
    <row r="28" spans="1:8" x14ac:dyDescent="0.25">
      <c r="B28" s="24" t="s">
        <v>19</v>
      </c>
      <c r="C28" s="24" t="s">
        <v>60</v>
      </c>
      <c r="D28" s="25" t="s">
        <v>394</v>
      </c>
      <c r="E28" s="24" t="s">
        <v>3</v>
      </c>
      <c r="F28" s="20" t="str">
        <f t="shared" si="0"/>
        <v/>
      </c>
      <c r="G28" s="23" t="str">
        <f t="shared" si="1"/>
        <v/>
      </c>
    </row>
    <row r="29" spans="1:8" x14ac:dyDescent="0.25">
      <c r="A29" s="15">
        <v>8</v>
      </c>
      <c r="B29" s="24" t="s">
        <v>19</v>
      </c>
      <c r="C29" s="24" t="s">
        <v>61</v>
      </c>
      <c r="D29" s="25" t="s">
        <v>146</v>
      </c>
      <c r="E29" s="24" t="s">
        <v>4</v>
      </c>
      <c r="F29" s="20" t="str">
        <f t="shared" si="0"/>
        <v>https://docs.google.com/uc?export=download&amp;id=1j-8gFK4fv___qUY5bygc8p_D637pmhhk</v>
      </c>
      <c r="G29" s="23" t="str">
        <f t="shared" si="1"/>
        <v>1j-8gFK4fv___qUY5bygc8p_D637pmhhk</v>
      </c>
      <c r="H29" s="21" t="s">
        <v>907</v>
      </c>
    </row>
    <row r="30" spans="1:8" s="10" customFormat="1" x14ac:dyDescent="0.25">
      <c r="A30" s="15"/>
      <c r="B30" s="24" t="s">
        <v>19</v>
      </c>
      <c r="C30" s="24" t="s">
        <v>112</v>
      </c>
      <c r="D30" s="25" t="s">
        <v>147</v>
      </c>
      <c r="E30" s="24" t="s">
        <v>5</v>
      </c>
      <c r="F30" s="20" t="str">
        <f t="shared" si="0"/>
        <v/>
      </c>
      <c r="G30" s="23" t="str">
        <f t="shared" si="1"/>
        <v/>
      </c>
      <c r="H30" s="21"/>
    </row>
    <row r="31" spans="1:8" x14ac:dyDescent="0.25">
      <c r="B31" s="24" t="s">
        <v>20</v>
      </c>
      <c r="C31" s="24" t="s">
        <v>62</v>
      </c>
      <c r="D31" s="25" t="s">
        <v>395</v>
      </c>
      <c r="E31" s="24" t="s">
        <v>3</v>
      </c>
      <c r="F31" s="20" t="str">
        <f t="shared" si="0"/>
        <v/>
      </c>
      <c r="G31" s="23" t="str">
        <f t="shared" si="1"/>
        <v/>
      </c>
    </row>
    <row r="32" spans="1:8" x14ac:dyDescent="0.25">
      <c r="A32" s="15">
        <v>9</v>
      </c>
      <c r="B32" s="24" t="s">
        <v>20</v>
      </c>
      <c r="C32" s="24" t="s">
        <v>57</v>
      </c>
      <c r="D32" s="25" t="s">
        <v>148</v>
      </c>
      <c r="E32" s="24" t="s">
        <v>4</v>
      </c>
      <c r="F32" s="20" t="str">
        <f t="shared" si="0"/>
        <v>https://docs.google.com/uc?export=download&amp;id=1FzGKh-5qgJOQXF1H3hZNEUD7vH8ysYe1</v>
      </c>
      <c r="G32" s="23" t="str">
        <f t="shared" si="1"/>
        <v>1FzGKh-5qgJOQXF1H3hZNEUD7vH8ysYe1</v>
      </c>
      <c r="H32" s="21" t="s">
        <v>908</v>
      </c>
    </row>
    <row r="33" spans="1:8" x14ac:dyDescent="0.25">
      <c r="B33" s="24" t="s">
        <v>20</v>
      </c>
      <c r="C33" s="24" t="s">
        <v>113</v>
      </c>
      <c r="D33" s="25" t="s">
        <v>149</v>
      </c>
      <c r="E33" s="24" t="s">
        <v>5</v>
      </c>
      <c r="F33" s="20" t="str">
        <f t="shared" si="0"/>
        <v/>
      </c>
      <c r="G33" s="23" t="str">
        <f t="shared" si="1"/>
        <v/>
      </c>
    </row>
    <row r="34" spans="1:8" x14ac:dyDescent="0.25">
      <c r="B34" s="24" t="s">
        <v>362</v>
      </c>
      <c r="C34" s="24" t="s">
        <v>63</v>
      </c>
      <c r="D34" s="25" t="s">
        <v>396</v>
      </c>
      <c r="E34" s="24" t="s">
        <v>11</v>
      </c>
      <c r="F34" s="20" t="str">
        <f t="shared" si="0"/>
        <v/>
      </c>
      <c r="G34" s="23" t="str">
        <f t="shared" si="1"/>
        <v/>
      </c>
    </row>
    <row r="35" spans="1:8" x14ac:dyDescent="0.25">
      <c r="B35" s="24" t="s">
        <v>21</v>
      </c>
      <c r="C35" s="24" t="s">
        <v>64</v>
      </c>
      <c r="D35" s="25" t="s">
        <v>397</v>
      </c>
      <c r="E35" s="24" t="s">
        <v>3</v>
      </c>
      <c r="F35" s="20" t="str">
        <f t="shared" si="0"/>
        <v/>
      </c>
      <c r="G35" s="23" t="str">
        <f t="shared" si="1"/>
        <v/>
      </c>
    </row>
    <row r="36" spans="1:8" x14ac:dyDescent="0.25">
      <c r="A36" s="15">
        <v>10</v>
      </c>
      <c r="B36" s="24" t="s">
        <v>21</v>
      </c>
      <c r="C36" s="24" t="s">
        <v>65</v>
      </c>
      <c r="D36" s="25" t="s">
        <v>150</v>
      </c>
      <c r="E36" s="24" t="s">
        <v>4</v>
      </c>
      <c r="F36" s="20" t="str">
        <f t="shared" si="0"/>
        <v>https://docs.google.com/uc?export=download&amp;id=1T9b1jv2cWlMTlwF6eljZdSm_9ko6SnUV</v>
      </c>
      <c r="G36" s="23" t="str">
        <f t="shared" si="1"/>
        <v>1T9b1jv2cWlMTlwF6eljZdSm_9ko6SnUV</v>
      </c>
      <c r="H36" s="21" t="s">
        <v>909</v>
      </c>
    </row>
    <row r="37" spans="1:8" x14ac:dyDescent="0.25">
      <c r="B37" s="24" t="s">
        <v>21</v>
      </c>
      <c r="C37" s="24" t="s">
        <v>114</v>
      </c>
      <c r="D37" s="25" t="s">
        <v>151</v>
      </c>
      <c r="E37" s="24" t="s">
        <v>5</v>
      </c>
      <c r="F37" s="20" t="str">
        <f t="shared" si="0"/>
        <v/>
      </c>
      <c r="G37" s="23" t="str">
        <f t="shared" si="1"/>
        <v/>
      </c>
    </row>
    <row r="38" spans="1:8" x14ac:dyDescent="0.25">
      <c r="B38" s="24" t="s">
        <v>22</v>
      </c>
      <c r="C38" s="24" t="s">
        <v>66</v>
      </c>
      <c r="D38" s="25" t="s">
        <v>398</v>
      </c>
      <c r="E38" s="24" t="s">
        <v>3</v>
      </c>
      <c r="F38" s="20" t="str">
        <f t="shared" si="0"/>
        <v/>
      </c>
      <c r="G38" s="23" t="str">
        <f t="shared" si="1"/>
        <v/>
      </c>
    </row>
    <row r="39" spans="1:8" x14ac:dyDescent="0.25">
      <c r="A39" s="15">
        <v>11</v>
      </c>
      <c r="B39" s="24" t="s">
        <v>22</v>
      </c>
      <c r="C39" s="24" t="s">
        <v>67</v>
      </c>
      <c r="D39" s="25" t="s">
        <v>152</v>
      </c>
      <c r="E39" s="24" t="s">
        <v>4</v>
      </c>
      <c r="F39" s="20" t="str">
        <f t="shared" si="0"/>
        <v>https://docs.google.com/uc?export=download&amp;id=1sz7MmE36Q7fPkQWGMPcx3rhmGVNwrBri</v>
      </c>
      <c r="G39" s="23" t="str">
        <f t="shared" si="1"/>
        <v>1sz7MmE36Q7fPkQWGMPcx3rhmGVNwrBri</v>
      </c>
      <c r="H39" s="21" t="s">
        <v>910</v>
      </c>
    </row>
    <row r="40" spans="1:8" x14ac:dyDescent="0.25">
      <c r="B40" s="24" t="s">
        <v>22</v>
      </c>
      <c r="C40" s="24" t="s">
        <v>115</v>
      </c>
      <c r="D40" s="25" t="s">
        <v>153</v>
      </c>
      <c r="E40" s="24" t="s">
        <v>5</v>
      </c>
      <c r="F40" s="20" t="str">
        <f t="shared" si="0"/>
        <v/>
      </c>
      <c r="G40" s="23" t="str">
        <f t="shared" si="1"/>
        <v/>
      </c>
    </row>
    <row r="41" spans="1:8" x14ac:dyDescent="0.25">
      <c r="B41" s="24" t="s">
        <v>23</v>
      </c>
      <c r="C41" s="24" t="s">
        <v>68</v>
      </c>
      <c r="D41" s="25" t="s">
        <v>399</v>
      </c>
      <c r="E41" s="24" t="s">
        <v>3</v>
      </c>
      <c r="F41" s="20" t="str">
        <f t="shared" si="0"/>
        <v/>
      </c>
      <c r="G41" s="23" t="str">
        <f t="shared" si="1"/>
        <v/>
      </c>
    </row>
    <row r="42" spans="1:8" x14ac:dyDescent="0.25">
      <c r="A42" s="15">
        <v>12</v>
      </c>
      <c r="B42" s="24" t="s">
        <v>23</v>
      </c>
      <c r="C42" s="24" t="s">
        <v>69</v>
      </c>
      <c r="D42" s="25" t="s">
        <v>154</v>
      </c>
      <c r="E42" s="24" t="s">
        <v>4</v>
      </c>
      <c r="F42" s="20" t="str">
        <f t="shared" si="0"/>
        <v>https://docs.google.com/uc?export=download&amp;id=1GPZgZNKAQdfu8TmQKPMQ0RTKd0bxRJK4</v>
      </c>
      <c r="G42" s="23" t="str">
        <f t="shared" si="1"/>
        <v>1GPZgZNKAQdfu8TmQKPMQ0RTKd0bxRJK4</v>
      </c>
      <c r="H42" s="21" t="s">
        <v>911</v>
      </c>
    </row>
    <row r="43" spans="1:8" x14ac:dyDescent="0.25">
      <c r="B43" s="24" t="s">
        <v>23</v>
      </c>
      <c r="C43" s="24" t="s">
        <v>116</v>
      </c>
      <c r="D43" s="25" t="s">
        <v>155</v>
      </c>
      <c r="E43" s="24" t="s">
        <v>5</v>
      </c>
      <c r="F43" s="20" t="str">
        <f t="shared" si="0"/>
        <v/>
      </c>
      <c r="G43" s="23" t="str">
        <f t="shared" si="1"/>
        <v/>
      </c>
    </row>
    <row r="44" spans="1:8" x14ac:dyDescent="0.25">
      <c r="B44" s="24" t="s">
        <v>525</v>
      </c>
      <c r="C44" s="24" t="s">
        <v>611</v>
      </c>
      <c r="D44" s="25" t="s">
        <v>400</v>
      </c>
      <c r="E44" s="24" t="s">
        <v>3</v>
      </c>
      <c r="F44" s="20" t="str">
        <f t="shared" si="0"/>
        <v/>
      </c>
      <c r="G44" s="23" t="str">
        <f t="shared" si="1"/>
        <v/>
      </c>
    </row>
    <row r="45" spans="1:8" x14ac:dyDescent="0.25">
      <c r="A45" s="15">
        <v>13</v>
      </c>
      <c r="B45" s="24" t="s">
        <v>525</v>
      </c>
      <c r="C45" s="24" t="s">
        <v>612</v>
      </c>
      <c r="D45" s="25" t="s">
        <v>156</v>
      </c>
      <c r="E45" s="24" t="s">
        <v>4</v>
      </c>
      <c r="F45" s="20" t="str">
        <f t="shared" si="0"/>
        <v>https://docs.google.com/uc?export=download&amp;id=1duSPky0rlvzJc2bc1EIrL97a3m9kzgzL</v>
      </c>
      <c r="G45" s="23" t="str">
        <f t="shared" si="1"/>
        <v>1duSPky0rlvzJc2bc1EIrL97a3m9kzgzL</v>
      </c>
      <c r="H45" s="21" t="s">
        <v>912</v>
      </c>
    </row>
    <row r="46" spans="1:8" x14ac:dyDescent="0.25">
      <c r="B46" s="24" t="s">
        <v>525</v>
      </c>
      <c r="C46" s="24" t="s">
        <v>613</v>
      </c>
      <c r="D46" s="25" t="s">
        <v>157</v>
      </c>
      <c r="E46" s="24" t="s">
        <v>5</v>
      </c>
      <c r="F46" s="20" t="str">
        <f t="shared" si="0"/>
        <v/>
      </c>
      <c r="G46" s="23" t="str">
        <f t="shared" si="1"/>
        <v/>
      </c>
    </row>
    <row r="47" spans="1:8" x14ac:dyDescent="0.25">
      <c r="B47" s="24" t="s">
        <v>363</v>
      </c>
      <c r="C47" s="24" t="s">
        <v>70</v>
      </c>
      <c r="D47" s="25" t="s">
        <v>401</v>
      </c>
      <c r="E47" s="24" t="s">
        <v>11</v>
      </c>
      <c r="F47" s="20" t="str">
        <f t="shared" si="0"/>
        <v/>
      </c>
      <c r="G47" s="23" t="str">
        <f t="shared" si="1"/>
        <v/>
      </c>
    </row>
    <row r="48" spans="1:8" x14ac:dyDescent="0.25">
      <c r="B48" s="24" t="s">
        <v>24</v>
      </c>
      <c r="C48" s="24" t="s">
        <v>71</v>
      </c>
      <c r="D48" s="25" t="s">
        <v>402</v>
      </c>
      <c r="E48" s="24" t="s">
        <v>3</v>
      </c>
      <c r="F48" s="20" t="str">
        <f t="shared" si="0"/>
        <v/>
      </c>
      <c r="G48" s="23" t="str">
        <f t="shared" si="1"/>
        <v/>
      </c>
    </row>
    <row r="49" spans="1:8" x14ac:dyDescent="0.25">
      <c r="A49" s="15">
        <v>14</v>
      </c>
      <c r="B49" s="24" t="s">
        <v>24</v>
      </c>
      <c r="C49" s="24" t="s">
        <v>72</v>
      </c>
      <c r="D49" s="25" t="s">
        <v>158</v>
      </c>
      <c r="E49" s="24" t="s">
        <v>4</v>
      </c>
      <c r="F49" s="20" t="str">
        <f t="shared" si="0"/>
        <v>https://docs.google.com/uc?export=download&amp;id=1K_SXkWxNXXJ0AJTNaTiHnEdOs_d405K7</v>
      </c>
      <c r="G49" s="23" t="str">
        <f t="shared" si="1"/>
        <v>1K_SXkWxNXXJ0AJTNaTiHnEdOs_d405K7</v>
      </c>
      <c r="H49" s="21" t="s">
        <v>913</v>
      </c>
    </row>
    <row r="50" spans="1:8" x14ac:dyDescent="0.25">
      <c r="B50" s="24" t="s">
        <v>24</v>
      </c>
      <c r="C50" s="24" t="s">
        <v>117</v>
      </c>
      <c r="D50" s="25" t="s">
        <v>159</v>
      </c>
      <c r="E50" s="24" t="s">
        <v>5</v>
      </c>
      <c r="F50" s="20" t="str">
        <f t="shared" si="0"/>
        <v/>
      </c>
      <c r="G50" s="23" t="str">
        <f t="shared" si="1"/>
        <v/>
      </c>
    </row>
    <row r="51" spans="1:8" x14ac:dyDescent="0.25">
      <c r="B51" s="24" t="s">
        <v>25</v>
      </c>
      <c r="C51" s="24" t="s">
        <v>73</v>
      </c>
      <c r="D51" s="25" t="s">
        <v>403</v>
      </c>
      <c r="E51" s="24" t="s">
        <v>3</v>
      </c>
      <c r="F51" s="20" t="str">
        <f t="shared" si="0"/>
        <v/>
      </c>
      <c r="G51" s="23" t="str">
        <f t="shared" si="1"/>
        <v/>
      </c>
    </row>
    <row r="52" spans="1:8" x14ac:dyDescent="0.25">
      <c r="A52" s="15">
        <v>15</v>
      </c>
      <c r="B52" s="24" t="s">
        <v>25</v>
      </c>
      <c r="C52" s="24" t="s">
        <v>74</v>
      </c>
      <c r="D52" s="25" t="s">
        <v>160</v>
      </c>
      <c r="E52" s="24" t="s">
        <v>4</v>
      </c>
      <c r="F52" s="20" t="str">
        <f t="shared" si="0"/>
        <v>https://docs.google.com/uc?export=download&amp;id=18irqKBEXe5JXmXwg6CVzVw_X7VVOnb_Z</v>
      </c>
      <c r="G52" s="23" t="str">
        <f t="shared" si="1"/>
        <v>18irqKBEXe5JXmXwg6CVzVw_X7VVOnb_Z</v>
      </c>
      <c r="H52" s="21" t="s">
        <v>914</v>
      </c>
    </row>
    <row r="53" spans="1:8" x14ac:dyDescent="0.25">
      <c r="B53" s="24" t="s">
        <v>25</v>
      </c>
      <c r="C53" s="24" t="s">
        <v>118</v>
      </c>
      <c r="D53" s="25" t="s">
        <v>161</v>
      </c>
      <c r="E53" s="24" t="s">
        <v>5</v>
      </c>
      <c r="F53" s="20" t="str">
        <f t="shared" si="0"/>
        <v/>
      </c>
      <c r="G53" s="23" t="str">
        <f t="shared" si="1"/>
        <v/>
      </c>
    </row>
    <row r="54" spans="1:8" x14ac:dyDescent="0.25">
      <c r="B54" s="24" t="s">
        <v>26</v>
      </c>
      <c r="C54" s="24" t="s">
        <v>75</v>
      </c>
      <c r="D54" s="25" t="s">
        <v>404</v>
      </c>
      <c r="E54" s="24" t="s">
        <v>3</v>
      </c>
      <c r="F54" s="20" t="str">
        <f t="shared" si="0"/>
        <v/>
      </c>
      <c r="G54" s="23" t="str">
        <f t="shared" si="1"/>
        <v/>
      </c>
    </row>
    <row r="55" spans="1:8" x14ac:dyDescent="0.25">
      <c r="A55" s="15">
        <v>16</v>
      </c>
      <c r="B55" s="24" t="s">
        <v>26</v>
      </c>
      <c r="C55" s="24" t="s">
        <v>76</v>
      </c>
      <c r="D55" s="25" t="s">
        <v>162</v>
      </c>
      <c r="E55" s="24" t="s">
        <v>4</v>
      </c>
      <c r="F55" s="20" t="str">
        <f t="shared" si="0"/>
        <v>https://docs.google.com/uc?export=download&amp;id=1BZ_fD8VBpF8VLRY5SimpIgyUzNdKyKrw</v>
      </c>
      <c r="G55" s="23" t="str">
        <f t="shared" si="1"/>
        <v>1BZ_fD8VBpF8VLRY5SimpIgyUzNdKyKrw</v>
      </c>
      <c r="H55" s="21" t="s">
        <v>915</v>
      </c>
    </row>
    <row r="56" spans="1:8" x14ac:dyDescent="0.25">
      <c r="B56" s="24" t="s">
        <v>26</v>
      </c>
      <c r="C56" s="24" t="s">
        <v>119</v>
      </c>
      <c r="D56" s="25" t="s">
        <v>163</v>
      </c>
      <c r="E56" s="24" t="s">
        <v>5</v>
      </c>
      <c r="F56" s="20" t="str">
        <f t="shared" si="0"/>
        <v/>
      </c>
      <c r="G56" s="23" t="str">
        <f t="shared" si="1"/>
        <v/>
      </c>
    </row>
    <row r="57" spans="1:8" x14ac:dyDescent="0.25">
      <c r="B57" s="24" t="s">
        <v>526</v>
      </c>
      <c r="C57" s="24" t="s">
        <v>614</v>
      </c>
      <c r="D57" s="25" t="s">
        <v>405</v>
      </c>
      <c r="E57" s="24" t="s">
        <v>3</v>
      </c>
      <c r="F57" s="20" t="str">
        <f t="shared" si="0"/>
        <v/>
      </c>
      <c r="G57" s="23" t="str">
        <f t="shared" si="1"/>
        <v/>
      </c>
    </row>
    <row r="58" spans="1:8" x14ac:dyDescent="0.25">
      <c r="A58" s="15">
        <v>17</v>
      </c>
      <c r="B58" s="24" t="s">
        <v>526</v>
      </c>
      <c r="C58" s="24" t="s">
        <v>615</v>
      </c>
      <c r="D58" s="25" t="s">
        <v>164</v>
      </c>
      <c r="E58" s="24" t="s">
        <v>4</v>
      </c>
      <c r="F58" s="20" t="str">
        <f t="shared" si="0"/>
        <v>https://docs.google.com/uc?export=download&amp;id=16U4sDbc4TfGPsIluYRJckpv1XXSD4sG7</v>
      </c>
      <c r="G58" s="23" t="str">
        <f t="shared" si="1"/>
        <v>16U4sDbc4TfGPsIluYRJckpv1XXSD4sG7</v>
      </c>
      <c r="H58" s="21" t="s">
        <v>916</v>
      </c>
    </row>
    <row r="59" spans="1:8" s="10" customFormat="1" x14ac:dyDescent="0.25">
      <c r="A59" s="15"/>
      <c r="B59" s="24" t="s">
        <v>526</v>
      </c>
      <c r="C59" s="24" t="s">
        <v>616</v>
      </c>
      <c r="D59" s="25" t="s">
        <v>165</v>
      </c>
      <c r="E59" s="24" t="s">
        <v>5</v>
      </c>
      <c r="F59" s="20" t="str">
        <f t="shared" si="0"/>
        <v/>
      </c>
      <c r="G59" s="23" t="str">
        <f t="shared" si="1"/>
        <v/>
      </c>
      <c r="H59" s="21"/>
    </row>
    <row r="60" spans="1:8" x14ac:dyDescent="0.25">
      <c r="B60" s="24" t="s">
        <v>364</v>
      </c>
      <c r="C60" s="24" t="s">
        <v>77</v>
      </c>
      <c r="D60" s="25" t="s">
        <v>406</v>
      </c>
      <c r="E60" s="24" t="s">
        <v>11</v>
      </c>
      <c r="F60" s="20" t="str">
        <f t="shared" si="0"/>
        <v/>
      </c>
      <c r="G60" s="23" t="str">
        <f t="shared" si="1"/>
        <v/>
      </c>
    </row>
    <row r="61" spans="1:8" x14ac:dyDescent="0.25">
      <c r="B61" s="24" t="s">
        <v>27</v>
      </c>
      <c r="C61" s="24" t="s">
        <v>78</v>
      </c>
      <c r="D61" s="25" t="s">
        <v>407</v>
      </c>
      <c r="E61" s="24" t="s">
        <v>3</v>
      </c>
      <c r="F61" s="20" t="str">
        <f t="shared" si="0"/>
        <v/>
      </c>
      <c r="G61" s="23" t="str">
        <f t="shared" si="1"/>
        <v/>
      </c>
    </row>
    <row r="62" spans="1:8" x14ac:dyDescent="0.25">
      <c r="A62" s="15">
        <v>18</v>
      </c>
      <c r="B62" s="24" t="s">
        <v>27</v>
      </c>
      <c r="C62" s="24" t="s">
        <v>79</v>
      </c>
      <c r="D62" s="25" t="s">
        <v>166</v>
      </c>
      <c r="E62" s="24" t="s">
        <v>4</v>
      </c>
      <c r="F62" s="20" t="str">
        <f t="shared" si="0"/>
        <v>https://docs.google.com/uc?export=download&amp;id=1Pdwqr-nF_F-QOcGOa5aYa77ZBwWuKOrv</v>
      </c>
      <c r="G62" s="23" t="str">
        <f t="shared" si="1"/>
        <v>1Pdwqr-nF_F-QOcGOa5aYa77ZBwWuKOrv</v>
      </c>
      <c r="H62" s="21" t="s">
        <v>917</v>
      </c>
    </row>
    <row r="63" spans="1:8" x14ac:dyDescent="0.25">
      <c r="B63" s="24" t="s">
        <v>27</v>
      </c>
      <c r="C63" s="24" t="s">
        <v>120</v>
      </c>
      <c r="D63" s="25" t="s">
        <v>167</v>
      </c>
      <c r="E63" s="24" t="s">
        <v>5</v>
      </c>
      <c r="F63" s="20" t="str">
        <f t="shared" si="0"/>
        <v/>
      </c>
      <c r="G63" s="23" t="str">
        <f t="shared" si="1"/>
        <v/>
      </c>
    </row>
    <row r="64" spans="1:8" x14ac:dyDescent="0.25">
      <c r="B64" s="24" t="s">
        <v>28</v>
      </c>
      <c r="C64" s="24" t="s">
        <v>80</v>
      </c>
      <c r="D64" s="25" t="s">
        <v>408</v>
      </c>
      <c r="E64" s="24" t="s">
        <v>3</v>
      </c>
      <c r="F64" s="20" t="str">
        <f t="shared" si="0"/>
        <v/>
      </c>
      <c r="G64" s="23" t="str">
        <f t="shared" si="1"/>
        <v/>
      </c>
    </row>
    <row r="65" spans="1:8" x14ac:dyDescent="0.25">
      <c r="A65" s="15">
        <v>19</v>
      </c>
      <c r="B65" s="24" t="s">
        <v>28</v>
      </c>
      <c r="C65" s="24" t="s">
        <v>81</v>
      </c>
      <c r="D65" s="25" t="s">
        <v>168</v>
      </c>
      <c r="E65" s="24" t="s">
        <v>4</v>
      </c>
      <c r="F65" s="20" t="str">
        <f t="shared" si="0"/>
        <v>https://docs.google.com/uc?export=download&amp;id=1CEAfca8WRB2NnOxkqv4U220-mUPrDWuk</v>
      </c>
      <c r="G65" s="23" t="str">
        <f t="shared" si="1"/>
        <v>1CEAfca8WRB2NnOxkqv4U220-mUPrDWuk</v>
      </c>
      <c r="H65" s="21" t="s">
        <v>918</v>
      </c>
    </row>
    <row r="66" spans="1:8" x14ac:dyDescent="0.25">
      <c r="B66" s="24" t="s">
        <v>28</v>
      </c>
      <c r="C66" s="24" t="s">
        <v>121</v>
      </c>
      <c r="D66" s="25" t="s">
        <v>169</v>
      </c>
      <c r="E66" s="24" t="s">
        <v>5</v>
      </c>
      <c r="F66" s="20" t="str">
        <f t="shared" si="0"/>
        <v/>
      </c>
      <c r="G66" s="23" t="str">
        <f t="shared" si="1"/>
        <v/>
      </c>
    </row>
    <row r="67" spans="1:8" x14ac:dyDescent="0.25">
      <c r="B67" s="24" t="s">
        <v>29</v>
      </c>
      <c r="C67" s="24" t="s">
        <v>82</v>
      </c>
      <c r="D67" s="25" t="s">
        <v>891</v>
      </c>
      <c r="E67" s="24" t="s">
        <v>3</v>
      </c>
      <c r="F67" s="20" t="str">
        <f t="shared" si="0"/>
        <v/>
      </c>
      <c r="G67" s="23" t="str">
        <f t="shared" si="1"/>
        <v/>
      </c>
    </row>
    <row r="68" spans="1:8" x14ac:dyDescent="0.25">
      <c r="A68" s="15">
        <v>20</v>
      </c>
      <c r="B68" s="24" t="s">
        <v>29</v>
      </c>
      <c r="C68" s="24" t="s">
        <v>83</v>
      </c>
      <c r="D68" s="25" t="s">
        <v>170</v>
      </c>
      <c r="E68" s="24" t="s">
        <v>4</v>
      </c>
      <c r="F68" s="20" t="str">
        <f t="shared" si="0"/>
        <v>https://docs.google.com/uc?export=download&amp;id=1h98AVmF7FFagHgZGckuC84zWc1EQHmIU</v>
      </c>
      <c r="G68" s="23" t="str">
        <f t="shared" si="1"/>
        <v>1h98AVmF7FFagHgZGckuC84zWc1EQHmIU</v>
      </c>
      <c r="H68" s="21" t="s">
        <v>919</v>
      </c>
    </row>
    <row r="69" spans="1:8" x14ac:dyDescent="0.25">
      <c r="B69" s="24" t="s">
        <v>29</v>
      </c>
      <c r="C69" s="24" t="s">
        <v>122</v>
      </c>
      <c r="D69" s="25" t="s">
        <v>171</v>
      </c>
      <c r="E69" s="24" t="s">
        <v>5</v>
      </c>
      <c r="F69" s="20" t="str">
        <f t="shared" ref="F69:F132" si="2">IF(G69="","","https://docs.google.com/uc?export=download&amp;id="&amp;G69)</f>
        <v/>
      </c>
      <c r="G69" s="23" t="str">
        <f t="shared" si="1"/>
        <v/>
      </c>
    </row>
    <row r="70" spans="1:8" x14ac:dyDescent="0.25">
      <c r="B70" s="24" t="s">
        <v>365</v>
      </c>
      <c r="C70" s="24" t="s">
        <v>84</v>
      </c>
      <c r="D70" s="25" t="s">
        <v>409</v>
      </c>
      <c r="E70" s="24" t="s">
        <v>11</v>
      </c>
      <c r="F70" s="20" t="str">
        <f t="shared" si="2"/>
        <v/>
      </c>
      <c r="G70" s="23" t="str">
        <f t="shared" ref="G70:G133" si="3">IFERROR(LEFT(RIGHT(H70,LEN(H70)-32),LEN(RIGHT(H70,LEN(H70)-32))-17),"")</f>
        <v/>
      </c>
    </row>
    <row r="71" spans="1:8" x14ac:dyDescent="0.25">
      <c r="B71" s="24" t="s">
        <v>30</v>
      </c>
      <c r="C71" s="24" t="s">
        <v>85</v>
      </c>
      <c r="D71" s="25" t="s">
        <v>410</v>
      </c>
      <c r="E71" s="24" t="s">
        <v>3</v>
      </c>
      <c r="F71" s="20" t="str">
        <f t="shared" si="2"/>
        <v/>
      </c>
      <c r="G71" s="23" t="str">
        <f t="shared" si="3"/>
        <v/>
      </c>
    </row>
    <row r="72" spans="1:8" s="10" customFormat="1" x14ac:dyDescent="0.25">
      <c r="A72" s="15">
        <v>21</v>
      </c>
      <c r="B72" s="24" t="s">
        <v>30</v>
      </c>
      <c r="C72" s="24" t="s">
        <v>86</v>
      </c>
      <c r="D72" s="25" t="s">
        <v>172</v>
      </c>
      <c r="E72" s="24" t="s">
        <v>4</v>
      </c>
      <c r="F72" s="20" t="str">
        <f t="shared" si="2"/>
        <v>https://docs.google.com/uc?export=download&amp;id=1Hi-7EvY5N8AZyGuUQ8Ef4hMDrxqlxWQx</v>
      </c>
      <c r="G72" s="23" t="str">
        <f t="shared" si="3"/>
        <v>1Hi-7EvY5N8AZyGuUQ8Ef4hMDrxqlxWQx</v>
      </c>
      <c r="H72" s="21" t="s">
        <v>920</v>
      </c>
    </row>
    <row r="73" spans="1:8" x14ac:dyDescent="0.25">
      <c r="B73" s="24" t="s">
        <v>30</v>
      </c>
      <c r="C73" s="24" t="s">
        <v>123</v>
      </c>
      <c r="D73" s="25" t="s">
        <v>173</v>
      </c>
      <c r="E73" s="24" t="s">
        <v>5</v>
      </c>
      <c r="F73" s="20" t="str">
        <f t="shared" si="2"/>
        <v/>
      </c>
      <c r="G73" s="23" t="str">
        <f t="shared" si="3"/>
        <v/>
      </c>
    </row>
    <row r="74" spans="1:8" x14ac:dyDescent="0.25">
      <c r="B74" s="24" t="s">
        <v>31</v>
      </c>
      <c r="C74" s="24" t="s">
        <v>87</v>
      </c>
      <c r="D74" s="25" t="s">
        <v>411</v>
      </c>
      <c r="E74" s="24" t="s">
        <v>3</v>
      </c>
      <c r="F74" s="20" t="str">
        <f t="shared" si="2"/>
        <v/>
      </c>
      <c r="G74" s="23" t="str">
        <f t="shared" si="3"/>
        <v/>
      </c>
    </row>
    <row r="75" spans="1:8" x14ac:dyDescent="0.25">
      <c r="A75" s="15">
        <v>22</v>
      </c>
      <c r="B75" s="24" t="s">
        <v>31</v>
      </c>
      <c r="C75" s="24" t="s">
        <v>88</v>
      </c>
      <c r="D75" s="25" t="s">
        <v>174</v>
      </c>
      <c r="E75" s="24" t="s">
        <v>4</v>
      </c>
      <c r="F75" s="20" t="str">
        <f t="shared" si="2"/>
        <v>https://docs.google.com/uc?export=download&amp;id=1-KLcdPgiKvFnxfsqmwqpW1mfDG56FTe1</v>
      </c>
      <c r="G75" s="23" t="str">
        <f t="shared" si="3"/>
        <v>1-KLcdPgiKvFnxfsqmwqpW1mfDG56FTe1</v>
      </c>
      <c r="H75" s="21" t="s">
        <v>921</v>
      </c>
    </row>
    <row r="76" spans="1:8" x14ac:dyDescent="0.25">
      <c r="B76" s="24" t="s">
        <v>31</v>
      </c>
      <c r="C76" s="24" t="s">
        <v>124</v>
      </c>
      <c r="D76" s="25" t="s">
        <v>175</v>
      </c>
      <c r="E76" s="24" t="s">
        <v>5</v>
      </c>
      <c r="F76" s="20" t="str">
        <f t="shared" si="2"/>
        <v/>
      </c>
      <c r="G76" s="23" t="str">
        <f t="shared" si="3"/>
        <v/>
      </c>
    </row>
    <row r="77" spans="1:8" x14ac:dyDescent="0.25">
      <c r="B77" s="24" t="s">
        <v>32</v>
      </c>
      <c r="C77" s="24" t="s">
        <v>89</v>
      </c>
      <c r="D77" s="25" t="s">
        <v>412</v>
      </c>
      <c r="E77" s="24" t="s">
        <v>3</v>
      </c>
      <c r="F77" s="20" t="str">
        <f t="shared" si="2"/>
        <v/>
      </c>
      <c r="G77" s="23" t="str">
        <f t="shared" si="3"/>
        <v/>
      </c>
    </row>
    <row r="78" spans="1:8" x14ac:dyDescent="0.25">
      <c r="A78" s="15">
        <v>23</v>
      </c>
      <c r="B78" s="24" t="s">
        <v>32</v>
      </c>
      <c r="C78" s="24" t="s">
        <v>90</v>
      </c>
      <c r="D78" s="25" t="s">
        <v>176</v>
      </c>
      <c r="E78" s="24" t="s">
        <v>4</v>
      </c>
      <c r="F78" s="20" t="str">
        <f t="shared" si="2"/>
        <v>https://docs.google.com/uc?export=download&amp;id=11q7TK0mlLvg877mp1iRByx7zc2CP4YT4</v>
      </c>
      <c r="G78" s="23" t="str">
        <f t="shared" si="3"/>
        <v>11q7TK0mlLvg877mp1iRByx7zc2CP4YT4</v>
      </c>
      <c r="H78" s="21" t="s">
        <v>922</v>
      </c>
    </row>
    <row r="79" spans="1:8" x14ac:dyDescent="0.25">
      <c r="B79" s="24" t="s">
        <v>32</v>
      </c>
      <c r="C79" s="24" t="s">
        <v>125</v>
      </c>
      <c r="D79" s="25" t="s">
        <v>177</v>
      </c>
      <c r="E79" s="24" t="s">
        <v>5</v>
      </c>
      <c r="F79" s="20" t="str">
        <f t="shared" si="2"/>
        <v/>
      </c>
      <c r="G79" s="23" t="str">
        <f t="shared" si="3"/>
        <v/>
      </c>
    </row>
    <row r="80" spans="1:8" x14ac:dyDescent="0.25">
      <c r="B80" s="24" t="s">
        <v>527</v>
      </c>
      <c r="C80" s="24" t="s">
        <v>617</v>
      </c>
      <c r="D80" s="25" t="s">
        <v>413</v>
      </c>
      <c r="E80" s="24" t="s">
        <v>3</v>
      </c>
      <c r="F80" s="20" t="str">
        <f t="shared" si="2"/>
        <v/>
      </c>
      <c r="G80" s="23" t="str">
        <f t="shared" si="3"/>
        <v/>
      </c>
    </row>
    <row r="81" spans="1:8" x14ac:dyDescent="0.25">
      <c r="A81" s="15">
        <v>24</v>
      </c>
      <c r="B81" s="24" t="s">
        <v>527</v>
      </c>
      <c r="C81" s="24" t="s">
        <v>618</v>
      </c>
      <c r="D81" s="25" t="s">
        <v>178</v>
      </c>
      <c r="E81" s="24" t="s">
        <v>4</v>
      </c>
      <c r="F81" s="20" t="str">
        <f t="shared" si="2"/>
        <v>https://docs.google.com/uc?export=download&amp;id=1t6CaiBNwjQWb1FGl80iME44P-Vx0pj54</v>
      </c>
      <c r="G81" s="23" t="str">
        <f t="shared" si="3"/>
        <v>1t6CaiBNwjQWb1FGl80iME44P-Vx0pj54</v>
      </c>
      <c r="H81" s="21" t="s">
        <v>923</v>
      </c>
    </row>
    <row r="82" spans="1:8" x14ac:dyDescent="0.25">
      <c r="B82" s="24" t="s">
        <v>527</v>
      </c>
      <c r="C82" s="24" t="s">
        <v>619</v>
      </c>
      <c r="D82" s="25" t="s">
        <v>179</v>
      </c>
      <c r="E82" s="24" t="s">
        <v>5</v>
      </c>
      <c r="F82" s="20" t="str">
        <f t="shared" si="2"/>
        <v/>
      </c>
      <c r="G82" s="23" t="str">
        <f t="shared" si="3"/>
        <v/>
      </c>
    </row>
    <row r="83" spans="1:8" x14ac:dyDescent="0.25">
      <c r="B83" s="24" t="s">
        <v>528</v>
      </c>
      <c r="C83" s="24" t="s">
        <v>620</v>
      </c>
      <c r="D83" s="25" t="s">
        <v>414</v>
      </c>
      <c r="E83" s="24" t="s">
        <v>3</v>
      </c>
      <c r="F83" s="20" t="str">
        <f t="shared" si="2"/>
        <v/>
      </c>
      <c r="G83" s="23" t="str">
        <f t="shared" si="3"/>
        <v/>
      </c>
    </row>
    <row r="84" spans="1:8" x14ac:dyDescent="0.25">
      <c r="A84" s="15">
        <v>25</v>
      </c>
      <c r="B84" s="24" t="s">
        <v>528</v>
      </c>
      <c r="C84" s="24" t="s">
        <v>621</v>
      </c>
      <c r="D84" s="25" t="s">
        <v>180</v>
      </c>
      <c r="E84" s="24" t="s">
        <v>4</v>
      </c>
      <c r="F84" s="20" t="str">
        <f t="shared" si="2"/>
        <v>https://docs.google.com/uc?export=download&amp;id=1QNeY8843Yo-_HkCaIoK-2fzbWC_8zoAz</v>
      </c>
      <c r="G84" s="23" t="str">
        <f t="shared" si="3"/>
        <v>1QNeY8843Yo-_HkCaIoK-2fzbWC_8zoAz</v>
      </c>
      <c r="H84" s="21" t="s">
        <v>924</v>
      </c>
    </row>
    <row r="85" spans="1:8" s="10" customFormat="1" x14ac:dyDescent="0.25">
      <c r="A85" s="15"/>
      <c r="B85" s="24" t="s">
        <v>528</v>
      </c>
      <c r="C85" s="24" t="s">
        <v>622</v>
      </c>
      <c r="D85" s="25" t="s">
        <v>181</v>
      </c>
      <c r="E85" s="24" t="s">
        <v>5</v>
      </c>
      <c r="F85" s="20" t="str">
        <f t="shared" si="2"/>
        <v/>
      </c>
      <c r="G85" s="23" t="str">
        <f t="shared" si="3"/>
        <v/>
      </c>
      <c r="H85" s="21"/>
    </row>
    <row r="86" spans="1:8" x14ac:dyDescent="0.25">
      <c r="B86" s="24" t="s">
        <v>529</v>
      </c>
      <c r="C86" s="24" t="s">
        <v>623</v>
      </c>
      <c r="D86" s="25" t="s">
        <v>415</v>
      </c>
      <c r="E86" s="24" t="s">
        <v>3</v>
      </c>
      <c r="F86" s="20" t="str">
        <f t="shared" si="2"/>
        <v/>
      </c>
      <c r="G86" s="23" t="str">
        <f t="shared" si="3"/>
        <v/>
      </c>
    </row>
    <row r="87" spans="1:8" x14ac:dyDescent="0.25">
      <c r="A87" s="15">
        <v>26</v>
      </c>
      <c r="B87" s="24" t="s">
        <v>529</v>
      </c>
      <c r="C87" s="24" t="s">
        <v>624</v>
      </c>
      <c r="D87" s="25" t="s">
        <v>182</v>
      </c>
      <c r="E87" s="24" t="s">
        <v>4</v>
      </c>
      <c r="F87" s="20" t="str">
        <f t="shared" si="2"/>
        <v>https://docs.google.com/uc?export=download&amp;id=1NJvYVNRCMzCquMCZ8taKojAgwibSNnnH</v>
      </c>
      <c r="G87" s="23" t="str">
        <f t="shared" si="3"/>
        <v>1NJvYVNRCMzCquMCZ8taKojAgwibSNnnH</v>
      </c>
      <c r="H87" s="21" t="s">
        <v>925</v>
      </c>
    </row>
    <row r="88" spans="1:8" x14ac:dyDescent="0.25">
      <c r="B88" s="24" t="s">
        <v>529</v>
      </c>
      <c r="C88" s="24" t="s">
        <v>625</v>
      </c>
      <c r="D88" s="25" t="s">
        <v>183</v>
      </c>
      <c r="E88" s="24" t="s">
        <v>5</v>
      </c>
      <c r="F88" s="20" t="str">
        <f t="shared" si="2"/>
        <v/>
      </c>
      <c r="G88" s="23" t="str">
        <f t="shared" si="3"/>
        <v/>
      </c>
    </row>
    <row r="89" spans="1:8" x14ac:dyDescent="0.25">
      <c r="B89" s="24" t="s">
        <v>366</v>
      </c>
      <c r="C89" s="24" t="s">
        <v>91</v>
      </c>
      <c r="D89" s="25" t="s">
        <v>416</v>
      </c>
      <c r="E89" s="24" t="s">
        <v>11</v>
      </c>
      <c r="F89" s="20" t="str">
        <f t="shared" si="2"/>
        <v/>
      </c>
      <c r="G89" s="23" t="str">
        <f t="shared" si="3"/>
        <v/>
      </c>
    </row>
    <row r="90" spans="1:8" x14ac:dyDescent="0.25">
      <c r="B90" s="24" t="s">
        <v>33</v>
      </c>
      <c r="C90" s="24" t="s">
        <v>92</v>
      </c>
      <c r="D90" s="25" t="s">
        <v>417</v>
      </c>
      <c r="E90" s="24" t="s">
        <v>3</v>
      </c>
      <c r="F90" s="20" t="str">
        <f t="shared" si="2"/>
        <v/>
      </c>
      <c r="G90" s="23" t="str">
        <f t="shared" si="3"/>
        <v/>
      </c>
    </row>
    <row r="91" spans="1:8" x14ac:dyDescent="0.25">
      <c r="A91" s="15">
        <v>27</v>
      </c>
      <c r="B91" s="24" t="s">
        <v>33</v>
      </c>
      <c r="C91" s="24" t="s">
        <v>93</v>
      </c>
      <c r="D91" s="25" t="s">
        <v>184</v>
      </c>
      <c r="E91" s="24" t="s">
        <v>4</v>
      </c>
      <c r="F91" s="20" t="str">
        <f t="shared" si="2"/>
        <v>https://docs.google.com/uc?export=download&amp;id=1egLFTmlmpsrVtWdYhpCBIsdUEsOL07-I</v>
      </c>
      <c r="G91" s="23" t="str">
        <f t="shared" si="3"/>
        <v>1egLFTmlmpsrVtWdYhpCBIsdUEsOL07-I</v>
      </c>
      <c r="H91" s="21" t="s">
        <v>926</v>
      </c>
    </row>
    <row r="92" spans="1:8" x14ac:dyDescent="0.25">
      <c r="B92" s="24" t="s">
        <v>33</v>
      </c>
      <c r="C92" s="24" t="s">
        <v>126</v>
      </c>
      <c r="D92" s="25" t="s">
        <v>185</v>
      </c>
      <c r="E92" s="24" t="s">
        <v>5</v>
      </c>
      <c r="F92" s="20" t="str">
        <f t="shared" si="2"/>
        <v/>
      </c>
      <c r="G92" s="23" t="str">
        <f t="shared" si="3"/>
        <v/>
      </c>
    </row>
    <row r="93" spans="1:8" x14ac:dyDescent="0.25">
      <c r="B93" s="24" t="s">
        <v>34</v>
      </c>
      <c r="C93" s="24" t="s">
        <v>94</v>
      </c>
      <c r="D93" s="25" t="s">
        <v>418</v>
      </c>
      <c r="E93" s="24" t="s">
        <v>3</v>
      </c>
      <c r="F93" s="20" t="str">
        <f t="shared" si="2"/>
        <v/>
      </c>
      <c r="G93" s="23" t="str">
        <f t="shared" si="3"/>
        <v/>
      </c>
    </row>
    <row r="94" spans="1:8" x14ac:dyDescent="0.25">
      <c r="A94" s="15">
        <v>28</v>
      </c>
      <c r="B94" s="24" t="s">
        <v>34</v>
      </c>
      <c r="C94" s="24" t="s">
        <v>95</v>
      </c>
      <c r="D94" s="25" t="s">
        <v>186</v>
      </c>
      <c r="E94" s="24" t="s">
        <v>4</v>
      </c>
      <c r="F94" s="20" t="str">
        <f t="shared" si="2"/>
        <v>https://docs.google.com/uc?export=download&amp;id=1_9TiGJc8K06dpV1GzXV3XRgvfILWxDGN</v>
      </c>
      <c r="G94" s="23" t="str">
        <f t="shared" si="3"/>
        <v>1_9TiGJc8K06dpV1GzXV3XRgvfILWxDGN</v>
      </c>
      <c r="H94" s="21" t="s">
        <v>927</v>
      </c>
    </row>
    <row r="95" spans="1:8" x14ac:dyDescent="0.25">
      <c r="B95" s="24" t="s">
        <v>34</v>
      </c>
      <c r="C95" s="24" t="s">
        <v>127</v>
      </c>
      <c r="D95" s="25" t="s">
        <v>187</v>
      </c>
      <c r="E95" s="24" t="s">
        <v>5</v>
      </c>
      <c r="F95" s="20" t="str">
        <f t="shared" si="2"/>
        <v/>
      </c>
      <c r="G95" s="23" t="str">
        <f t="shared" si="3"/>
        <v/>
      </c>
    </row>
    <row r="96" spans="1:8" x14ac:dyDescent="0.25">
      <c r="B96" s="24" t="s">
        <v>35</v>
      </c>
      <c r="C96" s="24" t="s">
        <v>96</v>
      </c>
      <c r="D96" s="25" t="s">
        <v>419</v>
      </c>
      <c r="E96" s="24" t="s">
        <v>3</v>
      </c>
      <c r="F96" s="20" t="str">
        <f t="shared" si="2"/>
        <v/>
      </c>
      <c r="G96" s="23" t="str">
        <f t="shared" si="3"/>
        <v/>
      </c>
    </row>
    <row r="97" spans="1:8" x14ac:dyDescent="0.25">
      <c r="A97" s="15">
        <v>29</v>
      </c>
      <c r="B97" s="24" t="s">
        <v>35</v>
      </c>
      <c r="C97" s="24" t="s">
        <v>97</v>
      </c>
      <c r="D97" s="25" t="s">
        <v>188</v>
      </c>
      <c r="E97" s="24" t="s">
        <v>4</v>
      </c>
      <c r="F97" s="20" t="str">
        <f t="shared" si="2"/>
        <v>https://docs.google.com/uc?export=download&amp;id=19GUuD90KQ_MBZ8o2DMfUqWMBWRtsbd_L</v>
      </c>
      <c r="G97" s="23" t="str">
        <f t="shared" si="3"/>
        <v>19GUuD90KQ_MBZ8o2DMfUqWMBWRtsbd_L</v>
      </c>
      <c r="H97" s="21" t="s">
        <v>928</v>
      </c>
    </row>
    <row r="98" spans="1:8" x14ac:dyDescent="0.25">
      <c r="B98" s="24" t="s">
        <v>35</v>
      </c>
      <c r="C98" s="24" t="s">
        <v>128</v>
      </c>
      <c r="D98" s="25" t="s">
        <v>189</v>
      </c>
      <c r="E98" s="24" t="s">
        <v>5</v>
      </c>
      <c r="F98" s="20" t="str">
        <f t="shared" si="2"/>
        <v/>
      </c>
      <c r="G98" s="23" t="str">
        <f t="shared" si="3"/>
        <v/>
      </c>
    </row>
    <row r="99" spans="1:8" x14ac:dyDescent="0.25">
      <c r="B99" s="24" t="s">
        <v>530</v>
      </c>
      <c r="C99" s="24" t="s">
        <v>626</v>
      </c>
      <c r="D99" s="25" t="s">
        <v>420</v>
      </c>
      <c r="E99" s="24" t="s">
        <v>3</v>
      </c>
      <c r="F99" s="20" t="str">
        <f t="shared" si="2"/>
        <v/>
      </c>
      <c r="G99" s="23" t="str">
        <f t="shared" si="3"/>
        <v/>
      </c>
    </row>
    <row r="100" spans="1:8" x14ac:dyDescent="0.25">
      <c r="A100" s="15">
        <v>30</v>
      </c>
      <c r="B100" s="24" t="s">
        <v>530</v>
      </c>
      <c r="C100" s="24" t="s">
        <v>627</v>
      </c>
      <c r="D100" s="25" t="s">
        <v>190</v>
      </c>
      <c r="E100" s="24" t="s">
        <v>4</v>
      </c>
      <c r="F100" s="20" t="str">
        <f t="shared" si="2"/>
        <v>https://docs.google.com/uc?export=download&amp;id=10qnx5nX7h9rFTN284NuyJ5rfGADks6eH</v>
      </c>
      <c r="G100" s="23" t="str">
        <f t="shared" si="3"/>
        <v>10qnx5nX7h9rFTN284NuyJ5rfGADks6eH</v>
      </c>
      <c r="H100" s="21" t="s">
        <v>929</v>
      </c>
    </row>
    <row r="101" spans="1:8" x14ac:dyDescent="0.25">
      <c r="B101" s="24" t="s">
        <v>530</v>
      </c>
      <c r="C101" s="24" t="s">
        <v>628</v>
      </c>
      <c r="D101" s="25" t="s">
        <v>191</v>
      </c>
      <c r="E101" s="24" t="s">
        <v>5</v>
      </c>
      <c r="F101" s="20" t="str">
        <f t="shared" si="2"/>
        <v/>
      </c>
      <c r="G101" s="23" t="str">
        <f t="shared" si="3"/>
        <v/>
      </c>
    </row>
    <row r="102" spans="1:8" x14ac:dyDescent="0.25">
      <c r="B102" s="24" t="s">
        <v>367</v>
      </c>
      <c r="C102" s="24" t="s">
        <v>98</v>
      </c>
      <c r="D102" s="25" t="s">
        <v>421</v>
      </c>
      <c r="E102" s="24" t="s">
        <v>11</v>
      </c>
      <c r="F102" s="20" t="str">
        <f t="shared" si="2"/>
        <v/>
      </c>
      <c r="G102" s="23" t="str">
        <f t="shared" si="3"/>
        <v/>
      </c>
    </row>
    <row r="103" spans="1:8" x14ac:dyDescent="0.25">
      <c r="B103" s="24" t="s">
        <v>36</v>
      </c>
      <c r="C103" s="24" t="s">
        <v>99</v>
      </c>
      <c r="D103" s="25" t="s">
        <v>422</v>
      </c>
      <c r="E103" s="24" t="s">
        <v>3</v>
      </c>
      <c r="F103" s="20" t="str">
        <f t="shared" si="2"/>
        <v/>
      </c>
      <c r="G103" s="23" t="str">
        <f t="shared" si="3"/>
        <v/>
      </c>
    </row>
    <row r="104" spans="1:8" x14ac:dyDescent="0.25">
      <c r="A104" s="15">
        <v>31</v>
      </c>
      <c r="B104" s="24" t="s">
        <v>36</v>
      </c>
      <c r="C104" s="24" t="s">
        <v>100</v>
      </c>
      <c r="D104" s="25" t="s">
        <v>192</v>
      </c>
      <c r="E104" s="24" t="s">
        <v>4</v>
      </c>
      <c r="F104" s="20" t="str">
        <f t="shared" si="2"/>
        <v>https://docs.google.com/uc?export=download&amp;id=1h_eJe2IqK_Mp4yX6InThdeFPZbjMCRsf</v>
      </c>
      <c r="G104" s="23" t="str">
        <f t="shared" si="3"/>
        <v>1h_eJe2IqK_Mp4yX6InThdeFPZbjMCRsf</v>
      </c>
      <c r="H104" s="21" t="s">
        <v>930</v>
      </c>
    </row>
    <row r="105" spans="1:8" x14ac:dyDescent="0.25">
      <c r="B105" s="24" t="s">
        <v>36</v>
      </c>
      <c r="C105" s="24" t="s">
        <v>129</v>
      </c>
      <c r="D105" s="25" t="s">
        <v>193</v>
      </c>
      <c r="E105" s="24" t="s">
        <v>5</v>
      </c>
      <c r="F105" s="20" t="str">
        <f t="shared" si="2"/>
        <v/>
      </c>
      <c r="G105" s="23" t="str">
        <f t="shared" si="3"/>
        <v/>
      </c>
    </row>
    <row r="106" spans="1:8" x14ac:dyDescent="0.25">
      <c r="B106" s="24" t="s">
        <v>37</v>
      </c>
      <c r="C106" s="24" t="s">
        <v>101</v>
      </c>
      <c r="D106" s="25" t="s">
        <v>423</v>
      </c>
      <c r="E106" s="24" t="s">
        <v>3</v>
      </c>
      <c r="F106" s="20" t="str">
        <f t="shared" si="2"/>
        <v/>
      </c>
      <c r="G106" s="23" t="str">
        <f t="shared" si="3"/>
        <v/>
      </c>
    </row>
    <row r="107" spans="1:8" x14ac:dyDescent="0.25">
      <c r="A107" s="15">
        <v>32</v>
      </c>
      <c r="B107" s="24" t="s">
        <v>37</v>
      </c>
      <c r="C107" s="24" t="s">
        <v>102</v>
      </c>
      <c r="D107" s="25" t="s">
        <v>194</v>
      </c>
      <c r="E107" s="24" t="s">
        <v>4</v>
      </c>
      <c r="F107" s="20" t="str">
        <f t="shared" si="2"/>
        <v>https://docs.google.com/uc?export=download&amp;id=16gd7snPVJgArNQqVjgDGN-KQTpAfCON5</v>
      </c>
      <c r="G107" s="23" t="str">
        <f t="shared" si="3"/>
        <v>16gd7snPVJgArNQqVjgDGN-KQTpAfCON5</v>
      </c>
      <c r="H107" s="21" t="s">
        <v>931</v>
      </c>
    </row>
    <row r="108" spans="1:8" x14ac:dyDescent="0.25">
      <c r="B108" s="24" t="s">
        <v>37</v>
      </c>
      <c r="C108" s="24" t="s">
        <v>130</v>
      </c>
      <c r="D108" s="25" t="s">
        <v>195</v>
      </c>
      <c r="E108" s="24" t="s">
        <v>5</v>
      </c>
      <c r="F108" s="20" t="str">
        <f t="shared" si="2"/>
        <v/>
      </c>
      <c r="G108" s="23" t="str">
        <f t="shared" si="3"/>
        <v/>
      </c>
    </row>
    <row r="109" spans="1:8" x14ac:dyDescent="0.25">
      <c r="B109" s="24" t="s">
        <v>38</v>
      </c>
      <c r="C109" s="24" t="s">
        <v>103</v>
      </c>
      <c r="D109" s="25" t="s">
        <v>424</v>
      </c>
      <c r="E109" s="24" t="s">
        <v>3</v>
      </c>
      <c r="F109" s="20" t="str">
        <f t="shared" si="2"/>
        <v/>
      </c>
      <c r="G109" s="23" t="str">
        <f t="shared" si="3"/>
        <v/>
      </c>
    </row>
    <row r="110" spans="1:8" x14ac:dyDescent="0.25">
      <c r="A110" s="15">
        <v>33</v>
      </c>
      <c r="B110" s="24" t="s">
        <v>38</v>
      </c>
      <c r="C110" s="24" t="s">
        <v>104</v>
      </c>
      <c r="D110" s="25" t="s">
        <v>196</v>
      </c>
      <c r="E110" s="24" t="s">
        <v>4</v>
      </c>
      <c r="F110" s="20" t="str">
        <f t="shared" si="2"/>
        <v>https://docs.google.com/uc?export=download&amp;id=18AfqgNPhSPc75Y2ziwFLFdj5OWfoJhVp</v>
      </c>
      <c r="G110" s="23" t="str">
        <f t="shared" si="3"/>
        <v>18AfqgNPhSPc75Y2ziwFLFdj5OWfoJhVp</v>
      </c>
      <c r="H110" s="21" t="s">
        <v>932</v>
      </c>
    </row>
    <row r="111" spans="1:8" x14ac:dyDescent="0.25">
      <c r="B111" s="24" t="s">
        <v>38</v>
      </c>
      <c r="C111" s="24" t="s">
        <v>131</v>
      </c>
      <c r="D111" s="25" t="s">
        <v>197</v>
      </c>
      <c r="E111" s="24" t="s">
        <v>5</v>
      </c>
      <c r="F111" s="20" t="str">
        <f t="shared" si="2"/>
        <v/>
      </c>
      <c r="G111" s="23" t="str">
        <f t="shared" si="3"/>
        <v/>
      </c>
    </row>
    <row r="112" spans="1:8" x14ac:dyDescent="0.25">
      <c r="B112" s="24" t="s">
        <v>368</v>
      </c>
      <c r="C112" s="24" t="s">
        <v>629</v>
      </c>
      <c r="D112" s="25" t="s">
        <v>425</v>
      </c>
      <c r="E112" s="24" t="s">
        <v>11</v>
      </c>
      <c r="F112" s="20" t="str">
        <f t="shared" si="2"/>
        <v/>
      </c>
      <c r="G112" s="23" t="str">
        <f t="shared" si="3"/>
        <v/>
      </c>
    </row>
    <row r="113" spans="1:8" x14ac:dyDescent="0.25">
      <c r="B113" s="24" t="s">
        <v>531</v>
      </c>
      <c r="C113" s="24" t="s">
        <v>630</v>
      </c>
      <c r="D113" s="25" t="s">
        <v>426</v>
      </c>
      <c r="E113" s="24" t="s">
        <v>3</v>
      </c>
      <c r="F113" s="20" t="str">
        <f t="shared" si="2"/>
        <v/>
      </c>
      <c r="G113" s="23" t="str">
        <f t="shared" si="3"/>
        <v/>
      </c>
    </row>
    <row r="114" spans="1:8" x14ac:dyDescent="0.25">
      <c r="A114" s="15">
        <v>34</v>
      </c>
      <c r="B114" s="24" t="s">
        <v>531</v>
      </c>
      <c r="C114" s="24" t="s">
        <v>631</v>
      </c>
      <c r="D114" s="25" t="s">
        <v>198</v>
      </c>
      <c r="E114" s="24" t="s">
        <v>4</v>
      </c>
      <c r="F114" s="20" t="str">
        <f t="shared" si="2"/>
        <v>https://docs.google.com/uc?export=download&amp;id=1qBlk-ikJMGlPRt4rhC4f72JEmAHmAzvI</v>
      </c>
      <c r="G114" s="23" t="str">
        <f t="shared" si="3"/>
        <v>1qBlk-ikJMGlPRt4rhC4f72JEmAHmAzvI</v>
      </c>
      <c r="H114" s="20" t="s">
        <v>933</v>
      </c>
    </row>
    <row r="115" spans="1:8" x14ac:dyDescent="0.25">
      <c r="B115" s="24" t="s">
        <v>531</v>
      </c>
      <c r="C115" s="24" t="s">
        <v>632</v>
      </c>
      <c r="D115" s="25" t="s">
        <v>199</v>
      </c>
      <c r="E115" s="24" t="s">
        <v>5</v>
      </c>
      <c r="F115" s="20" t="str">
        <f t="shared" si="2"/>
        <v/>
      </c>
      <c r="G115" s="23" t="str">
        <f t="shared" si="3"/>
        <v/>
      </c>
    </row>
    <row r="116" spans="1:8" x14ac:dyDescent="0.25">
      <c r="B116" s="24" t="s">
        <v>532</v>
      </c>
      <c r="C116" s="24" t="s">
        <v>633</v>
      </c>
      <c r="D116" s="25" t="s">
        <v>427</v>
      </c>
      <c r="E116" s="24" t="s">
        <v>3</v>
      </c>
      <c r="F116" s="20" t="str">
        <f t="shared" si="2"/>
        <v/>
      </c>
      <c r="G116" s="23" t="str">
        <f t="shared" si="3"/>
        <v/>
      </c>
    </row>
    <row r="117" spans="1:8" x14ac:dyDescent="0.25">
      <c r="A117" s="15">
        <v>35</v>
      </c>
      <c r="B117" s="24" t="s">
        <v>532</v>
      </c>
      <c r="C117" s="24" t="s">
        <v>634</v>
      </c>
      <c r="D117" s="25" t="s">
        <v>200</v>
      </c>
      <c r="E117" s="24" t="s">
        <v>4</v>
      </c>
      <c r="F117" s="20" t="str">
        <f t="shared" si="2"/>
        <v>https://docs.google.com/uc?export=download&amp;id=1nGviwsBhUbtnXjEHqQhqu8Hy2KIBI0Mb</v>
      </c>
      <c r="G117" s="23" t="str">
        <f t="shared" si="3"/>
        <v>1nGviwsBhUbtnXjEHqQhqu8Hy2KIBI0Mb</v>
      </c>
      <c r="H117" s="21" t="s">
        <v>934</v>
      </c>
    </row>
    <row r="118" spans="1:8" x14ac:dyDescent="0.25">
      <c r="B118" s="24" t="s">
        <v>532</v>
      </c>
      <c r="C118" s="24" t="s">
        <v>635</v>
      </c>
      <c r="D118" s="25" t="s">
        <v>201</v>
      </c>
      <c r="E118" s="24" t="s">
        <v>5</v>
      </c>
      <c r="F118" s="20" t="str">
        <f t="shared" si="2"/>
        <v/>
      </c>
      <c r="G118" s="23" t="str">
        <f t="shared" si="3"/>
        <v/>
      </c>
    </row>
    <row r="119" spans="1:8" x14ac:dyDescent="0.25">
      <c r="B119" s="24" t="s">
        <v>533</v>
      </c>
      <c r="C119" s="24" t="s">
        <v>636</v>
      </c>
      <c r="D119" s="25" t="s">
        <v>428</v>
      </c>
      <c r="E119" s="24" t="s">
        <v>3</v>
      </c>
      <c r="F119" s="20" t="str">
        <f t="shared" si="2"/>
        <v/>
      </c>
      <c r="G119" s="23" t="str">
        <f t="shared" si="3"/>
        <v/>
      </c>
    </row>
    <row r="120" spans="1:8" x14ac:dyDescent="0.25">
      <c r="A120" s="15">
        <v>36</v>
      </c>
      <c r="B120" s="24" t="s">
        <v>533</v>
      </c>
      <c r="C120" s="24" t="s">
        <v>637</v>
      </c>
      <c r="D120" s="25" t="s">
        <v>202</v>
      </c>
      <c r="E120" s="24" t="s">
        <v>4</v>
      </c>
      <c r="F120" s="20" t="str">
        <f t="shared" si="2"/>
        <v>https://docs.google.com/uc?export=download&amp;id=1ZFgaoMIUs5EOMs32EojUmoUG1FkUoe3S</v>
      </c>
      <c r="G120" s="23" t="str">
        <f t="shared" si="3"/>
        <v>1ZFgaoMIUs5EOMs32EojUmoUG1FkUoe3S</v>
      </c>
      <c r="H120" s="21" t="s">
        <v>935</v>
      </c>
    </row>
    <row r="121" spans="1:8" x14ac:dyDescent="0.25">
      <c r="B121" s="24" t="s">
        <v>533</v>
      </c>
      <c r="C121" s="24" t="s">
        <v>638</v>
      </c>
      <c r="D121" s="25" t="s">
        <v>203</v>
      </c>
      <c r="E121" s="24" t="s">
        <v>5</v>
      </c>
      <c r="F121" s="20" t="str">
        <f t="shared" si="2"/>
        <v/>
      </c>
      <c r="G121" s="23" t="str">
        <f t="shared" si="3"/>
        <v/>
      </c>
    </row>
    <row r="122" spans="1:8" x14ac:dyDescent="0.25">
      <c r="B122" s="24" t="s">
        <v>534</v>
      </c>
      <c r="C122" s="24" t="s">
        <v>639</v>
      </c>
      <c r="D122" s="25" t="s">
        <v>429</v>
      </c>
      <c r="E122" s="24" t="s">
        <v>3</v>
      </c>
      <c r="F122" s="20" t="str">
        <f t="shared" si="2"/>
        <v/>
      </c>
      <c r="G122" s="23" t="str">
        <f t="shared" si="3"/>
        <v/>
      </c>
    </row>
    <row r="123" spans="1:8" x14ac:dyDescent="0.25">
      <c r="A123" s="15">
        <v>37</v>
      </c>
      <c r="B123" s="24" t="s">
        <v>534</v>
      </c>
      <c r="C123" s="24" t="s">
        <v>640</v>
      </c>
      <c r="D123" s="25" t="s">
        <v>204</v>
      </c>
      <c r="E123" s="24" t="s">
        <v>4</v>
      </c>
      <c r="F123" s="20" t="str">
        <f t="shared" si="2"/>
        <v>https://docs.google.com/uc?export=download&amp;id=1IfjJdfYKq8vplhHZoMdZk9ZjoOLNeplZ</v>
      </c>
      <c r="G123" s="23" t="str">
        <f t="shared" si="3"/>
        <v>1IfjJdfYKq8vplhHZoMdZk9ZjoOLNeplZ</v>
      </c>
      <c r="H123" s="21" t="s">
        <v>936</v>
      </c>
    </row>
    <row r="124" spans="1:8" x14ac:dyDescent="0.25">
      <c r="B124" s="24" t="s">
        <v>534</v>
      </c>
      <c r="C124" s="24" t="s">
        <v>641</v>
      </c>
      <c r="D124" s="25" t="s">
        <v>205</v>
      </c>
      <c r="E124" s="24" t="s">
        <v>5</v>
      </c>
      <c r="F124" s="20" t="str">
        <f t="shared" si="2"/>
        <v/>
      </c>
      <c r="G124" s="23" t="str">
        <f t="shared" si="3"/>
        <v/>
      </c>
    </row>
    <row r="125" spans="1:8" x14ac:dyDescent="0.25">
      <c r="B125" s="24" t="s">
        <v>535</v>
      </c>
      <c r="C125" s="24" t="s">
        <v>642</v>
      </c>
      <c r="D125" s="25" t="s">
        <v>430</v>
      </c>
      <c r="E125" s="24" t="s">
        <v>3</v>
      </c>
      <c r="F125" s="20" t="str">
        <f t="shared" si="2"/>
        <v/>
      </c>
      <c r="G125" s="23" t="str">
        <f t="shared" si="3"/>
        <v/>
      </c>
    </row>
    <row r="126" spans="1:8" x14ac:dyDescent="0.25">
      <c r="A126" s="15">
        <v>38</v>
      </c>
      <c r="B126" s="24" t="s">
        <v>535</v>
      </c>
      <c r="C126" s="24" t="s">
        <v>643</v>
      </c>
      <c r="D126" s="25" t="s">
        <v>206</v>
      </c>
      <c r="E126" s="24" t="s">
        <v>4</v>
      </c>
      <c r="F126" s="20" t="str">
        <f t="shared" si="2"/>
        <v>https://docs.google.com/uc?export=download&amp;id=1q0-sOse3oAdXf-t7S9T1IbM_SyQzjwbE</v>
      </c>
      <c r="G126" s="23" t="str">
        <f t="shared" si="3"/>
        <v>1q0-sOse3oAdXf-t7S9T1IbM_SyQzjwbE</v>
      </c>
      <c r="H126" s="21" t="s">
        <v>937</v>
      </c>
    </row>
    <row r="127" spans="1:8" x14ac:dyDescent="0.25">
      <c r="B127" s="24" t="s">
        <v>535</v>
      </c>
      <c r="C127" s="24" t="s">
        <v>644</v>
      </c>
      <c r="D127" s="25" t="s">
        <v>207</v>
      </c>
      <c r="E127" s="24" t="s">
        <v>5</v>
      </c>
      <c r="F127" s="20" t="str">
        <f t="shared" si="2"/>
        <v/>
      </c>
      <c r="G127" s="23" t="str">
        <f t="shared" si="3"/>
        <v/>
      </c>
    </row>
    <row r="128" spans="1:8" x14ac:dyDescent="0.25">
      <c r="B128" s="24" t="s">
        <v>369</v>
      </c>
      <c r="C128" s="24" t="s">
        <v>645</v>
      </c>
      <c r="D128" s="25" t="s">
        <v>431</v>
      </c>
      <c r="E128" s="24" t="s">
        <v>11</v>
      </c>
      <c r="F128" s="20" t="str">
        <f t="shared" si="2"/>
        <v/>
      </c>
      <c r="G128" s="23" t="str">
        <f t="shared" si="3"/>
        <v/>
      </c>
    </row>
    <row r="129" spans="1:8" x14ac:dyDescent="0.25">
      <c r="B129" s="24" t="s">
        <v>536</v>
      </c>
      <c r="C129" s="24" t="s">
        <v>646</v>
      </c>
      <c r="D129" s="25" t="s">
        <v>432</v>
      </c>
      <c r="E129" s="24" t="s">
        <v>3</v>
      </c>
      <c r="F129" s="20" t="str">
        <f t="shared" si="2"/>
        <v/>
      </c>
      <c r="G129" s="23" t="str">
        <f t="shared" si="3"/>
        <v/>
      </c>
    </row>
    <row r="130" spans="1:8" x14ac:dyDescent="0.25">
      <c r="A130" s="15">
        <v>39</v>
      </c>
      <c r="B130" s="24" t="s">
        <v>536</v>
      </c>
      <c r="C130" s="24" t="s">
        <v>647</v>
      </c>
      <c r="D130" s="25" t="s">
        <v>208</v>
      </c>
      <c r="E130" s="24" t="s">
        <v>4</v>
      </c>
      <c r="F130" s="20" t="str">
        <f t="shared" si="2"/>
        <v>https://docs.google.com/uc?export=download&amp;id=16VGylqdLO1z_tF6p8Mz2d_gpjUfbpnYz</v>
      </c>
      <c r="G130" s="23" t="str">
        <f t="shared" si="3"/>
        <v>16VGylqdLO1z_tF6p8Mz2d_gpjUfbpnYz</v>
      </c>
      <c r="H130" s="21" t="s">
        <v>1014</v>
      </c>
    </row>
    <row r="131" spans="1:8" x14ac:dyDescent="0.25">
      <c r="B131" s="24" t="s">
        <v>536</v>
      </c>
      <c r="C131" s="24" t="s">
        <v>648</v>
      </c>
      <c r="D131" s="25" t="s">
        <v>209</v>
      </c>
      <c r="E131" s="24" t="s">
        <v>5</v>
      </c>
      <c r="F131" s="20" t="str">
        <f t="shared" si="2"/>
        <v/>
      </c>
      <c r="G131" s="23" t="str">
        <f t="shared" si="3"/>
        <v/>
      </c>
    </row>
    <row r="132" spans="1:8" x14ac:dyDescent="0.25">
      <c r="B132" s="24" t="s">
        <v>537</v>
      </c>
      <c r="C132" s="24" t="s">
        <v>649</v>
      </c>
      <c r="D132" s="25" t="s">
        <v>433</v>
      </c>
      <c r="E132" s="24" t="s">
        <v>3</v>
      </c>
      <c r="F132" s="20" t="str">
        <f t="shared" si="2"/>
        <v/>
      </c>
      <c r="G132" s="23" t="str">
        <f t="shared" si="3"/>
        <v/>
      </c>
    </row>
    <row r="133" spans="1:8" x14ac:dyDescent="0.25">
      <c r="A133" s="15">
        <v>40</v>
      </c>
      <c r="B133" s="24" t="s">
        <v>537</v>
      </c>
      <c r="C133" s="24" t="s">
        <v>650</v>
      </c>
      <c r="D133" s="25" t="s">
        <v>210</v>
      </c>
      <c r="E133" s="24" t="s">
        <v>4</v>
      </c>
      <c r="F133" s="20" t="str">
        <f t="shared" ref="F133:F196" si="4">IF(G133="","","https://docs.google.com/uc?export=download&amp;id="&amp;G133)</f>
        <v>https://docs.google.com/uc?export=download&amp;id=1FT2blD_NaEWltkByLzAd0Xmr--QAfUux</v>
      </c>
      <c r="G133" s="23" t="str">
        <f t="shared" si="3"/>
        <v>1FT2blD_NaEWltkByLzAd0Xmr--QAfUux</v>
      </c>
      <c r="H133" s="21" t="s">
        <v>1015</v>
      </c>
    </row>
    <row r="134" spans="1:8" x14ac:dyDescent="0.25">
      <c r="B134" s="24" t="s">
        <v>537</v>
      </c>
      <c r="C134" s="24" t="s">
        <v>651</v>
      </c>
      <c r="D134" s="25" t="s">
        <v>211</v>
      </c>
      <c r="E134" s="24" t="s">
        <v>5</v>
      </c>
      <c r="F134" s="20" t="str">
        <f t="shared" si="4"/>
        <v/>
      </c>
      <c r="G134" s="23" t="str">
        <f t="shared" ref="G134:G197" si="5">IFERROR(LEFT(RIGHT(H134,LEN(H134)-32),LEN(RIGHT(H134,LEN(H134)-32))-17),"")</f>
        <v/>
      </c>
    </row>
    <row r="135" spans="1:8" x14ac:dyDescent="0.25">
      <c r="B135" s="24" t="s">
        <v>538</v>
      </c>
      <c r="C135" s="24" t="s">
        <v>652</v>
      </c>
      <c r="D135" s="25" t="s">
        <v>434</v>
      </c>
      <c r="E135" s="24" t="s">
        <v>3</v>
      </c>
      <c r="F135" s="20" t="str">
        <f t="shared" si="4"/>
        <v/>
      </c>
      <c r="G135" s="23" t="str">
        <f t="shared" si="5"/>
        <v/>
      </c>
    </row>
    <row r="136" spans="1:8" x14ac:dyDescent="0.25">
      <c r="A136" s="15">
        <v>41</v>
      </c>
      <c r="B136" s="24" t="s">
        <v>538</v>
      </c>
      <c r="C136" s="24" t="s">
        <v>653</v>
      </c>
      <c r="D136" s="25" t="s">
        <v>212</v>
      </c>
      <c r="E136" s="24" t="s">
        <v>4</v>
      </c>
      <c r="F136" s="20" t="str">
        <f t="shared" si="4"/>
        <v>https://docs.google.com/uc?export=download&amp;id=15p95UiB_Gys0DAk2IpAqfYNqgToXpQFO</v>
      </c>
      <c r="G136" s="23" t="str">
        <f t="shared" si="5"/>
        <v>15p95UiB_Gys0DAk2IpAqfYNqgToXpQFO</v>
      </c>
      <c r="H136" s="21" t="s">
        <v>942</v>
      </c>
    </row>
    <row r="137" spans="1:8" x14ac:dyDescent="0.25">
      <c r="B137" s="24" t="s">
        <v>538</v>
      </c>
      <c r="C137" s="24" t="s">
        <v>654</v>
      </c>
      <c r="D137" s="25" t="s">
        <v>213</v>
      </c>
      <c r="E137" s="24" t="s">
        <v>5</v>
      </c>
      <c r="F137" s="20" t="str">
        <f t="shared" si="4"/>
        <v/>
      </c>
      <c r="G137" s="23" t="str">
        <f t="shared" si="5"/>
        <v/>
      </c>
    </row>
    <row r="138" spans="1:8" x14ac:dyDescent="0.25">
      <c r="B138" s="24" t="s">
        <v>370</v>
      </c>
      <c r="C138" s="24" t="s">
        <v>655</v>
      </c>
      <c r="D138" s="25" t="s">
        <v>435</v>
      </c>
      <c r="E138" s="24" t="s">
        <v>11</v>
      </c>
      <c r="F138" s="20" t="str">
        <f t="shared" si="4"/>
        <v/>
      </c>
      <c r="G138" s="23" t="str">
        <f t="shared" si="5"/>
        <v/>
      </c>
    </row>
    <row r="139" spans="1:8" x14ac:dyDescent="0.25">
      <c r="B139" s="24" t="s">
        <v>539</v>
      </c>
      <c r="C139" s="24" t="s">
        <v>656</v>
      </c>
      <c r="D139" s="25" t="s">
        <v>436</v>
      </c>
      <c r="E139" s="24" t="s">
        <v>3</v>
      </c>
      <c r="F139" s="20" t="str">
        <f t="shared" si="4"/>
        <v/>
      </c>
      <c r="G139" s="23" t="str">
        <f t="shared" si="5"/>
        <v/>
      </c>
    </row>
    <row r="140" spans="1:8" x14ac:dyDescent="0.25">
      <c r="A140" s="15">
        <v>42</v>
      </c>
      <c r="B140" s="24" t="s">
        <v>539</v>
      </c>
      <c r="C140" s="24" t="s">
        <v>657</v>
      </c>
      <c r="D140" s="25" t="s">
        <v>214</v>
      </c>
      <c r="E140" s="24" t="s">
        <v>4</v>
      </c>
      <c r="F140" s="20" t="str">
        <f t="shared" si="4"/>
        <v>https://docs.google.com/uc?export=download&amp;id=1Ad5OoW9aDRoV4wAvZ-FuqBnzHdg0K44k</v>
      </c>
      <c r="G140" s="23" t="str">
        <f t="shared" si="5"/>
        <v>1Ad5OoW9aDRoV4wAvZ-FuqBnzHdg0K44k</v>
      </c>
      <c r="H140" s="21" t="s">
        <v>943</v>
      </c>
    </row>
    <row r="141" spans="1:8" x14ac:dyDescent="0.25">
      <c r="B141" s="24" t="s">
        <v>539</v>
      </c>
      <c r="C141" s="24" t="s">
        <v>658</v>
      </c>
      <c r="D141" s="25" t="s">
        <v>215</v>
      </c>
      <c r="E141" s="24" t="s">
        <v>5</v>
      </c>
      <c r="F141" s="20" t="str">
        <f t="shared" si="4"/>
        <v/>
      </c>
      <c r="G141" s="23" t="str">
        <f t="shared" si="5"/>
        <v/>
      </c>
    </row>
    <row r="142" spans="1:8" x14ac:dyDescent="0.25">
      <c r="B142" s="24" t="s">
        <v>540</v>
      </c>
      <c r="C142" s="24" t="s">
        <v>659</v>
      </c>
      <c r="D142" s="25" t="s">
        <v>437</v>
      </c>
      <c r="E142" s="24" t="s">
        <v>3</v>
      </c>
      <c r="F142" s="20" t="str">
        <f t="shared" si="4"/>
        <v/>
      </c>
      <c r="G142" s="23" t="str">
        <f t="shared" si="5"/>
        <v/>
      </c>
    </row>
    <row r="143" spans="1:8" x14ac:dyDescent="0.25">
      <c r="A143" s="15">
        <v>43</v>
      </c>
      <c r="B143" s="24" t="s">
        <v>540</v>
      </c>
      <c r="C143" s="24" t="s">
        <v>660</v>
      </c>
      <c r="D143" s="25" t="s">
        <v>216</v>
      </c>
      <c r="E143" s="24" t="s">
        <v>4</v>
      </c>
      <c r="F143" s="20" t="str">
        <f t="shared" si="4"/>
        <v>https://docs.google.com/uc?export=download&amp;id=11hNAmgDehqMhW3-1PJnLd50IQ-Nxm6tB</v>
      </c>
      <c r="G143" s="23" t="str">
        <f t="shared" si="5"/>
        <v>11hNAmgDehqMhW3-1PJnLd50IQ-Nxm6tB</v>
      </c>
      <c r="H143" s="21" t="s">
        <v>944</v>
      </c>
    </row>
    <row r="144" spans="1:8" x14ac:dyDescent="0.25">
      <c r="B144" s="24" t="s">
        <v>540</v>
      </c>
      <c r="C144" s="24" t="s">
        <v>661</v>
      </c>
      <c r="D144" s="25" t="s">
        <v>217</v>
      </c>
      <c r="E144" s="24" t="s">
        <v>5</v>
      </c>
      <c r="F144" s="20" t="str">
        <f t="shared" si="4"/>
        <v/>
      </c>
      <c r="G144" s="23" t="str">
        <f t="shared" si="5"/>
        <v/>
      </c>
    </row>
    <row r="145" spans="1:8" x14ac:dyDescent="0.25">
      <c r="B145" s="24" t="s">
        <v>541</v>
      </c>
      <c r="C145" s="24" t="s">
        <v>662</v>
      </c>
      <c r="D145" s="25" t="s">
        <v>438</v>
      </c>
      <c r="E145" s="24" t="s">
        <v>3</v>
      </c>
      <c r="F145" s="20" t="str">
        <f t="shared" si="4"/>
        <v/>
      </c>
      <c r="G145" s="23" t="str">
        <f t="shared" si="5"/>
        <v/>
      </c>
    </row>
    <row r="146" spans="1:8" x14ac:dyDescent="0.25">
      <c r="A146" s="15">
        <v>44</v>
      </c>
      <c r="B146" s="24" t="s">
        <v>541</v>
      </c>
      <c r="C146" s="24" t="s">
        <v>663</v>
      </c>
      <c r="D146" s="25" t="s">
        <v>218</v>
      </c>
      <c r="E146" s="24" t="s">
        <v>4</v>
      </c>
      <c r="F146" s="20" t="str">
        <f t="shared" si="4"/>
        <v>https://docs.google.com/uc?export=download&amp;id=1Le5y3MtlH2sQtIr69IJFsqNAOPwEWqL1</v>
      </c>
      <c r="G146" s="23" t="str">
        <f t="shared" si="5"/>
        <v>1Le5y3MtlH2sQtIr69IJFsqNAOPwEWqL1</v>
      </c>
      <c r="H146" s="21" t="s">
        <v>945</v>
      </c>
    </row>
    <row r="147" spans="1:8" x14ac:dyDescent="0.25">
      <c r="B147" s="24" t="s">
        <v>541</v>
      </c>
      <c r="C147" s="24" t="s">
        <v>664</v>
      </c>
      <c r="D147" s="25" t="s">
        <v>219</v>
      </c>
      <c r="E147" s="24" t="s">
        <v>5</v>
      </c>
      <c r="F147" s="20" t="str">
        <f t="shared" si="4"/>
        <v/>
      </c>
      <c r="G147" s="23" t="str">
        <f t="shared" si="5"/>
        <v/>
      </c>
    </row>
    <row r="148" spans="1:8" x14ac:dyDescent="0.25">
      <c r="B148" s="24" t="s">
        <v>542</v>
      </c>
      <c r="C148" s="24" t="s">
        <v>665</v>
      </c>
      <c r="D148" s="25" t="s">
        <v>439</v>
      </c>
      <c r="E148" s="24" t="s">
        <v>3</v>
      </c>
      <c r="F148" s="20" t="str">
        <f t="shared" si="4"/>
        <v/>
      </c>
      <c r="G148" s="23" t="str">
        <f t="shared" si="5"/>
        <v/>
      </c>
    </row>
    <row r="149" spans="1:8" x14ac:dyDescent="0.25">
      <c r="A149" s="15">
        <v>45</v>
      </c>
      <c r="B149" s="24" t="s">
        <v>542</v>
      </c>
      <c r="C149" s="24" t="s">
        <v>666</v>
      </c>
      <c r="D149" s="25" t="s">
        <v>220</v>
      </c>
      <c r="E149" s="24" t="s">
        <v>4</v>
      </c>
      <c r="F149" s="20" t="str">
        <f t="shared" si="4"/>
        <v>https://docs.google.com/uc?export=download&amp;id=1EReP4SzYz1_bD9tKAVYIBHK0iW3yi5J9</v>
      </c>
      <c r="G149" s="23" t="str">
        <f t="shared" si="5"/>
        <v>1EReP4SzYz1_bD9tKAVYIBHK0iW3yi5J9</v>
      </c>
      <c r="H149" s="21" t="s">
        <v>946</v>
      </c>
    </row>
    <row r="150" spans="1:8" x14ac:dyDescent="0.25">
      <c r="B150" s="24" t="s">
        <v>542</v>
      </c>
      <c r="C150" s="24" t="s">
        <v>667</v>
      </c>
      <c r="D150" s="25" t="s">
        <v>221</v>
      </c>
      <c r="E150" s="24" t="s">
        <v>5</v>
      </c>
      <c r="F150" s="20" t="str">
        <f t="shared" si="4"/>
        <v/>
      </c>
      <c r="G150" s="23" t="str">
        <f t="shared" si="5"/>
        <v/>
      </c>
    </row>
    <row r="151" spans="1:8" x14ac:dyDescent="0.25">
      <c r="B151" s="24" t="s">
        <v>543</v>
      </c>
      <c r="C151" s="24" t="s">
        <v>668</v>
      </c>
      <c r="D151" s="25" t="s">
        <v>440</v>
      </c>
      <c r="E151" s="24" t="s">
        <v>3</v>
      </c>
      <c r="F151" s="20" t="str">
        <f t="shared" si="4"/>
        <v/>
      </c>
      <c r="G151" s="23" t="str">
        <f t="shared" si="5"/>
        <v/>
      </c>
    </row>
    <row r="152" spans="1:8" x14ac:dyDescent="0.25">
      <c r="A152" s="15">
        <v>46</v>
      </c>
      <c r="B152" s="24" t="s">
        <v>543</v>
      </c>
      <c r="C152" s="24" t="s">
        <v>669</v>
      </c>
      <c r="D152" s="25" t="s">
        <v>222</v>
      </c>
      <c r="E152" s="24" t="s">
        <v>4</v>
      </c>
      <c r="F152" s="20" t="str">
        <f t="shared" si="4"/>
        <v>https://docs.google.com/uc?export=download&amp;id=1RtN99mZ8RPtBQjUbAUcf52RmkuR6MX-D</v>
      </c>
      <c r="G152" s="23" t="str">
        <f t="shared" si="5"/>
        <v>1RtN99mZ8RPtBQjUbAUcf52RmkuR6MX-D</v>
      </c>
      <c r="H152" s="21" t="s">
        <v>947</v>
      </c>
    </row>
    <row r="153" spans="1:8" x14ac:dyDescent="0.25">
      <c r="B153" s="24" t="s">
        <v>543</v>
      </c>
      <c r="C153" s="24" t="s">
        <v>670</v>
      </c>
      <c r="D153" s="25" t="s">
        <v>223</v>
      </c>
      <c r="E153" s="24" t="s">
        <v>5</v>
      </c>
      <c r="F153" s="20" t="str">
        <f t="shared" si="4"/>
        <v/>
      </c>
      <c r="G153" s="23" t="str">
        <f t="shared" si="5"/>
        <v/>
      </c>
    </row>
    <row r="154" spans="1:8" x14ac:dyDescent="0.25">
      <c r="B154" s="24" t="s">
        <v>544</v>
      </c>
      <c r="C154" s="24" t="s">
        <v>671</v>
      </c>
      <c r="D154" s="25" t="s">
        <v>441</v>
      </c>
      <c r="E154" s="24" t="s">
        <v>3</v>
      </c>
      <c r="F154" s="20" t="str">
        <f t="shared" si="4"/>
        <v/>
      </c>
      <c r="G154" s="23" t="str">
        <f t="shared" si="5"/>
        <v/>
      </c>
    </row>
    <row r="155" spans="1:8" x14ac:dyDescent="0.25">
      <c r="A155" s="15">
        <v>47</v>
      </c>
      <c r="B155" s="24" t="s">
        <v>544</v>
      </c>
      <c r="C155" s="24" t="s">
        <v>672</v>
      </c>
      <c r="D155" s="25" t="s">
        <v>224</v>
      </c>
      <c r="E155" s="24" t="s">
        <v>4</v>
      </c>
      <c r="F155" s="20" t="str">
        <f t="shared" si="4"/>
        <v>https://docs.google.com/uc?export=download&amp;id=1Yv1V8aVk8UemEQ8TjrmQV0t5Z6Yu7Hd4</v>
      </c>
      <c r="G155" s="23" t="str">
        <f t="shared" si="5"/>
        <v>1Yv1V8aVk8UemEQ8TjrmQV0t5Z6Yu7Hd4</v>
      </c>
      <c r="H155" s="21" t="s">
        <v>948</v>
      </c>
    </row>
    <row r="156" spans="1:8" x14ac:dyDescent="0.25">
      <c r="B156" s="24" t="s">
        <v>544</v>
      </c>
      <c r="C156" s="24" t="s">
        <v>673</v>
      </c>
      <c r="D156" s="25" t="s">
        <v>225</v>
      </c>
      <c r="E156" s="24" t="s">
        <v>5</v>
      </c>
      <c r="F156" s="20" t="str">
        <f t="shared" si="4"/>
        <v/>
      </c>
      <c r="G156" s="23" t="str">
        <f t="shared" si="5"/>
        <v/>
      </c>
    </row>
    <row r="157" spans="1:8" x14ac:dyDescent="0.25">
      <c r="B157" s="24" t="s">
        <v>545</v>
      </c>
      <c r="C157" s="24" t="s">
        <v>674</v>
      </c>
      <c r="D157" s="25" t="s">
        <v>442</v>
      </c>
      <c r="E157" s="24" t="s">
        <v>3</v>
      </c>
      <c r="F157" s="20" t="str">
        <f t="shared" si="4"/>
        <v/>
      </c>
      <c r="G157" s="23" t="str">
        <f t="shared" si="5"/>
        <v/>
      </c>
    </row>
    <row r="158" spans="1:8" x14ac:dyDescent="0.25">
      <c r="A158" s="15">
        <v>48</v>
      </c>
      <c r="B158" s="24" t="s">
        <v>545</v>
      </c>
      <c r="C158" s="24" t="s">
        <v>675</v>
      </c>
      <c r="D158" s="25" t="s">
        <v>226</v>
      </c>
      <c r="E158" s="24" t="s">
        <v>4</v>
      </c>
      <c r="F158" s="20" t="str">
        <f t="shared" si="4"/>
        <v>https://docs.google.com/uc?export=download&amp;id=1Y08i90H-3A1gwne-dW8iN1md99v8P7Cd</v>
      </c>
      <c r="G158" s="23" t="str">
        <f t="shared" si="5"/>
        <v>1Y08i90H-3A1gwne-dW8iN1md99v8P7Cd</v>
      </c>
      <c r="H158" s="21" t="s">
        <v>949</v>
      </c>
    </row>
    <row r="159" spans="1:8" x14ac:dyDescent="0.25">
      <c r="B159" s="24" t="s">
        <v>545</v>
      </c>
      <c r="C159" s="24" t="s">
        <v>676</v>
      </c>
      <c r="D159" s="25" t="s">
        <v>227</v>
      </c>
      <c r="E159" s="24" t="s">
        <v>5</v>
      </c>
      <c r="F159" s="20" t="str">
        <f t="shared" si="4"/>
        <v/>
      </c>
      <c r="G159" s="23" t="str">
        <f t="shared" si="5"/>
        <v/>
      </c>
    </row>
    <row r="160" spans="1:8" x14ac:dyDescent="0.25">
      <c r="B160" s="24" t="s">
        <v>546</v>
      </c>
      <c r="C160" s="24" t="s">
        <v>677</v>
      </c>
      <c r="D160" s="25" t="s">
        <v>443</v>
      </c>
      <c r="E160" s="24" t="s">
        <v>3</v>
      </c>
      <c r="F160" s="20" t="str">
        <f t="shared" si="4"/>
        <v/>
      </c>
      <c r="G160" s="23" t="str">
        <f t="shared" si="5"/>
        <v/>
      </c>
    </row>
    <row r="161" spans="1:8" x14ac:dyDescent="0.25">
      <c r="A161" s="15">
        <v>49</v>
      </c>
      <c r="B161" s="24" t="s">
        <v>546</v>
      </c>
      <c r="C161" s="24" t="s">
        <v>678</v>
      </c>
      <c r="D161" s="25" t="s">
        <v>228</v>
      </c>
      <c r="E161" s="24" t="s">
        <v>4</v>
      </c>
      <c r="F161" s="20" t="str">
        <f t="shared" si="4"/>
        <v>https://docs.google.com/uc?export=download&amp;id=1WH8eJotxyPM7RE7h_TIit85emC67-o4R</v>
      </c>
      <c r="G161" s="23" t="str">
        <f t="shared" si="5"/>
        <v>1WH8eJotxyPM7RE7h_TIit85emC67-o4R</v>
      </c>
      <c r="H161" s="21" t="s">
        <v>950</v>
      </c>
    </row>
    <row r="162" spans="1:8" x14ac:dyDescent="0.25">
      <c r="B162" s="24" t="s">
        <v>546</v>
      </c>
      <c r="C162" s="24" t="s">
        <v>679</v>
      </c>
      <c r="D162" s="25" t="s">
        <v>229</v>
      </c>
      <c r="E162" s="24" t="s">
        <v>5</v>
      </c>
      <c r="F162" s="20" t="str">
        <f t="shared" si="4"/>
        <v/>
      </c>
      <c r="G162" s="23" t="str">
        <f t="shared" si="5"/>
        <v/>
      </c>
    </row>
    <row r="163" spans="1:8" x14ac:dyDescent="0.25">
      <c r="B163" s="24" t="s">
        <v>547</v>
      </c>
      <c r="C163" s="24" t="s">
        <v>680</v>
      </c>
      <c r="D163" s="25" t="s">
        <v>444</v>
      </c>
      <c r="E163" s="24" t="s">
        <v>3</v>
      </c>
      <c r="F163" s="20" t="str">
        <f t="shared" si="4"/>
        <v/>
      </c>
      <c r="G163" s="23" t="str">
        <f t="shared" si="5"/>
        <v/>
      </c>
    </row>
    <row r="164" spans="1:8" x14ac:dyDescent="0.25">
      <c r="A164" s="15">
        <v>50</v>
      </c>
      <c r="B164" s="24" t="s">
        <v>547</v>
      </c>
      <c r="C164" s="24" t="s">
        <v>681</v>
      </c>
      <c r="D164" s="25" t="s">
        <v>230</v>
      </c>
      <c r="E164" s="24" t="s">
        <v>4</v>
      </c>
      <c r="F164" s="20" t="str">
        <f t="shared" si="4"/>
        <v>https://docs.google.com/uc?export=download&amp;id=18B2N9Hrm1uQ2bw-a1mFUGwQ19rerMnG2</v>
      </c>
      <c r="G164" s="23" t="str">
        <f t="shared" si="5"/>
        <v>18B2N9Hrm1uQ2bw-a1mFUGwQ19rerMnG2</v>
      </c>
      <c r="H164" s="21" t="s">
        <v>951</v>
      </c>
    </row>
    <row r="165" spans="1:8" x14ac:dyDescent="0.25">
      <c r="B165" s="24" t="s">
        <v>547</v>
      </c>
      <c r="C165" s="24" t="s">
        <v>682</v>
      </c>
      <c r="D165" s="25" t="s">
        <v>231</v>
      </c>
      <c r="E165" s="24" t="s">
        <v>5</v>
      </c>
      <c r="F165" s="20" t="str">
        <f t="shared" si="4"/>
        <v/>
      </c>
      <c r="G165" s="23" t="str">
        <f t="shared" si="5"/>
        <v/>
      </c>
    </row>
    <row r="166" spans="1:8" x14ac:dyDescent="0.25">
      <c r="B166" s="24" t="s">
        <v>941</v>
      </c>
      <c r="C166" s="24" t="s">
        <v>656</v>
      </c>
      <c r="D166" s="25" t="s">
        <v>445</v>
      </c>
      <c r="E166" s="24" t="s">
        <v>3</v>
      </c>
      <c r="F166" s="20" t="str">
        <f t="shared" si="4"/>
        <v/>
      </c>
      <c r="G166" s="23" t="str">
        <f t="shared" si="5"/>
        <v/>
      </c>
    </row>
    <row r="167" spans="1:8" x14ac:dyDescent="0.25">
      <c r="A167" s="15">
        <v>51</v>
      </c>
      <c r="B167" s="24" t="s">
        <v>941</v>
      </c>
      <c r="C167" s="24" t="s">
        <v>657</v>
      </c>
      <c r="D167" s="25" t="s">
        <v>232</v>
      </c>
      <c r="E167" s="24" t="s">
        <v>4</v>
      </c>
      <c r="F167" s="20" t="str">
        <f t="shared" si="4"/>
        <v>https://docs.google.com/uc?export=download&amp;id=1EBl0L0TXASBtDR7ctAnANdL2chMr33j4</v>
      </c>
      <c r="G167" s="23" t="str">
        <f t="shared" si="5"/>
        <v>1EBl0L0TXASBtDR7ctAnANdL2chMr33j4</v>
      </c>
      <c r="H167" s="21" t="s">
        <v>952</v>
      </c>
    </row>
    <row r="168" spans="1:8" x14ac:dyDescent="0.25">
      <c r="B168" s="24" t="s">
        <v>941</v>
      </c>
      <c r="C168" s="24" t="s">
        <v>658</v>
      </c>
      <c r="D168" s="25" t="s">
        <v>233</v>
      </c>
      <c r="E168" s="24" t="s">
        <v>5</v>
      </c>
      <c r="F168" s="20" t="str">
        <f t="shared" si="4"/>
        <v/>
      </c>
      <c r="G168" s="23" t="str">
        <f t="shared" si="5"/>
        <v/>
      </c>
    </row>
    <row r="169" spans="1:8" x14ac:dyDescent="0.25">
      <c r="B169" s="24" t="s">
        <v>371</v>
      </c>
      <c r="C169" s="24" t="s">
        <v>683</v>
      </c>
      <c r="D169" s="25" t="s">
        <v>446</v>
      </c>
      <c r="E169" s="24" t="s">
        <v>11</v>
      </c>
      <c r="F169" s="20" t="str">
        <f t="shared" si="4"/>
        <v/>
      </c>
      <c r="G169" s="23" t="str">
        <f t="shared" si="5"/>
        <v/>
      </c>
    </row>
    <row r="170" spans="1:8" x14ac:dyDescent="0.25">
      <c r="B170" s="24" t="s">
        <v>548</v>
      </c>
      <c r="C170" s="24" t="s">
        <v>684</v>
      </c>
      <c r="D170" s="25" t="s">
        <v>447</v>
      </c>
      <c r="E170" s="24" t="s">
        <v>3</v>
      </c>
      <c r="F170" s="20" t="str">
        <f t="shared" si="4"/>
        <v/>
      </c>
      <c r="G170" s="23" t="str">
        <f t="shared" si="5"/>
        <v/>
      </c>
    </row>
    <row r="171" spans="1:8" x14ac:dyDescent="0.25">
      <c r="A171" s="15">
        <v>52</v>
      </c>
      <c r="B171" s="24" t="s">
        <v>548</v>
      </c>
      <c r="C171" s="24" t="s">
        <v>685</v>
      </c>
      <c r="D171" s="25" t="s">
        <v>234</v>
      </c>
      <c r="E171" s="24" t="s">
        <v>4</v>
      </c>
      <c r="F171" s="20" t="str">
        <f t="shared" si="4"/>
        <v>https://docs.google.com/uc?export=download&amp;id=1II9b9ELn9pH3bw5j7HKN2lodi48WeRMl</v>
      </c>
      <c r="G171" s="23" t="str">
        <f t="shared" si="5"/>
        <v>1II9b9ELn9pH3bw5j7HKN2lodi48WeRMl</v>
      </c>
      <c r="H171" s="21" t="s">
        <v>1017</v>
      </c>
    </row>
    <row r="172" spans="1:8" x14ac:dyDescent="0.25">
      <c r="B172" s="24" t="s">
        <v>548</v>
      </c>
      <c r="C172" s="24" t="s">
        <v>686</v>
      </c>
      <c r="D172" s="25" t="s">
        <v>235</v>
      </c>
      <c r="E172" s="24" t="s">
        <v>5</v>
      </c>
      <c r="F172" s="20" t="str">
        <f t="shared" si="4"/>
        <v/>
      </c>
      <c r="G172" s="23" t="str">
        <f t="shared" si="5"/>
        <v/>
      </c>
    </row>
    <row r="173" spans="1:8" x14ac:dyDescent="0.25">
      <c r="B173" s="24" t="s">
        <v>549</v>
      </c>
      <c r="C173" s="24" t="s">
        <v>687</v>
      </c>
      <c r="D173" s="25" t="s">
        <v>448</v>
      </c>
      <c r="E173" s="24" t="s">
        <v>3</v>
      </c>
      <c r="F173" s="20" t="str">
        <f t="shared" si="4"/>
        <v/>
      </c>
      <c r="G173" s="23" t="str">
        <f t="shared" si="5"/>
        <v/>
      </c>
    </row>
    <row r="174" spans="1:8" x14ac:dyDescent="0.25">
      <c r="A174" s="15">
        <v>53</v>
      </c>
      <c r="B174" s="24" t="s">
        <v>549</v>
      </c>
      <c r="C174" s="24" t="s">
        <v>688</v>
      </c>
      <c r="D174" s="25" t="s">
        <v>236</v>
      </c>
      <c r="E174" s="24" t="s">
        <v>4</v>
      </c>
      <c r="F174" s="20" t="str">
        <f t="shared" si="4"/>
        <v>https://docs.google.com/uc?export=download&amp;id=1ise2U7lriBA7Ge6g1j4TIu068NQi7V6y</v>
      </c>
      <c r="G174" s="23" t="str">
        <f t="shared" si="5"/>
        <v>1ise2U7lriBA7Ge6g1j4TIu068NQi7V6y</v>
      </c>
      <c r="H174" s="21" t="s">
        <v>953</v>
      </c>
    </row>
    <row r="175" spans="1:8" x14ac:dyDescent="0.25">
      <c r="B175" s="24" t="s">
        <v>549</v>
      </c>
      <c r="C175" s="24" t="s">
        <v>689</v>
      </c>
      <c r="D175" s="25" t="s">
        <v>237</v>
      </c>
      <c r="E175" s="24" t="s">
        <v>5</v>
      </c>
      <c r="F175" s="20" t="str">
        <f t="shared" si="4"/>
        <v/>
      </c>
      <c r="G175" s="23" t="str">
        <f t="shared" si="5"/>
        <v/>
      </c>
    </row>
    <row r="176" spans="1:8" x14ac:dyDescent="0.25">
      <c r="B176" s="24" t="s">
        <v>550</v>
      </c>
      <c r="C176" s="24" t="s">
        <v>690</v>
      </c>
      <c r="D176" s="25" t="s">
        <v>449</v>
      </c>
      <c r="E176" s="24" t="s">
        <v>3</v>
      </c>
      <c r="F176" s="20" t="str">
        <f t="shared" si="4"/>
        <v/>
      </c>
      <c r="G176" s="23" t="str">
        <f t="shared" si="5"/>
        <v/>
      </c>
    </row>
    <row r="177" spans="1:8" x14ac:dyDescent="0.25">
      <c r="A177" s="15">
        <v>54</v>
      </c>
      <c r="B177" s="24" t="s">
        <v>550</v>
      </c>
      <c r="C177" s="24" t="s">
        <v>691</v>
      </c>
      <c r="D177" s="25" t="s">
        <v>238</v>
      </c>
      <c r="E177" s="24" t="s">
        <v>4</v>
      </c>
      <c r="F177" s="20" t="str">
        <f t="shared" si="4"/>
        <v>https://docs.google.com/uc?export=download&amp;id=1ehKdHEU98-ryv72h4h6Gg6d1lbH5a-fs</v>
      </c>
      <c r="G177" s="23" t="str">
        <f t="shared" si="5"/>
        <v>1ehKdHEU98-ryv72h4h6Gg6d1lbH5a-fs</v>
      </c>
      <c r="H177" s="21" t="s">
        <v>954</v>
      </c>
    </row>
    <row r="178" spans="1:8" x14ac:dyDescent="0.25">
      <c r="B178" s="24" t="s">
        <v>550</v>
      </c>
      <c r="C178" s="24" t="s">
        <v>692</v>
      </c>
      <c r="D178" s="25" t="s">
        <v>239</v>
      </c>
      <c r="E178" s="24" t="s">
        <v>5</v>
      </c>
      <c r="F178" s="20" t="str">
        <f t="shared" si="4"/>
        <v/>
      </c>
      <c r="G178" s="23" t="str">
        <f t="shared" si="5"/>
        <v/>
      </c>
    </row>
    <row r="179" spans="1:8" x14ac:dyDescent="0.25">
      <c r="B179" s="24" t="s">
        <v>551</v>
      </c>
      <c r="C179" s="24" t="s">
        <v>693</v>
      </c>
      <c r="D179" s="25" t="s">
        <v>450</v>
      </c>
      <c r="E179" s="24" t="s">
        <v>3</v>
      </c>
      <c r="F179" s="20" t="str">
        <f t="shared" si="4"/>
        <v/>
      </c>
      <c r="G179" s="23" t="str">
        <f t="shared" si="5"/>
        <v/>
      </c>
    </row>
    <row r="180" spans="1:8" x14ac:dyDescent="0.25">
      <c r="A180" s="15">
        <v>55</v>
      </c>
      <c r="B180" s="24" t="s">
        <v>551</v>
      </c>
      <c r="C180" s="24" t="s">
        <v>694</v>
      </c>
      <c r="D180" s="25" t="s">
        <v>240</v>
      </c>
      <c r="E180" s="24" t="s">
        <v>4</v>
      </c>
      <c r="F180" s="20" t="str">
        <f t="shared" si="4"/>
        <v>https://docs.google.com/uc?export=download&amp;id=1gB2zWxG4XU01ZwCzdir-qIgXnY3tFk-q</v>
      </c>
      <c r="G180" s="23" t="str">
        <f t="shared" si="5"/>
        <v>1gB2zWxG4XU01ZwCzdir-qIgXnY3tFk-q</v>
      </c>
      <c r="H180" s="21" t="s">
        <v>955</v>
      </c>
    </row>
    <row r="181" spans="1:8" x14ac:dyDescent="0.25">
      <c r="B181" s="24" t="s">
        <v>551</v>
      </c>
      <c r="C181" s="24" t="s">
        <v>695</v>
      </c>
      <c r="D181" s="25" t="s">
        <v>241</v>
      </c>
      <c r="E181" s="24" t="s">
        <v>5</v>
      </c>
      <c r="F181" s="20" t="str">
        <f t="shared" si="4"/>
        <v/>
      </c>
      <c r="G181" s="23" t="str">
        <f t="shared" si="5"/>
        <v/>
      </c>
    </row>
    <row r="182" spans="1:8" x14ac:dyDescent="0.25">
      <c r="B182" s="24" t="s">
        <v>372</v>
      </c>
      <c r="C182" s="24" t="s">
        <v>696</v>
      </c>
      <c r="D182" s="25" t="s">
        <v>451</v>
      </c>
      <c r="E182" s="24" t="s">
        <v>11</v>
      </c>
      <c r="F182" s="20" t="str">
        <f t="shared" si="4"/>
        <v/>
      </c>
      <c r="G182" s="23" t="str">
        <f t="shared" si="5"/>
        <v/>
      </c>
    </row>
    <row r="183" spans="1:8" x14ac:dyDescent="0.25">
      <c r="B183" s="24" t="s">
        <v>552</v>
      </c>
      <c r="C183" s="24" t="s">
        <v>697</v>
      </c>
      <c r="D183" s="25" t="s">
        <v>452</v>
      </c>
      <c r="E183" s="24" t="s">
        <v>3</v>
      </c>
      <c r="F183" s="20" t="str">
        <f t="shared" si="4"/>
        <v/>
      </c>
      <c r="G183" s="23" t="str">
        <f t="shared" si="5"/>
        <v/>
      </c>
    </row>
    <row r="184" spans="1:8" x14ac:dyDescent="0.25">
      <c r="A184" s="15">
        <v>56</v>
      </c>
      <c r="B184" s="24" t="s">
        <v>552</v>
      </c>
      <c r="C184" s="24" t="s">
        <v>698</v>
      </c>
      <c r="D184" s="25" t="s">
        <v>242</v>
      </c>
      <c r="E184" s="24" t="s">
        <v>4</v>
      </c>
      <c r="F184" s="20" t="str">
        <f t="shared" si="4"/>
        <v>https://docs.google.com/uc?export=download&amp;id=1COLOfHbwa3LOMV-YuHH1AdiWghHcQnDs</v>
      </c>
      <c r="G184" s="23" t="str">
        <f t="shared" si="5"/>
        <v>1COLOfHbwa3LOMV-YuHH1AdiWghHcQnDs</v>
      </c>
      <c r="H184" s="21" t="s">
        <v>956</v>
      </c>
    </row>
    <row r="185" spans="1:8" x14ac:dyDescent="0.25">
      <c r="B185" s="24" t="s">
        <v>552</v>
      </c>
      <c r="C185" s="24" t="s">
        <v>699</v>
      </c>
      <c r="D185" s="25" t="s">
        <v>243</v>
      </c>
      <c r="E185" s="24" t="s">
        <v>5</v>
      </c>
      <c r="F185" s="20" t="str">
        <f t="shared" si="4"/>
        <v/>
      </c>
      <c r="G185" s="23" t="str">
        <f t="shared" si="5"/>
        <v/>
      </c>
    </row>
    <row r="186" spans="1:8" x14ac:dyDescent="0.25">
      <c r="B186" s="24" t="s">
        <v>553</v>
      </c>
      <c r="C186" s="24" t="s">
        <v>700</v>
      </c>
      <c r="D186" s="25" t="s">
        <v>453</v>
      </c>
      <c r="E186" s="24" t="s">
        <v>3</v>
      </c>
      <c r="F186" s="20" t="str">
        <f t="shared" si="4"/>
        <v/>
      </c>
      <c r="G186" s="23" t="str">
        <f t="shared" si="5"/>
        <v/>
      </c>
    </row>
    <row r="187" spans="1:8" x14ac:dyDescent="0.25">
      <c r="A187" s="15">
        <v>57</v>
      </c>
      <c r="B187" s="24" t="s">
        <v>553</v>
      </c>
      <c r="C187" s="24" t="s">
        <v>701</v>
      </c>
      <c r="D187" s="25" t="s">
        <v>244</v>
      </c>
      <c r="E187" s="24" t="s">
        <v>4</v>
      </c>
      <c r="F187" s="20" t="str">
        <f t="shared" si="4"/>
        <v>https://docs.google.com/uc?export=download&amp;id=13kEPFQBLGkCL8vzZMWoJpIf1zyp0czmn</v>
      </c>
      <c r="G187" s="23" t="str">
        <f t="shared" si="5"/>
        <v>13kEPFQBLGkCL8vzZMWoJpIf1zyp0czmn</v>
      </c>
      <c r="H187" s="21" t="s">
        <v>957</v>
      </c>
    </row>
    <row r="188" spans="1:8" x14ac:dyDescent="0.25">
      <c r="B188" s="24" t="s">
        <v>553</v>
      </c>
      <c r="C188" s="24" t="s">
        <v>702</v>
      </c>
      <c r="D188" s="25" t="s">
        <v>245</v>
      </c>
      <c r="E188" s="24" t="s">
        <v>5</v>
      </c>
      <c r="F188" s="20" t="str">
        <f t="shared" si="4"/>
        <v/>
      </c>
      <c r="G188" s="23" t="str">
        <f t="shared" si="5"/>
        <v/>
      </c>
    </row>
    <row r="189" spans="1:8" x14ac:dyDescent="0.25">
      <c r="B189" s="24" t="s">
        <v>554</v>
      </c>
      <c r="C189" s="24" t="s">
        <v>703</v>
      </c>
      <c r="D189" s="25" t="s">
        <v>454</v>
      </c>
      <c r="E189" s="24" t="s">
        <v>3</v>
      </c>
      <c r="F189" s="20" t="str">
        <f t="shared" si="4"/>
        <v/>
      </c>
      <c r="G189" s="23" t="str">
        <f t="shared" si="5"/>
        <v/>
      </c>
    </row>
    <row r="190" spans="1:8" x14ac:dyDescent="0.25">
      <c r="A190" s="15">
        <v>58</v>
      </c>
      <c r="B190" s="24" t="s">
        <v>554</v>
      </c>
      <c r="C190" s="24" t="s">
        <v>704</v>
      </c>
      <c r="D190" s="25" t="s">
        <v>246</v>
      </c>
      <c r="E190" s="24" t="s">
        <v>4</v>
      </c>
      <c r="F190" s="20" t="str">
        <f t="shared" si="4"/>
        <v>https://docs.google.com/uc?export=download&amp;id=1_QT0YNRE1BNGRXJJnKTZN800cc34KKqV</v>
      </c>
      <c r="G190" s="23" t="str">
        <f t="shared" si="5"/>
        <v>1_QT0YNRE1BNGRXJJnKTZN800cc34KKqV</v>
      </c>
      <c r="H190" s="21" t="s">
        <v>958</v>
      </c>
    </row>
    <row r="191" spans="1:8" x14ac:dyDescent="0.25">
      <c r="B191" s="24" t="s">
        <v>554</v>
      </c>
      <c r="C191" s="24" t="s">
        <v>705</v>
      </c>
      <c r="D191" s="25" t="s">
        <v>247</v>
      </c>
      <c r="E191" s="24" t="s">
        <v>5</v>
      </c>
      <c r="F191" s="20" t="str">
        <f t="shared" si="4"/>
        <v/>
      </c>
      <c r="G191" s="23" t="str">
        <f t="shared" si="5"/>
        <v/>
      </c>
    </row>
    <row r="192" spans="1:8" x14ac:dyDescent="0.25">
      <c r="B192" s="24" t="s">
        <v>373</v>
      </c>
      <c r="C192" s="24" t="s">
        <v>706</v>
      </c>
      <c r="D192" s="25" t="s">
        <v>455</v>
      </c>
      <c r="E192" s="24" t="s">
        <v>11</v>
      </c>
      <c r="F192" s="20" t="str">
        <f t="shared" si="4"/>
        <v/>
      </c>
      <c r="G192" s="23" t="str">
        <f t="shared" si="5"/>
        <v/>
      </c>
    </row>
    <row r="193" spans="1:8" x14ac:dyDescent="0.25">
      <c r="B193" s="24" t="s">
        <v>555</v>
      </c>
      <c r="C193" s="24" t="s">
        <v>707</v>
      </c>
      <c r="D193" s="25" t="s">
        <v>456</v>
      </c>
      <c r="E193" s="24" t="s">
        <v>3</v>
      </c>
      <c r="F193" s="20" t="str">
        <f t="shared" si="4"/>
        <v/>
      </c>
      <c r="G193" s="23" t="str">
        <f t="shared" si="5"/>
        <v/>
      </c>
    </row>
    <row r="194" spans="1:8" x14ac:dyDescent="0.25">
      <c r="A194" s="15">
        <v>59</v>
      </c>
      <c r="B194" s="24" t="s">
        <v>555</v>
      </c>
      <c r="C194" s="24" t="s">
        <v>708</v>
      </c>
      <c r="D194" s="25" t="s">
        <v>248</v>
      </c>
      <c r="E194" s="24" t="s">
        <v>4</v>
      </c>
      <c r="F194" s="20" t="str">
        <f t="shared" si="4"/>
        <v>https://docs.google.com/uc?export=download&amp;id=1AMDxJtXOZ30twcLU3OQU_ggOROxA7ZJS</v>
      </c>
      <c r="G194" s="23" t="str">
        <f t="shared" si="5"/>
        <v>1AMDxJtXOZ30twcLU3OQU_ggOROxA7ZJS</v>
      </c>
      <c r="H194" s="21" t="s">
        <v>959</v>
      </c>
    </row>
    <row r="195" spans="1:8" x14ac:dyDescent="0.25">
      <c r="B195" s="24" t="s">
        <v>555</v>
      </c>
      <c r="C195" s="24" t="s">
        <v>709</v>
      </c>
      <c r="D195" s="25" t="s">
        <v>249</v>
      </c>
      <c r="E195" s="24" t="s">
        <v>5</v>
      </c>
      <c r="F195" s="20" t="str">
        <f t="shared" si="4"/>
        <v/>
      </c>
      <c r="G195" s="23" t="str">
        <f t="shared" si="5"/>
        <v/>
      </c>
    </row>
    <row r="196" spans="1:8" x14ac:dyDescent="0.25">
      <c r="B196" s="24" t="s">
        <v>556</v>
      </c>
      <c r="C196" s="24" t="s">
        <v>710</v>
      </c>
      <c r="D196" s="25" t="s">
        <v>457</v>
      </c>
      <c r="E196" s="24" t="s">
        <v>3</v>
      </c>
      <c r="F196" s="20" t="str">
        <f t="shared" si="4"/>
        <v/>
      </c>
      <c r="G196" s="23" t="str">
        <f t="shared" si="5"/>
        <v/>
      </c>
    </row>
    <row r="197" spans="1:8" x14ac:dyDescent="0.25">
      <c r="A197" s="15">
        <v>60</v>
      </c>
      <c r="B197" s="24" t="s">
        <v>556</v>
      </c>
      <c r="C197" s="24" t="s">
        <v>711</v>
      </c>
      <c r="D197" s="25" t="s">
        <v>250</v>
      </c>
      <c r="E197" s="24" t="s">
        <v>4</v>
      </c>
      <c r="F197" s="20" t="str">
        <f t="shared" ref="F197:F260" si="6">IF(G197="","","https://docs.google.com/uc?export=download&amp;id="&amp;G197)</f>
        <v>https://docs.google.com/uc?export=download&amp;id=1Kg21DXuSs7bEt9xjLNCmBVkltDlo5VP-</v>
      </c>
      <c r="G197" s="23" t="str">
        <f t="shared" si="5"/>
        <v>1Kg21DXuSs7bEt9xjLNCmBVkltDlo5VP-</v>
      </c>
      <c r="H197" s="21" t="s">
        <v>960</v>
      </c>
    </row>
    <row r="198" spans="1:8" x14ac:dyDescent="0.25">
      <c r="B198" s="24" t="s">
        <v>556</v>
      </c>
      <c r="C198" s="24" t="s">
        <v>712</v>
      </c>
      <c r="D198" s="25" t="s">
        <v>251</v>
      </c>
      <c r="E198" s="24" t="s">
        <v>5</v>
      </c>
      <c r="F198" s="20" t="str">
        <f t="shared" si="6"/>
        <v/>
      </c>
      <c r="G198" s="23" t="str">
        <f t="shared" ref="G198:G261" si="7">IFERROR(LEFT(RIGHT(H198,LEN(H198)-32),LEN(RIGHT(H198,LEN(H198)-32))-17),"")</f>
        <v/>
      </c>
    </row>
    <row r="199" spans="1:8" x14ac:dyDescent="0.25">
      <c r="B199" s="24" t="s">
        <v>557</v>
      </c>
      <c r="C199" s="24" t="s">
        <v>713</v>
      </c>
      <c r="D199" s="25" t="s">
        <v>458</v>
      </c>
      <c r="E199" s="24" t="s">
        <v>3</v>
      </c>
      <c r="F199" s="20" t="str">
        <f t="shared" si="6"/>
        <v/>
      </c>
      <c r="G199" s="23" t="str">
        <f t="shared" si="7"/>
        <v/>
      </c>
    </row>
    <row r="200" spans="1:8" x14ac:dyDescent="0.25">
      <c r="A200" s="15">
        <v>61</v>
      </c>
      <c r="B200" s="24" t="s">
        <v>557</v>
      </c>
      <c r="C200" s="24" t="s">
        <v>714</v>
      </c>
      <c r="D200" s="25" t="s">
        <v>252</v>
      </c>
      <c r="E200" s="24" t="s">
        <v>4</v>
      </c>
      <c r="F200" s="20" t="str">
        <f t="shared" si="6"/>
        <v>https://docs.google.com/uc?export=download&amp;id=1HF6QhVNstvVa9XGGz1JN7y2fO0LU3nos</v>
      </c>
      <c r="G200" s="23" t="str">
        <f t="shared" si="7"/>
        <v>1HF6QhVNstvVa9XGGz1JN7y2fO0LU3nos</v>
      </c>
      <c r="H200" s="21" t="s">
        <v>961</v>
      </c>
    </row>
    <row r="201" spans="1:8" x14ac:dyDescent="0.25">
      <c r="B201" s="24" t="s">
        <v>557</v>
      </c>
      <c r="C201" s="24" t="s">
        <v>715</v>
      </c>
      <c r="D201" s="25" t="s">
        <v>253</v>
      </c>
      <c r="E201" s="24" t="s">
        <v>5</v>
      </c>
      <c r="F201" s="20" t="str">
        <f t="shared" si="6"/>
        <v/>
      </c>
      <c r="G201" s="23" t="str">
        <f t="shared" si="7"/>
        <v/>
      </c>
    </row>
    <row r="202" spans="1:8" x14ac:dyDescent="0.25">
      <c r="B202" s="24" t="s">
        <v>558</v>
      </c>
      <c r="C202" s="24" t="s">
        <v>716</v>
      </c>
      <c r="D202" s="25" t="s">
        <v>459</v>
      </c>
      <c r="E202" s="24" t="s">
        <v>3</v>
      </c>
      <c r="F202" s="20" t="str">
        <f t="shared" si="6"/>
        <v/>
      </c>
      <c r="G202" s="23" t="str">
        <f t="shared" si="7"/>
        <v/>
      </c>
    </row>
    <row r="203" spans="1:8" x14ac:dyDescent="0.25">
      <c r="A203" s="15">
        <v>62</v>
      </c>
      <c r="B203" s="24" t="s">
        <v>558</v>
      </c>
      <c r="C203" s="24" t="s">
        <v>717</v>
      </c>
      <c r="D203" s="25" t="s">
        <v>254</v>
      </c>
      <c r="E203" s="24" t="s">
        <v>4</v>
      </c>
      <c r="F203" s="20" t="str">
        <f t="shared" si="6"/>
        <v>https://docs.google.com/uc?export=download&amp;id=1H_xCC4lCGH87tBhrgeAvPEG0AwAcalXF</v>
      </c>
      <c r="G203" s="23" t="str">
        <f t="shared" si="7"/>
        <v>1H_xCC4lCGH87tBhrgeAvPEG0AwAcalXF</v>
      </c>
      <c r="H203" s="21" t="s">
        <v>962</v>
      </c>
    </row>
    <row r="204" spans="1:8" x14ac:dyDescent="0.25">
      <c r="B204" s="24" t="s">
        <v>558</v>
      </c>
      <c r="C204" s="24" t="s">
        <v>718</v>
      </c>
      <c r="D204" s="25" t="s">
        <v>255</v>
      </c>
      <c r="E204" s="24" t="s">
        <v>5</v>
      </c>
      <c r="F204" s="20" t="str">
        <f t="shared" si="6"/>
        <v/>
      </c>
      <c r="G204" s="23" t="str">
        <f t="shared" si="7"/>
        <v/>
      </c>
    </row>
    <row r="205" spans="1:8" x14ac:dyDescent="0.25">
      <c r="B205" s="24" t="s">
        <v>559</v>
      </c>
      <c r="C205" s="24" t="s">
        <v>719</v>
      </c>
      <c r="D205" s="25" t="s">
        <v>460</v>
      </c>
      <c r="E205" s="24" t="s">
        <v>3</v>
      </c>
      <c r="F205" s="20" t="str">
        <f t="shared" si="6"/>
        <v/>
      </c>
      <c r="G205" s="23" t="str">
        <f t="shared" si="7"/>
        <v/>
      </c>
    </row>
    <row r="206" spans="1:8" x14ac:dyDescent="0.25">
      <c r="A206" s="15">
        <v>63</v>
      </c>
      <c r="B206" s="24" t="s">
        <v>559</v>
      </c>
      <c r="C206" s="24" t="s">
        <v>720</v>
      </c>
      <c r="D206" s="25" t="s">
        <v>256</v>
      </c>
      <c r="E206" s="24" t="s">
        <v>4</v>
      </c>
      <c r="F206" s="20" t="str">
        <f t="shared" si="6"/>
        <v>https://docs.google.com/uc?export=download&amp;id=16qzmKXhZwR_2En3ECHvcQvS0j6zBMkd3</v>
      </c>
      <c r="G206" s="23" t="str">
        <f t="shared" si="7"/>
        <v>16qzmKXhZwR_2En3ECHvcQvS0j6zBMkd3</v>
      </c>
      <c r="H206" s="21" t="s">
        <v>963</v>
      </c>
    </row>
    <row r="207" spans="1:8" x14ac:dyDescent="0.25">
      <c r="B207" s="24" t="s">
        <v>559</v>
      </c>
      <c r="C207" s="24" t="s">
        <v>721</v>
      </c>
      <c r="D207" s="25" t="s">
        <v>1018</v>
      </c>
      <c r="E207" s="24" t="s">
        <v>5</v>
      </c>
      <c r="F207" s="20" t="str">
        <f t="shared" si="6"/>
        <v/>
      </c>
      <c r="G207" s="23" t="str">
        <f t="shared" si="7"/>
        <v/>
      </c>
    </row>
    <row r="208" spans="1:8" x14ac:dyDescent="0.25">
      <c r="B208" s="24" t="s">
        <v>374</v>
      </c>
      <c r="C208" s="24" t="s">
        <v>722</v>
      </c>
      <c r="D208" s="25" t="s">
        <v>461</v>
      </c>
      <c r="E208" s="24" t="s">
        <v>11</v>
      </c>
      <c r="F208" s="20" t="str">
        <f t="shared" si="6"/>
        <v/>
      </c>
      <c r="G208" s="23" t="str">
        <f t="shared" si="7"/>
        <v/>
      </c>
    </row>
    <row r="209" spans="1:8" x14ac:dyDescent="0.25">
      <c r="B209" s="24" t="s">
        <v>560</v>
      </c>
      <c r="C209" s="24" t="s">
        <v>723</v>
      </c>
      <c r="D209" s="25" t="s">
        <v>462</v>
      </c>
      <c r="E209" s="24" t="s">
        <v>3</v>
      </c>
      <c r="F209" s="20" t="str">
        <f t="shared" si="6"/>
        <v/>
      </c>
      <c r="G209" s="23" t="str">
        <f t="shared" si="7"/>
        <v/>
      </c>
    </row>
    <row r="210" spans="1:8" x14ac:dyDescent="0.25">
      <c r="A210" s="15">
        <v>64</v>
      </c>
      <c r="B210" s="24" t="s">
        <v>560</v>
      </c>
      <c r="C210" s="24" t="s">
        <v>724</v>
      </c>
      <c r="D210" s="25" t="s">
        <v>257</v>
      </c>
      <c r="E210" s="24" t="s">
        <v>4</v>
      </c>
      <c r="F210" s="20" t="str">
        <f t="shared" si="6"/>
        <v>https://docs.google.com/uc?export=download&amp;id=1WodUSBijNFUEzNkMm6yNu7Fq78T_Q2v8</v>
      </c>
      <c r="G210" s="23" t="str">
        <f t="shared" si="7"/>
        <v>1WodUSBijNFUEzNkMm6yNu7Fq78T_Q2v8</v>
      </c>
      <c r="H210" s="21" t="s">
        <v>964</v>
      </c>
    </row>
    <row r="211" spans="1:8" x14ac:dyDescent="0.25">
      <c r="B211" s="24" t="s">
        <v>560</v>
      </c>
      <c r="C211" s="24" t="s">
        <v>725</v>
      </c>
      <c r="D211" s="25" t="s">
        <v>258</v>
      </c>
      <c r="E211" s="24" t="s">
        <v>5</v>
      </c>
      <c r="F211" s="20" t="str">
        <f t="shared" si="6"/>
        <v/>
      </c>
      <c r="G211" s="23" t="str">
        <f t="shared" si="7"/>
        <v/>
      </c>
    </row>
    <row r="212" spans="1:8" x14ac:dyDescent="0.25">
      <c r="B212" s="24" t="s">
        <v>561</v>
      </c>
      <c r="C212" s="24" t="s">
        <v>726</v>
      </c>
      <c r="D212" s="25" t="s">
        <v>463</v>
      </c>
      <c r="E212" s="24" t="s">
        <v>3</v>
      </c>
      <c r="F212" s="20" t="str">
        <f t="shared" si="6"/>
        <v/>
      </c>
      <c r="G212" s="23" t="str">
        <f t="shared" si="7"/>
        <v/>
      </c>
    </row>
    <row r="213" spans="1:8" x14ac:dyDescent="0.25">
      <c r="A213" s="15">
        <v>65</v>
      </c>
      <c r="B213" s="24" t="s">
        <v>561</v>
      </c>
      <c r="C213" s="24" t="s">
        <v>727</v>
      </c>
      <c r="D213" s="25" t="s">
        <v>259</v>
      </c>
      <c r="E213" s="24" t="s">
        <v>4</v>
      </c>
      <c r="F213" s="20" t="str">
        <f t="shared" si="6"/>
        <v>https://docs.google.com/uc?export=download&amp;id=1_2KaUTFXlg0kAFog8f4Lgx3uehp9T6WA</v>
      </c>
      <c r="G213" s="23" t="str">
        <f t="shared" si="7"/>
        <v>1_2KaUTFXlg0kAFog8f4Lgx3uehp9T6WA</v>
      </c>
      <c r="H213" s="21" t="s">
        <v>965</v>
      </c>
    </row>
    <row r="214" spans="1:8" x14ac:dyDescent="0.25">
      <c r="B214" s="24" t="s">
        <v>561</v>
      </c>
      <c r="C214" s="24" t="s">
        <v>728</v>
      </c>
      <c r="D214" s="25" t="s">
        <v>260</v>
      </c>
      <c r="E214" s="24" t="s">
        <v>5</v>
      </c>
      <c r="F214" s="20" t="str">
        <f t="shared" si="6"/>
        <v/>
      </c>
      <c r="G214" s="23" t="str">
        <f t="shared" si="7"/>
        <v/>
      </c>
    </row>
    <row r="215" spans="1:8" x14ac:dyDescent="0.25">
      <c r="B215" s="24" t="s">
        <v>562</v>
      </c>
      <c r="C215" s="24" t="s">
        <v>729</v>
      </c>
      <c r="D215" s="25" t="s">
        <v>464</v>
      </c>
      <c r="E215" s="24" t="s">
        <v>3</v>
      </c>
      <c r="F215" s="20" t="str">
        <f t="shared" si="6"/>
        <v/>
      </c>
      <c r="G215" s="23" t="str">
        <f t="shared" si="7"/>
        <v/>
      </c>
    </row>
    <row r="216" spans="1:8" x14ac:dyDescent="0.25">
      <c r="A216" s="15">
        <v>66</v>
      </c>
      <c r="B216" s="24" t="s">
        <v>562</v>
      </c>
      <c r="C216" s="24" t="s">
        <v>730</v>
      </c>
      <c r="D216" s="25" t="s">
        <v>261</v>
      </c>
      <c r="E216" s="24" t="s">
        <v>4</v>
      </c>
      <c r="F216" s="20" t="str">
        <f t="shared" si="6"/>
        <v>https://docs.google.com/uc?export=download&amp;id=1dfbk-J-QNKfkBzWg6KKJj8FtqnWfZpGF</v>
      </c>
      <c r="G216" s="23" t="str">
        <f t="shared" si="7"/>
        <v>1dfbk-J-QNKfkBzWg6KKJj8FtqnWfZpGF</v>
      </c>
      <c r="H216" s="21" t="s">
        <v>966</v>
      </c>
    </row>
    <row r="217" spans="1:8" x14ac:dyDescent="0.25">
      <c r="B217" s="24" t="s">
        <v>562</v>
      </c>
      <c r="C217" s="24" t="s">
        <v>731</v>
      </c>
      <c r="D217" s="25" t="s">
        <v>262</v>
      </c>
      <c r="E217" s="24" t="s">
        <v>5</v>
      </c>
      <c r="F217" s="20" t="str">
        <f t="shared" si="6"/>
        <v/>
      </c>
      <c r="G217" s="23" t="str">
        <f t="shared" si="7"/>
        <v/>
      </c>
    </row>
    <row r="218" spans="1:8" x14ac:dyDescent="0.25">
      <c r="B218" s="24" t="s">
        <v>375</v>
      </c>
      <c r="C218" s="24" t="s">
        <v>732</v>
      </c>
      <c r="D218" s="25" t="s">
        <v>465</v>
      </c>
      <c r="E218" s="24" t="s">
        <v>11</v>
      </c>
      <c r="F218" s="20" t="str">
        <f t="shared" si="6"/>
        <v/>
      </c>
      <c r="G218" s="23" t="str">
        <f t="shared" si="7"/>
        <v/>
      </c>
    </row>
    <row r="219" spans="1:8" x14ac:dyDescent="0.25">
      <c r="B219" s="24" t="s">
        <v>563</v>
      </c>
      <c r="C219" s="24" t="s">
        <v>733</v>
      </c>
      <c r="D219" s="25" t="s">
        <v>466</v>
      </c>
      <c r="E219" s="24" t="s">
        <v>3</v>
      </c>
      <c r="F219" s="20" t="str">
        <f t="shared" si="6"/>
        <v/>
      </c>
      <c r="G219" s="23" t="str">
        <f t="shared" si="7"/>
        <v/>
      </c>
    </row>
    <row r="220" spans="1:8" x14ac:dyDescent="0.25">
      <c r="A220" s="15">
        <v>67</v>
      </c>
      <c r="B220" s="24" t="s">
        <v>563</v>
      </c>
      <c r="C220" s="24" t="s">
        <v>734</v>
      </c>
      <c r="D220" s="25" t="s">
        <v>263</v>
      </c>
      <c r="E220" s="24" t="s">
        <v>4</v>
      </c>
      <c r="F220" s="20" t="str">
        <f t="shared" si="6"/>
        <v>https://docs.google.com/uc?export=download&amp;id=1ZL83GURqmKH-gUWa_7I40Flxox5VnJAh</v>
      </c>
      <c r="G220" s="23" t="str">
        <f t="shared" si="7"/>
        <v>1ZL83GURqmKH-gUWa_7I40Flxox5VnJAh</v>
      </c>
      <c r="H220" s="21" t="s">
        <v>967</v>
      </c>
    </row>
    <row r="221" spans="1:8" x14ac:dyDescent="0.25">
      <c r="B221" s="24" t="s">
        <v>563</v>
      </c>
      <c r="C221" s="24" t="s">
        <v>735</v>
      </c>
      <c r="D221" s="25" t="s">
        <v>264</v>
      </c>
      <c r="E221" s="24" t="s">
        <v>5</v>
      </c>
      <c r="F221" s="20" t="str">
        <f t="shared" si="6"/>
        <v/>
      </c>
      <c r="G221" s="23" t="str">
        <f t="shared" si="7"/>
        <v/>
      </c>
    </row>
    <row r="222" spans="1:8" x14ac:dyDescent="0.25">
      <c r="B222" s="24" t="s">
        <v>564</v>
      </c>
      <c r="C222" s="24" t="s">
        <v>736</v>
      </c>
      <c r="D222" s="25" t="s">
        <v>467</v>
      </c>
      <c r="E222" s="24" t="s">
        <v>3</v>
      </c>
      <c r="F222" s="20" t="str">
        <f t="shared" si="6"/>
        <v/>
      </c>
      <c r="G222" s="23" t="str">
        <f t="shared" si="7"/>
        <v/>
      </c>
    </row>
    <row r="223" spans="1:8" x14ac:dyDescent="0.25">
      <c r="A223" s="15">
        <v>68</v>
      </c>
      <c r="B223" s="24" t="s">
        <v>564</v>
      </c>
      <c r="C223" s="24" t="s">
        <v>737</v>
      </c>
      <c r="D223" s="25" t="s">
        <v>265</v>
      </c>
      <c r="E223" s="24" t="s">
        <v>4</v>
      </c>
      <c r="F223" s="20" t="str">
        <f t="shared" si="6"/>
        <v>https://docs.google.com/uc?export=download&amp;id=1rvJYAGL-asZbznb65SKUVHtVgoLsuN1u</v>
      </c>
      <c r="G223" s="23" t="str">
        <f t="shared" si="7"/>
        <v>1rvJYAGL-asZbznb65SKUVHtVgoLsuN1u</v>
      </c>
      <c r="H223" s="21" t="s">
        <v>968</v>
      </c>
    </row>
    <row r="224" spans="1:8" x14ac:dyDescent="0.25">
      <c r="B224" s="24" t="s">
        <v>564</v>
      </c>
      <c r="C224" s="24" t="s">
        <v>738</v>
      </c>
      <c r="D224" s="25" t="s">
        <v>266</v>
      </c>
      <c r="E224" s="24" t="s">
        <v>5</v>
      </c>
      <c r="F224" s="20" t="str">
        <f t="shared" si="6"/>
        <v/>
      </c>
      <c r="G224" s="23" t="str">
        <f t="shared" si="7"/>
        <v/>
      </c>
    </row>
    <row r="225" spans="1:8" x14ac:dyDescent="0.25">
      <c r="B225" s="24" t="s">
        <v>565</v>
      </c>
      <c r="C225" s="24" t="s">
        <v>739</v>
      </c>
      <c r="D225" s="25" t="s">
        <v>468</v>
      </c>
      <c r="E225" s="24" t="s">
        <v>3</v>
      </c>
      <c r="F225" s="20" t="str">
        <f t="shared" si="6"/>
        <v/>
      </c>
      <c r="G225" s="23" t="str">
        <f t="shared" si="7"/>
        <v/>
      </c>
    </row>
    <row r="226" spans="1:8" x14ac:dyDescent="0.25">
      <c r="A226" s="15">
        <v>69</v>
      </c>
      <c r="B226" s="24" t="s">
        <v>565</v>
      </c>
      <c r="C226" s="24" t="s">
        <v>740</v>
      </c>
      <c r="D226" s="25" t="s">
        <v>267</v>
      </c>
      <c r="E226" s="24" t="s">
        <v>4</v>
      </c>
      <c r="F226" s="20" t="str">
        <f t="shared" si="6"/>
        <v>https://docs.google.com/uc?export=download&amp;id=1avQrWUEKUVzv8vkhMIgCmV3b0ciiYu-g</v>
      </c>
      <c r="G226" s="23" t="str">
        <f t="shared" si="7"/>
        <v>1avQrWUEKUVzv8vkhMIgCmV3b0ciiYu-g</v>
      </c>
      <c r="H226" s="21" t="s">
        <v>969</v>
      </c>
    </row>
    <row r="227" spans="1:8" x14ac:dyDescent="0.25">
      <c r="B227" s="24" t="s">
        <v>565</v>
      </c>
      <c r="C227" s="24" t="s">
        <v>741</v>
      </c>
      <c r="D227" s="25" t="s">
        <v>268</v>
      </c>
      <c r="E227" s="24" t="s">
        <v>5</v>
      </c>
      <c r="F227" s="20" t="str">
        <f t="shared" si="6"/>
        <v/>
      </c>
      <c r="G227" s="23" t="str">
        <f t="shared" si="7"/>
        <v/>
      </c>
    </row>
    <row r="228" spans="1:8" x14ac:dyDescent="0.25">
      <c r="B228" s="24" t="s">
        <v>566</v>
      </c>
      <c r="C228" s="24" t="s">
        <v>742</v>
      </c>
      <c r="D228" s="25" t="s">
        <v>469</v>
      </c>
      <c r="E228" s="24" t="s">
        <v>3</v>
      </c>
      <c r="F228" s="20" t="str">
        <f t="shared" si="6"/>
        <v/>
      </c>
      <c r="G228" s="23" t="str">
        <f t="shared" si="7"/>
        <v/>
      </c>
    </row>
    <row r="229" spans="1:8" x14ac:dyDescent="0.25">
      <c r="A229" s="15">
        <v>70</v>
      </c>
      <c r="B229" s="24" t="s">
        <v>566</v>
      </c>
      <c r="C229" s="24" t="s">
        <v>743</v>
      </c>
      <c r="D229" s="25" t="s">
        <v>269</v>
      </c>
      <c r="E229" s="24" t="s">
        <v>4</v>
      </c>
      <c r="F229" s="20" t="str">
        <f t="shared" si="6"/>
        <v>https://docs.google.com/uc?export=download&amp;id=1A99ot-2_R6MHIk2kbj0NAvDWh5VyHZdJ</v>
      </c>
      <c r="G229" s="23" t="str">
        <f t="shared" si="7"/>
        <v>1A99ot-2_R6MHIk2kbj0NAvDWh5VyHZdJ</v>
      </c>
      <c r="H229" s="21" t="s">
        <v>970</v>
      </c>
    </row>
    <row r="230" spans="1:8" x14ac:dyDescent="0.25">
      <c r="B230" s="24" t="s">
        <v>566</v>
      </c>
      <c r="C230" s="24" t="s">
        <v>744</v>
      </c>
      <c r="D230" s="25" t="s">
        <v>270</v>
      </c>
      <c r="E230" s="24" t="s">
        <v>5</v>
      </c>
      <c r="F230" s="20" t="str">
        <f t="shared" si="6"/>
        <v/>
      </c>
      <c r="G230" s="23" t="str">
        <f t="shared" si="7"/>
        <v/>
      </c>
    </row>
    <row r="231" spans="1:8" x14ac:dyDescent="0.25">
      <c r="B231" s="24" t="s">
        <v>376</v>
      </c>
      <c r="C231" s="24" t="s">
        <v>745</v>
      </c>
      <c r="D231" s="25" t="s">
        <v>470</v>
      </c>
      <c r="E231" s="24" t="s">
        <v>11</v>
      </c>
      <c r="F231" s="20" t="str">
        <f t="shared" si="6"/>
        <v/>
      </c>
      <c r="G231" s="23" t="str">
        <f t="shared" si="7"/>
        <v/>
      </c>
    </row>
    <row r="232" spans="1:8" x14ac:dyDescent="0.25">
      <c r="B232" s="24" t="s">
        <v>567</v>
      </c>
      <c r="C232" s="24" t="s">
        <v>746</v>
      </c>
      <c r="D232" s="25" t="s">
        <v>471</v>
      </c>
      <c r="E232" s="24" t="s">
        <v>3</v>
      </c>
      <c r="F232" s="20" t="str">
        <f t="shared" si="6"/>
        <v/>
      </c>
      <c r="G232" s="23" t="str">
        <f t="shared" si="7"/>
        <v/>
      </c>
    </row>
    <row r="233" spans="1:8" x14ac:dyDescent="0.25">
      <c r="A233" s="15">
        <v>71</v>
      </c>
      <c r="B233" s="24" t="s">
        <v>567</v>
      </c>
      <c r="C233" s="24" t="s">
        <v>747</v>
      </c>
      <c r="D233" s="25" t="s">
        <v>271</v>
      </c>
      <c r="E233" s="24" t="s">
        <v>4</v>
      </c>
      <c r="F233" s="20" t="str">
        <f t="shared" si="6"/>
        <v>https://docs.google.com/uc?export=download&amp;id=1WBBNNDy0_A0Whr8oE12_L27hjSypqZqV</v>
      </c>
      <c r="G233" s="23" t="str">
        <f t="shared" si="7"/>
        <v>1WBBNNDy0_A0Whr8oE12_L27hjSypqZqV</v>
      </c>
      <c r="H233" s="21" t="s">
        <v>971</v>
      </c>
    </row>
    <row r="234" spans="1:8" x14ac:dyDescent="0.25">
      <c r="B234" s="24" t="s">
        <v>567</v>
      </c>
      <c r="C234" s="24" t="s">
        <v>748</v>
      </c>
      <c r="D234" s="25" t="s">
        <v>272</v>
      </c>
      <c r="E234" s="24" t="s">
        <v>5</v>
      </c>
      <c r="F234" s="20" t="str">
        <f t="shared" si="6"/>
        <v/>
      </c>
      <c r="G234" s="23" t="str">
        <f t="shared" si="7"/>
        <v/>
      </c>
    </row>
    <row r="235" spans="1:8" x14ac:dyDescent="0.25">
      <c r="B235" s="24" t="s">
        <v>568</v>
      </c>
      <c r="C235" s="24" t="s">
        <v>749</v>
      </c>
      <c r="D235" s="25" t="s">
        <v>472</v>
      </c>
      <c r="E235" s="24" t="s">
        <v>3</v>
      </c>
      <c r="F235" s="20" t="str">
        <f t="shared" si="6"/>
        <v/>
      </c>
      <c r="G235" s="23" t="str">
        <f t="shared" si="7"/>
        <v/>
      </c>
    </row>
    <row r="236" spans="1:8" x14ac:dyDescent="0.25">
      <c r="A236" s="15">
        <v>72</v>
      </c>
      <c r="B236" s="24" t="s">
        <v>568</v>
      </c>
      <c r="C236" s="24" t="s">
        <v>750</v>
      </c>
      <c r="D236" s="25" t="s">
        <v>273</v>
      </c>
      <c r="E236" s="24" t="s">
        <v>4</v>
      </c>
      <c r="F236" s="20" t="str">
        <f t="shared" si="6"/>
        <v>https://docs.google.com/uc?export=download&amp;id=1TvDp_3LoEC5jLPGB2CXnHWNGrI6MGDAE</v>
      </c>
      <c r="G236" s="23" t="str">
        <f t="shared" si="7"/>
        <v>1TvDp_3LoEC5jLPGB2CXnHWNGrI6MGDAE</v>
      </c>
      <c r="H236" s="21" t="s">
        <v>972</v>
      </c>
    </row>
    <row r="237" spans="1:8" x14ac:dyDescent="0.25">
      <c r="B237" s="24" t="s">
        <v>568</v>
      </c>
      <c r="C237" s="24" t="s">
        <v>751</v>
      </c>
      <c r="D237" s="25" t="s">
        <v>274</v>
      </c>
      <c r="E237" s="24" t="s">
        <v>5</v>
      </c>
      <c r="F237" s="20" t="str">
        <f t="shared" si="6"/>
        <v/>
      </c>
      <c r="G237" s="23" t="str">
        <f t="shared" si="7"/>
        <v/>
      </c>
    </row>
    <row r="238" spans="1:8" x14ac:dyDescent="0.25">
      <c r="B238" s="24" t="s">
        <v>569</v>
      </c>
      <c r="C238" s="24" t="s">
        <v>752</v>
      </c>
      <c r="D238" s="25" t="s">
        <v>473</v>
      </c>
      <c r="E238" s="24" t="s">
        <v>3</v>
      </c>
      <c r="F238" s="20" t="str">
        <f t="shared" si="6"/>
        <v/>
      </c>
      <c r="G238" s="23" t="str">
        <f t="shared" si="7"/>
        <v/>
      </c>
    </row>
    <row r="239" spans="1:8" x14ac:dyDescent="0.25">
      <c r="A239" s="15">
        <v>73</v>
      </c>
      <c r="B239" s="24" t="s">
        <v>569</v>
      </c>
      <c r="C239" s="24" t="s">
        <v>753</v>
      </c>
      <c r="D239" s="25" t="s">
        <v>275</v>
      </c>
      <c r="E239" s="24" t="s">
        <v>4</v>
      </c>
      <c r="F239" s="20" t="str">
        <f t="shared" si="6"/>
        <v>https://docs.google.com/uc?export=download&amp;id=1iyY-R20YG6x3zq1iRj-58P2b1QPiZly3</v>
      </c>
      <c r="G239" s="23" t="str">
        <f t="shared" si="7"/>
        <v>1iyY-R20YG6x3zq1iRj-58P2b1QPiZly3</v>
      </c>
      <c r="H239" s="21" t="s">
        <v>973</v>
      </c>
    </row>
    <row r="240" spans="1:8" x14ac:dyDescent="0.25">
      <c r="B240" s="24" t="s">
        <v>569</v>
      </c>
      <c r="C240" s="24" t="s">
        <v>754</v>
      </c>
      <c r="D240" s="25" t="s">
        <v>276</v>
      </c>
      <c r="E240" s="24" t="s">
        <v>5</v>
      </c>
      <c r="F240" s="20" t="str">
        <f t="shared" si="6"/>
        <v/>
      </c>
      <c r="G240" s="23" t="str">
        <f t="shared" si="7"/>
        <v/>
      </c>
    </row>
    <row r="241" spans="1:8" x14ac:dyDescent="0.25">
      <c r="B241" s="24" t="s">
        <v>570</v>
      </c>
      <c r="C241" s="24" t="s">
        <v>755</v>
      </c>
      <c r="D241" s="25" t="s">
        <v>474</v>
      </c>
      <c r="E241" s="24" t="s">
        <v>3</v>
      </c>
      <c r="F241" s="20" t="str">
        <f t="shared" si="6"/>
        <v/>
      </c>
      <c r="G241" s="23" t="str">
        <f t="shared" si="7"/>
        <v/>
      </c>
    </row>
    <row r="242" spans="1:8" x14ac:dyDescent="0.25">
      <c r="A242" s="15">
        <v>74</v>
      </c>
      <c r="B242" s="24" t="s">
        <v>570</v>
      </c>
      <c r="C242" s="24" t="s">
        <v>756</v>
      </c>
      <c r="D242" s="25" t="s">
        <v>277</v>
      </c>
      <c r="E242" s="24" t="s">
        <v>4</v>
      </c>
      <c r="F242" s="20" t="str">
        <f t="shared" si="6"/>
        <v>https://docs.google.com/uc?export=download&amp;id=10DLcBwFdOckbfyXVl-HE3baV-dwZmSuL</v>
      </c>
      <c r="G242" s="23" t="str">
        <f t="shared" si="7"/>
        <v>10DLcBwFdOckbfyXVl-HE3baV-dwZmSuL</v>
      </c>
      <c r="H242" s="21" t="s">
        <v>974</v>
      </c>
    </row>
    <row r="243" spans="1:8" x14ac:dyDescent="0.25">
      <c r="B243" s="24" t="s">
        <v>570</v>
      </c>
      <c r="C243" s="24" t="s">
        <v>757</v>
      </c>
      <c r="D243" s="25" t="s">
        <v>278</v>
      </c>
      <c r="E243" s="24" t="s">
        <v>5</v>
      </c>
      <c r="F243" s="20" t="str">
        <f t="shared" si="6"/>
        <v/>
      </c>
      <c r="G243" s="23" t="str">
        <f t="shared" si="7"/>
        <v/>
      </c>
    </row>
    <row r="244" spans="1:8" x14ac:dyDescent="0.25">
      <c r="B244" s="24" t="s">
        <v>571</v>
      </c>
      <c r="C244" s="24" t="s">
        <v>758</v>
      </c>
      <c r="D244" s="25" t="s">
        <v>475</v>
      </c>
      <c r="E244" s="24" t="s">
        <v>3</v>
      </c>
      <c r="F244" s="20" t="str">
        <f t="shared" si="6"/>
        <v/>
      </c>
      <c r="G244" s="23" t="str">
        <f t="shared" si="7"/>
        <v/>
      </c>
    </row>
    <row r="245" spans="1:8" x14ac:dyDescent="0.25">
      <c r="A245" s="15">
        <v>75</v>
      </c>
      <c r="B245" s="24" t="s">
        <v>571</v>
      </c>
      <c r="C245" s="24" t="s">
        <v>759</v>
      </c>
      <c r="D245" s="25" t="s">
        <v>279</v>
      </c>
      <c r="E245" s="24" t="s">
        <v>4</v>
      </c>
      <c r="F245" s="20" t="str">
        <f t="shared" si="6"/>
        <v>https://docs.google.com/uc?export=download&amp;id=1aOtgEgrY8KBlrC9AviX0Pk3699a_ThJe</v>
      </c>
      <c r="G245" s="23" t="str">
        <f t="shared" si="7"/>
        <v>1aOtgEgrY8KBlrC9AviX0Pk3699a_ThJe</v>
      </c>
      <c r="H245" s="21" t="s">
        <v>975</v>
      </c>
    </row>
    <row r="246" spans="1:8" x14ac:dyDescent="0.25">
      <c r="B246" s="24" t="s">
        <v>571</v>
      </c>
      <c r="C246" s="24" t="s">
        <v>760</v>
      </c>
      <c r="D246" s="25" t="s">
        <v>280</v>
      </c>
      <c r="E246" s="24" t="s">
        <v>5</v>
      </c>
      <c r="F246" s="20" t="str">
        <f t="shared" si="6"/>
        <v/>
      </c>
      <c r="G246" s="23" t="str">
        <f t="shared" si="7"/>
        <v/>
      </c>
    </row>
    <row r="247" spans="1:8" x14ac:dyDescent="0.25">
      <c r="B247" s="24" t="s">
        <v>572</v>
      </c>
      <c r="C247" s="24" t="s">
        <v>761</v>
      </c>
      <c r="D247" s="25" t="s">
        <v>476</v>
      </c>
      <c r="E247" s="24" t="s">
        <v>3</v>
      </c>
      <c r="F247" s="20" t="str">
        <f t="shared" si="6"/>
        <v/>
      </c>
      <c r="G247" s="23" t="str">
        <f t="shared" si="7"/>
        <v/>
      </c>
    </row>
    <row r="248" spans="1:8" x14ac:dyDescent="0.25">
      <c r="A248" s="15">
        <v>76</v>
      </c>
      <c r="B248" s="24" t="s">
        <v>572</v>
      </c>
      <c r="C248" s="24" t="s">
        <v>762</v>
      </c>
      <c r="D248" s="25" t="s">
        <v>281</v>
      </c>
      <c r="E248" s="24" t="s">
        <v>4</v>
      </c>
      <c r="F248" s="20" t="str">
        <f t="shared" si="6"/>
        <v>https://docs.google.com/uc?export=download&amp;id=1rzT3ik3TFISBdWVm_0iByXLa3SPPVCYi</v>
      </c>
      <c r="G248" s="23" t="str">
        <f t="shared" si="7"/>
        <v>1rzT3ik3TFISBdWVm_0iByXLa3SPPVCYi</v>
      </c>
      <c r="H248" s="21" t="s">
        <v>976</v>
      </c>
    </row>
    <row r="249" spans="1:8" x14ac:dyDescent="0.25">
      <c r="B249" s="24" t="s">
        <v>572</v>
      </c>
      <c r="C249" s="24" t="s">
        <v>763</v>
      </c>
      <c r="D249" s="25" t="s">
        <v>282</v>
      </c>
      <c r="E249" s="24" t="s">
        <v>5</v>
      </c>
      <c r="F249" s="20" t="str">
        <f t="shared" si="6"/>
        <v/>
      </c>
      <c r="G249" s="23" t="str">
        <f t="shared" si="7"/>
        <v/>
      </c>
    </row>
    <row r="250" spans="1:8" x14ac:dyDescent="0.25">
      <c r="B250" s="24" t="s">
        <v>377</v>
      </c>
      <c r="C250" s="24" t="s">
        <v>764</v>
      </c>
      <c r="D250" s="25" t="s">
        <v>477</v>
      </c>
      <c r="E250" s="24" t="s">
        <v>11</v>
      </c>
      <c r="F250" s="20" t="str">
        <f t="shared" si="6"/>
        <v/>
      </c>
      <c r="G250" s="23" t="str">
        <f t="shared" si="7"/>
        <v/>
      </c>
    </row>
    <row r="251" spans="1:8" x14ac:dyDescent="0.25">
      <c r="B251" s="24" t="s">
        <v>573</v>
      </c>
      <c r="C251" s="24" t="s">
        <v>765</v>
      </c>
      <c r="D251" s="25" t="s">
        <v>478</v>
      </c>
      <c r="E251" s="24" t="s">
        <v>3</v>
      </c>
      <c r="F251" s="20" t="str">
        <f t="shared" si="6"/>
        <v/>
      </c>
      <c r="G251" s="23" t="str">
        <f t="shared" si="7"/>
        <v/>
      </c>
    </row>
    <row r="252" spans="1:8" x14ac:dyDescent="0.25">
      <c r="A252" s="15">
        <v>77</v>
      </c>
      <c r="B252" s="24" t="s">
        <v>573</v>
      </c>
      <c r="C252" s="24" t="s">
        <v>766</v>
      </c>
      <c r="D252" s="25" t="s">
        <v>283</v>
      </c>
      <c r="E252" s="24" t="s">
        <v>4</v>
      </c>
      <c r="F252" s="20" t="str">
        <f t="shared" si="6"/>
        <v>https://docs.google.com/uc?export=download&amp;id=1-Z-KhBPbcrID-YT5WHY4t45tipqGqjzT</v>
      </c>
      <c r="G252" s="23" t="str">
        <f t="shared" si="7"/>
        <v>1-Z-KhBPbcrID-YT5WHY4t45tipqGqjzT</v>
      </c>
      <c r="H252" s="21" t="s">
        <v>977</v>
      </c>
    </row>
    <row r="253" spans="1:8" x14ac:dyDescent="0.25">
      <c r="B253" s="24" t="s">
        <v>573</v>
      </c>
      <c r="C253" s="24" t="s">
        <v>767</v>
      </c>
      <c r="D253" s="25" t="s">
        <v>284</v>
      </c>
      <c r="E253" s="24" t="s">
        <v>5</v>
      </c>
      <c r="F253" s="20" t="str">
        <f t="shared" si="6"/>
        <v/>
      </c>
      <c r="G253" s="23" t="str">
        <f t="shared" si="7"/>
        <v/>
      </c>
    </row>
    <row r="254" spans="1:8" x14ac:dyDescent="0.25">
      <c r="B254" s="24" t="s">
        <v>574</v>
      </c>
      <c r="C254" s="24" t="s">
        <v>768</v>
      </c>
      <c r="D254" s="25" t="s">
        <v>479</v>
      </c>
      <c r="E254" s="24" t="s">
        <v>3</v>
      </c>
      <c r="F254" s="20" t="str">
        <f t="shared" si="6"/>
        <v/>
      </c>
      <c r="G254" s="23" t="str">
        <f t="shared" si="7"/>
        <v/>
      </c>
    </row>
    <row r="255" spans="1:8" x14ac:dyDescent="0.25">
      <c r="A255" s="15">
        <v>78</v>
      </c>
      <c r="B255" s="24" t="s">
        <v>574</v>
      </c>
      <c r="C255" s="24" t="s">
        <v>769</v>
      </c>
      <c r="D255" s="25" t="s">
        <v>285</v>
      </c>
      <c r="E255" s="24" t="s">
        <v>4</v>
      </c>
      <c r="F255" s="20" t="str">
        <f t="shared" si="6"/>
        <v>https://docs.google.com/uc?export=download&amp;id=1gyHKv4ArHmRDW1pZLDGyPIg8efbmQZlW</v>
      </c>
      <c r="G255" s="23" t="str">
        <f t="shared" si="7"/>
        <v>1gyHKv4ArHmRDW1pZLDGyPIg8efbmQZlW</v>
      </c>
      <c r="H255" s="21" t="s">
        <v>978</v>
      </c>
    </row>
    <row r="256" spans="1:8" x14ac:dyDescent="0.25">
      <c r="B256" s="24" t="s">
        <v>574</v>
      </c>
      <c r="C256" s="24" t="s">
        <v>770</v>
      </c>
      <c r="D256" s="25" t="s">
        <v>286</v>
      </c>
      <c r="E256" s="24" t="s">
        <v>5</v>
      </c>
      <c r="F256" s="20" t="str">
        <f t="shared" si="6"/>
        <v/>
      </c>
      <c r="G256" s="23" t="str">
        <f t="shared" si="7"/>
        <v/>
      </c>
    </row>
    <row r="257" spans="1:8" x14ac:dyDescent="0.25">
      <c r="B257" s="24" t="s">
        <v>575</v>
      </c>
      <c r="C257" s="24" t="s">
        <v>771</v>
      </c>
      <c r="D257" s="25" t="s">
        <v>480</v>
      </c>
      <c r="E257" s="24" t="s">
        <v>3</v>
      </c>
      <c r="F257" s="20" t="str">
        <f t="shared" si="6"/>
        <v/>
      </c>
      <c r="G257" s="23" t="str">
        <f t="shared" si="7"/>
        <v/>
      </c>
    </row>
    <row r="258" spans="1:8" x14ac:dyDescent="0.25">
      <c r="A258" s="15">
        <v>79</v>
      </c>
      <c r="B258" s="24" t="s">
        <v>575</v>
      </c>
      <c r="C258" s="24" t="s">
        <v>772</v>
      </c>
      <c r="D258" s="25" t="s">
        <v>287</v>
      </c>
      <c r="E258" s="24" t="s">
        <v>4</v>
      </c>
      <c r="F258" s="20" t="str">
        <f t="shared" si="6"/>
        <v>https://docs.google.com/uc?export=download&amp;id=1sNLOc3LbgWgP_lxZ4CgB2Sw4SzceagOW</v>
      </c>
      <c r="G258" s="23" t="str">
        <f t="shared" si="7"/>
        <v>1sNLOc3LbgWgP_lxZ4CgB2Sw4SzceagOW</v>
      </c>
      <c r="H258" s="21" t="s">
        <v>979</v>
      </c>
    </row>
    <row r="259" spans="1:8" x14ac:dyDescent="0.25">
      <c r="B259" s="24" t="s">
        <v>575</v>
      </c>
      <c r="C259" s="24" t="s">
        <v>773</v>
      </c>
      <c r="D259" s="25" t="s">
        <v>288</v>
      </c>
      <c r="E259" s="24" t="s">
        <v>5</v>
      </c>
      <c r="F259" s="20" t="str">
        <f t="shared" si="6"/>
        <v/>
      </c>
      <c r="G259" s="23" t="str">
        <f t="shared" si="7"/>
        <v/>
      </c>
    </row>
    <row r="260" spans="1:8" x14ac:dyDescent="0.25">
      <c r="B260" s="24" t="s">
        <v>576</v>
      </c>
      <c r="C260" s="24" t="s">
        <v>774</v>
      </c>
      <c r="D260" s="25" t="s">
        <v>481</v>
      </c>
      <c r="E260" s="24" t="s">
        <v>3</v>
      </c>
      <c r="F260" s="20" t="str">
        <f t="shared" si="6"/>
        <v/>
      </c>
      <c r="G260" s="23" t="str">
        <f t="shared" si="7"/>
        <v/>
      </c>
    </row>
    <row r="261" spans="1:8" x14ac:dyDescent="0.25">
      <c r="A261" s="15">
        <v>80</v>
      </c>
      <c r="B261" s="24" t="s">
        <v>576</v>
      </c>
      <c r="C261" s="24" t="s">
        <v>775</v>
      </c>
      <c r="D261" s="25" t="s">
        <v>289</v>
      </c>
      <c r="E261" s="24" t="s">
        <v>4</v>
      </c>
      <c r="F261" s="20" t="str">
        <f t="shared" ref="F261:F324" si="8">IF(G261="","","https://docs.google.com/uc?export=download&amp;id="&amp;G261)</f>
        <v>https://docs.google.com/uc?export=download&amp;id=18QeYkA4d6qRw8sST7KS0UtTbpF5WI5kz</v>
      </c>
      <c r="G261" s="23" t="str">
        <f t="shared" si="7"/>
        <v>18QeYkA4d6qRw8sST7KS0UtTbpF5WI5kz</v>
      </c>
      <c r="H261" s="21" t="s">
        <v>980</v>
      </c>
    </row>
    <row r="262" spans="1:8" x14ac:dyDescent="0.25">
      <c r="B262" s="24" t="s">
        <v>576</v>
      </c>
      <c r="C262" s="24" t="s">
        <v>776</v>
      </c>
      <c r="D262" s="25" t="s">
        <v>290</v>
      </c>
      <c r="E262" s="24" t="s">
        <v>5</v>
      </c>
      <c r="F262" s="20" t="str">
        <f t="shared" si="8"/>
        <v/>
      </c>
      <c r="G262" s="23" t="str">
        <f t="shared" ref="G262:G325" si="9">IFERROR(LEFT(RIGHT(H262,LEN(H262)-32),LEN(RIGHT(H262,LEN(H262)-32))-17),"")</f>
        <v/>
      </c>
    </row>
    <row r="263" spans="1:8" x14ac:dyDescent="0.25">
      <c r="B263" s="24" t="s">
        <v>378</v>
      </c>
      <c r="C263" s="24" t="s">
        <v>777</v>
      </c>
      <c r="D263" s="25" t="s">
        <v>482</v>
      </c>
      <c r="E263" s="24" t="s">
        <v>11</v>
      </c>
      <c r="F263" s="20" t="str">
        <f t="shared" si="8"/>
        <v/>
      </c>
      <c r="G263" s="23" t="str">
        <f t="shared" si="9"/>
        <v/>
      </c>
    </row>
    <row r="264" spans="1:8" x14ac:dyDescent="0.25">
      <c r="B264" s="24" t="s">
        <v>577</v>
      </c>
      <c r="C264" s="24" t="s">
        <v>778</v>
      </c>
      <c r="D264" s="25" t="s">
        <v>483</v>
      </c>
      <c r="E264" s="24" t="s">
        <v>3</v>
      </c>
      <c r="F264" s="20" t="str">
        <f t="shared" si="8"/>
        <v/>
      </c>
      <c r="G264" s="23" t="str">
        <f t="shared" si="9"/>
        <v/>
      </c>
    </row>
    <row r="265" spans="1:8" x14ac:dyDescent="0.25">
      <c r="A265" s="15">
        <v>81</v>
      </c>
      <c r="B265" s="24" t="s">
        <v>577</v>
      </c>
      <c r="C265" s="24" t="s">
        <v>779</v>
      </c>
      <c r="D265" s="25" t="s">
        <v>291</v>
      </c>
      <c r="E265" s="24" t="s">
        <v>4</v>
      </c>
      <c r="F265" s="20" t="str">
        <f t="shared" si="8"/>
        <v>https://docs.google.com/uc?export=download&amp;id=1cPa1FlNFXykdPfHVxUDvBrvvuxAYlVt8</v>
      </c>
      <c r="G265" s="23" t="str">
        <f t="shared" si="9"/>
        <v>1cPa1FlNFXykdPfHVxUDvBrvvuxAYlVt8</v>
      </c>
      <c r="H265" s="21" t="s">
        <v>981</v>
      </c>
    </row>
    <row r="266" spans="1:8" x14ac:dyDescent="0.25">
      <c r="B266" s="24" t="s">
        <v>577</v>
      </c>
      <c r="C266" s="24" t="s">
        <v>780</v>
      </c>
      <c r="D266" s="25" t="s">
        <v>292</v>
      </c>
      <c r="E266" s="24" t="s">
        <v>5</v>
      </c>
      <c r="F266" s="20" t="str">
        <f t="shared" si="8"/>
        <v/>
      </c>
      <c r="G266" s="23" t="str">
        <f t="shared" si="9"/>
        <v/>
      </c>
    </row>
    <row r="267" spans="1:8" x14ac:dyDescent="0.25">
      <c r="B267" s="24" t="s">
        <v>578</v>
      </c>
      <c r="C267" s="24" t="s">
        <v>781</v>
      </c>
      <c r="D267" s="25" t="s">
        <v>484</v>
      </c>
      <c r="E267" s="24" t="s">
        <v>3</v>
      </c>
      <c r="F267" s="20" t="str">
        <f t="shared" si="8"/>
        <v/>
      </c>
      <c r="G267" s="23" t="str">
        <f t="shared" si="9"/>
        <v/>
      </c>
    </row>
    <row r="268" spans="1:8" x14ac:dyDescent="0.25">
      <c r="A268" s="15">
        <v>82</v>
      </c>
      <c r="B268" s="24" t="s">
        <v>578</v>
      </c>
      <c r="C268" s="24" t="s">
        <v>782</v>
      </c>
      <c r="D268" s="25" t="s">
        <v>293</v>
      </c>
      <c r="E268" s="24" t="s">
        <v>4</v>
      </c>
      <c r="F268" s="20" t="str">
        <f t="shared" si="8"/>
        <v>https://docs.google.com/uc?export=download&amp;id=1vqy_LFwZUsXP63J_Zm8R_lt9cBY39Bhu</v>
      </c>
      <c r="G268" s="23" t="str">
        <f t="shared" si="9"/>
        <v>1vqy_LFwZUsXP63J_Zm8R_lt9cBY39Bhu</v>
      </c>
      <c r="H268" s="21" t="s">
        <v>982</v>
      </c>
    </row>
    <row r="269" spans="1:8" x14ac:dyDescent="0.25">
      <c r="B269" s="24" t="s">
        <v>578</v>
      </c>
      <c r="C269" s="24" t="s">
        <v>783</v>
      </c>
      <c r="D269" s="25" t="s">
        <v>294</v>
      </c>
      <c r="E269" s="24" t="s">
        <v>5</v>
      </c>
      <c r="F269" s="20" t="str">
        <f t="shared" si="8"/>
        <v/>
      </c>
      <c r="G269" s="23" t="str">
        <f t="shared" si="9"/>
        <v/>
      </c>
    </row>
    <row r="270" spans="1:8" x14ac:dyDescent="0.25">
      <c r="B270" s="24" t="s">
        <v>579</v>
      </c>
      <c r="C270" s="24" t="s">
        <v>784</v>
      </c>
      <c r="D270" s="25" t="s">
        <v>485</v>
      </c>
      <c r="E270" s="24" t="s">
        <v>3</v>
      </c>
      <c r="F270" s="20" t="str">
        <f t="shared" si="8"/>
        <v/>
      </c>
      <c r="G270" s="23" t="str">
        <f t="shared" si="9"/>
        <v/>
      </c>
    </row>
    <row r="271" spans="1:8" x14ac:dyDescent="0.25">
      <c r="A271" s="15">
        <v>83</v>
      </c>
      <c r="B271" s="24" t="s">
        <v>579</v>
      </c>
      <c r="C271" s="24" t="s">
        <v>785</v>
      </c>
      <c r="D271" s="25" t="s">
        <v>295</v>
      </c>
      <c r="E271" s="24" t="s">
        <v>4</v>
      </c>
      <c r="F271" s="20" t="str">
        <f t="shared" si="8"/>
        <v>https://docs.google.com/uc?export=download&amp;id=1g_7QBPwm_idcUO_eN9KV-4W5BBp-53Dr</v>
      </c>
      <c r="G271" s="23" t="str">
        <f t="shared" si="9"/>
        <v>1g_7QBPwm_idcUO_eN9KV-4W5BBp-53Dr</v>
      </c>
      <c r="H271" s="21" t="s">
        <v>983</v>
      </c>
    </row>
    <row r="272" spans="1:8" x14ac:dyDescent="0.25">
      <c r="B272" s="24" t="s">
        <v>579</v>
      </c>
      <c r="C272" s="24" t="s">
        <v>786</v>
      </c>
      <c r="D272" s="25" t="s">
        <v>296</v>
      </c>
      <c r="E272" s="24" t="s">
        <v>5</v>
      </c>
      <c r="F272" s="20" t="str">
        <f t="shared" si="8"/>
        <v/>
      </c>
      <c r="G272" s="23" t="str">
        <f t="shared" si="9"/>
        <v/>
      </c>
    </row>
    <row r="273" spans="1:8" x14ac:dyDescent="0.25">
      <c r="B273" s="24" t="s">
        <v>580</v>
      </c>
      <c r="C273" s="24" t="s">
        <v>787</v>
      </c>
      <c r="D273" s="25" t="s">
        <v>486</v>
      </c>
      <c r="E273" s="24" t="s">
        <v>3</v>
      </c>
      <c r="F273" s="20" t="str">
        <f t="shared" si="8"/>
        <v/>
      </c>
      <c r="G273" s="23" t="str">
        <f t="shared" si="9"/>
        <v/>
      </c>
    </row>
    <row r="274" spans="1:8" x14ac:dyDescent="0.25">
      <c r="A274" s="15">
        <v>84</v>
      </c>
      <c r="B274" s="24" t="s">
        <v>580</v>
      </c>
      <c r="C274" s="24" t="s">
        <v>788</v>
      </c>
      <c r="D274" s="25" t="s">
        <v>297</v>
      </c>
      <c r="E274" s="24" t="s">
        <v>4</v>
      </c>
      <c r="F274" s="20" t="str">
        <f t="shared" si="8"/>
        <v>https://docs.google.com/uc?export=download&amp;id=1vlDrLLNN2jObLxeR5Bnn8yTsrTMB6Ym1</v>
      </c>
      <c r="G274" s="23" t="str">
        <f t="shared" si="9"/>
        <v>1vlDrLLNN2jObLxeR5Bnn8yTsrTMB6Ym1</v>
      </c>
      <c r="H274" s="21" t="s">
        <v>984</v>
      </c>
    </row>
    <row r="275" spans="1:8" x14ac:dyDescent="0.25">
      <c r="B275" s="24" t="s">
        <v>580</v>
      </c>
      <c r="C275" s="24" t="s">
        <v>789</v>
      </c>
      <c r="D275" s="25" t="s">
        <v>298</v>
      </c>
      <c r="E275" s="24" t="s">
        <v>5</v>
      </c>
      <c r="F275" s="20" t="str">
        <f t="shared" si="8"/>
        <v/>
      </c>
      <c r="G275" s="23" t="str">
        <f t="shared" si="9"/>
        <v/>
      </c>
    </row>
    <row r="276" spans="1:8" x14ac:dyDescent="0.25">
      <c r="B276" s="24" t="s">
        <v>379</v>
      </c>
      <c r="C276" s="24" t="s">
        <v>790</v>
      </c>
      <c r="D276" s="25" t="s">
        <v>487</v>
      </c>
      <c r="E276" s="24" t="s">
        <v>11</v>
      </c>
      <c r="F276" s="20" t="str">
        <f t="shared" si="8"/>
        <v/>
      </c>
      <c r="G276" s="23" t="str">
        <f t="shared" si="9"/>
        <v/>
      </c>
    </row>
    <row r="277" spans="1:8" x14ac:dyDescent="0.25">
      <c r="B277" s="24" t="s">
        <v>581</v>
      </c>
      <c r="C277" s="24" t="s">
        <v>791</v>
      </c>
      <c r="D277" s="25" t="s">
        <v>488</v>
      </c>
      <c r="E277" s="24" t="s">
        <v>3</v>
      </c>
      <c r="F277" s="20" t="str">
        <f t="shared" si="8"/>
        <v/>
      </c>
      <c r="G277" s="23" t="str">
        <f t="shared" si="9"/>
        <v/>
      </c>
    </row>
    <row r="278" spans="1:8" x14ac:dyDescent="0.25">
      <c r="A278" s="15">
        <v>85</v>
      </c>
      <c r="B278" s="24" t="s">
        <v>581</v>
      </c>
      <c r="C278" s="24" t="s">
        <v>792</v>
      </c>
      <c r="D278" s="25" t="s">
        <v>299</v>
      </c>
      <c r="E278" s="24" t="s">
        <v>4</v>
      </c>
      <c r="F278" s="20" t="str">
        <f t="shared" si="8"/>
        <v>https://docs.google.com/uc?export=download&amp;id=15CG-ZvXTKzG4cNjkMm2658jEn9gV1wMa</v>
      </c>
      <c r="G278" s="23" t="str">
        <f t="shared" si="9"/>
        <v>15CG-ZvXTKzG4cNjkMm2658jEn9gV1wMa</v>
      </c>
      <c r="H278" s="21" t="s">
        <v>985</v>
      </c>
    </row>
    <row r="279" spans="1:8" x14ac:dyDescent="0.25">
      <c r="B279" s="24" t="s">
        <v>581</v>
      </c>
      <c r="C279" s="24" t="s">
        <v>793</v>
      </c>
      <c r="D279" s="25" t="s">
        <v>300</v>
      </c>
      <c r="E279" s="24" t="s">
        <v>5</v>
      </c>
      <c r="F279" s="20" t="str">
        <f t="shared" si="8"/>
        <v/>
      </c>
      <c r="G279" s="23" t="str">
        <f t="shared" si="9"/>
        <v/>
      </c>
    </row>
    <row r="280" spans="1:8" x14ac:dyDescent="0.25">
      <c r="B280" s="24" t="s">
        <v>582</v>
      </c>
      <c r="C280" s="24" t="s">
        <v>794</v>
      </c>
      <c r="D280" s="25" t="s">
        <v>489</v>
      </c>
      <c r="E280" s="24" t="s">
        <v>3</v>
      </c>
      <c r="F280" s="20" t="str">
        <f t="shared" si="8"/>
        <v/>
      </c>
      <c r="G280" s="23" t="str">
        <f t="shared" si="9"/>
        <v/>
      </c>
    </row>
    <row r="281" spans="1:8" x14ac:dyDescent="0.25">
      <c r="A281" s="15">
        <v>86</v>
      </c>
      <c r="B281" s="24" t="s">
        <v>582</v>
      </c>
      <c r="C281" s="24" t="s">
        <v>795</v>
      </c>
      <c r="D281" s="25" t="s">
        <v>301</v>
      </c>
      <c r="E281" s="24" t="s">
        <v>4</v>
      </c>
      <c r="F281" s="20" t="str">
        <f t="shared" si="8"/>
        <v>https://docs.google.com/uc?export=download&amp;id=1UmalapsR-CDEpysdnfnatu7bra65dCrr</v>
      </c>
      <c r="G281" s="23" t="str">
        <f t="shared" si="9"/>
        <v>1UmalapsR-CDEpysdnfnatu7bra65dCrr</v>
      </c>
      <c r="H281" s="21" t="s">
        <v>986</v>
      </c>
    </row>
    <row r="282" spans="1:8" x14ac:dyDescent="0.25">
      <c r="B282" s="24" t="s">
        <v>582</v>
      </c>
      <c r="C282" s="24" t="s">
        <v>796</v>
      </c>
      <c r="D282" s="25" t="s">
        <v>302</v>
      </c>
      <c r="E282" s="24" t="s">
        <v>5</v>
      </c>
      <c r="F282" s="20" t="str">
        <f t="shared" si="8"/>
        <v/>
      </c>
      <c r="G282" s="23" t="str">
        <f t="shared" si="9"/>
        <v/>
      </c>
    </row>
    <row r="283" spans="1:8" x14ac:dyDescent="0.25">
      <c r="B283" s="24" t="s">
        <v>583</v>
      </c>
      <c r="C283" s="24" t="s">
        <v>797</v>
      </c>
      <c r="D283" s="25" t="s">
        <v>490</v>
      </c>
      <c r="E283" s="24" t="s">
        <v>3</v>
      </c>
      <c r="F283" s="20" t="str">
        <f t="shared" si="8"/>
        <v/>
      </c>
      <c r="G283" s="23" t="str">
        <f t="shared" si="9"/>
        <v/>
      </c>
    </row>
    <row r="284" spans="1:8" x14ac:dyDescent="0.25">
      <c r="A284" s="15">
        <v>87</v>
      </c>
      <c r="B284" s="24" t="s">
        <v>583</v>
      </c>
      <c r="C284" s="24" t="s">
        <v>798</v>
      </c>
      <c r="D284" s="25" t="s">
        <v>303</v>
      </c>
      <c r="E284" s="24" t="s">
        <v>4</v>
      </c>
      <c r="F284" s="20" t="str">
        <f t="shared" si="8"/>
        <v>https://docs.google.com/uc?export=download&amp;id=1fyPteBbGHM-yrePc1iJmMN7bA6G_q8_P</v>
      </c>
      <c r="G284" s="23" t="str">
        <f t="shared" si="9"/>
        <v>1fyPteBbGHM-yrePc1iJmMN7bA6G_q8_P</v>
      </c>
      <c r="H284" s="21" t="s">
        <v>987</v>
      </c>
    </row>
    <row r="285" spans="1:8" x14ac:dyDescent="0.25">
      <c r="B285" s="24" t="s">
        <v>583</v>
      </c>
      <c r="C285" s="24" t="s">
        <v>799</v>
      </c>
      <c r="D285" s="25" t="s">
        <v>304</v>
      </c>
      <c r="E285" s="24" t="s">
        <v>5</v>
      </c>
      <c r="F285" s="20" t="str">
        <f t="shared" si="8"/>
        <v/>
      </c>
      <c r="G285" s="23" t="str">
        <f t="shared" si="9"/>
        <v/>
      </c>
    </row>
    <row r="286" spans="1:8" x14ac:dyDescent="0.25">
      <c r="B286" s="24" t="s">
        <v>584</v>
      </c>
      <c r="C286" s="24" t="s">
        <v>800</v>
      </c>
      <c r="D286" s="25" t="s">
        <v>491</v>
      </c>
      <c r="E286" s="24" t="s">
        <v>3</v>
      </c>
      <c r="F286" s="20" t="str">
        <f t="shared" si="8"/>
        <v/>
      </c>
      <c r="G286" s="23" t="str">
        <f t="shared" si="9"/>
        <v/>
      </c>
    </row>
    <row r="287" spans="1:8" x14ac:dyDescent="0.25">
      <c r="A287" s="15">
        <v>88</v>
      </c>
      <c r="B287" s="24" t="s">
        <v>584</v>
      </c>
      <c r="C287" s="24" t="s">
        <v>801</v>
      </c>
      <c r="D287" s="25" t="s">
        <v>305</v>
      </c>
      <c r="E287" s="24" t="s">
        <v>4</v>
      </c>
      <c r="F287" s="20" t="str">
        <f t="shared" si="8"/>
        <v>https://docs.google.com/uc?export=download&amp;id=1aweFLgu-TxPO60TfnUVJGpjlT-T_jtBf</v>
      </c>
      <c r="G287" s="23" t="str">
        <f t="shared" si="9"/>
        <v>1aweFLgu-TxPO60TfnUVJGpjlT-T_jtBf</v>
      </c>
      <c r="H287" s="21" t="s">
        <v>988</v>
      </c>
    </row>
    <row r="288" spans="1:8" x14ac:dyDescent="0.25">
      <c r="B288" s="24" t="s">
        <v>584</v>
      </c>
      <c r="C288" s="24" t="s">
        <v>802</v>
      </c>
      <c r="D288" s="25" t="s">
        <v>306</v>
      </c>
      <c r="E288" s="24" t="s">
        <v>5</v>
      </c>
      <c r="F288" s="20" t="str">
        <f t="shared" si="8"/>
        <v/>
      </c>
      <c r="G288" s="23" t="str">
        <f t="shared" si="9"/>
        <v/>
      </c>
    </row>
    <row r="289" spans="1:8" x14ac:dyDescent="0.25">
      <c r="B289" s="24" t="s">
        <v>380</v>
      </c>
      <c r="C289" s="24" t="s">
        <v>803</v>
      </c>
      <c r="D289" s="25" t="s">
        <v>492</v>
      </c>
      <c r="E289" s="24" t="s">
        <v>11</v>
      </c>
      <c r="F289" s="20" t="str">
        <f t="shared" si="8"/>
        <v/>
      </c>
      <c r="G289" s="23" t="str">
        <f t="shared" si="9"/>
        <v/>
      </c>
    </row>
    <row r="290" spans="1:8" x14ac:dyDescent="0.25">
      <c r="B290" s="24" t="s">
        <v>585</v>
      </c>
      <c r="C290" s="24" t="s">
        <v>804</v>
      </c>
      <c r="D290" s="25" t="s">
        <v>493</v>
      </c>
      <c r="E290" s="24" t="s">
        <v>3</v>
      </c>
      <c r="F290" s="20" t="str">
        <f t="shared" si="8"/>
        <v/>
      </c>
      <c r="G290" s="23" t="str">
        <f t="shared" si="9"/>
        <v/>
      </c>
    </row>
    <row r="291" spans="1:8" x14ac:dyDescent="0.25">
      <c r="A291" s="15">
        <v>89</v>
      </c>
      <c r="B291" s="24" t="s">
        <v>585</v>
      </c>
      <c r="C291" s="24" t="s">
        <v>805</v>
      </c>
      <c r="D291" s="25" t="s">
        <v>307</v>
      </c>
      <c r="E291" s="24" t="s">
        <v>4</v>
      </c>
      <c r="F291" s="20" t="str">
        <f t="shared" si="8"/>
        <v>https://docs.google.com/uc?export=download&amp;id=1GyKSxwAkKx6OpkgCRJnEDttIPNFHsdc7</v>
      </c>
      <c r="G291" s="23" t="str">
        <f t="shared" si="9"/>
        <v>1GyKSxwAkKx6OpkgCRJnEDttIPNFHsdc7</v>
      </c>
      <c r="H291" s="21" t="s">
        <v>989</v>
      </c>
    </row>
    <row r="292" spans="1:8" x14ac:dyDescent="0.25">
      <c r="B292" s="24" t="s">
        <v>585</v>
      </c>
      <c r="C292" s="24" t="s">
        <v>806</v>
      </c>
      <c r="D292" s="25" t="s">
        <v>308</v>
      </c>
      <c r="E292" s="24" t="s">
        <v>5</v>
      </c>
      <c r="F292" s="20" t="str">
        <f t="shared" si="8"/>
        <v/>
      </c>
      <c r="G292" s="23" t="str">
        <f t="shared" si="9"/>
        <v/>
      </c>
    </row>
    <row r="293" spans="1:8" x14ac:dyDescent="0.25">
      <c r="B293" s="24" t="s">
        <v>586</v>
      </c>
      <c r="C293" s="24" t="s">
        <v>807</v>
      </c>
      <c r="D293" s="25" t="s">
        <v>494</v>
      </c>
      <c r="E293" s="24" t="s">
        <v>3</v>
      </c>
      <c r="F293" s="20" t="str">
        <f t="shared" si="8"/>
        <v/>
      </c>
      <c r="G293" s="23" t="str">
        <f t="shared" si="9"/>
        <v/>
      </c>
    </row>
    <row r="294" spans="1:8" x14ac:dyDescent="0.25">
      <c r="A294" s="15">
        <v>90</v>
      </c>
      <c r="B294" s="24" t="s">
        <v>586</v>
      </c>
      <c r="C294" s="24" t="s">
        <v>808</v>
      </c>
      <c r="D294" s="25" t="s">
        <v>309</v>
      </c>
      <c r="E294" s="24" t="s">
        <v>4</v>
      </c>
      <c r="F294" s="20" t="str">
        <f t="shared" si="8"/>
        <v>https://docs.google.com/uc?export=download&amp;id=1u1wpFJoqPoIHKN23BZTm8a4Q9cn1jbPv</v>
      </c>
      <c r="G294" s="23" t="str">
        <f t="shared" si="9"/>
        <v>1u1wpFJoqPoIHKN23BZTm8a4Q9cn1jbPv</v>
      </c>
      <c r="H294" s="21" t="s">
        <v>990</v>
      </c>
    </row>
    <row r="295" spans="1:8" x14ac:dyDescent="0.25">
      <c r="B295" s="24" t="s">
        <v>586</v>
      </c>
      <c r="C295" s="24" t="s">
        <v>809</v>
      </c>
      <c r="D295" s="25" t="s">
        <v>310</v>
      </c>
      <c r="E295" s="24" t="s">
        <v>5</v>
      </c>
      <c r="F295" s="20" t="str">
        <f t="shared" si="8"/>
        <v/>
      </c>
      <c r="G295" s="23" t="str">
        <f t="shared" si="9"/>
        <v/>
      </c>
    </row>
    <row r="296" spans="1:8" x14ac:dyDescent="0.25">
      <c r="B296" s="24" t="s">
        <v>587</v>
      </c>
      <c r="C296" s="24" t="s">
        <v>810</v>
      </c>
      <c r="D296" s="25" t="s">
        <v>495</v>
      </c>
      <c r="E296" s="24" t="s">
        <v>3</v>
      </c>
      <c r="F296" s="20" t="str">
        <f t="shared" si="8"/>
        <v/>
      </c>
      <c r="G296" s="23" t="str">
        <f t="shared" si="9"/>
        <v/>
      </c>
    </row>
    <row r="297" spans="1:8" x14ac:dyDescent="0.25">
      <c r="A297" s="15">
        <v>91</v>
      </c>
      <c r="B297" s="24" t="s">
        <v>587</v>
      </c>
      <c r="C297" s="24" t="s">
        <v>811</v>
      </c>
      <c r="D297" s="25" t="s">
        <v>311</v>
      </c>
      <c r="E297" s="24" t="s">
        <v>4</v>
      </c>
      <c r="F297" s="20" t="str">
        <f t="shared" si="8"/>
        <v>https://docs.google.com/uc?export=download&amp;id=1ewPONZlrW6LsatTijeu-J-MxP6L9CUUu</v>
      </c>
      <c r="G297" s="23" t="str">
        <f t="shared" si="9"/>
        <v>1ewPONZlrW6LsatTijeu-J-MxP6L9CUUu</v>
      </c>
      <c r="H297" s="21" t="s">
        <v>991</v>
      </c>
    </row>
    <row r="298" spans="1:8" x14ac:dyDescent="0.25">
      <c r="B298" s="24" t="s">
        <v>587</v>
      </c>
      <c r="C298" s="24" t="s">
        <v>812</v>
      </c>
      <c r="D298" s="25" t="s">
        <v>312</v>
      </c>
      <c r="E298" s="24" t="s">
        <v>5</v>
      </c>
      <c r="F298" s="20" t="str">
        <f t="shared" si="8"/>
        <v/>
      </c>
      <c r="G298" s="23" t="str">
        <f t="shared" si="9"/>
        <v/>
      </c>
    </row>
    <row r="299" spans="1:8" x14ac:dyDescent="0.25">
      <c r="B299" s="24" t="s">
        <v>381</v>
      </c>
      <c r="C299" s="24" t="s">
        <v>813</v>
      </c>
      <c r="D299" s="25" t="s">
        <v>496</v>
      </c>
      <c r="E299" s="24" t="s">
        <v>11</v>
      </c>
      <c r="F299" s="20" t="str">
        <f t="shared" si="8"/>
        <v/>
      </c>
      <c r="G299" s="23" t="str">
        <f t="shared" si="9"/>
        <v/>
      </c>
    </row>
    <row r="300" spans="1:8" x14ac:dyDescent="0.25">
      <c r="B300" s="24" t="s">
        <v>588</v>
      </c>
      <c r="C300" s="24" t="s">
        <v>814</v>
      </c>
      <c r="D300" s="25" t="s">
        <v>497</v>
      </c>
      <c r="E300" s="24" t="s">
        <v>3</v>
      </c>
      <c r="F300" s="20" t="str">
        <f t="shared" si="8"/>
        <v/>
      </c>
      <c r="G300" s="23" t="str">
        <f t="shared" si="9"/>
        <v/>
      </c>
    </row>
    <row r="301" spans="1:8" x14ac:dyDescent="0.25">
      <c r="A301" s="15">
        <v>92</v>
      </c>
      <c r="B301" s="24" t="s">
        <v>588</v>
      </c>
      <c r="C301" s="24" t="s">
        <v>815</v>
      </c>
      <c r="D301" s="25" t="s">
        <v>313</v>
      </c>
      <c r="E301" s="24" t="s">
        <v>4</v>
      </c>
      <c r="F301" s="20" t="str">
        <f t="shared" si="8"/>
        <v>https://docs.google.com/uc?export=download&amp;id=1KgvLAMczSh7Is8xcF79nfiWzVccVxEms</v>
      </c>
      <c r="G301" s="23" t="str">
        <f t="shared" si="9"/>
        <v>1KgvLAMczSh7Is8xcF79nfiWzVccVxEms</v>
      </c>
      <c r="H301" s="21" t="s">
        <v>992</v>
      </c>
    </row>
    <row r="302" spans="1:8" x14ac:dyDescent="0.25">
      <c r="B302" s="24" t="s">
        <v>588</v>
      </c>
      <c r="C302" s="24" t="s">
        <v>816</v>
      </c>
      <c r="D302" s="25" t="s">
        <v>314</v>
      </c>
      <c r="E302" s="24" t="s">
        <v>5</v>
      </c>
      <c r="F302" s="20" t="str">
        <f t="shared" si="8"/>
        <v/>
      </c>
      <c r="G302" s="23" t="str">
        <f t="shared" si="9"/>
        <v/>
      </c>
    </row>
    <row r="303" spans="1:8" x14ac:dyDescent="0.25">
      <c r="B303" s="24" t="s">
        <v>589</v>
      </c>
      <c r="C303" s="24" t="s">
        <v>817</v>
      </c>
      <c r="D303" s="25" t="s">
        <v>498</v>
      </c>
      <c r="E303" s="24" t="s">
        <v>3</v>
      </c>
      <c r="F303" s="20" t="str">
        <f t="shared" si="8"/>
        <v/>
      </c>
      <c r="G303" s="23" t="str">
        <f t="shared" si="9"/>
        <v/>
      </c>
    </row>
    <row r="304" spans="1:8" x14ac:dyDescent="0.25">
      <c r="A304" s="15">
        <v>93</v>
      </c>
      <c r="B304" s="24" t="s">
        <v>589</v>
      </c>
      <c r="C304" s="24" t="s">
        <v>818</v>
      </c>
      <c r="D304" s="25" t="s">
        <v>315</v>
      </c>
      <c r="E304" s="24" t="s">
        <v>4</v>
      </c>
      <c r="F304" s="20" t="str">
        <f t="shared" si="8"/>
        <v>https://docs.google.com/uc?export=download&amp;id=1nBwBfAnpHIs6tnWy8JBei5QvfaLzZMyp</v>
      </c>
      <c r="G304" s="23" t="str">
        <f t="shared" si="9"/>
        <v>1nBwBfAnpHIs6tnWy8JBei5QvfaLzZMyp</v>
      </c>
      <c r="H304" s="21" t="s">
        <v>993</v>
      </c>
    </row>
    <row r="305" spans="1:8" x14ac:dyDescent="0.25">
      <c r="B305" s="24" t="s">
        <v>589</v>
      </c>
      <c r="C305" s="24" t="s">
        <v>819</v>
      </c>
      <c r="D305" s="25" t="s">
        <v>316</v>
      </c>
      <c r="E305" s="24" t="s">
        <v>5</v>
      </c>
      <c r="F305" s="20" t="str">
        <f t="shared" si="8"/>
        <v/>
      </c>
      <c r="G305" s="23" t="str">
        <f t="shared" si="9"/>
        <v/>
      </c>
    </row>
    <row r="306" spans="1:8" x14ac:dyDescent="0.25">
      <c r="B306" s="24" t="s">
        <v>590</v>
      </c>
      <c r="C306" s="24" t="s">
        <v>820</v>
      </c>
      <c r="D306" s="25" t="s">
        <v>499</v>
      </c>
      <c r="E306" s="24" t="s">
        <v>3</v>
      </c>
      <c r="F306" s="20" t="str">
        <f t="shared" si="8"/>
        <v/>
      </c>
      <c r="G306" s="23" t="str">
        <f t="shared" si="9"/>
        <v/>
      </c>
    </row>
    <row r="307" spans="1:8" x14ac:dyDescent="0.25">
      <c r="A307" s="15">
        <v>94</v>
      </c>
      <c r="B307" s="24" t="s">
        <v>590</v>
      </c>
      <c r="C307" s="24" t="s">
        <v>821</v>
      </c>
      <c r="D307" s="25" t="s">
        <v>317</v>
      </c>
      <c r="E307" s="24" t="s">
        <v>4</v>
      </c>
      <c r="F307" s="20" t="str">
        <f t="shared" si="8"/>
        <v>https://docs.google.com/uc?export=download&amp;id=14R81V5KF9-eFL9JOuxy8-nnIEj3GgtS9</v>
      </c>
      <c r="G307" s="23" t="str">
        <f t="shared" si="9"/>
        <v>14R81V5KF9-eFL9JOuxy8-nnIEj3GgtS9</v>
      </c>
      <c r="H307" s="21" t="s">
        <v>994</v>
      </c>
    </row>
    <row r="308" spans="1:8" x14ac:dyDescent="0.25">
      <c r="B308" s="24" t="s">
        <v>590</v>
      </c>
      <c r="C308" s="24" t="s">
        <v>822</v>
      </c>
      <c r="D308" s="25" t="s">
        <v>318</v>
      </c>
      <c r="E308" s="24" t="s">
        <v>5</v>
      </c>
      <c r="F308" s="20" t="str">
        <f t="shared" si="8"/>
        <v/>
      </c>
      <c r="G308" s="23" t="str">
        <f t="shared" si="9"/>
        <v/>
      </c>
    </row>
    <row r="309" spans="1:8" x14ac:dyDescent="0.25">
      <c r="B309" s="24" t="s">
        <v>382</v>
      </c>
      <c r="C309" s="24" t="s">
        <v>823</v>
      </c>
      <c r="D309" s="25" t="s">
        <v>500</v>
      </c>
      <c r="E309" s="24" t="s">
        <v>11</v>
      </c>
      <c r="F309" s="20" t="str">
        <f t="shared" si="8"/>
        <v/>
      </c>
      <c r="G309" s="23" t="str">
        <f t="shared" si="9"/>
        <v/>
      </c>
    </row>
    <row r="310" spans="1:8" x14ac:dyDescent="0.25">
      <c r="B310" s="24" t="s">
        <v>591</v>
      </c>
      <c r="C310" s="24" t="s">
        <v>824</v>
      </c>
      <c r="D310" s="25" t="s">
        <v>501</v>
      </c>
      <c r="E310" s="24" t="s">
        <v>3</v>
      </c>
      <c r="F310" s="20" t="str">
        <f t="shared" si="8"/>
        <v/>
      </c>
      <c r="G310" s="23" t="str">
        <f t="shared" si="9"/>
        <v/>
      </c>
    </row>
    <row r="311" spans="1:8" x14ac:dyDescent="0.25">
      <c r="A311" s="15">
        <v>95</v>
      </c>
      <c r="B311" s="24" t="s">
        <v>591</v>
      </c>
      <c r="C311" s="24" t="s">
        <v>825</v>
      </c>
      <c r="D311" s="25" t="s">
        <v>319</v>
      </c>
      <c r="E311" s="24" t="s">
        <v>4</v>
      </c>
      <c r="F311" s="20" t="str">
        <f t="shared" si="8"/>
        <v>https://docs.google.com/uc?export=download&amp;id=1WLvF6qnccewlDPkPV9mDmVQrJ6UuyjAT</v>
      </c>
      <c r="G311" s="23" t="str">
        <f t="shared" si="9"/>
        <v>1WLvF6qnccewlDPkPV9mDmVQrJ6UuyjAT</v>
      </c>
      <c r="H311" s="21" t="s">
        <v>995</v>
      </c>
    </row>
    <row r="312" spans="1:8" x14ac:dyDescent="0.25">
      <c r="B312" s="24" t="s">
        <v>591</v>
      </c>
      <c r="C312" s="24" t="s">
        <v>826</v>
      </c>
      <c r="D312" s="25" t="s">
        <v>320</v>
      </c>
      <c r="E312" s="24" t="s">
        <v>5</v>
      </c>
      <c r="F312" s="20" t="str">
        <f t="shared" si="8"/>
        <v/>
      </c>
      <c r="G312" s="23" t="str">
        <f t="shared" si="9"/>
        <v/>
      </c>
    </row>
    <row r="313" spans="1:8" x14ac:dyDescent="0.25">
      <c r="B313" s="24" t="s">
        <v>592</v>
      </c>
      <c r="C313" s="24" t="s">
        <v>827</v>
      </c>
      <c r="D313" s="25" t="s">
        <v>502</v>
      </c>
      <c r="E313" s="24" t="s">
        <v>3</v>
      </c>
      <c r="F313" s="20" t="str">
        <f t="shared" si="8"/>
        <v/>
      </c>
      <c r="G313" s="23" t="str">
        <f t="shared" si="9"/>
        <v/>
      </c>
    </row>
    <row r="314" spans="1:8" x14ac:dyDescent="0.25">
      <c r="A314" s="15">
        <v>96</v>
      </c>
      <c r="B314" s="24" t="s">
        <v>592</v>
      </c>
      <c r="C314" s="24" t="s">
        <v>828</v>
      </c>
      <c r="D314" s="25" t="s">
        <v>321</v>
      </c>
      <c r="E314" s="24" t="s">
        <v>4</v>
      </c>
      <c r="F314" s="20" t="str">
        <f t="shared" si="8"/>
        <v>https://docs.google.com/uc?export=download&amp;id=10zDD4437H3QVSJo5AuwFiNiarkz7S6My</v>
      </c>
      <c r="G314" s="23" t="str">
        <f t="shared" si="9"/>
        <v>10zDD4437H3QVSJo5AuwFiNiarkz7S6My</v>
      </c>
      <c r="H314" s="21" t="s">
        <v>996</v>
      </c>
    </row>
    <row r="315" spans="1:8" x14ac:dyDescent="0.25">
      <c r="B315" s="24" t="s">
        <v>592</v>
      </c>
      <c r="C315" s="24" t="s">
        <v>829</v>
      </c>
      <c r="D315" s="25" t="s">
        <v>322</v>
      </c>
      <c r="E315" s="24" t="s">
        <v>5</v>
      </c>
      <c r="F315" s="20" t="str">
        <f t="shared" si="8"/>
        <v/>
      </c>
      <c r="G315" s="23" t="str">
        <f t="shared" si="9"/>
        <v/>
      </c>
    </row>
    <row r="316" spans="1:8" x14ac:dyDescent="0.25">
      <c r="B316" s="24" t="s">
        <v>593</v>
      </c>
      <c r="C316" s="24" t="s">
        <v>830</v>
      </c>
      <c r="D316" s="25" t="s">
        <v>503</v>
      </c>
      <c r="E316" s="24" t="s">
        <v>3</v>
      </c>
      <c r="F316" s="20" t="str">
        <f t="shared" si="8"/>
        <v/>
      </c>
      <c r="G316" s="23" t="str">
        <f t="shared" si="9"/>
        <v/>
      </c>
    </row>
    <row r="317" spans="1:8" x14ac:dyDescent="0.25">
      <c r="A317" s="15">
        <v>97</v>
      </c>
      <c r="B317" s="24" t="s">
        <v>593</v>
      </c>
      <c r="C317" s="24" t="s">
        <v>831</v>
      </c>
      <c r="D317" s="25" t="s">
        <v>323</v>
      </c>
      <c r="E317" s="24" t="s">
        <v>4</v>
      </c>
      <c r="F317" s="20" t="str">
        <f t="shared" si="8"/>
        <v>https://docs.google.com/uc?export=download&amp;id=1MlQCKaKoQ6PFT6la1_cQYH-QLgW66pn7</v>
      </c>
      <c r="G317" s="23" t="str">
        <f t="shared" si="9"/>
        <v>1MlQCKaKoQ6PFT6la1_cQYH-QLgW66pn7</v>
      </c>
      <c r="H317" s="21" t="s">
        <v>997</v>
      </c>
    </row>
    <row r="318" spans="1:8" x14ac:dyDescent="0.25">
      <c r="B318" s="24" t="s">
        <v>593</v>
      </c>
      <c r="C318" s="24" t="s">
        <v>832</v>
      </c>
      <c r="D318" s="25" t="s">
        <v>324</v>
      </c>
      <c r="E318" s="24" t="s">
        <v>5</v>
      </c>
      <c r="F318" s="20" t="str">
        <f t="shared" si="8"/>
        <v/>
      </c>
      <c r="G318" s="23" t="str">
        <f t="shared" si="9"/>
        <v/>
      </c>
    </row>
    <row r="319" spans="1:8" x14ac:dyDescent="0.25">
      <c r="B319" s="24" t="s">
        <v>594</v>
      </c>
      <c r="C319" s="24" t="s">
        <v>833</v>
      </c>
      <c r="D319" s="25" t="s">
        <v>504</v>
      </c>
      <c r="E319" s="24" t="s">
        <v>3</v>
      </c>
      <c r="F319" s="20" t="str">
        <f t="shared" si="8"/>
        <v/>
      </c>
      <c r="G319" s="23" t="str">
        <f t="shared" si="9"/>
        <v/>
      </c>
    </row>
    <row r="320" spans="1:8" x14ac:dyDescent="0.25">
      <c r="A320" s="15">
        <v>98</v>
      </c>
      <c r="B320" s="24" t="s">
        <v>594</v>
      </c>
      <c r="C320" s="24" t="s">
        <v>834</v>
      </c>
      <c r="D320" s="25" t="s">
        <v>325</v>
      </c>
      <c r="E320" s="24" t="s">
        <v>4</v>
      </c>
      <c r="F320" s="20" t="str">
        <f t="shared" si="8"/>
        <v>https://docs.google.com/uc?export=download&amp;id=1gPTNai1aXN76J7JvOgJghY6-VpRyopgQ</v>
      </c>
      <c r="G320" s="23" t="str">
        <f t="shared" si="9"/>
        <v>1gPTNai1aXN76J7JvOgJghY6-VpRyopgQ</v>
      </c>
      <c r="H320" s="21" t="s">
        <v>1016</v>
      </c>
    </row>
    <row r="321" spans="1:8" x14ac:dyDescent="0.25">
      <c r="B321" s="24" t="s">
        <v>594</v>
      </c>
      <c r="C321" s="24" t="s">
        <v>835</v>
      </c>
      <c r="D321" s="25" t="s">
        <v>326</v>
      </c>
      <c r="E321" s="24" t="s">
        <v>5</v>
      </c>
      <c r="F321" s="20" t="str">
        <f t="shared" si="8"/>
        <v/>
      </c>
      <c r="G321" s="23" t="str">
        <f t="shared" si="9"/>
        <v/>
      </c>
    </row>
    <row r="322" spans="1:8" x14ac:dyDescent="0.25">
      <c r="B322" s="24" t="s">
        <v>383</v>
      </c>
      <c r="C322" s="24" t="s">
        <v>836</v>
      </c>
      <c r="D322" s="25" t="s">
        <v>505</v>
      </c>
      <c r="E322" s="24" t="s">
        <v>11</v>
      </c>
      <c r="F322" s="20" t="str">
        <f t="shared" si="8"/>
        <v/>
      </c>
      <c r="G322" s="23" t="str">
        <f t="shared" si="9"/>
        <v/>
      </c>
    </row>
    <row r="323" spans="1:8" x14ac:dyDescent="0.25">
      <c r="B323" s="24" t="s">
        <v>595</v>
      </c>
      <c r="C323" s="24" t="s">
        <v>837</v>
      </c>
      <c r="D323" s="25" t="s">
        <v>506</v>
      </c>
      <c r="E323" s="24" t="s">
        <v>3</v>
      </c>
      <c r="F323" s="20" t="str">
        <f t="shared" si="8"/>
        <v/>
      </c>
      <c r="G323" s="23" t="str">
        <f t="shared" si="9"/>
        <v/>
      </c>
    </row>
    <row r="324" spans="1:8" x14ac:dyDescent="0.25">
      <c r="A324" s="15">
        <v>99</v>
      </c>
      <c r="B324" s="24" t="s">
        <v>595</v>
      </c>
      <c r="C324" s="24" t="s">
        <v>838</v>
      </c>
      <c r="D324" s="25" t="s">
        <v>327</v>
      </c>
      <c r="E324" s="24" t="s">
        <v>4</v>
      </c>
      <c r="F324" s="20" t="str">
        <f t="shared" si="8"/>
        <v>https://docs.google.com/uc?export=download&amp;id=1KNRuAReGeailXB9yLzhQLWKkmERNScFr</v>
      </c>
      <c r="G324" s="23" t="str">
        <f t="shared" si="9"/>
        <v>1KNRuAReGeailXB9yLzhQLWKkmERNScFr</v>
      </c>
      <c r="H324" s="21" t="s">
        <v>998</v>
      </c>
    </row>
    <row r="325" spans="1:8" x14ac:dyDescent="0.25">
      <c r="B325" s="24" t="s">
        <v>595</v>
      </c>
      <c r="C325" s="24" t="s">
        <v>839</v>
      </c>
      <c r="D325" s="25" t="s">
        <v>328</v>
      </c>
      <c r="E325" s="24" t="s">
        <v>5</v>
      </c>
      <c r="F325" s="20" t="str">
        <f t="shared" ref="F325:F373" si="10">IF(G325="","","https://docs.google.com/uc?export=download&amp;id="&amp;G325)</f>
        <v/>
      </c>
      <c r="G325" s="23" t="str">
        <f t="shared" si="9"/>
        <v/>
      </c>
    </row>
    <row r="326" spans="1:8" x14ac:dyDescent="0.25">
      <c r="B326" s="24" t="s">
        <v>596</v>
      </c>
      <c r="C326" s="24" t="s">
        <v>840</v>
      </c>
      <c r="D326" s="25" t="s">
        <v>507</v>
      </c>
      <c r="E326" s="24" t="s">
        <v>3</v>
      </c>
      <c r="F326" s="20" t="str">
        <f t="shared" si="10"/>
        <v/>
      </c>
      <c r="G326" s="23" t="str">
        <f t="shared" ref="G326:G373" si="11">IFERROR(LEFT(RIGHT(H326,LEN(H326)-32),LEN(RIGHT(H326,LEN(H326)-32))-17),"")</f>
        <v/>
      </c>
    </row>
    <row r="327" spans="1:8" x14ac:dyDescent="0.25">
      <c r="A327" s="15">
        <v>100</v>
      </c>
      <c r="B327" s="24" t="s">
        <v>596</v>
      </c>
      <c r="C327" s="24" t="s">
        <v>841</v>
      </c>
      <c r="D327" s="25" t="s">
        <v>329</v>
      </c>
      <c r="E327" s="24" t="s">
        <v>4</v>
      </c>
      <c r="F327" s="20" t="str">
        <f t="shared" si="10"/>
        <v>https://docs.google.com/uc?export=download&amp;id=1-WH1qp9oQZIJjJjW8uQfkOR_OOXUmlY2</v>
      </c>
      <c r="G327" s="23" t="str">
        <f t="shared" si="11"/>
        <v>1-WH1qp9oQZIJjJjW8uQfkOR_OOXUmlY2</v>
      </c>
      <c r="H327" s="21" t="s">
        <v>999</v>
      </c>
    </row>
    <row r="328" spans="1:8" x14ac:dyDescent="0.25">
      <c r="B328" s="24" t="s">
        <v>596</v>
      </c>
      <c r="C328" s="24" t="s">
        <v>842</v>
      </c>
      <c r="D328" s="25" t="s">
        <v>330</v>
      </c>
      <c r="E328" s="24" t="s">
        <v>5</v>
      </c>
      <c r="F328" s="20" t="str">
        <f t="shared" si="10"/>
        <v/>
      </c>
      <c r="G328" s="23" t="str">
        <f t="shared" si="11"/>
        <v/>
      </c>
    </row>
    <row r="329" spans="1:8" x14ac:dyDescent="0.25">
      <c r="B329" s="24" t="s">
        <v>597</v>
      </c>
      <c r="C329" s="24" t="s">
        <v>843</v>
      </c>
      <c r="D329" s="25" t="s">
        <v>508</v>
      </c>
      <c r="E329" s="24" t="s">
        <v>3</v>
      </c>
      <c r="F329" s="20" t="str">
        <f t="shared" si="10"/>
        <v/>
      </c>
      <c r="G329" s="23" t="str">
        <f t="shared" si="11"/>
        <v/>
      </c>
    </row>
    <row r="330" spans="1:8" x14ac:dyDescent="0.25">
      <c r="A330" s="15">
        <v>101</v>
      </c>
      <c r="B330" s="24" t="s">
        <v>597</v>
      </c>
      <c r="C330" s="24" t="s">
        <v>844</v>
      </c>
      <c r="D330" s="25" t="s">
        <v>331</v>
      </c>
      <c r="E330" s="24" t="s">
        <v>4</v>
      </c>
      <c r="F330" s="20" t="str">
        <f t="shared" si="10"/>
        <v>https://docs.google.com/uc?export=download&amp;id=198p_u5J8B6AZ-iYk0RsKCAma5KtNiChT</v>
      </c>
      <c r="G330" s="23" t="str">
        <f t="shared" si="11"/>
        <v>198p_u5J8B6AZ-iYk0RsKCAma5KtNiChT</v>
      </c>
      <c r="H330" s="21" t="s">
        <v>1000</v>
      </c>
    </row>
    <row r="331" spans="1:8" x14ac:dyDescent="0.25">
      <c r="B331" s="24" t="s">
        <v>597</v>
      </c>
      <c r="C331" s="24" t="s">
        <v>845</v>
      </c>
      <c r="D331" s="25" t="s">
        <v>332</v>
      </c>
      <c r="E331" s="24" t="s">
        <v>5</v>
      </c>
      <c r="F331" s="20" t="str">
        <f t="shared" si="10"/>
        <v/>
      </c>
      <c r="G331" s="23" t="str">
        <f t="shared" si="11"/>
        <v/>
      </c>
    </row>
    <row r="332" spans="1:8" x14ac:dyDescent="0.25">
      <c r="B332" s="24" t="s">
        <v>598</v>
      </c>
      <c r="C332" s="24" t="s">
        <v>846</v>
      </c>
      <c r="D332" s="25" t="s">
        <v>509</v>
      </c>
      <c r="E332" s="24" t="s">
        <v>3</v>
      </c>
      <c r="F332" s="20" t="str">
        <f t="shared" si="10"/>
        <v/>
      </c>
      <c r="G332" s="23" t="str">
        <f t="shared" si="11"/>
        <v/>
      </c>
    </row>
    <row r="333" spans="1:8" x14ac:dyDescent="0.25">
      <c r="A333" s="15">
        <v>102</v>
      </c>
      <c r="B333" s="24" t="s">
        <v>598</v>
      </c>
      <c r="C333" s="24" t="s">
        <v>847</v>
      </c>
      <c r="D333" s="25" t="s">
        <v>333</v>
      </c>
      <c r="E333" s="24" t="s">
        <v>4</v>
      </c>
      <c r="F333" s="20" t="str">
        <f t="shared" si="10"/>
        <v>https://docs.google.com/uc?export=download&amp;id=18pp4FClNsToaMsvEkX6yNTnXXI6XBL-W</v>
      </c>
      <c r="G333" s="23" t="str">
        <f t="shared" si="11"/>
        <v>18pp4FClNsToaMsvEkX6yNTnXXI6XBL-W</v>
      </c>
      <c r="H333" s="21" t="s">
        <v>1001</v>
      </c>
    </row>
    <row r="334" spans="1:8" x14ac:dyDescent="0.25">
      <c r="B334" s="24" t="s">
        <v>598</v>
      </c>
      <c r="C334" s="24" t="s">
        <v>848</v>
      </c>
      <c r="D334" s="25" t="s">
        <v>334</v>
      </c>
      <c r="E334" s="24" t="s">
        <v>5</v>
      </c>
      <c r="F334" s="20" t="str">
        <f t="shared" si="10"/>
        <v/>
      </c>
      <c r="G334" s="23" t="str">
        <f t="shared" si="11"/>
        <v/>
      </c>
    </row>
    <row r="335" spans="1:8" x14ac:dyDescent="0.25">
      <c r="B335" s="24" t="s">
        <v>599</v>
      </c>
      <c r="C335" s="24" t="s">
        <v>849</v>
      </c>
      <c r="D335" s="25" t="s">
        <v>510</v>
      </c>
      <c r="E335" s="24" t="s">
        <v>3</v>
      </c>
      <c r="F335" s="20" t="str">
        <f t="shared" si="10"/>
        <v/>
      </c>
      <c r="G335" s="23" t="str">
        <f t="shared" si="11"/>
        <v/>
      </c>
    </row>
    <row r="336" spans="1:8" x14ac:dyDescent="0.25">
      <c r="A336" s="15">
        <v>103</v>
      </c>
      <c r="B336" s="24" t="s">
        <v>599</v>
      </c>
      <c r="C336" s="24" t="s">
        <v>850</v>
      </c>
      <c r="D336" s="25" t="s">
        <v>335</v>
      </c>
      <c r="E336" s="24" t="s">
        <v>4</v>
      </c>
      <c r="F336" s="20" t="str">
        <f t="shared" si="10"/>
        <v>https://docs.google.com/uc?export=download&amp;id=1ZzNSKbc6A9QGgmezf9hgw2YwHbQboagt</v>
      </c>
      <c r="G336" s="23" t="str">
        <f t="shared" si="11"/>
        <v>1ZzNSKbc6A9QGgmezf9hgw2YwHbQboagt</v>
      </c>
      <c r="H336" s="21" t="s">
        <v>1002</v>
      </c>
    </row>
    <row r="337" spans="1:8" x14ac:dyDescent="0.25">
      <c r="B337" s="24" t="s">
        <v>599</v>
      </c>
      <c r="C337" s="24" t="s">
        <v>851</v>
      </c>
      <c r="D337" s="25" t="s">
        <v>336</v>
      </c>
      <c r="E337" s="24" t="s">
        <v>5</v>
      </c>
      <c r="F337" s="20" t="str">
        <f t="shared" si="10"/>
        <v/>
      </c>
      <c r="G337" s="23" t="str">
        <f t="shared" si="11"/>
        <v/>
      </c>
    </row>
    <row r="338" spans="1:8" x14ac:dyDescent="0.25">
      <c r="B338" s="24" t="s">
        <v>384</v>
      </c>
      <c r="C338" s="24" t="s">
        <v>852</v>
      </c>
      <c r="D338" s="25" t="s">
        <v>511</v>
      </c>
      <c r="E338" s="24" t="s">
        <v>11</v>
      </c>
      <c r="F338" s="20" t="str">
        <f t="shared" si="10"/>
        <v/>
      </c>
      <c r="G338" s="23" t="str">
        <f t="shared" si="11"/>
        <v/>
      </c>
    </row>
    <row r="339" spans="1:8" x14ac:dyDescent="0.25">
      <c r="B339" s="24" t="s">
        <v>600</v>
      </c>
      <c r="C339" s="24" t="s">
        <v>853</v>
      </c>
      <c r="D339" s="25" t="s">
        <v>512</v>
      </c>
      <c r="E339" s="24" t="s">
        <v>3</v>
      </c>
      <c r="F339" s="20" t="str">
        <f t="shared" si="10"/>
        <v/>
      </c>
      <c r="G339" s="23" t="str">
        <f t="shared" si="11"/>
        <v/>
      </c>
    </row>
    <row r="340" spans="1:8" x14ac:dyDescent="0.25">
      <c r="A340" s="15">
        <v>104</v>
      </c>
      <c r="B340" s="24" t="s">
        <v>600</v>
      </c>
      <c r="C340" s="24" t="s">
        <v>854</v>
      </c>
      <c r="D340" s="25" t="s">
        <v>337</v>
      </c>
      <c r="E340" s="24" t="s">
        <v>4</v>
      </c>
      <c r="F340" s="20" t="str">
        <f t="shared" si="10"/>
        <v>https://docs.google.com/uc?export=download&amp;id=15L1XPuBAzFAPB22NO7reehVRfwK-G3u2</v>
      </c>
      <c r="G340" s="23" t="str">
        <f t="shared" si="11"/>
        <v>15L1XPuBAzFAPB22NO7reehVRfwK-G3u2</v>
      </c>
      <c r="H340" s="21" t="s">
        <v>1003</v>
      </c>
    </row>
    <row r="341" spans="1:8" x14ac:dyDescent="0.25">
      <c r="B341" s="24" t="s">
        <v>600</v>
      </c>
      <c r="C341" s="24" t="s">
        <v>855</v>
      </c>
      <c r="D341" s="25" t="s">
        <v>338</v>
      </c>
      <c r="E341" s="24" t="s">
        <v>5</v>
      </c>
      <c r="F341" s="20" t="str">
        <f t="shared" si="10"/>
        <v/>
      </c>
      <c r="G341" s="23" t="str">
        <f t="shared" si="11"/>
        <v/>
      </c>
    </row>
    <row r="342" spans="1:8" x14ac:dyDescent="0.25">
      <c r="B342" s="24" t="s">
        <v>601</v>
      </c>
      <c r="C342" s="24" t="s">
        <v>856</v>
      </c>
      <c r="D342" s="25" t="s">
        <v>513</v>
      </c>
      <c r="E342" s="24" t="s">
        <v>3</v>
      </c>
      <c r="F342" s="20" t="str">
        <f t="shared" si="10"/>
        <v/>
      </c>
      <c r="G342" s="23" t="str">
        <f t="shared" si="11"/>
        <v/>
      </c>
    </row>
    <row r="343" spans="1:8" x14ac:dyDescent="0.25">
      <c r="A343" s="15">
        <v>105</v>
      </c>
      <c r="B343" s="24" t="s">
        <v>601</v>
      </c>
      <c r="C343" s="24" t="s">
        <v>857</v>
      </c>
      <c r="D343" s="25" t="s">
        <v>339</v>
      </c>
      <c r="E343" s="24" t="s">
        <v>4</v>
      </c>
      <c r="F343" s="20" t="str">
        <f t="shared" si="10"/>
        <v>https://docs.google.com/uc?export=download&amp;id=16Dm2XhDdtnlNjG2iaHosBg7CmF1gt4Ee</v>
      </c>
      <c r="G343" s="23" t="str">
        <f t="shared" si="11"/>
        <v>16Dm2XhDdtnlNjG2iaHosBg7CmF1gt4Ee</v>
      </c>
      <c r="H343" s="21" t="s">
        <v>1004</v>
      </c>
    </row>
    <row r="344" spans="1:8" x14ac:dyDescent="0.25">
      <c r="B344" s="24" t="s">
        <v>601</v>
      </c>
      <c r="C344" s="24" t="s">
        <v>858</v>
      </c>
      <c r="D344" s="25" t="s">
        <v>340</v>
      </c>
      <c r="E344" s="24" t="s">
        <v>5</v>
      </c>
      <c r="F344" s="20" t="str">
        <f t="shared" si="10"/>
        <v/>
      </c>
      <c r="G344" s="23" t="str">
        <f t="shared" si="11"/>
        <v/>
      </c>
    </row>
    <row r="345" spans="1:8" x14ac:dyDescent="0.25">
      <c r="B345" s="24" t="s">
        <v>602</v>
      </c>
      <c r="C345" s="24" t="s">
        <v>859</v>
      </c>
      <c r="D345" s="25" t="s">
        <v>514</v>
      </c>
      <c r="E345" s="24" t="s">
        <v>3</v>
      </c>
      <c r="F345" s="20" t="str">
        <f t="shared" si="10"/>
        <v/>
      </c>
      <c r="G345" s="23" t="str">
        <f t="shared" si="11"/>
        <v/>
      </c>
    </row>
    <row r="346" spans="1:8" x14ac:dyDescent="0.25">
      <c r="A346" s="15">
        <v>106</v>
      </c>
      <c r="B346" s="24" t="s">
        <v>602</v>
      </c>
      <c r="C346" s="24" t="s">
        <v>860</v>
      </c>
      <c r="D346" s="25" t="s">
        <v>341</v>
      </c>
      <c r="E346" s="24" t="s">
        <v>4</v>
      </c>
      <c r="F346" s="20" t="str">
        <f t="shared" si="10"/>
        <v>https://docs.google.com/uc?export=download&amp;id=1HDia_jysK3Ljfv23qWBLTN_jDBIeAvXy</v>
      </c>
      <c r="G346" s="23" t="str">
        <f t="shared" si="11"/>
        <v>1HDia_jysK3Ljfv23qWBLTN_jDBIeAvXy</v>
      </c>
      <c r="H346" s="21" t="s">
        <v>1005</v>
      </c>
    </row>
    <row r="347" spans="1:8" x14ac:dyDescent="0.25">
      <c r="B347" s="24" t="s">
        <v>602</v>
      </c>
      <c r="C347" s="24" t="s">
        <v>861</v>
      </c>
      <c r="D347" s="25" t="s">
        <v>342</v>
      </c>
      <c r="E347" s="24" t="s">
        <v>5</v>
      </c>
      <c r="F347" s="20" t="str">
        <f t="shared" si="10"/>
        <v/>
      </c>
      <c r="G347" s="23" t="str">
        <f t="shared" si="11"/>
        <v/>
      </c>
    </row>
    <row r="348" spans="1:8" x14ac:dyDescent="0.25">
      <c r="B348" s="24" t="s">
        <v>603</v>
      </c>
      <c r="C348" s="24" t="s">
        <v>862</v>
      </c>
      <c r="D348" s="25" t="s">
        <v>515</v>
      </c>
      <c r="E348" s="24" t="s">
        <v>3</v>
      </c>
      <c r="F348" s="20" t="str">
        <f t="shared" si="10"/>
        <v/>
      </c>
      <c r="G348" s="23" t="str">
        <f t="shared" si="11"/>
        <v/>
      </c>
    </row>
    <row r="349" spans="1:8" x14ac:dyDescent="0.25">
      <c r="A349" s="15">
        <v>107</v>
      </c>
      <c r="B349" s="24" t="s">
        <v>603</v>
      </c>
      <c r="C349" s="24" t="s">
        <v>863</v>
      </c>
      <c r="D349" s="25" t="s">
        <v>343</v>
      </c>
      <c r="E349" s="24" t="s">
        <v>4</v>
      </c>
      <c r="F349" s="20" t="str">
        <f t="shared" si="10"/>
        <v>https://docs.google.com/uc?export=download&amp;id=10s35pxt3fYoBdE_rXods4Ik0cvJIfUqt</v>
      </c>
      <c r="G349" s="23" t="str">
        <f t="shared" si="11"/>
        <v>10s35pxt3fYoBdE_rXods4Ik0cvJIfUqt</v>
      </c>
      <c r="H349" s="21" t="s">
        <v>1006</v>
      </c>
    </row>
    <row r="350" spans="1:8" x14ac:dyDescent="0.25">
      <c r="B350" s="24" t="s">
        <v>603</v>
      </c>
      <c r="C350" s="24" t="s">
        <v>864</v>
      </c>
      <c r="D350" s="25" t="s">
        <v>344</v>
      </c>
      <c r="E350" s="24" t="s">
        <v>5</v>
      </c>
      <c r="F350" s="20" t="str">
        <f t="shared" si="10"/>
        <v/>
      </c>
      <c r="G350" s="23" t="str">
        <f t="shared" si="11"/>
        <v/>
      </c>
    </row>
    <row r="351" spans="1:8" x14ac:dyDescent="0.25">
      <c r="B351" s="24" t="s">
        <v>385</v>
      </c>
      <c r="C351" s="24" t="s">
        <v>865</v>
      </c>
      <c r="D351" s="25" t="s">
        <v>516</v>
      </c>
      <c r="E351" s="24" t="s">
        <v>11</v>
      </c>
      <c r="F351" s="20" t="str">
        <f t="shared" si="10"/>
        <v/>
      </c>
      <c r="G351" s="23" t="str">
        <f t="shared" si="11"/>
        <v/>
      </c>
    </row>
    <row r="352" spans="1:8" x14ac:dyDescent="0.25">
      <c r="B352" s="24" t="s">
        <v>604</v>
      </c>
      <c r="C352" s="24" t="s">
        <v>866</v>
      </c>
      <c r="D352" s="25" t="s">
        <v>517</v>
      </c>
      <c r="E352" s="24" t="s">
        <v>3</v>
      </c>
      <c r="F352" s="20" t="str">
        <f t="shared" si="10"/>
        <v/>
      </c>
      <c r="G352" s="23" t="str">
        <f t="shared" si="11"/>
        <v/>
      </c>
    </row>
    <row r="353" spans="1:8" x14ac:dyDescent="0.25">
      <c r="A353" s="15">
        <v>108</v>
      </c>
      <c r="B353" s="24" t="s">
        <v>604</v>
      </c>
      <c r="C353" s="24" t="s">
        <v>867</v>
      </c>
      <c r="D353" s="25" t="s">
        <v>345</v>
      </c>
      <c r="E353" s="24" t="s">
        <v>4</v>
      </c>
      <c r="F353" s="20" t="str">
        <f t="shared" si="10"/>
        <v>https://docs.google.com/uc?export=download&amp;id=1_yWPdp9Yv-SKKL2QF5DhrEYHUDeAAUxI</v>
      </c>
      <c r="G353" s="23" t="str">
        <f t="shared" si="11"/>
        <v>1_yWPdp9Yv-SKKL2QF5DhrEYHUDeAAUxI</v>
      </c>
      <c r="H353" s="21" t="s">
        <v>1007</v>
      </c>
    </row>
    <row r="354" spans="1:8" x14ac:dyDescent="0.25">
      <c r="B354" s="24" t="s">
        <v>604</v>
      </c>
      <c r="C354" s="24" t="s">
        <v>868</v>
      </c>
      <c r="D354" s="25" t="s">
        <v>346</v>
      </c>
      <c r="E354" s="24" t="s">
        <v>5</v>
      </c>
      <c r="F354" s="20" t="str">
        <f t="shared" si="10"/>
        <v/>
      </c>
      <c r="G354" s="23" t="str">
        <f t="shared" si="11"/>
        <v/>
      </c>
    </row>
    <row r="355" spans="1:8" x14ac:dyDescent="0.25">
      <c r="B355" s="24" t="s">
        <v>605</v>
      </c>
      <c r="C355" s="24" t="s">
        <v>869</v>
      </c>
      <c r="D355" s="25" t="s">
        <v>518</v>
      </c>
      <c r="E355" s="24" t="s">
        <v>3</v>
      </c>
      <c r="F355" s="20" t="str">
        <f t="shared" si="10"/>
        <v/>
      </c>
      <c r="G355" s="23" t="str">
        <f t="shared" si="11"/>
        <v/>
      </c>
    </row>
    <row r="356" spans="1:8" x14ac:dyDescent="0.25">
      <c r="A356" s="15">
        <v>109</v>
      </c>
      <c r="B356" s="24" t="s">
        <v>605</v>
      </c>
      <c r="C356" s="24" t="s">
        <v>870</v>
      </c>
      <c r="D356" s="25" t="s">
        <v>347</v>
      </c>
      <c r="E356" s="24" t="s">
        <v>4</v>
      </c>
      <c r="F356" s="20" t="str">
        <f t="shared" si="10"/>
        <v>https://docs.google.com/uc?export=download&amp;id=1Dvbuc7a52TZme2Go7x02WBIuwK3kxQXn</v>
      </c>
      <c r="G356" s="23" t="str">
        <f t="shared" si="11"/>
        <v>1Dvbuc7a52TZme2Go7x02WBIuwK3kxQXn</v>
      </c>
      <c r="H356" s="21" t="s">
        <v>1008</v>
      </c>
    </row>
    <row r="357" spans="1:8" x14ac:dyDescent="0.25">
      <c r="B357" s="24" t="s">
        <v>605</v>
      </c>
      <c r="C357" s="24" t="s">
        <v>871</v>
      </c>
      <c r="D357" s="25" t="s">
        <v>348</v>
      </c>
      <c r="E357" s="24" t="s">
        <v>5</v>
      </c>
      <c r="F357" s="20" t="str">
        <f t="shared" si="10"/>
        <v/>
      </c>
      <c r="G357" s="23" t="str">
        <f t="shared" si="11"/>
        <v/>
      </c>
    </row>
    <row r="358" spans="1:8" x14ac:dyDescent="0.25">
      <c r="B358" s="24" t="s">
        <v>606</v>
      </c>
      <c r="C358" s="24" t="s">
        <v>872</v>
      </c>
      <c r="D358" s="25" t="s">
        <v>519</v>
      </c>
      <c r="E358" s="24" t="s">
        <v>3</v>
      </c>
      <c r="F358" s="20" t="str">
        <f t="shared" si="10"/>
        <v/>
      </c>
      <c r="G358" s="23" t="str">
        <f t="shared" si="11"/>
        <v/>
      </c>
    </row>
    <row r="359" spans="1:8" x14ac:dyDescent="0.25">
      <c r="A359" s="15">
        <v>110</v>
      </c>
      <c r="B359" s="24" t="s">
        <v>606</v>
      </c>
      <c r="C359" s="24" t="s">
        <v>873</v>
      </c>
      <c r="D359" s="25" t="s">
        <v>349</v>
      </c>
      <c r="E359" s="24" t="s">
        <v>4</v>
      </c>
      <c r="F359" s="20" t="str">
        <f t="shared" si="10"/>
        <v>https://docs.google.com/uc?export=download&amp;id=1Qv9pMkU-tqBmg3eBByRImsiCyQqKaQfP</v>
      </c>
      <c r="G359" s="23" t="str">
        <f t="shared" si="11"/>
        <v>1Qv9pMkU-tqBmg3eBByRImsiCyQqKaQfP</v>
      </c>
      <c r="H359" s="21" t="s">
        <v>1009</v>
      </c>
    </row>
    <row r="360" spans="1:8" x14ac:dyDescent="0.25">
      <c r="B360" s="24" t="s">
        <v>606</v>
      </c>
      <c r="C360" s="24" t="s">
        <v>874</v>
      </c>
      <c r="D360" s="25" t="s">
        <v>350</v>
      </c>
      <c r="E360" s="24" t="s">
        <v>5</v>
      </c>
      <c r="F360" s="20" t="str">
        <f t="shared" si="10"/>
        <v/>
      </c>
      <c r="G360" s="23" t="str">
        <f t="shared" si="11"/>
        <v/>
      </c>
    </row>
    <row r="361" spans="1:8" x14ac:dyDescent="0.25">
      <c r="B361" s="24" t="s">
        <v>386</v>
      </c>
      <c r="C361" s="24" t="s">
        <v>875</v>
      </c>
      <c r="D361" s="25" t="s">
        <v>520</v>
      </c>
      <c r="E361" s="24" t="s">
        <v>11</v>
      </c>
      <c r="F361" s="20" t="str">
        <f t="shared" si="10"/>
        <v/>
      </c>
      <c r="G361" s="23" t="str">
        <f t="shared" si="11"/>
        <v/>
      </c>
    </row>
    <row r="362" spans="1:8" x14ac:dyDescent="0.25">
      <c r="B362" s="24" t="s">
        <v>607</v>
      </c>
      <c r="C362" s="24" t="s">
        <v>876</v>
      </c>
      <c r="D362" s="25" t="s">
        <v>521</v>
      </c>
      <c r="E362" s="24" t="s">
        <v>3</v>
      </c>
      <c r="F362" s="20" t="str">
        <f t="shared" si="10"/>
        <v/>
      </c>
      <c r="G362" s="23" t="str">
        <f t="shared" si="11"/>
        <v/>
      </c>
    </row>
    <row r="363" spans="1:8" x14ac:dyDescent="0.25">
      <c r="A363" s="15">
        <v>111</v>
      </c>
      <c r="B363" s="24" t="s">
        <v>607</v>
      </c>
      <c r="C363" s="24" t="s">
        <v>877</v>
      </c>
      <c r="D363" s="25" t="s">
        <v>351</v>
      </c>
      <c r="E363" s="24" t="s">
        <v>4</v>
      </c>
      <c r="F363" s="20" t="str">
        <f t="shared" si="10"/>
        <v>https://docs.google.com/uc?export=download&amp;id=1Ccsmf6UGj5k2URJ3ysBZ7CK6jGx8yYV1</v>
      </c>
      <c r="G363" s="23" t="str">
        <f t="shared" si="11"/>
        <v>1Ccsmf6UGj5k2URJ3ysBZ7CK6jGx8yYV1</v>
      </c>
      <c r="H363" s="21" t="s">
        <v>1010</v>
      </c>
    </row>
    <row r="364" spans="1:8" x14ac:dyDescent="0.25">
      <c r="B364" s="24" t="s">
        <v>607</v>
      </c>
      <c r="C364" s="24" t="s">
        <v>878</v>
      </c>
      <c r="D364" s="25" t="s">
        <v>352</v>
      </c>
      <c r="E364" s="24" t="s">
        <v>5</v>
      </c>
      <c r="F364" s="20" t="str">
        <f t="shared" si="10"/>
        <v/>
      </c>
      <c r="G364" s="23" t="str">
        <f t="shared" si="11"/>
        <v/>
      </c>
    </row>
    <row r="365" spans="1:8" x14ac:dyDescent="0.25">
      <c r="B365" s="24" t="s">
        <v>608</v>
      </c>
      <c r="C365" s="24" t="s">
        <v>879</v>
      </c>
      <c r="D365" s="25" t="s">
        <v>522</v>
      </c>
      <c r="E365" s="24" t="s">
        <v>3</v>
      </c>
      <c r="F365" s="20" t="str">
        <f t="shared" si="10"/>
        <v/>
      </c>
      <c r="G365" s="23" t="str">
        <f t="shared" si="11"/>
        <v/>
      </c>
    </row>
    <row r="366" spans="1:8" x14ac:dyDescent="0.25">
      <c r="A366" s="15">
        <v>112</v>
      </c>
      <c r="B366" s="24" t="s">
        <v>608</v>
      </c>
      <c r="C366" s="24" t="s">
        <v>880</v>
      </c>
      <c r="D366" s="25" t="s">
        <v>353</v>
      </c>
      <c r="E366" s="24" t="s">
        <v>4</v>
      </c>
      <c r="F366" s="20" t="str">
        <f t="shared" si="10"/>
        <v>https://docs.google.com/uc?export=download&amp;id=1do4kHZVYnqbNjejYS_98Df7Nv-O3JUy8</v>
      </c>
      <c r="G366" s="23" t="str">
        <f t="shared" si="11"/>
        <v>1do4kHZVYnqbNjejYS_98Df7Nv-O3JUy8</v>
      </c>
      <c r="H366" s="21" t="s">
        <v>1011</v>
      </c>
    </row>
    <row r="367" spans="1:8" x14ac:dyDescent="0.25">
      <c r="B367" s="24" t="s">
        <v>608</v>
      </c>
      <c r="C367" s="24" t="s">
        <v>881</v>
      </c>
      <c r="D367" s="25" t="s">
        <v>354</v>
      </c>
      <c r="E367" s="24" t="s">
        <v>5</v>
      </c>
      <c r="F367" s="20" t="str">
        <f t="shared" si="10"/>
        <v/>
      </c>
      <c r="G367" s="23" t="str">
        <f t="shared" si="11"/>
        <v/>
      </c>
    </row>
    <row r="368" spans="1:8" x14ac:dyDescent="0.25">
      <c r="B368" s="24" t="s">
        <v>609</v>
      </c>
      <c r="C368" s="24" t="s">
        <v>882</v>
      </c>
      <c r="D368" s="25" t="s">
        <v>523</v>
      </c>
      <c r="E368" s="24" t="s">
        <v>3</v>
      </c>
      <c r="F368" s="20" t="str">
        <f t="shared" si="10"/>
        <v/>
      </c>
      <c r="G368" s="23" t="str">
        <f t="shared" si="11"/>
        <v/>
      </c>
    </row>
    <row r="369" spans="1:8" x14ac:dyDescent="0.25">
      <c r="A369" s="15">
        <v>113</v>
      </c>
      <c r="B369" s="24" t="s">
        <v>609</v>
      </c>
      <c r="C369" s="24" t="s">
        <v>883</v>
      </c>
      <c r="D369" s="25" t="s">
        <v>355</v>
      </c>
      <c r="E369" s="24" t="s">
        <v>4</v>
      </c>
      <c r="F369" s="20" t="str">
        <f t="shared" si="10"/>
        <v>https://docs.google.com/uc?export=download&amp;id=1BQjgxTFxDqJk5jW9NgGADhJ01ZDP_PCU</v>
      </c>
      <c r="G369" s="23" t="str">
        <f t="shared" si="11"/>
        <v>1BQjgxTFxDqJk5jW9NgGADhJ01ZDP_PCU</v>
      </c>
      <c r="H369" s="21" t="s">
        <v>1012</v>
      </c>
    </row>
    <row r="370" spans="1:8" x14ac:dyDescent="0.25">
      <c r="B370" s="24" t="s">
        <v>609</v>
      </c>
      <c r="C370" s="24" t="s">
        <v>884</v>
      </c>
      <c r="D370" s="25" t="s">
        <v>356</v>
      </c>
      <c r="E370" s="24" t="s">
        <v>5</v>
      </c>
      <c r="F370" s="20" t="str">
        <f t="shared" si="10"/>
        <v/>
      </c>
      <c r="G370" s="23" t="str">
        <f t="shared" si="11"/>
        <v/>
      </c>
    </row>
    <row r="371" spans="1:8" x14ac:dyDescent="0.25">
      <c r="B371" s="24" t="s">
        <v>610</v>
      </c>
      <c r="C371" s="24" t="s">
        <v>885</v>
      </c>
      <c r="D371" s="25" t="s">
        <v>524</v>
      </c>
      <c r="E371" s="24" t="s">
        <v>3</v>
      </c>
      <c r="F371" s="20" t="str">
        <f t="shared" si="10"/>
        <v/>
      </c>
      <c r="G371" s="23" t="str">
        <f t="shared" si="11"/>
        <v/>
      </c>
    </row>
    <row r="372" spans="1:8" x14ac:dyDescent="0.25">
      <c r="A372" s="15">
        <v>114</v>
      </c>
      <c r="B372" s="24" t="s">
        <v>610</v>
      </c>
      <c r="C372" s="24" t="s">
        <v>886</v>
      </c>
      <c r="D372" s="25" t="s">
        <v>357</v>
      </c>
      <c r="E372" s="24" t="s">
        <v>4</v>
      </c>
      <c r="F372" s="20" t="str">
        <f t="shared" si="10"/>
        <v>https://docs.google.com/uc?export=download&amp;id=1mNxiLeXUxCaFOJbtBPHx1n_gu_n77hyu</v>
      </c>
      <c r="G372" s="23" t="str">
        <f t="shared" si="11"/>
        <v>1mNxiLeXUxCaFOJbtBPHx1n_gu_n77hyu</v>
      </c>
      <c r="H372" s="21" t="s">
        <v>1013</v>
      </c>
    </row>
    <row r="373" spans="1:8" x14ac:dyDescent="0.25">
      <c r="B373" s="24" t="s">
        <v>610</v>
      </c>
      <c r="C373" s="24" t="s">
        <v>887</v>
      </c>
      <c r="D373" s="25" t="s">
        <v>358</v>
      </c>
      <c r="E373" s="24" t="s">
        <v>5</v>
      </c>
      <c r="F373" s="20" t="str">
        <f t="shared" si="10"/>
        <v/>
      </c>
      <c r="G373" s="23" t="str">
        <f t="shared" si="11"/>
        <v/>
      </c>
    </row>
  </sheetData>
  <autoFilter ref="A3:H373" xr:uid="{409C9D1B-A452-401C-9733-8750E50DAAFC}"/>
  <conditionalFormatting sqref="I1:I298 I374:I1048576">
    <cfRule type="duplicateValues" dxfId="3" priority="4"/>
  </conditionalFormatting>
  <conditionalFormatting sqref="H1:H113 H115:H1048576">
    <cfRule type="duplicateValues" dxfId="2" priority="3"/>
  </conditionalFormatting>
  <conditionalFormatting sqref="I299:I373">
    <cfRule type="duplicateValues" dxfId="1" priority="2"/>
  </conditionalFormatting>
  <pageMargins left="0.7" right="0.7" top="0.75" bottom="0.75" header="0.3" footer="0.3"/>
  <pageSetup paperSize="9" orientation="portrait" r:id="rId1"/>
  <ignoredErrors>
    <ignoredError sqref="B4:B163 B165 B169:B3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8"/>
  <sheetViews>
    <sheetView tabSelected="1" topLeftCell="A2" workbookViewId="0">
      <selection activeCell="C17" sqref="C17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39</v>
      </c>
      <c r="C3" s="6" t="str">
        <f>IF(D3="","","https://docs.google.com/uc?export=download&amp;id="&amp;D3)</f>
        <v>https://docs.google.com/uc?export=download&amp;id=1z-CK-LPThDVM8wVUsOVH1QcsU_B7s7n4</v>
      </c>
      <c r="D3" s="7" t="str">
        <f t="shared" ref="D3:D4" si="0">IFERROR(LEFT(RIGHT(E3,LEN(E3)-32),LEN(RIGHT(E3,LEN(E3)-32))-17),"")</f>
        <v>1z-CK-LPThDVM8wVUsOVH1QcsU_B7s7n4</v>
      </c>
      <c r="E3" s="7" t="s">
        <v>897</v>
      </c>
    </row>
    <row r="4" spans="2:5" x14ac:dyDescent="0.25">
      <c r="B4" s="8" t="s">
        <v>893</v>
      </c>
      <c r="C4" s="6" t="str">
        <f t="shared" ref="C4" si="1">IF(D4="","","https://docs.google.com/uc?export=download&amp;id="&amp;D4)</f>
        <v>https://docs.google.com/uc?export=download&amp;id=136IuKU9AiM_ATjO6j9pn9t3hPxoRC9ah</v>
      </c>
      <c r="D4" s="7" t="str">
        <f t="shared" si="0"/>
        <v>136IuKU9AiM_ATjO6j9pn9t3hPxoRC9ah</v>
      </c>
      <c r="E4" s="7" t="s">
        <v>898</v>
      </c>
    </row>
    <row r="5" spans="2:5" x14ac:dyDescent="0.25">
      <c r="B5" s="8" t="s">
        <v>894</v>
      </c>
      <c r="C5" s="6" t="str">
        <f t="shared" ref="C5:C7" si="2">IF(D5="","","https://docs.google.com/uc?export=download&amp;id="&amp;D5)</f>
        <v>https://docs.google.com/uc?export=download&amp;id=1VeoSpR_BnugwxUxk-9GrsriVybY-rPtU</v>
      </c>
      <c r="D5" s="7" t="str">
        <f t="shared" ref="D5:D8" si="3">IFERROR(LEFT(RIGHT(E5,LEN(E5)-32),LEN(RIGHT(E5,LEN(E5)-32))-17),"")</f>
        <v>1VeoSpR_BnugwxUxk-9GrsriVybY-rPtU</v>
      </c>
      <c r="E5" s="7" t="s">
        <v>899</v>
      </c>
    </row>
    <row r="6" spans="2:5" x14ac:dyDescent="0.25">
      <c r="B6" s="8" t="s">
        <v>895</v>
      </c>
      <c r="C6" s="6" t="str">
        <f t="shared" si="2"/>
        <v>https://docs.google.com/uc?export=download&amp;id=1mF8M7SBxeIJu26DMqCorS7r34UpRf0vG</v>
      </c>
      <c r="D6" s="7" t="str">
        <f t="shared" si="3"/>
        <v>1mF8M7SBxeIJu26DMqCorS7r34UpRf0vG</v>
      </c>
      <c r="E6" s="7" t="s">
        <v>939</v>
      </c>
    </row>
    <row r="7" spans="2:5" x14ac:dyDescent="0.25">
      <c r="B7" s="8" t="s">
        <v>896</v>
      </c>
      <c r="C7" s="6" t="str">
        <f t="shared" si="2"/>
        <v>https://docs.google.com/uc?export=download&amp;id=18Aka8AT1oIJvTXmS5NFPZKh9FFzAjw3k</v>
      </c>
      <c r="D7" s="7" t="str">
        <f t="shared" si="3"/>
        <v>18Aka8AT1oIJvTXmS5NFPZKh9FFzAjw3k</v>
      </c>
      <c r="E7" s="7" t="s">
        <v>940</v>
      </c>
    </row>
    <row r="8" spans="2:5" x14ac:dyDescent="0.25">
      <c r="B8" s="8" t="s">
        <v>1020</v>
      </c>
      <c r="C8" s="6" t="str">
        <f t="shared" ref="C8" si="4">IF(D8="","","https://docs.google.com/uc?export=download&amp;id="&amp;D8)</f>
        <v>https://docs.google.com/uc?export=download&amp;id=1kOT3642UsHN_ZYWCq7VjqkAXwBilZOJT</v>
      </c>
      <c r="D8" s="7" t="str">
        <f t="shared" si="3"/>
        <v>1kOT3642UsHN_ZYWCq7VjqkAXwBilZOJT</v>
      </c>
      <c r="E8" t="s">
        <v>1019</v>
      </c>
    </row>
  </sheetData>
  <phoneticPr fontId="3" type="noConversion"/>
  <pageMargins left="0.7" right="0.7" top="0.75" bottom="0.75" header="0.3" footer="0.3"/>
  <ignoredErrors>
    <ignoredError sqref="B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3" sqref="C3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41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40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L295"/>
  <sheetViews>
    <sheetView topLeftCell="C1" zoomScale="86" zoomScaleNormal="86" workbookViewId="0">
      <selection activeCell="F29" sqref="F29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6">
        <v>85</v>
      </c>
      <c r="D1" s="3"/>
    </row>
    <row r="2" spans="1:10" x14ac:dyDescent="0.25">
      <c r="B2" t="s">
        <v>7</v>
      </c>
      <c r="C2" s="16">
        <v>114</v>
      </c>
      <c r="D2" s="3"/>
    </row>
    <row r="3" spans="1:10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85</v>
      </c>
      <c r="B4">
        <f t="shared" ref="B4:B67" ca="1" si="0">IF(A4="","",RANDBETWEEN($C$1,$C$2))</f>
        <v>103</v>
      </c>
      <c r="C4" s="1">
        <f ca="1">IFERROR($C$1-1+_xlfn.RANK.EQ(B4,$B$4:$B$117)+COUNTIF(B$4:$B4,B4)-1,"")</f>
        <v>98</v>
      </c>
      <c r="D4" s="1" t="str">
        <f ca="1">IFERROR(VLOOKUP(C4,Travel!A:B,2,0),"")</f>
        <v>24.4</v>
      </c>
      <c r="E4" t="str">
        <f ca="1">IFERROR(VLOOKUP(D4&amp;"Viet",Travel!C:D,2,0),"")</f>
        <v>Ở đây có dịch vụ gọi dậy sớm không ?</v>
      </c>
      <c r="F4" t="str">
        <f ca="1">IFERROR(VLOOKUP(D4&amp;"Eng",Travel!C:D,2,0),"")</f>
        <v>Is there a wake- up call service?</v>
      </c>
    </row>
    <row r="5" spans="1:10" x14ac:dyDescent="0.25">
      <c r="A5">
        <f>IFERROR(IF(A4+1&gt;$C$2,"",A4+1),"")</f>
        <v>86</v>
      </c>
      <c r="B5">
        <f t="shared" ca="1" si="0"/>
        <v>95</v>
      </c>
      <c r="C5" s="1">
        <f ca="1">IFERROR($C$1-1+_xlfn.RANK.EQ(B5,$B$4:$B$117)+COUNTIF(B$4:$B5,B5)-1,"")</f>
        <v>106</v>
      </c>
      <c r="D5" s="1" t="str">
        <f ca="1">IFERROR(VLOOKUP(C5,Travel!A:B,2,0),"")</f>
        <v>26.3</v>
      </c>
      <c r="E5" t="str">
        <f ca="1">IFERROR(VLOOKUP(D5&amp;"Viet",Travel!C:D,2,0),"")</f>
        <v>Cái điều khiển bị hỏng rồi.</v>
      </c>
      <c r="F5" t="str">
        <f ca="1">IFERROR(VLOOKUP(D5&amp;"Eng",Travel!C:D,2,0),"")</f>
        <v>The remote control doesn’t work.</v>
      </c>
    </row>
    <row r="6" spans="1:10" x14ac:dyDescent="0.25">
      <c r="A6">
        <f t="shared" ref="A6:A69" si="1">IFERROR(IF(A5+1&gt;$C$2,"",A5+1),"")</f>
        <v>87</v>
      </c>
      <c r="B6">
        <f t="shared" ca="1" si="0"/>
        <v>98</v>
      </c>
      <c r="C6" s="1">
        <f ca="1">IFERROR($C$1-1+_xlfn.RANK.EQ(B6,$B$4:$B$117)+COUNTIF(B$4:$B6,B6)-1,"")</f>
        <v>104</v>
      </c>
      <c r="D6" s="1" t="str">
        <f ca="1">IFERROR(VLOOKUP(C6,Travel!A:B,2,0),"")</f>
        <v>26.1</v>
      </c>
      <c r="E6" t="str">
        <f ca="1">IFERROR(VLOOKUP(D6&amp;"Viet",Travel!C:D,2,0),"")</f>
        <v>Cái vòi sen bị hỏng rồi.</v>
      </c>
      <c r="F6" t="str">
        <f ca="1">IFERROR(VLOOKUP(D6&amp;"Eng",Travel!C:D,2,0),"")</f>
        <v>The shower doesn’t work.</v>
      </c>
    </row>
    <row r="7" spans="1:10" x14ac:dyDescent="0.25">
      <c r="A7">
        <f t="shared" si="1"/>
        <v>88</v>
      </c>
      <c r="B7">
        <f t="shared" ca="1" si="0"/>
        <v>113</v>
      </c>
      <c r="C7" s="1">
        <f ca="1">IFERROR($C$1-1+_xlfn.RANK.EQ(B7,$B$4:$B$117)+COUNTIF(B$4:$B7,B7)-1,"")</f>
        <v>85</v>
      </c>
      <c r="D7" s="1" t="str">
        <f ca="1">IFERROR(VLOOKUP(C7,Travel!A:B,2,0),"")</f>
        <v>21.1</v>
      </c>
      <c r="E7" t="str">
        <f ca="1">IFERROR(VLOOKUP(D7&amp;"Viet",Travel!C:D,2,0),"")</f>
        <v>Tôi định ở đây khoảng 3 ngày.</v>
      </c>
      <c r="F7" t="str">
        <f ca="1">IFERROR(VLOOKUP(D7&amp;"Eng",Travel!C:D,2,0),"")</f>
        <v>I plan to stay for 3 days.</v>
      </c>
    </row>
    <row r="8" spans="1:10" x14ac:dyDescent="0.25">
      <c r="A8">
        <f t="shared" si="1"/>
        <v>89</v>
      </c>
      <c r="B8">
        <f t="shared" ca="1" si="0"/>
        <v>107</v>
      </c>
      <c r="C8" s="1">
        <f ca="1">IFERROR($C$1-1+_xlfn.RANK.EQ(B8,$B$4:$B$117)+COUNTIF(B$4:$B8,B8)-1,"")</f>
        <v>93</v>
      </c>
      <c r="D8" s="1" t="str">
        <f ca="1">IFERROR(VLOOKUP(C8,Travel!A:B,2,0),"")</f>
        <v>23.2</v>
      </c>
      <c r="E8" t="str">
        <f ca="1">IFERROR(VLOOKUP(D8&amp;"Viet",Travel!C:D,2,0),"")</f>
        <v>Bạn có thể đưa tôi đến bến xe buýt được không?</v>
      </c>
      <c r="F8" t="str">
        <f ca="1">IFERROR(VLOOKUP(D8&amp;"Eng",Travel!C:D,2,0),"")</f>
        <v>Could you take me to the bus station?</v>
      </c>
    </row>
    <row r="9" spans="1:10" x14ac:dyDescent="0.25">
      <c r="A9">
        <f t="shared" si="1"/>
        <v>90</v>
      </c>
      <c r="B9">
        <f t="shared" ca="1" si="0"/>
        <v>113</v>
      </c>
      <c r="C9" s="1">
        <f ca="1">IFERROR($C$1-1+_xlfn.RANK.EQ(B9,$B$4:$B$117)+COUNTIF(B$4:$B9,B9)-1,"")</f>
        <v>86</v>
      </c>
      <c r="D9" s="1" t="str">
        <f ca="1">IFERROR(VLOOKUP(C9,Travel!A:B,2,0),"")</f>
        <v>21.2</v>
      </c>
      <c r="E9" t="str">
        <f ca="1">IFERROR(VLOOKUP(D9&amp;"Viet",Travel!C:D,2,0),"")</f>
        <v>Tôi định ở đây khoảng 1 tuần.</v>
      </c>
      <c r="F9" t="str">
        <f ca="1">IFERROR(VLOOKUP(D9&amp;"Eng",Travel!C:D,2,0),"")</f>
        <v>I plan to stay for a week.</v>
      </c>
    </row>
    <row r="10" spans="1:10" x14ac:dyDescent="0.25">
      <c r="A10">
        <f t="shared" si="1"/>
        <v>91</v>
      </c>
      <c r="B10">
        <f t="shared" ca="1" si="0"/>
        <v>112</v>
      </c>
      <c r="C10" s="1">
        <f ca="1">IFERROR($C$1-1+_xlfn.RANK.EQ(B10,$B$4:$B$117)+COUNTIF(B$4:$B10,B10)-1,"")</f>
        <v>87</v>
      </c>
      <c r="D10" s="1" t="str">
        <f ca="1">IFERROR(VLOOKUP(C10,Travel!A:B,2,0),"")</f>
        <v>21.3</v>
      </c>
      <c r="E10" t="str">
        <f ca="1">IFERROR(VLOOKUP(D10&amp;"Viet",Travel!C:D,2,0),"")</f>
        <v>Tôi định ở đây khoảng 1 tháng.</v>
      </c>
      <c r="F10" t="str">
        <f ca="1">IFERROR(VLOOKUP(D10&amp;"Eng",Travel!C:D,2,0),"")</f>
        <v>I plan to stay for a month.</v>
      </c>
    </row>
    <row r="11" spans="1:10" x14ac:dyDescent="0.25">
      <c r="A11">
        <f t="shared" si="1"/>
        <v>92</v>
      </c>
      <c r="B11">
        <f t="shared" ca="1" si="0"/>
        <v>106</v>
      </c>
      <c r="C11" s="1">
        <f ca="1">IFERROR($C$1-1+_xlfn.RANK.EQ(B11,$B$4:$B$117)+COUNTIF(B$4:$B11,B11)-1,"")</f>
        <v>96</v>
      </c>
      <c r="D11" s="1" t="str">
        <f ca="1">IFERROR(VLOOKUP(C11,Travel!A:B,2,0),"")</f>
        <v>24.2</v>
      </c>
      <c r="E11" t="str">
        <f ca="1">IFERROR(VLOOKUP(D11&amp;"Viet",Travel!C:D,2,0),"")</f>
        <v>Ở đây có dịch vụ phong không?</v>
      </c>
      <c r="F11" t="str">
        <f ca="1">IFERROR(VLOOKUP(D11&amp;"Eng",Travel!C:D,2,0),"")</f>
        <v>Is there room service?</v>
      </c>
    </row>
    <row r="12" spans="1:10" x14ac:dyDescent="0.25">
      <c r="A12">
        <f t="shared" si="1"/>
        <v>93</v>
      </c>
      <c r="B12">
        <f t="shared" ca="1" si="0"/>
        <v>94</v>
      </c>
      <c r="C12" s="1">
        <f ca="1">IFERROR($C$1-1+_xlfn.RANK.EQ(B12,$B$4:$B$117)+COUNTIF(B$4:$B12,B12)-1,"")</f>
        <v>107</v>
      </c>
      <c r="D12" s="1" t="str">
        <f ca="1">IFERROR(VLOOKUP(C12,Travel!A:B,2,0),"")</f>
        <v>26.4</v>
      </c>
      <c r="E12" t="str">
        <f ca="1">IFERROR(VLOOKUP(D12&amp;"Viet",Travel!C:D,2,0),"")</f>
        <v>Cái đèn bàn hỏng rồi.</v>
      </c>
      <c r="F12" t="str">
        <f ca="1">IFERROR(VLOOKUP(D12&amp;"Eng",Travel!C:D,2,0),"")</f>
        <v>The lamp doesn’t work.</v>
      </c>
      <c r="J12" s="18"/>
    </row>
    <row r="13" spans="1:10" x14ac:dyDescent="0.25">
      <c r="A13">
        <f t="shared" si="1"/>
        <v>94</v>
      </c>
      <c r="B13">
        <f t="shared" ca="1" si="0"/>
        <v>112</v>
      </c>
      <c r="C13" s="1">
        <f ca="1">IFERROR($C$1-1+_xlfn.RANK.EQ(B13,$B$4:$B$117)+COUNTIF(B$4:$B13,B13)-1,"")</f>
        <v>88</v>
      </c>
      <c r="D13" s="1" t="str">
        <f ca="1">IFERROR(VLOOKUP(C13,Travel!A:B,2,0),"")</f>
        <v>21.4</v>
      </c>
      <c r="E13" t="str">
        <f ca="1">IFERROR(VLOOKUP(D13&amp;"Viet",Travel!C:D,2,0),"")</f>
        <v>Tôi định ở đây khoảng 10 ngày.</v>
      </c>
      <c r="F13" t="str">
        <f ca="1">IFERROR(VLOOKUP(D13&amp;"Eng",Travel!C:D,2,0),"")</f>
        <v>I plan to stay for ten days.</v>
      </c>
    </row>
    <row r="14" spans="1:10" x14ac:dyDescent="0.25">
      <c r="A14">
        <f t="shared" si="1"/>
        <v>95</v>
      </c>
      <c r="B14">
        <f t="shared" ca="1" si="0"/>
        <v>86</v>
      </c>
      <c r="C14" s="1">
        <f ca="1">IFERROR($C$1-1+_xlfn.RANK.EQ(B14,$B$4:$B$117)+COUNTIF(B$4:$B14,B14)-1,"")</f>
        <v>113</v>
      </c>
      <c r="D14" s="1" t="str">
        <f ca="1">IFERROR(VLOOKUP(C14,Travel!A:B,2,0),"")</f>
        <v>28.3</v>
      </c>
      <c r="E14" t="str">
        <f ca="1">IFERROR(VLOOKUP(D14&amp;"Viet",Travel!C:D,2,0),"")</f>
        <v>Tôi có thể ở lại thêm một đêm không?</v>
      </c>
      <c r="F14" t="str">
        <f ca="1">IFERROR(VLOOKUP(D14&amp;"Eng",Travel!C:D,2,0),"")</f>
        <v>Is it possible to stay one more night?</v>
      </c>
    </row>
    <row r="15" spans="1:10" x14ac:dyDescent="0.25">
      <c r="A15">
        <f t="shared" si="1"/>
        <v>96</v>
      </c>
      <c r="B15">
        <f t="shared" ca="1" si="0"/>
        <v>93</v>
      </c>
      <c r="C15" s="1">
        <f ca="1">IFERROR($C$1-1+_xlfn.RANK.EQ(B15,$B$4:$B$117)+COUNTIF(B$4:$B15,B15)-1,"")</f>
        <v>109</v>
      </c>
      <c r="D15" s="1" t="str">
        <f ca="1">IFERROR(VLOOKUP(C15,Travel!A:B,2,0),"")</f>
        <v>27.2</v>
      </c>
      <c r="E15" t="str">
        <f ca="1">IFERROR(VLOOKUP(D15&amp;"Viet",Travel!C:D,2,0),"")</f>
        <v>Ở đây không có máy sấy tóc.</v>
      </c>
      <c r="F15" t="str">
        <f ca="1">IFERROR(VLOOKUP(D15&amp;"Eng",Travel!C:D,2,0),"")</f>
        <v>There is no hairdryer.</v>
      </c>
    </row>
    <row r="16" spans="1:10" x14ac:dyDescent="0.25">
      <c r="A16">
        <f t="shared" si="1"/>
        <v>97</v>
      </c>
      <c r="B16">
        <f t="shared" ca="1" si="0"/>
        <v>102</v>
      </c>
      <c r="C16" s="1">
        <f ca="1">IFERROR($C$1-1+_xlfn.RANK.EQ(B16,$B$4:$B$117)+COUNTIF(B$4:$B16,B16)-1,"")</f>
        <v>100</v>
      </c>
      <c r="D16" s="1" t="str">
        <f ca="1">IFERROR(VLOOKUP(C16,Travel!A:B,2,0),"")</f>
        <v>25.2</v>
      </c>
      <c r="E16" t="str">
        <f ca="1">IFERROR(VLOOKUP(D16&amp;"Viet",Travel!C:D,2,0),"")</f>
        <v>Tôi muốn đặt một phòng đơn.</v>
      </c>
      <c r="F16" t="str">
        <f ca="1">IFERROR(VLOOKUP(D16&amp;"Eng",Travel!C:D,2,0),"")</f>
        <v>I would like to reserve a single room, please.</v>
      </c>
    </row>
    <row r="17" spans="1:12" x14ac:dyDescent="0.25">
      <c r="A17">
        <f t="shared" si="1"/>
        <v>98</v>
      </c>
      <c r="B17">
        <f t="shared" ca="1" si="0"/>
        <v>100</v>
      </c>
      <c r="C17" s="1">
        <f ca="1">IFERROR($C$1-1+_xlfn.RANK.EQ(B17,$B$4:$B$117)+COUNTIF(B$4:$B17,B17)-1,"")</f>
        <v>102</v>
      </c>
      <c r="D17" s="1" t="str">
        <f ca="1">IFERROR(VLOOKUP(C17,Travel!A:B,2,0),"")</f>
        <v>25.4</v>
      </c>
      <c r="E17" t="str">
        <f ca="1">IFERROR(VLOOKUP(D17&amp;"Viet",Travel!C:D,2,0),"")</f>
        <v>Tôi muốn đặt một phòng loại tốt.</v>
      </c>
      <c r="F17" t="str">
        <f ca="1">IFERROR(VLOOKUP(D17&amp;"Eng",Travel!C:D,2,0),"")</f>
        <v>I would like to reserve a deluxe room.</v>
      </c>
      <c r="L17">
        <v>4</v>
      </c>
    </row>
    <row r="18" spans="1:12" ht="12.6" customHeight="1" x14ac:dyDescent="0.25">
      <c r="A18">
        <f t="shared" si="1"/>
        <v>99</v>
      </c>
      <c r="B18">
        <f t="shared" ca="1" si="0"/>
        <v>97</v>
      </c>
      <c r="C18" s="1">
        <f ca="1">IFERROR($C$1-1+_xlfn.RANK.EQ(B18,$B$4:$B$117)+COUNTIF(B$4:$B18,B18)-1,"")</f>
        <v>105</v>
      </c>
      <c r="D18" s="1" t="str">
        <f ca="1">IFERROR(VLOOKUP(C18,Travel!A:B,2,0),"")</f>
        <v>26.2</v>
      </c>
      <c r="E18" t="str">
        <f ca="1">IFERROR(VLOOKUP(D18&amp;"Viet",Travel!C:D,2,0),"")</f>
        <v>Cái tủ lạnh bị hỏng rồi.</v>
      </c>
      <c r="F18" t="str">
        <f ca="1">IFERROR(VLOOKUP(D18&amp;"Eng",Travel!C:D,2,0),"")</f>
        <v>The fridge doesn’t work.</v>
      </c>
    </row>
    <row r="19" spans="1:12" x14ac:dyDescent="0.25">
      <c r="A19">
        <f t="shared" si="1"/>
        <v>100</v>
      </c>
      <c r="B19">
        <f t="shared" ca="1" si="0"/>
        <v>86</v>
      </c>
      <c r="C19" s="1">
        <f ca="1">IFERROR($C$1-1+_xlfn.RANK.EQ(B19,$B$4:$B$117)+COUNTIF(B$4:$B19,B19)-1,"")</f>
        <v>114</v>
      </c>
      <c r="D19" s="1" t="str">
        <f ca="1">IFERROR(VLOOKUP(C19,Travel!A:B,2,0),"")</f>
        <v>28.4</v>
      </c>
      <c r="E19" t="str">
        <f ca="1">IFERROR(VLOOKUP(D19&amp;"Viet",Travel!C:D,2,0),"")</f>
        <v>Tôi có thể rời đi sớm hơn một ngày không ?</v>
      </c>
      <c r="F19" t="str">
        <f ca="1">IFERROR(VLOOKUP(D19&amp;"Eng",Travel!C:D,2,0),"")</f>
        <v>Is it possible to leave a day earlier?</v>
      </c>
      <c r="L19" t="s">
        <v>938</v>
      </c>
    </row>
    <row r="20" spans="1:12" x14ac:dyDescent="0.25">
      <c r="A20">
        <f t="shared" si="1"/>
        <v>101</v>
      </c>
      <c r="B20">
        <f t="shared" ca="1" si="0"/>
        <v>107</v>
      </c>
      <c r="C20" s="1">
        <f ca="1">IFERROR($C$1-1+_xlfn.RANK.EQ(B20,$B$4:$B$117)+COUNTIF(B$4:$B20,B20)-1,"")</f>
        <v>94</v>
      </c>
      <c r="D20" s="1" t="str">
        <f ca="1">IFERROR(VLOOKUP(C20,Travel!A:B,2,0),"")</f>
        <v>23.3</v>
      </c>
      <c r="E20" t="str">
        <f ca="1">IFERROR(VLOOKUP(D20&amp;"Viet",Travel!C:D,2,0),"")</f>
        <v>Bạn có thể đưa tôi đến trung tâm thành phố được không?</v>
      </c>
      <c r="F20" t="str">
        <f ca="1">IFERROR(VLOOKUP(D20&amp;"Eng",Travel!C:D,2,0),"")</f>
        <v>Could you take me to the city center?</v>
      </c>
    </row>
    <row r="21" spans="1:12" x14ac:dyDescent="0.25">
      <c r="A21">
        <f t="shared" si="1"/>
        <v>102</v>
      </c>
      <c r="B21">
        <f t="shared" ca="1" si="0"/>
        <v>100</v>
      </c>
      <c r="C21" s="1">
        <f ca="1">IFERROR($C$1-1+_xlfn.RANK.EQ(B21,$B$4:$B$117)+COUNTIF(B$4:$B21,B21)-1,"")</f>
        <v>103</v>
      </c>
      <c r="D21" s="1" t="str">
        <f ca="1">IFERROR(VLOOKUP(C21,Travel!A:B,2,0),"")</f>
        <v>25.5</v>
      </c>
      <c r="E21" t="str">
        <f ca="1">IFERROR(VLOOKUP(D21&amp;"Viet",Travel!C:D,2,0),"")</f>
        <v>Tôi muốn đặt một phòng tiêu chuẩn.</v>
      </c>
      <c r="F21" t="str">
        <f ca="1">IFERROR(VLOOKUP(D21&amp;"Eng",Travel!C:D,2,0),"")</f>
        <v>I would like to reserve a standard room.</v>
      </c>
    </row>
    <row r="22" spans="1:12" x14ac:dyDescent="0.25">
      <c r="A22">
        <f t="shared" si="1"/>
        <v>103</v>
      </c>
      <c r="B22">
        <f t="shared" ca="1" si="0"/>
        <v>107</v>
      </c>
      <c r="C22" s="1">
        <f ca="1">IFERROR($C$1-1+_xlfn.RANK.EQ(B22,$B$4:$B$117)+COUNTIF(B$4:$B22,B22)-1,"")</f>
        <v>95</v>
      </c>
      <c r="D22" s="1" t="str">
        <f ca="1">IFERROR(VLOOKUP(C22,Travel!A:B,2,0),"")</f>
        <v>24.1</v>
      </c>
      <c r="E22" t="str">
        <f ca="1">IFERROR(VLOOKUP(D22&amp;"Viet",Travel!C:D,2,0),"")</f>
        <v>Ở đây có dịch vụ giặt là không?</v>
      </c>
      <c r="F22" t="str">
        <f ca="1">IFERROR(VLOOKUP(D22&amp;"Eng",Travel!C:D,2,0),"")</f>
        <v>Is there a laundry service?</v>
      </c>
    </row>
    <row r="23" spans="1:12" x14ac:dyDescent="0.25">
      <c r="A23">
        <f t="shared" si="1"/>
        <v>104</v>
      </c>
      <c r="B23">
        <f t="shared" ca="1" si="0"/>
        <v>110</v>
      </c>
      <c r="C23" s="1">
        <f ca="1">IFERROR($C$1-1+_xlfn.RANK.EQ(B23,$B$4:$B$117)+COUNTIF(B$4:$B23,B23)-1,"")</f>
        <v>92</v>
      </c>
      <c r="D23" s="1" t="str">
        <f ca="1">IFERROR(VLOOKUP(C23,Travel!A:B,2,0),"")</f>
        <v>23.1</v>
      </c>
      <c r="E23" t="str">
        <f ca="1">IFERROR(VLOOKUP(D23&amp;"Viet",Travel!C:D,2,0),"")</f>
        <v>Bạn có thể đưa tôi đến địa chỉ này được không?</v>
      </c>
      <c r="F23" t="str">
        <f ca="1">IFERROR(VLOOKUP(D23&amp;"Eng",Travel!C:D,2,0),"")</f>
        <v>Could you take me to this address?</v>
      </c>
    </row>
    <row r="24" spans="1:12" x14ac:dyDescent="0.25">
      <c r="A24">
        <f t="shared" si="1"/>
        <v>105</v>
      </c>
      <c r="B24">
        <f t="shared" ca="1" si="0"/>
        <v>101</v>
      </c>
      <c r="C24" s="1">
        <f ca="1">IFERROR($C$1-1+_xlfn.RANK.EQ(B24,$B$4:$B$117)+COUNTIF(B$4:$B24,B24)-1,"")</f>
        <v>101</v>
      </c>
      <c r="D24" s="1" t="str">
        <f ca="1">IFERROR(VLOOKUP(C24,Travel!A:B,2,0),"")</f>
        <v>25.3</v>
      </c>
      <c r="E24" t="str">
        <f ca="1">IFERROR(VLOOKUP(D24&amp;"Viet",Travel!C:D,2,0),"")</f>
        <v>Cho tôi đặt một phòng cao cấp.</v>
      </c>
      <c r="F24" t="str">
        <f ca="1">IFERROR(VLOOKUP(D24&amp;"Eng",Travel!C:D,2,0),"")</f>
        <v>I would like to reserve a suite.</v>
      </c>
    </row>
    <row r="25" spans="1:12" x14ac:dyDescent="0.25">
      <c r="A25">
        <f t="shared" si="1"/>
        <v>106</v>
      </c>
      <c r="B25">
        <f t="shared" ca="1" si="0"/>
        <v>111</v>
      </c>
      <c r="C25" s="1">
        <f ca="1">IFERROR($C$1-1+_xlfn.RANK.EQ(B25,$B$4:$B$117)+COUNTIF(B$4:$B25,B25)-1,"")</f>
        <v>90</v>
      </c>
      <c r="D25" s="1" t="str">
        <f ca="1">IFERROR(VLOOKUP(C25,Travel!A:B,2,0),"")</f>
        <v>22.2</v>
      </c>
      <c r="E25" t="str">
        <f ca="1">IFERROR(VLOOKUP(D25&amp;"Viet",Travel!C:D,2,0),"")</f>
        <v>Xe buýt nào đi đến nhà ga?</v>
      </c>
      <c r="F25" t="str">
        <f ca="1">IFERROR(VLOOKUP(D25&amp;"Eng",Travel!C:D,2,0),"")</f>
        <v>Which bus goes to the station?</v>
      </c>
    </row>
    <row r="26" spans="1:12" x14ac:dyDescent="0.25">
      <c r="A26">
        <f t="shared" si="1"/>
        <v>107</v>
      </c>
      <c r="B26">
        <f t="shared" ca="1" si="0"/>
        <v>88</v>
      </c>
      <c r="C26" s="1">
        <f ca="1">IFERROR($C$1-1+_xlfn.RANK.EQ(B26,$B$4:$B$117)+COUNTIF(B$4:$B26,B26)-1,"")</f>
        <v>111</v>
      </c>
      <c r="D26" s="1" t="str">
        <f ca="1">IFERROR(VLOOKUP(C26,Travel!A:B,2,0),"")</f>
        <v>28.1</v>
      </c>
      <c r="E26" t="str">
        <f ca="1">IFERROR(VLOOKUP(D26&amp;"Viet",Travel!C:D,2,0),"")</f>
        <v>Tôi có thể làm thủ tục trả phòng muộn không?</v>
      </c>
      <c r="F26" t="str">
        <f ca="1">IFERROR(VLOOKUP(D26&amp;"Eng",Travel!C:D,2,0),"")</f>
        <v>Is it possible to check out late?</v>
      </c>
    </row>
    <row r="27" spans="1:12" x14ac:dyDescent="0.25">
      <c r="A27">
        <f t="shared" si="1"/>
        <v>108</v>
      </c>
      <c r="B27">
        <f t="shared" ca="1" si="0"/>
        <v>87</v>
      </c>
      <c r="C27" s="1">
        <f ca="1">IFERROR($C$1-1+_xlfn.RANK.EQ(B27,$B$4:$B$117)+COUNTIF(B$4:$B27,B27)-1,"")</f>
        <v>112</v>
      </c>
      <c r="D27" s="1" t="str">
        <f ca="1">IFERROR(VLOOKUP(C27,Travel!A:B,2,0),"")</f>
        <v>28.2</v>
      </c>
      <c r="E27" t="str">
        <f ca="1">IFERROR(VLOOKUP(D27&amp;"Viet",Travel!C:D,2,0),"")</f>
        <v>Tôi có thể gửi hành lí ở đây không?</v>
      </c>
      <c r="F27" t="str">
        <f ca="1">IFERROR(VLOOKUP(D27&amp;"Eng",Travel!C:D,2,0),"")</f>
        <v>Is it possible to leave my luggage here?</v>
      </c>
    </row>
    <row r="28" spans="1:12" x14ac:dyDescent="0.25">
      <c r="A28">
        <f t="shared" si="1"/>
        <v>109</v>
      </c>
      <c r="B28">
        <f t="shared" ca="1" si="0"/>
        <v>89</v>
      </c>
      <c r="C28" s="1">
        <f ca="1">IFERROR($C$1-1+_xlfn.RANK.EQ(B28,$B$4:$B$117)+COUNTIF(B$4:$B28,B28)-1,"")</f>
        <v>110</v>
      </c>
      <c r="D28" s="1" t="str">
        <f ca="1">IFERROR(VLOOKUP(C28,Travel!A:B,2,0),"")</f>
        <v>27.3</v>
      </c>
      <c r="E28" t="str">
        <f ca="1">IFERROR(VLOOKUP(D28&amp;"Viet",Travel!C:D,2,0),"")</f>
        <v>Ở đây không có kem đánh răng.</v>
      </c>
      <c r="F28" t="str">
        <f ca="1">IFERROR(VLOOKUP(D28&amp;"Eng",Travel!C:D,2,0),"")</f>
        <v>There is no toothpaste.</v>
      </c>
    </row>
    <row r="29" spans="1:12" x14ac:dyDescent="0.25">
      <c r="A29">
        <f t="shared" si="1"/>
        <v>110</v>
      </c>
      <c r="B29">
        <f t="shared" ca="1" si="0"/>
        <v>112</v>
      </c>
      <c r="C29" s="1">
        <f ca="1">IFERROR($C$1-1+_xlfn.RANK.EQ(B29,$B$4:$B$117)+COUNTIF(B$4:$B29,B29)-1,"")</f>
        <v>89</v>
      </c>
      <c r="D29" s="1" t="str">
        <f ca="1">IFERROR(VLOOKUP(C29,Travel!A:B,2,0),"")</f>
        <v>22.1</v>
      </c>
      <c r="E29" t="str">
        <f ca="1">IFERROR(VLOOKUP(D29&amp;"Viet",Travel!C:D,2,0),"")</f>
        <v>Xe buýt nào đi đến sân bay?</v>
      </c>
      <c r="F29" t="str">
        <f ca="1">IFERROR(VLOOKUP(D29&amp;"Eng",Travel!C:D,2,0),"")</f>
        <v>Which bus goes to the airport?</v>
      </c>
    </row>
    <row r="30" spans="1:12" x14ac:dyDescent="0.25">
      <c r="A30">
        <f t="shared" si="1"/>
        <v>111</v>
      </c>
      <c r="B30">
        <f t="shared" ca="1" si="0"/>
        <v>104</v>
      </c>
      <c r="C30" s="1">
        <f ca="1">IFERROR($C$1-1+_xlfn.RANK.EQ(B30,$B$4:$B$117)+COUNTIF(B$4:$B30,B30)-1,"")</f>
        <v>97</v>
      </c>
      <c r="D30" s="1" t="str">
        <f ca="1">IFERROR(VLOOKUP(C30,Travel!A:B,2,0),"")</f>
        <v>24.3</v>
      </c>
      <c r="E30" t="str">
        <f ca="1">IFERROR(VLOOKUP(D30&amp;"Viet",Travel!C:D,2,0),"")</f>
        <v>Ở đây có dịch vụ đỗ xe không?</v>
      </c>
      <c r="F30" t="str">
        <f ca="1">IFERROR(VLOOKUP(D30&amp;"Eng",Travel!C:D,2,0),"")</f>
        <v>Is there valet parking?</v>
      </c>
    </row>
    <row r="31" spans="1:12" x14ac:dyDescent="0.25">
      <c r="A31">
        <f t="shared" si="1"/>
        <v>112</v>
      </c>
      <c r="B31">
        <f t="shared" ca="1" si="0"/>
        <v>103</v>
      </c>
      <c r="C31" s="1">
        <f ca="1">IFERROR($C$1-1+_xlfn.RANK.EQ(B31,$B$4:$B$117)+COUNTIF(B$4:$B31,B31)-1,"")</f>
        <v>99</v>
      </c>
      <c r="D31" s="1" t="str">
        <f ca="1">IFERROR(VLOOKUP(C31,Travel!A:B,2,0),"")</f>
        <v>25.1</v>
      </c>
      <c r="E31" t="str">
        <f ca="1">IFERROR(VLOOKUP(D31&amp;"Viet",Travel!C:D,2,0),"")</f>
        <v>Tôi muốn đặt một phòng đôi.</v>
      </c>
      <c r="F31" t="str">
        <f ca="1">IFERROR(VLOOKUP(D31&amp;"Eng",Travel!C:D,2,0),"")</f>
        <v>I would like to reserve a double room, please.</v>
      </c>
    </row>
    <row r="32" spans="1:12" x14ac:dyDescent="0.25">
      <c r="A32">
        <f t="shared" si="1"/>
        <v>113</v>
      </c>
      <c r="B32">
        <f t="shared" ca="1" si="0"/>
        <v>94</v>
      </c>
      <c r="C32" s="1">
        <f ca="1">IFERROR($C$1-1+_xlfn.RANK.EQ(B32,$B$4:$B$117)+COUNTIF(B$4:$B32,B32)-1,"")</f>
        <v>108</v>
      </c>
      <c r="D32" s="1" t="str">
        <f ca="1">IFERROR(VLOOKUP(C32,Travel!A:B,2,0),"")</f>
        <v>27.1</v>
      </c>
      <c r="E32" t="str">
        <f ca="1">IFERROR(VLOOKUP(D32&amp;"Viet",Travel!C:D,2,0),"")</f>
        <v>Ở đây không có khăn tắm.</v>
      </c>
      <c r="F32" t="str">
        <f ca="1">IFERROR(VLOOKUP(D32&amp;"Eng",Travel!C:D,2,0),"")</f>
        <v>There is no towel.</v>
      </c>
    </row>
    <row r="33" spans="1:6" x14ac:dyDescent="0.25">
      <c r="A33">
        <f t="shared" si="1"/>
        <v>114</v>
      </c>
      <c r="B33">
        <f t="shared" ca="1" si="0"/>
        <v>111</v>
      </c>
      <c r="C33" s="1">
        <f ca="1">IFERROR($C$1-1+_xlfn.RANK.EQ(B33,$B$4:$B$117)+COUNTIF(B$4:$B33,B33)-1,"")</f>
        <v>91</v>
      </c>
      <c r="D33" s="1" t="str">
        <f ca="1">IFERROR(VLOOKUP(C33,Travel!A:B,2,0),"")</f>
        <v>22.3</v>
      </c>
      <c r="E33" t="str">
        <f ca="1">IFERROR(VLOOKUP(D33&amp;"Viet",Travel!C:D,2,0),"")</f>
        <v>Xe buýt nào đi đến trung tâm mua sắm?</v>
      </c>
      <c r="F33" t="str">
        <f ca="1">IFERROR(VLOOKUP(D33&amp;"Eng",Travel!C:D,2,0),"")</f>
        <v>Which bus goes to the shopping mall?</v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IFERROR($C$1-1+_xlfn.RANK.EQ(B34,$B$4:$B$117)+COUNTIF(B$4:$B34,B34)-1,"")</f>
        <v/>
      </c>
      <c r="D34" s="1" t="str">
        <f ca="1">IFERROR(VLOOKUP(C34,Travel!A:B,2,0),"")</f>
        <v/>
      </c>
      <c r="E34" t="str">
        <f ca="1">IFERROR(VLOOKUP(D34&amp;"Viet",Travel!C:D,2,0),"")</f>
        <v/>
      </c>
      <c r="F34" t="str">
        <f ca="1">IFERROR(VLOOKUP(D34&amp;"Eng",Travel!C:D,2,0),"")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IFERROR($C$1-1+_xlfn.RANK.EQ(B35,$B$4:$B$117)+COUNTIF(B$4:$B35,B35)-1,"")</f>
        <v/>
      </c>
      <c r="D35" s="1" t="str">
        <f ca="1">IFERROR(VLOOKUP(C35,Travel!A:B,2,0),"")</f>
        <v/>
      </c>
      <c r="E35" t="str">
        <f ca="1">IFERROR(VLOOKUP(D35&amp;"Viet",Travel!C:D,2,0),"")</f>
        <v/>
      </c>
      <c r="F35" t="str">
        <f ca="1">IFERROR(VLOOKUP(D35&amp;"Eng",Travel!C:D,2,0),"")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IFERROR($C$1-1+_xlfn.RANK.EQ(B36,$B$4:$B$117)+COUNTIF(B$4:$B36,B36)-1,"")</f>
        <v/>
      </c>
      <c r="D36" s="1" t="str">
        <f ca="1">IFERROR(VLOOKUP(C36,Travel!A:B,2,0),"")</f>
        <v/>
      </c>
      <c r="E36" t="str">
        <f ca="1">IFERROR(VLOOKUP(D36&amp;"Viet",Travel!C:D,2,0),"")</f>
        <v/>
      </c>
      <c r="F36" t="str">
        <f ca="1">IFERROR(VLOOKUP(D36&amp;"Eng",Travel!C:D,2,0),"")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IFERROR($C$1-1+_xlfn.RANK.EQ(B37,$B$4:$B$117)+COUNTIF(B$4:$B37,B37)-1,"")</f>
        <v/>
      </c>
      <c r="D37" s="1" t="str">
        <f ca="1">IFERROR(VLOOKUP(C37,Travel!A:B,2,0),"")</f>
        <v/>
      </c>
      <c r="E37" t="str">
        <f ca="1">IFERROR(VLOOKUP(D37&amp;"Viet",Travel!C:D,2,0),"")</f>
        <v/>
      </c>
      <c r="F37" t="str">
        <f ca="1">IFERROR(VLOOKUP(D37&amp;"Eng",Travel!C:D,2,0),"")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IFERROR($C$1-1+_xlfn.RANK.EQ(B38,$B$4:$B$117)+COUNTIF(B$4:$B38,B38)-1,"")</f>
        <v/>
      </c>
      <c r="D38" s="1" t="str">
        <f ca="1">IFERROR(VLOOKUP(C38,Travel!A:B,2,0),"")</f>
        <v/>
      </c>
      <c r="E38" t="str">
        <f ca="1">IFERROR(VLOOKUP(D38&amp;"Viet",Travel!C:D,2,0),"")</f>
        <v/>
      </c>
      <c r="F38" t="str">
        <f ca="1">IFERROR(VLOOKUP(D38&amp;"Eng",Travel!C:D,2,0),"")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IFERROR($C$1-1+_xlfn.RANK.EQ(B39,$B$4:$B$117)+COUNTIF(B$4:$B39,B39)-1,"")</f>
        <v/>
      </c>
      <c r="D39" s="1" t="str">
        <f ca="1">IFERROR(VLOOKUP(C39,Travel!A:B,2,0),"")</f>
        <v/>
      </c>
      <c r="E39" t="str">
        <f ca="1">IFERROR(VLOOKUP(D39&amp;"Viet",Travel!C:D,2,0),"")</f>
        <v/>
      </c>
      <c r="F39" t="str">
        <f ca="1">IFERROR(VLOOKUP(D39&amp;"Eng",Travel!C:D,2,0),"")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IFERROR($C$1-1+_xlfn.RANK.EQ(B40,$B$4:$B$117)+COUNTIF(B$4:$B40,B40)-1,"")</f>
        <v/>
      </c>
      <c r="D40" s="1" t="str">
        <f ca="1">IFERROR(VLOOKUP(C40,Travel!A:B,2,0),"")</f>
        <v/>
      </c>
      <c r="E40" t="str">
        <f ca="1">IFERROR(VLOOKUP(D40&amp;"Viet",Travel!C:D,2,0),"")</f>
        <v/>
      </c>
      <c r="F40" t="str">
        <f ca="1">IFERROR(VLOOKUP(D40&amp;"Eng",Travel!C:D,2,0),"")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IFERROR($C$1-1+_xlfn.RANK.EQ(B41,$B$4:$B$117)+COUNTIF(B$4:$B41,B41)-1,"")</f>
        <v/>
      </c>
      <c r="D41" s="1" t="str">
        <f ca="1">IFERROR(VLOOKUP(C41,Travel!A:B,2,0),"")</f>
        <v/>
      </c>
      <c r="E41" t="str">
        <f ca="1">IFERROR(VLOOKUP(D41&amp;"Viet",Travel!C:D,2,0),"")</f>
        <v/>
      </c>
      <c r="F41" t="str">
        <f ca="1">IFERROR(VLOOKUP(D41&amp;"Eng",Travel!C:D,2,0),"")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IFERROR($C$1-1+_xlfn.RANK.EQ(B42,$B$4:$B$117)+COUNTIF(B$4:$B42,B42)-1,"")</f>
        <v/>
      </c>
      <c r="D42" s="1" t="str">
        <f ca="1">IFERROR(VLOOKUP(C42,Travel!A:B,2,0),"")</f>
        <v/>
      </c>
      <c r="E42" t="str">
        <f ca="1">IFERROR(VLOOKUP(D42&amp;"Viet",Travel!C:D,2,0),"")</f>
        <v/>
      </c>
      <c r="F42" t="str">
        <f ca="1">IFERROR(VLOOKUP(D42&amp;"Eng",Travel!C:D,2,0),"")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IFERROR($C$1-1+_xlfn.RANK.EQ(B43,$B$4:$B$117)+COUNTIF(B$4:$B43,B43)-1,"")</f>
        <v/>
      </c>
      <c r="D43" s="1" t="str">
        <f ca="1">IFERROR(VLOOKUP(C43,Travel!A:B,2,0),"")</f>
        <v/>
      </c>
      <c r="E43" t="str">
        <f ca="1">IFERROR(VLOOKUP(D43&amp;"Viet",Travel!C:D,2,0),"")</f>
        <v/>
      </c>
      <c r="F43" t="str">
        <f ca="1">IFERROR(VLOOKUP(D43&amp;"Eng",Travel!C:D,2,0),"")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IFERROR($C$1-1+_xlfn.RANK.EQ(B44,$B$4:$B$117)+COUNTIF(B$4:$B44,B44)-1,"")</f>
        <v/>
      </c>
      <c r="D44" s="1" t="str">
        <f ca="1">IFERROR(VLOOKUP(C44,Travel!A:B,2,0),"")</f>
        <v/>
      </c>
      <c r="E44" t="str">
        <f ca="1">IFERROR(VLOOKUP(D44&amp;"Viet",Travel!C:D,2,0),"")</f>
        <v/>
      </c>
      <c r="F44" t="str">
        <f ca="1">IFERROR(VLOOKUP(D44&amp;"Eng",Travel!C:D,2,0),"")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IFERROR($C$1-1+_xlfn.RANK.EQ(B45,$B$4:$B$117)+COUNTIF(B$4:$B45,B45)-1,"")</f>
        <v/>
      </c>
      <c r="D45" s="1" t="str">
        <f ca="1">IFERROR(VLOOKUP(C45,Travel!A:B,2,0),"")</f>
        <v/>
      </c>
      <c r="E45" t="str">
        <f ca="1">IFERROR(VLOOKUP(D45&amp;"Viet",Travel!C:D,2,0),"")</f>
        <v/>
      </c>
      <c r="F45" t="str">
        <f ca="1">IFERROR(VLOOKUP(D45&amp;"Eng",Travel!C:D,2,0),"")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IFERROR($C$1-1+_xlfn.RANK.EQ(B46,$B$4:$B$117)+COUNTIF(B$4:$B46,B46)-1,"")</f>
        <v/>
      </c>
      <c r="D46" s="1" t="str">
        <f ca="1">IFERROR(VLOOKUP(C46,Travel!A:B,2,0),"")</f>
        <v/>
      </c>
      <c r="E46" t="str">
        <f ca="1">IFERROR(VLOOKUP(D46&amp;"Viet",Travel!C:D,2,0),"")</f>
        <v/>
      </c>
      <c r="F46" t="str">
        <f ca="1">IFERROR(VLOOKUP(D46&amp;"Eng",Travel!C:D,2,0),"")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IFERROR($C$1-1+_xlfn.RANK.EQ(B47,$B$4:$B$117)+COUNTIF(B$4:$B47,B47)-1,"")</f>
        <v/>
      </c>
      <c r="D47" s="1" t="str">
        <f ca="1">IFERROR(VLOOKUP(C47,Travel!A:B,2,0),"")</f>
        <v/>
      </c>
      <c r="E47" t="str">
        <f ca="1">IFERROR(VLOOKUP(D47&amp;"Viet",Travel!C:D,2,0),"")</f>
        <v/>
      </c>
      <c r="F47" t="str">
        <f ca="1">IFERROR(VLOOKUP(D47&amp;"Eng",Travel!C:D,2,0),"")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IFERROR($C$1-1+_xlfn.RANK.EQ(B48,$B$4:$B$117)+COUNTIF(B$4:$B48,B48)-1,"")</f>
        <v/>
      </c>
      <c r="D48" s="1" t="str">
        <f ca="1">IFERROR(VLOOKUP(C48,Travel!A:B,2,0),"")</f>
        <v/>
      </c>
      <c r="E48" t="str">
        <f ca="1">IFERROR(VLOOKUP(D48&amp;"Viet",Travel!C:D,2,0),"")</f>
        <v/>
      </c>
      <c r="F48" t="str">
        <f ca="1">IFERROR(VLOOKUP(D48&amp;"Eng",Travel!C:D,2,0),"")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IFERROR($C$1-1+_xlfn.RANK.EQ(B49,$B$4:$B$117)+COUNTIF(B$4:$B49,B49)-1,"")</f>
        <v/>
      </c>
      <c r="D49" s="1" t="str">
        <f ca="1">IFERROR(VLOOKUP(C49,Travel!A:B,2,0),"")</f>
        <v/>
      </c>
      <c r="E49" t="str">
        <f ca="1">IFERROR(VLOOKUP(D49&amp;"Viet",Travel!C:D,2,0),"")</f>
        <v/>
      </c>
      <c r="F49" t="str">
        <f ca="1">IFERROR(VLOOKUP(D49&amp;"Eng",Travel!C:D,2,0),"")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IFERROR($C$1-1+_xlfn.RANK.EQ(B50,$B$4:$B$117)+COUNTIF(B$4:$B50,B50)-1,"")</f>
        <v/>
      </c>
      <c r="D50" s="1" t="str">
        <f ca="1">IFERROR(VLOOKUP(C50,Travel!A:B,2,0),"")</f>
        <v/>
      </c>
      <c r="E50" t="str">
        <f ca="1">IFERROR(VLOOKUP(D50&amp;"Viet",Travel!C:D,2,0),"")</f>
        <v/>
      </c>
      <c r="F50" t="str">
        <f ca="1">IFERROR(VLOOKUP(D50&amp;"Eng",Travel!C:D,2,0),"")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IFERROR($C$1-1+_xlfn.RANK.EQ(B51,$B$4:$B$117)+COUNTIF(B$4:$B51,B51)-1,"")</f>
        <v/>
      </c>
      <c r="D51" s="1" t="str">
        <f ca="1">IFERROR(VLOOKUP(C51,Travel!A:B,2,0),"")</f>
        <v/>
      </c>
      <c r="E51" t="str">
        <f ca="1">IFERROR(VLOOKUP(D51&amp;"Viet",Travel!C:D,2,0),"")</f>
        <v/>
      </c>
      <c r="F51" t="str">
        <f ca="1">IFERROR(VLOOKUP(D51&amp;"Eng",Travel!C:D,2,0),"")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IFERROR($C$1-1+_xlfn.RANK.EQ(B52,$B$4:$B$117)+COUNTIF(B$4:$B52,B52)-1,"")</f>
        <v/>
      </c>
      <c r="D52" s="1" t="str">
        <f ca="1">IFERROR(VLOOKUP(C52,Travel!A:B,2,0),"")</f>
        <v/>
      </c>
      <c r="E52" t="str">
        <f ca="1">IFERROR(VLOOKUP(D52&amp;"Viet",Travel!C:D,2,0),"")</f>
        <v/>
      </c>
      <c r="F52" t="str">
        <f ca="1">IFERROR(VLOOKUP(D52&amp;"Eng",Travel!C:D,2,0),"")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IFERROR($C$1-1+_xlfn.RANK.EQ(B53,$B$4:$B$117)+COUNTIF(B$4:$B53,B53)-1,"")</f>
        <v/>
      </c>
      <c r="D53" s="1" t="str">
        <f ca="1">IFERROR(VLOOKUP(C53,Travel!A:B,2,0),"")</f>
        <v/>
      </c>
      <c r="E53" t="str">
        <f ca="1">IFERROR(VLOOKUP(D53&amp;"Viet",Travel!C:D,2,0),"")</f>
        <v/>
      </c>
      <c r="F53" t="str">
        <f ca="1">IFERROR(VLOOKUP(D53&amp;"Eng",Travel!C:D,2,0),"")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IFERROR($C$1-1+_xlfn.RANK.EQ(B54,$B$4:$B$117)+COUNTIF(B$4:$B54,B54)-1,"")</f>
        <v/>
      </c>
      <c r="D54" s="1" t="str">
        <f ca="1">IFERROR(VLOOKUP(C54,Travel!A:B,2,0),"")</f>
        <v/>
      </c>
      <c r="E54" t="str">
        <f ca="1">IFERROR(VLOOKUP(D54&amp;"Viet",Travel!C:D,2,0),"")</f>
        <v/>
      </c>
      <c r="F54" t="str">
        <f ca="1">IFERROR(VLOOKUP(D54&amp;"Eng",Travel!C:D,2,0),"")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IFERROR($C$1-1+_xlfn.RANK.EQ(B55,$B$4:$B$117)+COUNTIF(B$4:$B55,B55)-1,"")</f>
        <v/>
      </c>
      <c r="D55" s="1" t="str">
        <f ca="1">IFERROR(VLOOKUP(C55,Travel!A:B,2,0),"")</f>
        <v/>
      </c>
      <c r="E55" t="str">
        <f ca="1">IFERROR(VLOOKUP(D55&amp;"Viet",Travel!C:D,2,0),"")</f>
        <v/>
      </c>
      <c r="F55" t="str">
        <f ca="1">IFERROR(VLOOKUP(D55&amp;"Eng",Travel!C:D,2,0),"")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IFERROR($C$1-1+_xlfn.RANK.EQ(B56,$B$4:$B$117)+COUNTIF(B$4:$B56,B56)-1,"")</f>
        <v/>
      </c>
      <c r="D56" s="1" t="str">
        <f ca="1">IFERROR(VLOOKUP(C56,Travel!A:B,2,0),"")</f>
        <v/>
      </c>
      <c r="E56" t="str">
        <f ca="1">IFERROR(VLOOKUP(D56&amp;"Viet",Travel!C:D,2,0),"")</f>
        <v/>
      </c>
      <c r="F56" t="str">
        <f ca="1">IFERROR(VLOOKUP(D56&amp;"Eng",Travel!C:D,2,0),"")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IFERROR($C$1-1+_xlfn.RANK.EQ(B57,$B$4:$B$117)+COUNTIF(B$4:$B57,B57)-1,"")</f>
        <v/>
      </c>
      <c r="D57" s="1" t="str">
        <f ca="1">IFERROR(VLOOKUP(C57,Travel!A:B,2,0),"")</f>
        <v/>
      </c>
      <c r="E57" t="str">
        <f ca="1">IFERROR(VLOOKUP(D57&amp;"Viet",Travel!C:D,2,0),"")</f>
        <v/>
      </c>
      <c r="F57" t="str">
        <f ca="1">IFERROR(VLOOKUP(D57&amp;"Eng",Travel!C:D,2,0),"")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IFERROR($C$1-1+_xlfn.RANK.EQ(B58,$B$4:$B$117)+COUNTIF(B$4:$B58,B58)-1,"")</f>
        <v/>
      </c>
      <c r="D58" s="1" t="str">
        <f ca="1">IFERROR(VLOOKUP(C58,Travel!A:B,2,0),"")</f>
        <v/>
      </c>
      <c r="E58" t="str">
        <f ca="1">IFERROR(VLOOKUP(D58&amp;"Viet",Travel!C:D,2,0),"")</f>
        <v/>
      </c>
      <c r="F58" t="str">
        <f ca="1">IFERROR(VLOOKUP(D58&amp;"Eng",Travel!C:D,2,0),"")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IFERROR($C$1-1+_xlfn.RANK.EQ(B59,$B$4:$B$117)+COUNTIF(B$4:$B59,B59)-1,"")</f>
        <v/>
      </c>
      <c r="D59" s="1" t="str">
        <f ca="1">IFERROR(VLOOKUP(C59,Travel!A:B,2,0),"")</f>
        <v/>
      </c>
      <c r="E59" t="str">
        <f ca="1">IFERROR(VLOOKUP(D59&amp;"Viet",Travel!C:D,2,0),"")</f>
        <v/>
      </c>
      <c r="F59" t="str">
        <f ca="1">IFERROR(VLOOKUP(D59&amp;"Eng",Travel!C:D,2,0),"")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IFERROR($C$1-1+_xlfn.RANK.EQ(B60,$B$4:$B$117)+COUNTIF(B$4:$B60,B60)-1,"")</f>
        <v/>
      </c>
      <c r="D60" s="1" t="str">
        <f ca="1">IFERROR(VLOOKUP(C60,Travel!A:B,2,0),"")</f>
        <v/>
      </c>
      <c r="E60" t="str">
        <f ca="1">IFERROR(VLOOKUP(D60&amp;"Viet",Travel!C:D,2,0),"")</f>
        <v/>
      </c>
      <c r="F60" t="str">
        <f ca="1">IFERROR(VLOOKUP(D60&amp;"Eng",Travel!C:D,2,0),"")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IFERROR($C$1-1+_xlfn.RANK.EQ(B61,$B$4:$B$117)+COUNTIF(B$4:$B61,B61)-1,"")</f>
        <v/>
      </c>
      <c r="D61" s="1" t="str">
        <f ca="1">IFERROR(VLOOKUP(C61,Travel!A:B,2,0),"")</f>
        <v/>
      </c>
      <c r="E61" t="str">
        <f ca="1">IFERROR(VLOOKUP(D61&amp;"Viet",Travel!C:D,2,0),"")</f>
        <v/>
      </c>
      <c r="F61" t="str">
        <f ca="1">IFERROR(VLOOKUP(D61&amp;"Eng",Travel!C:D,2,0),"")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IFERROR($C$1-1+_xlfn.RANK.EQ(B62,$B$4:$B$117)+COUNTIF(B$4:$B62,B62)-1,"")</f>
        <v/>
      </c>
      <c r="D62" s="1" t="str">
        <f ca="1">IFERROR(VLOOKUP(C62,Travel!A:B,2,0),"")</f>
        <v/>
      </c>
      <c r="E62" t="str">
        <f ca="1">IFERROR(VLOOKUP(D62&amp;"Viet",Travel!C:D,2,0),"")</f>
        <v/>
      </c>
      <c r="F62" t="str">
        <f ca="1">IFERROR(VLOOKUP(D62&amp;"Eng",Travel!C:D,2,0),"")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IFERROR($C$1-1+_xlfn.RANK.EQ(B63,$B$4:$B$117)+COUNTIF(B$4:$B63,B63)-1,"")</f>
        <v/>
      </c>
      <c r="D63" s="1" t="str">
        <f ca="1">IFERROR(VLOOKUP(C63,Travel!A:B,2,0),"")</f>
        <v/>
      </c>
      <c r="E63" t="str">
        <f ca="1">IFERROR(VLOOKUP(D63&amp;"Viet",Travel!C:D,2,0),"")</f>
        <v/>
      </c>
      <c r="F63" t="str">
        <f ca="1">IFERROR(VLOOKUP(D63&amp;"Eng",Travel!C:D,2,0),"")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IFERROR($C$1-1+_xlfn.RANK.EQ(B64,$B$4:$B$117)+COUNTIF(B$4:$B64,B64)-1,"")</f>
        <v/>
      </c>
      <c r="D64" s="1" t="str">
        <f ca="1">IFERROR(VLOOKUP(C64,Travel!A:B,2,0),"")</f>
        <v/>
      </c>
      <c r="E64" t="str">
        <f ca="1">IFERROR(VLOOKUP(D64&amp;"Viet",Travel!C:D,2,0),"")</f>
        <v/>
      </c>
      <c r="F64" t="str">
        <f ca="1">IFERROR(VLOOKUP(D64&amp;"Eng",Travel!C:D,2,0),"")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IFERROR($C$1-1+_xlfn.RANK.EQ(B65,$B$4:$B$117)+COUNTIF(B$4:$B65,B65)-1,"")</f>
        <v/>
      </c>
      <c r="D65" s="1" t="str">
        <f ca="1">IFERROR(VLOOKUP(C65,Travel!A:B,2,0),"")</f>
        <v/>
      </c>
      <c r="E65" t="str">
        <f ca="1">IFERROR(VLOOKUP(D65&amp;"Viet",Travel!C:D,2,0),"")</f>
        <v/>
      </c>
      <c r="F65" t="str">
        <f ca="1">IFERROR(VLOOKUP(D65&amp;"Eng",Travel!C:D,2,0),"")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IFERROR($C$1-1+_xlfn.RANK.EQ(B66,$B$4:$B$117)+COUNTIF(B$4:$B66,B66)-1,"")</f>
        <v/>
      </c>
      <c r="D66" s="1" t="str">
        <f ca="1">IFERROR(VLOOKUP(C66,Travel!A:B,2,0),"")</f>
        <v/>
      </c>
      <c r="E66" t="str">
        <f ca="1">IFERROR(VLOOKUP(D66&amp;"Viet",Travel!C:D,2,0),"")</f>
        <v/>
      </c>
      <c r="F66" t="str">
        <f ca="1">IFERROR(VLOOKUP(D66&amp;"Eng",Travel!C:D,2,0),"")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IFERROR($C$1-1+_xlfn.RANK.EQ(B67,$B$4:$B$117)+COUNTIF(B$4:$B67,B67)-1,"")</f>
        <v/>
      </c>
      <c r="D67" s="1" t="str">
        <f ca="1">IFERROR(VLOOKUP(C67,Travel!A:B,2,0),"")</f>
        <v/>
      </c>
      <c r="E67" t="str">
        <f ca="1">IFERROR(VLOOKUP(D67&amp;"Viet",Travel!C:D,2,0),"")</f>
        <v/>
      </c>
      <c r="F67" t="str">
        <f ca="1">IFERROR(VLOOKUP(D67&amp;"Eng",Travel!C:D,2,0),"")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IFERROR($C$1-1+_xlfn.RANK.EQ(B68,$B$4:$B$117)+COUNTIF(B$4:$B68,B68)-1,"")</f>
        <v/>
      </c>
      <c r="D68" s="1" t="str">
        <f ca="1">IFERROR(VLOOKUP(C68,Travel!A:B,2,0),"")</f>
        <v/>
      </c>
      <c r="E68" t="str">
        <f ca="1">IFERROR(VLOOKUP(D68&amp;"Viet",Travel!C:D,2,0),"")</f>
        <v/>
      </c>
      <c r="F68" t="str">
        <f ca="1">IFERROR(VLOOKUP(D68&amp;"Eng",Travel!C:D,2,0),"")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IFERROR($C$1-1+_xlfn.RANK.EQ(B69,$B$4:$B$117)+COUNTIF(B$4:$B69,B69)-1,"")</f>
        <v/>
      </c>
      <c r="D69" s="1" t="str">
        <f ca="1">IFERROR(VLOOKUP(C69,Travel!A:B,2,0),"")</f>
        <v/>
      </c>
      <c r="E69" t="str">
        <f ca="1">IFERROR(VLOOKUP(D69&amp;"Viet",Travel!C:D,2,0),"")</f>
        <v/>
      </c>
      <c r="F69" t="str">
        <f ca="1">IFERROR(VLOOKUP(D69&amp;"Eng",Travel!C:D,2,0),"")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IFERROR($C$1-1+_xlfn.RANK.EQ(B70,$B$4:$B$117)+COUNTIF(B$4:$B70,B70)-1,"")</f>
        <v/>
      </c>
      <c r="D70" s="1" t="str">
        <f ca="1">IFERROR(VLOOKUP(C70,Travel!A:B,2,0),"")</f>
        <v/>
      </c>
      <c r="E70" t="str">
        <f ca="1">IFERROR(VLOOKUP(D70&amp;"Viet",Travel!C:D,2,0),"")</f>
        <v/>
      </c>
      <c r="F70" t="str">
        <f ca="1">IFERROR(VLOOKUP(D70&amp;"Eng",Travel!C:D,2,0),"")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IFERROR($C$1-1+_xlfn.RANK.EQ(B71,$B$4:$B$117)+COUNTIF(B$4:$B71,B71)-1,"")</f>
        <v/>
      </c>
      <c r="D71" s="1" t="str">
        <f ca="1">IFERROR(VLOOKUP(C71,Travel!A:B,2,0),"")</f>
        <v/>
      </c>
      <c r="E71" t="str">
        <f ca="1">IFERROR(VLOOKUP(D71&amp;"Viet",Travel!C:D,2,0),"")</f>
        <v/>
      </c>
      <c r="F71" t="str">
        <f ca="1">IFERROR(VLOOKUP(D71&amp;"Eng",Travel!C:D,2,0),"")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IFERROR($C$1-1+_xlfn.RANK.EQ(B72,$B$4:$B$117)+COUNTIF(B$4:$B72,B72)-1,"")</f>
        <v/>
      </c>
      <c r="D72" s="1" t="str">
        <f ca="1">IFERROR(VLOOKUP(C72,Travel!A:B,2,0),"")</f>
        <v/>
      </c>
      <c r="E72" t="str">
        <f ca="1">IFERROR(VLOOKUP(D72&amp;"Viet",Travel!C:D,2,0),"")</f>
        <v/>
      </c>
      <c r="F72" t="str">
        <f ca="1">IFERROR(VLOOKUP(D72&amp;"Eng",Travel!C:D,2,0),"")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IFERROR($C$1-1+_xlfn.RANK.EQ(B73,$B$4:$B$117)+COUNTIF(B$4:$B73,B73)-1,"")</f>
        <v/>
      </c>
      <c r="D73" s="1" t="str">
        <f ca="1">IFERROR(VLOOKUP(C73,Travel!A:B,2,0),"")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IFERROR($C$1-1+_xlfn.RANK.EQ(B74,$B$4:$B$117)+COUNTIF(B$4:$B74,B74)-1,"")</f>
        <v/>
      </c>
      <c r="D74" s="1" t="str">
        <f ca="1">IFERROR(VLOOKUP(C74,Travel!A:B,2,0),"")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IFERROR($C$1-1+_xlfn.RANK.EQ(B75,$B$4:$B$117)+COUNTIF(B$4:$B75,B75)-1,"")</f>
        <v/>
      </c>
      <c r="D75" s="1" t="str">
        <f ca="1">IFERROR(VLOOKUP(C75,Travel!A:B,2,0),"")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IFERROR($C$1-1+_xlfn.RANK.EQ(B76,$B$4:$B$117)+COUNTIF(B$4:$B76,B76)-1,"")</f>
        <v/>
      </c>
      <c r="D76" s="1" t="str">
        <f ca="1">IFERROR(VLOOKUP(C76,Travel!A:B,2,0),"")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IFERROR($C$1-1+_xlfn.RANK.EQ(B77,$B$4:$B$117)+COUNTIF(B$4:$B77,B77)-1,"")</f>
        <v/>
      </c>
      <c r="D77" s="1" t="str">
        <f ca="1">IFERROR(VLOOKUP(C77,Travel!A:B,2,0),"")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IFERROR($C$1-1+_xlfn.RANK.EQ(B78,$B$4:$B$117)+COUNTIF(B$4:$B78,B78)-1,"")</f>
        <v/>
      </c>
      <c r="D78" s="1" t="str">
        <f ca="1">IFERROR(VLOOKUP(C78,Travel!A:B,2,0),"")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IFERROR($C$1-1+_xlfn.RANK.EQ(B79,$B$4:$B$117)+COUNTIF(B$4:$B79,B79)-1,"")</f>
        <v/>
      </c>
      <c r="D79" s="1" t="str">
        <f ca="1">IFERROR(VLOOKUP(C79,Travel!A:B,2,0),"")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IFERROR($C$1-1+_xlfn.RANK.EQ(B80,$B$4:$B$117)+COUNTIF(B$4:$B80,B80)-1,"")</f>
        <v/>
      </c>
      <c r="D80" s="1" t="str">
        <f ca="1">IFERROR(VLOOKUP(C80,Travel!A:B,2,0),"")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IFERROR($C$1-1+_xlfn.RANK.EQ(B81,$B$4:$B$117)+COUNTIF(B$4:$B81,B81)-1,"")</f>
        <v/>
      </c>
      <c r="D81" s="1" t="str">
        <f ca="1">IFERROR(VLOOKUP(C81,Travel!A:B,2,0),"")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IFERROR($C$1-1+_xlfn.RANK.EQ(B82,$B$4:$B$117)+COUNTIF(B$4:$B82,B82)-1,"")</f>
        <v/>
      </c>
      <c r="D82" s="1" t="str">
        <f ca="1">IFERROR(VLOOKUP(C82,Travel!A:B,2,0),"")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IFERROR($C$1-1+_xlfn.RANK.EQ(B83,$B$4:$B$117)+COUNTIF(B$4:$B83,B83)-1,"")</f>
        <v/>
      </c>
      <c r="D83" s="1" t="str">
        <f ca="1">IFERROR(VLOOKUP(C83,Travel!A:B,2,0),"")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IFERROR($C$1-1+_xlfn.RANK.EQ(B84,$B$4:$B$117)+COUNTIF(B$4:$B84,B84)-1,"")</f>
        <v/>
      </c>
      <c r="D84" s="1" t="str">
        <f ca="1">IFERROR(VLOOKUP(C84,Travel!A:B,2,0),"")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IFERROR($C$1-1+_xlfn.RANK.EQ(B85,$B$4:$B$117)+COUNTIF(B$4:$B85,B85)-1,"")</f>
        <v/>
      </c>
      <c r="D85" s="1" t="str">
        <f ca="1">IFERROR(VLOOKUP(C85,Travel!A:B,2,0),"")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IFERROR($C$1-1+_xlfn.RANK.EQ(B86,$B$4:$B$117)+COUNTIF(B$4:$B86,B86)-1,"")</f>
        <v/>
      </c>
      <c r="D86" s="1" t="str">
        <f ca="1">IFERROR(VLOOKUP(C86,Travel!A:B,2,0),"")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IFERROR($C$1-1+_xlfn.RANK.EQ(B87,$B$4:$B$117)+COUNTIF(B$4:$B87,B87)-1,"")</f>
        <v/>
      </c>
      <c r="D87" s="1" t="str">
        <f ca="1">IFERROR(VLOOKUP(C87,Travel!A:B,2,0),"")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IFERROR($C$1-1+_xlfn.RANK.EQ(B88,$B$4:$B$117)+COUNTIF(B$4:$B88,B88)-1,"")</f>
        <v/>
      </c>
      <c r="D88" s="1" t="str">
        <f ca="1">IFERROR(VLOOKUP(C88,Travel!A:B,2,0),"")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IFERROR($C$1-1+_xlfn.RANK.EQ(B89,$B$4:$B$117)+COUNTIF(B$4:$B89,B89)-1,"")</f>
        <v/>
      </c>
      <c r="D89" s="1" t="str">
        <f ca="1">IFERROR(VLOOKUP(C89,Travel!A:B,2,0),"")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IFERROR($C$1-1+_xlfn.RANK.EQ(B90,$B$4:$B$117)+COUNTIF(B$4:$B90,B90)-1,"")</f>
        <v/>
      </c>
      <c r="D90" s="1" t="str">
        <f ca="1">IFERROR(VLOOKUP(C90,Travel!A:B,2,0),"")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IFERROR($C$1-1+_xlfn.RANK.EQ(B91,$B$4:$B$117)+COUNTIF(B$4:$B91,B91)-1,"")</f>
        <v/>
      </c>
      <c r="D91" s="1" t="str">
        <f ca="1">IFERROR(VLOOKUP(C91,Travel!A:B,2,0),"")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IFERROR($C$1-1+_xlfn.RANK.EQ(B92,$B$4:$B$117)+COUNTIF(B$4:$B92,B92)-1,"")</f>
        <v/>
      </c>
      <c r="D92" s="1" t="str">
        <f ca="1">IFERROR(VLOOKUP(C92,Travel!A:B,2,0),"")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IFERROR($C$1-1+_xlfn.RANK.EQ(B93,$B$4:$B$117)+COUNTIF(B$4:$B93,B93)-1,"")</f>
        <v/>
      </c>
      <c r="D93" s="1" t="str">
        <f ca="1">IFERROR(VLOOKUP(C93,Travel!A:B,2,0),"")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IFERROR($C$1-1+_xlfn.RANK.EQ(B94,$B$4:$B$117)+COUNTIF(B$4:$B94,B94)-1,"")</f>
        <v/>
      </c>
      <c r="D94" s="1" t="str">
        <f ca="1">IFERROR(VLOOKUP(C94,Travel!A:B,2,0),"")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IFERROR($C$1-1+_xlfn.RANK.EQ(B95,$B$4:$B$117)+COUNTIF(B$4:$B95,B95)-1,"")</f>
        <v/>
      </c>
      <c r="D95" s="1" t="str">
        <f ca="1">IFERROR(VLOOKUP(C95,Travel!A:B,2,0),"")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IFERROR($C$1-1+_xlfn.RANK.EQ(B96,$B$4:$B$117)+COUNTIF(B$4:$B96,B96)-1,"")</f>
        <v/>
      </c>
      <c r="D96" s="1" t="str">
        <f ca="1">IFERROR(VLOOKUP(C96,Travel!A:B,2,0),"")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IFERROR($C$1-1+_xlfn.RANK.EQ(B97,$B$4:$B$117)+COUNTIF(B$4:$B97,B97)-1,"")</f>
        <v/>
      </c>
      <c r="D97" s="1" t="str">
        <f ca="1">IFERROR(VLOOKUP(C97,Travel!A:B,2,0),"")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IFERROR($C$1-1+_xlfn.RANK.EQ(B98,$B$4:$B$117)+COUNTIF(B$4:$B98,B98)-1,"")</f>
        <v/>
      </c>
      <c r="D98" s="1" t="str">
        <f ca="1">IFERROR(VLOOKUP(C98,Travel!A:B,2,0),"")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IFERROR($C$1-1+_xlfn.RANK.EQ(B99,$B$4:$B$117)+COUNTIF(B$4:$B99,B99)-1,"")</f>
        <v/>
      </c>
      <c r="D99" s="1" t="str">
        <f ca="1">IFERROR(VLOOKUP(C99,Travel!A:B,2,0),"")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IFERROR($C$1-1+_xlfn.RANK.EQ(B100,$B$4:$B$117)+COUNTIF(B$4:$B100,B100)-1,"")</f>
        <v/>
      </c>
      <c r="D100" s="1" t="str">
        <f ca="1">IFERROR(VLOOKUP(C100,Travel!A:B,2,0),"")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IFERROR($C$1-1+_xlfn.RANK.EQ(B101,$B$4:$B$117)+COUNTIF(B$4:$B101,B101)-1,"")</f>
        <v/>
      </c>
      <c r="D101" s="1" t="str">
        <f ca="1">IFERROR(VLOOKUP(C101,Travel!A:B,2,0),"")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IFERROR($C$1-1+_xlfn.RANK.EQ(B102,$B$4:$B$117)+COUNTIF(B$4:$B102,B102)-1,"")</f>
        <v/>
      </c>
      <c r="D102" s="1" t="str">
        <f ca="1">IFERROR(VLOOKUP(C102,Travel!A:B,2,0),"")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IFERROR($C$1-1+_xlfn.RANK.EQ(B103,$B$4:$B$117)+COUNTIF(B$4:$B103,B103)-1,"")</f>
        <v/>
      </c>
      <c r="D103" s="1" t="str">
        <f ca="1">IFERROR(VLOOKUP(C103,Travel!A:B,2,0),"")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IFERROR($C$1-1+_xlfn.RANK.EQ(B104,$B$4:$B$117)+COUNTIF(B$4:$B104,B104)-1,"")</f>
        <v/>
      </c>
      <c r="D104" s="1" t="str">
        <f ca="1">IFERROR(VLOOKUP(C104,Travel!A:B,2,0),"")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IFERROR($C$1-1+_xlfn.RANK.EQ(B105,$B$4:$B$117)+COUNTIF(B$4:$B105,B105)-1,"")</f>
        <v/>
      </c>
      <c r="D105" s="1" t="str">
        <f ca="1">IFERROR(VLOOKUP(C105,Travel!A:B,2,0),"")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IFERROR($C$1-1+_xlfn.RANK.EQ(B106,$B$4:$B$117)+COUNTIF(B$4:$B106,B106)-1,"")</f>
        <v/>
      </c>
      <c r="D106" s="1" t="str">
        <f ca="1">IFERROR(VLOOKUP(C106,Travel!A:B,2,0),"")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IFERROR($C$1-1+_xlfn.RANK.EQ(B107,$B$4:$B$117)+COUNTIF(B$4:$B107,B107)-1,"")</f>
        <v/>
      </c>
      <c r="D107" s="1" t="str">
        <f ca="1">IFERROR(VLOOKUP(C107,Travel!A:B,2,0),"")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IFERROR($C$1-1+_xlfn.RANK.EQ(B108,$B$4:$B$117)+COUNTIF(B$4:$B108,B108)-1,"")</f>
        <v/>
      </c>
      <c r="D108" s="1" t="str">
        <f ca="1">IFERROR(VLOOKUP(C108,Travel!A:B,2,0),"")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IFERROR($C$1-1+_xlfn.RANK.EQ(B109,$B$4:$B$117)+COUNTIF(B$4:$B109,B109)-1,"")</f>
        <v/>
      </c>
      <c r="D109" s="1" t="str">
        <f ca="1">IFERROR(VLOOKUP(C109,Travel!A:B,2,0),"")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IFERROR($C$1-1+_xlfn.RANK.EQ(B110,$B$4:$B$117)+COUNTIF(B$4:$B110,B110)-1,"")</f>
        <v/>
      </c>
      <c r="D110" s="1" t="str">
        <f ca="1">IFERROR(VLOOKUP(C110,Travel!A:B,2,0),"")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IFERROR($C$1-1+_xlfn.RANK.EQ(B111,$B$4:$B$117)+COUNTIF(B$4:$B111,B111)-1,"")</f>
        <v/>
      </c>
      <c r="D111" s="1" t="str">
        <f ca="1">IFERROR(VLOOKUP(C111,Travel!A:B,2,0),"")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IFERROR($C$1-1+_xlfn.RANK.EQ(B112,$B$4:$B$117)+COUNTIF(B$4:$B112,B112)-1,"")</f>
        <v/>
      </c>
      <c r="D112" s="1" t="str">
        <f ca="1">IFERROR(VLOOKUP(C112,Travel!A:B,2,0),"")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IFERROR($C$1-1+_xlfn.RANK.EQ(B113,$B$4:$B$117)+COUNTIF(B$4:$B113,B113)-1,"")</f>
        <v/>
      </c>
      <c r="D113" s="1" t="str">
        <f ca="1">IFERROR(VLOOKUP(C113,Travel!A:B,2,0),"")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IFERROR($C$1-1+_xlfn.RANK.EQ(B114,$B$4:$B$117)+COUNTIF(B$4:$B114,B114)-1,"")</f>
        <v/>
      </c>
      <c r="D114" s="1" t="str">
        <f ca="1">IFERROR(VLOOKUP(C114,Travel!A:B,2,0),"")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IFERROR($C$1-1+_xlfn.RANK.EQ(B115,$B$4:$B$117)+COUNTIF(B$4:$B115,B115)-1,"")</f>
        <v/>
      </c>
      <c r="D115" s="1" t="str">
        <f ca="1">IFERROR(VLOOKUP(C115,Travel!A:B,2,0),"")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IFERROR($C$1-1+_xlfn.RANK.EQ(B116,$B$4:$B$117)+COUNTIF(B$4:$B116,B116)-1,"")</f>
        <v/>
      </c>
      <c r="D116" s="1" t="str">
        <f ca="1">IFERROR(VLOOKUP(C116,Travel!A:B,2,0),"")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IFERROR($C$1-1+_xlfn.RANK.EQ(B117,$B$4:$B$117)+COUNTIF(B$4:$B117,B117)-1,"")</f>
        <v/>
      </c>
      <c r="D117" s="1" t="str">
        <f ca="1">IFERROR(VLOOKUP(C117,Travel!A:B,2,0),"")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IFERROR($C$1-1+_xlfn.RANK.EQ(B118,$B$4:$B$117)+COUNTIF(B$4:$B118,B118)-1,"")</f>
        <v/>
      </c>
      <c r="D118" s="1" t="str">
        <f ca="1">IFERROR(VLOOKUP(C118,Travel!A:B,2,0),"")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IFERROR($C$1-1+_xlfn.RANK.EQ(B119,$B$4:$B$117)+COUNTIF(B$4:$B119,B119)-1,"")</f>
        <v/>
      </c>
      <c r="D119" s="1" t="str">
        <f ca="1">IFERROR(VLOOKUP(C119,Travel!A:B,2,0),"")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IFERROR($C$1-1+_xlfn.RANK.EQ(B120,$B$4:$B$117)+COUNTIF(B$4:$B120,B120)-1,"")</f>
        <v/>
      </c>
      <c r="D120" s="1" t="str">
        <f ca="1">IFERROR(VLOOKUP(C120,Travel!A:B,2,0),"")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IFERROR($C$1-1+_xlfn.RANK.EQ(B121,$B$4:$B$117)+COUNTIF(B$4:$B121,B121)-1,"")</f>
        <v/>
      </c>
      <c r="D121" s="1" t="str">
        <f ca="1">IFERROR(VLOOKUP(C121,Travel!A:B,2,0),"")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IFERROR($C$1-1+_xlfn.RANK.EQ(B122,$B$4:$B$117)+COUNTIF(B$4:$B122,B122)-1,"")</f>
        <v/>
      </c>
      <c r="D122" s="1" t="str">
        <f ca="1">IFERROR(VLOOKUP(C122,Travel!A:B,2,0),"")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IFERROR($C$1-1+_xlfn.RANK.EQ(B123,$B$4:$B$117)+COUNTIF(B$4:$B123,B123)-1,"")</f>
        <v/>
      </c>
      <c r="D123" s="1" t="str">
        <f ca="1">IFERROR(VLOOKUP(C123,Travel!A:B,2,0),"")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IFERROR($C$1-1+_xlfn.RANK.EQ(B124,$B$4:$B$117)+COUNTIF(B$4:$B124,B124)-1,"")</f>
        <v/>
      </c>
      <c r="D124" s="1" t="str">
        <f ca="1">IFERROR(VLOOKUP(C124,Travel!A:B,2,0),"")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IFERROR($C$1-1+_xlfn.RANK.EQ(B125,$B$4:$B$117)+COUNTIF(B$4:$B125,B125)-1,"")</f>
        <v/>
      </c>
      <c r="D125" s="1" t="str">
        <f ca="1">IFERROR(VLOOKUP(C125,Travel!A:B,2,0),"")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IFERROR($C$1-1+_xlfn.RANK.EQ(B126,$B$4:$B$117)+COUNTIF(B$4:$B126,B126)-1,"")</f>
        <v/>
      </c>
      <c r="D126" s="1" t="str">
        <f ca="1">IFERROR(VLOOKUP(C126,Travel!A:B,2,0),"")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IFERROR($C$1-1+_xlfn.RANK.EQ(B127,$B$4:$B$117)+COUNTIF(B$4:$B127,B127)-1,"")</f>
        <v/>
      </c>
      <c r="D127" s="1" t="str">
        <f ca="1">IFERROR(VLOOKUP(C127,Travel!A:B,2,0),"")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IFERROR($C$1-1+_xlfn.RANK.EQ(B128,$B$4:$B$117)+COUNTIF(B$4:$B128,B128)-1,"")</f>
        <v/>
      </c>
      <c r="D128" s="1" t="str">
        <f ca="1">IFERROR(VLOOKUP(C128,Travel!A:B,2,0),"")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IFERROR($C$1-1+_xlfn.RANK.EQ(B129,$B$4:$B$117)+COUNTIF(B$4:$B129,B129)-1,"")</f>
        <v/>
      </c>
      <c r="D129" s="1" t="str">
        <f ca="1">IFERROR(VLOOKUP(C129,Travel!A:B,2,0),"")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IFERROR($C$1-1+_xlfn.RANK.EQ(B130,$B$4:$B$117)+COUNTIF(B$4:$B130,B130)-1,"")</f>
        <v/>
      </c>
      <c r="D130" s="1" t="str">
        <f ca="1">IFERROR(VLOOKUP(C130,Travel!A:B,2,0),"")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IFERROR($C$1-1+_xlfn.RANK.EQ(B131,$B$4:$B$117)+COUNTIF(B$4:$B131,B131)-1,"")</f>
        <v/>
      </c>
      <c r="D131" s="1" t="str">
        <f ca="1">IFERROR(VLOOKUP(C131,Travel!A:B,2,0),"")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IFERROR($C$1-1+_xlfn.RANK.EQ(B132,$B$4:$B$117)+COUNTIF(B$4:$B132,B132)-1,"")</f>
        <v/>
      </c>
      <c r="D132" s="1" t="str">
        <f ca="1">IFERROR(VLOOKUP(C132,Travel!A:B,2,0),"")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IFERROR($C$1-1+_xlfn.RANK.EQ(B133,$B$4:$B$117)+COUNTIF(B$4:$B133,B133)-1,"")</f>
        <v/>
      </c>
      <c r="D133" s="1" t="str">
        <f ca="1">IFERROR(VLOOKUP(C133,Travel!A:B,2,0),"")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IFERROR($C$1-1+_xlfn.RANK.EQ(B134,$B$4:$B$117)+COUNTIF(B$4:$B134,B134)-1,"")</f>
        <v/>
      </c>
      <c r="D134" s="1" t="str">
        <f ca="1">IFERROR(VLOOKUP(C134,Travel!A:B,2,0),"")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IFERROR($C$1-1+_xlfn.RANK.EQ(B135,$B$4:$B$117)+COUNTIF(B$4:$B135,B135)-1,"")</f>
        <v/>
      </c>
      <c r="D135" s="1" t="str">
        <f ca="1">IFERROR(VLOOKUP(C135,Travel!A:B,2,0),"")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IFERROR($C$1-1+_xlfn.RANK.EQ(B136,$B$4:$B$117)+COUNTIF(B$4:$B136,B136)-1,"")</f>
        <v/>
      </c>
      <c r="D136" s="1" t="str">
        <f ca="1">IFERROR(VLOOKUP(C136,Travel!A:B,2,0),"")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IFERROR($C$1-1+_xlfn.RANK.EQ(B137,$B$4:$B$117)+COUNTIF(B$4:$B137,B137)-1,"")</f>
        <v/>
      </c>
      <c r="D137" s="1" t="str">
        <f ca="1">IFERROR(VLOOKUP(C137,Travel!A:B,2,0),"")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IFERROR($C$1-1+_xlfn.RANK.EQ(B138,$B$4:$B$117)+COUNTIF(B$4:$B138,B138)-1,"")</f>
        <v/>
      </c>
      <c r="D138" s="1" t="str">
        <f ca="1">IFERROR(VLOOKUP(C138,Travel!A:B,2,0),"")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IFERROR($C$1-1+_xlfn.RANK.EQ(B139,$B$4:$B$117)+COUNTIF(B$4:$B139,B139)-1,"")</f>
        <v/>
      </c>
      <c r="D139" s="1" t="str">
        <f ca="1">IFERROR(VLOOKUP(C139,Travel!A:B,2,0),"")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IFERROR($C$1-1+_xlfn.RANK.EQ(B140,$B$4:$B$117)+COUNTIF(B$4:$B140,B140)-1,"")</f>
        <v/>
      </c>
      <c r="D140" s="1" t="str">
        <f ca="1">IFERROR(VLOOKUP(C140,Travel!A:B,2,0),"")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IFERROR($C$1-1+_xlfn.RANK.EQ(B141,$B$4:$B$117)+COUNTIF(B$4:$B141,B141)-1,"")</f>
        <v/>
      </c>
      <c r="D141" s="1" t="str">
        <f ca="1">IFERROR(VLOOKUP(C141,Travel!A:B,2,0),"")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IFERROR($C$1-1+_xlfn.RANK.EQ(B142,$B$4:$B$117)+COUNTIF(B$4:$B142,B142)-1,"")</f>
        <v/>
      </c>
      <c r="D142" s="1" t="str">
        <f ca="1">IFERROR(VLOOKUP(C142,Travel!A:B,2,0),"")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B1:C1"/>
  <sheetViews>
    <sheetView zoomScale="96" zoomScaleNormal="96" workbookViewId="0">
      <selection activeCell="I21" sqref="I21"/>
    </sheetView>
  </sheetViews>
  <sheetFormatPr defaultRowHeight="13.8" x14ac:dyDescent="0.25"/>
  <cols>
    <col min="2" max="3" width="8.796875" style="1"/>
  </cols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ED3-ABEE-452C-A24B-05253366111C}">
  <dimension ref="A1:B1"/>
  <sheetViews>
    <sheetView workbookViewId="0">
      <selection activeCell="H19" sqref="H19"/>
    </sheetView>
  </sheetViews>
  <sheetFormatPr defaultRowHeight="13.8" x14ac:dyDescent="0.25"/>
  <cols>
    <col min="1" max="2" width="8.79687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20E6-D5A4-417D-AEBF-3BBBC2F25C25}">
  <dimension ref="A1"/>
  <sheetViews>
    <sheetView workbookViewId="0">
      <selection activeCell="H15" sqref="H15"/>
    </sheetView>
  </sheetViews>
  <sheetFormatPr defaultRowHeight="13.8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Travel</vt:lpstr>
      <vt:lpstr>Viet</vt:lpstr>
      <vt:lpstr>Sum</vt:lpstr>
      <vt:lpstr>Ramdom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2023-07-08T13:12:07Z</dcterms:modified>
</cp:coreProperties>
</file>