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Expressing opinions\"/>
    </mc:Choice>
  </mc:AlternateContent>
  <xr:revisionPtr revIDLastSave="0" documentId="13_ncr:1_{F51636AA-74A9-4377-BF67-2A53F8E35743}" xr6:coauthVersionLast="47" xr6:coauthVersionMax="47" xr10:uidLastSave="{00000000-0000-0000-0000-000000000000}"/>
  <bookViews>
    <workbookView xWindow="-108" yWindow="-108" windowWidth="23256" windowHeight="12456" tabRatio="634" xr2:uid="{719E5D2F-C632-4960-9266-638D7C9B24E2}"/>
  </bookViews>
  <sheets>
    <sheet name="Expressing opinions" sheetId="1" r:id="rId1"/>
    <sheet name="Viet" sheetId="5" r:id="rId2"/>
    <sheet name="Sum" sheetId="6" r:id="rId3"/>
    <sheet name="Ramdom" sheetId="2" r:id="rId4"/>
    <sheet name="Sheet1" sheetId="7" r:id="rId5"/>
    <sheet name="Sheet2" sheetId="10" r:id="rId6"/>
  </sheets>
  <definedNames>
    <definedName name="_xlnm._FilterDatabase" localSheetId="0" hidden="1">'Expressing opinions'!$A$3:$H$515</definedName>
    <definedName name="_xlnm._FilterDatabase" localSheetId="3" hidden="1">Ramdom!$B$3:$F$295</definedName>
    <definedName name="_xlnm._FilterDatabase" localSheetId="5" hidden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F134" i="1"/>
  <c r="G134" i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G152" i="1"/>
  <c r="F152" i="1" s="1"/>
  <c r="G153" i="1"/>
  <c r="F153" i="1" s="1"/>
  <c r="G154" i="1"/>
  <c r="F154" i="1" s="1"/>
  <c r="G155" i="1"/>
  <c r="F155" i="1" s="1"/>
  <c r="G156" i="1"/>
  <c r="F156" i="1" s="1"/>
  <c r="G157" i="1"/>
  <c r="F157" i="1" s="1"/>
  <c r="G158" i="1"/>
  <c r="F158" i="1" s="1"/>
  <c r="G159" i="1"/>
  <c r="F159" i="1" s="1"/>
  <c r="G160" i="1"/>
  <c r="F160" i="1" s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F170" i="1" s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G178" i="1"/>
  <c r="F178" i="1" s="1"/>
  <c r="G179" i="1"/>
  <c r="F179" i="1" s="1"/>
  <c r="G180" i="1"/>
  <c r="F180" i="1" s="1"/>
  <c r="G181" i="1"/>
  <c r="F181" i="1" s="1"/>
  <c r="G182" i="1"/>
  <c r="F182" i="1" s="1"/>
  <c r="G183" i="1"/>
  <c r="F183" i="1" s="1"/>
  <c r="G184" i="1"/>
  <c r="F184" i="1" s="1"/>
  <c r="G185" i="1"/>
  <c r="F185" i="1" s="1"/>
  <c r="G186" i="1"/>
  <c r="F186" i="1" s="1"/>
  <c r="G187" i="1"/>
  <c r="F187" i="1" s="1"/>
  <c r="G188" i="1"/>
  <c r="F188" i="1" s="1"/>
  <c r="G189" i="1"/>
  <c r="F189" i="1" s="1"/>
  <c r="F190" i="1"/>
  <c r="G190" i="1"/>
  <c r="G191" i="1"/>
  <c r="F191" i="1" s="1"/>
  <c r="G192" i="1"/>
  <c r="F192" i="1" s="1"/>
  <c r="G193" i="1"/>
  <c r="F193" i="1" s="1"/>
  <c r="G194" i="1"/>
  <c r="F194" i="1" s="1"/>
  <c r="G195" i="1"/>
  <c r="F195" i="1" s="1"/>
  <c r="G196" i="1"/>
  <c r="F196" i="1" s="1"/>
  <c r="G197" i="1"/>
  <c r="F197" i="1" s="1"/>
  <c r="F198" i="1"/>
  <c r="G198" i="1"/>
  <c r="G199" i="1"/>
  <c r="F199" i="1" s="1"/>
  <c r="G200" i="1"/>
  <c r="F200" i="1" s="1"/>
  <c r="G201" i="1"/>
  <c r="F201" i="1" s="1"/>
  <c r="G202" i="1"/>
  <c r="F202" i="1" s="1"/>
  <c r="G203" i="1"/>
  <c r="F203" i="1" s="1"/>
  <c r="G204" i="1"/>
  <c r="F204" i="1" s="1"/>
  <c r="G205" i="1"/>
  <c r="F205" i="1" s="1"/>
  <c r="G206" i="1"/>
  <c r="F206" i="1" s="1"/>
  <c r="G207" i="1"/>
  <c r="F207" i="1" s="1"/>
  <c r="G208" i="1"/>
  <c r="F208" i="1" s="1"/>
  <c r="G209" i="1"/>
  <c r="F209" i="1" s="1"/>
  <c r="G210" i="1"/>
  <c r="F210" i="1" s="1"/>
  <c r="G211" i="1"/>
  <c r="F211" i="1" s="1"/>
  <c r="G212" i="1"/>
  <c r="F212" i="1" s="1"/>
  <c r="G213" i="1"/>
  <c r="F213" i="1" s="1"/>
  <c r="G214" i="1"/>
  <c r="F214" i="1" s="1"/>
  <c r="G215" i="1"/>
  <c r="F215" i="1" s="1"/>
  <c r="G216" i="1"/>
  <c r="F216" i="1" s="1"/>
  <c r="G217" i="1"/>
  <c r="F217" i="1" s="1"/>
  <c r="G218" i="1"/>
  <c r="F218" i="1" s="1"/>
  <c r="G219" i="1"/>
  <c r="F219" i="1" s="1"/>
  <c r="G220" i="1"/>
  <c r="F220" i="1" s="1"/>
  <c r="G221" i="1"/>
  <c r="F221" i="1" s="1"/>
  <c r="F222" i="1"/>
  <c r="G222" i="1"/>
  <c r="G223" i="1"/>
  <c r="F223" i="1" s="1"/>
  <c r="G224" i="1"/>
  <c r="F224" i="1" s="1"/>
  <c r="G225" i="1"/>
  <c r="F225" i="1" s="1"/>
  <c r="G226" i="1"/>
  <c r="F226" i="1" s="1"/>
  <c r="G227" i="1"/>
  <c r="F227" i="1" s="1"/>
  <c r="G228" i="1"/>
  <c r="F228" i="1" s="1"/>
  <c r="G229" i="1"/>
  <c r="F229" i="1" s="1"/>
  <c r="G230" i="1"/>
  <c r="F230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38" i="1"/>
  <c r="F238" i="1" s="1"/>
  <c r="G239" i="1"/>
  <c r="F239" i="1" s="1"/>
  <c r="G240" i="1"/>
  <c r="F240" i="1" s="1"/>
  <c r="G241" i="1"/>
  <c r="F241" i="1" s="1"/>
  <c r="G242" i="1"/>
  <c r="F242" i="1" s="1"/>
  <c r="G243" i="1"/>
  <c r="F243" i="1" s="1"/>
  <c r="G244" i="1"/>
  <c r="F244" i="1" s="1"/>
  <c r="G245" i="1"/>
  <c r="F245" i="1" s="1"/>
  <c r="G246" i="1"/>
  <c r="F246" i="1" s="1"/>
  <c r="G247" i="1"/>
  <c r="F247" i="1" s="1"/>
  <c r="G248" i="1"/>
  <c r="F248" i="1" s="1"/>
  <c r="G249" i="1"/>
  <c r="F249" i="1" s="1"/>
  <c r="G250" i="1"/>
  <c r="F250" i="1" s="1"/>
  <c r="G251" i="1"/>
  <c r="F251" i="1" s="1"/>
  <c r="G252" i="1"/>
  <c r="F252" i="1" s="1"/>
  <c r="G253" i="1"/>
  <c r="F253" i="1" s="1"/>
  <c r="G254" i="1"/>
  <c r="F254" i="1" s="1"/>
  <c r="G255" i="1"/>
  <c r="F255" i="1" s="1"/>
  <c r="G256" i="1"/>
  <c r="F256" i="1" s="1"/>
  <c r="G257" i="1"/>
  <c r="F257" i="1" s="1"/>
  <c r="G258" i="1"/>
  <c r="F258" i="1" s="1"/>
  <c r="G259" i="1"/>
  <c r="F259" i="1" s="1"/>
  <c r="G260" i="1"/>
  <c r="F260" i="1" s="1"/>
  <c r="G261" i="1"/>
  <c r="F261" i="1" s="1"/>
  <c r="G262" i="1"/>
  <c r="F262" i="1" s="1"/>
  <c r="G263" i="1"/>
  <c r="F263" i="1" s="1"/>
  <c r="G264" i="1"/>
  <c r="F264" i="1" s="1"/>
  <c r="G265" i="1"/>
  <c r="F265" i="1" s="1"/>
  <c r="G266" i="1"/>
  <c r="F266" i="1" s="1"/>
  <c r="G267" i="1"/>
  <c r="F267" i="1" s="1"/>
  <c r="G268" i="1"/>
  <c r="F268" i="1" s="1"/>
  <c r="G269" i="1"/>
  <c r="F269" i="1" s="1"/>
  <c r="G270" i="1"/>
  <c r="F270" i="1" s="1"/>
  <c r="G271" i="1"/>
  <c r="F271" i="1" s="1"/>
  <c r="G272" i="1"/>
  <c r="F272" i="1" s="1"/>
  <c r="G273" i="1"/>
  <c r="F273" i="1" s="1"/>
  <c r="G274" i="1"/>
  <c r="F274" i="1" s="1"/>
  <c r="G275" i="1"/>
  <c r="F275" i="1" s="1"/>
  <c r="G276" i="1"/>
  <c r="F276" i="1" s="1"/>
  <c r="G277" i="1"/>
  <c r="F277" i="1" s="1"/>
  <c r="G278" i="1"/>
  <c r="F278" i="1" s="1"/>
  <c r="G279" i="1"/>
  <c r="F279" i="1" s="1"/>
  <c r="G280" i="1"/>
  <c r="F280" i="1" s="1"/>
  <c r="G281" i="1"/>
  <c r="F281" i="1" s="1"/>
  <c r="F282" i="1"/>
  <c r="G282" i="1"/>
  <c r="G283" i="1"/>
  <c r="F283" i="1" s="1"/>
  <c r="G284" i="1"/>
  <c r="F284" i="1" s="1"/>
  <c r="G285" i="1"/>
  <c r="F285" i="1" s="1"/>
  <c r="G286" i="1"/>
  <c r="F286" i="1" s="1"/>
  <c r="G287" i="1"/>
  <c r="F287" i="1" s="1"/>
  <c r="G288" i="1"/>
  <c r="F288" i="1" s="1"/>
  <c r="G289" i="1"/>
  <c r="F289" i="1" s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F295" i="1" s="1"/>
  <c r="G296" i="1"/>
  <c r="F296" i="1" s="1"/>
  <c r="G297" i="1"/>
  <c r="F297" i="1" s="1"/>
  <c r="G298" i="1"/>
  <c r="F298" i="1" s="1"/>
  <c r="G299" i="1"/>
  <c r="F299" i="1" s="1"/>
  <c r="G300" i="1"/>
  <c r="F300" i="1" s="1"/>
  <c r="G301" i="1"/>
  <c r="F301" i="1" s="1"/>
  <c r="G302" i="1"/>
  <c r="F302" i="1" s="1"/>
  <c r="G303" i="1"/>
  <c r="F303" i="1" s="1"/>
  <c r="G304" i="1"/>
  <c r="F304" i="1" s="1"/>
  <c r="G305" i="1"/>
  <c r="F305" i="1" s="1"/>
  <c r="G306" i="1"/>
  <c r="F306" i="1" s="1"/>
  <c r="G307" i="1"/>
  <c r="F307" i="1" s="1"/>
  <c r="G308" i="1"/>
  <c r="F308" i="1" s="1"/>
  <c r="G309" i="1"/>
  <c r="F309" i="1" s="1"/>
  <c r="G310" i="1"/>
  <c r="F310" i="1" s="1"/>
  <c r="G311" i="1"/>
  <c r="F311" i="1" s="1"/>
  <c r="G312" i="1"/>
  <c r="F312" i="1" s="1"/>
  <c r="G313" i="1"/>
  <c r="F313" i="1" s="1"/>
  <c r="G314" i="1"/>
  <c r="F314" i="1" s="1"/>
  <c r="G315" i="1"/>
  <c r="F315" i="1" s="1"/>
  <c r="G316" i="1"/>
  <c r="F316" i="1" s="1"/>
  <c r="G317" i="1"/>
  <c r="F317" i="1" s="1"/>
  <c r="G318" i="1"/>
  <c r="F318" i="1" s="1"/>
  <c r="G319" i="1"/>
  <c r="F319" i="1" s="1"/>
  <c r="G320" i="1"/>
  <c r="F320" i="1" s="1"/>
  <c r="G321" i="1"/>
  <c r="F321" i="1" s="1"/>
  <c r="G322" i="1"/>
  <c r="F322" i="1" s="1"/>
  <c r="G323" i="1"/>
  <c r="F323" i="1" s="1"/>
  <c r="G324" i="1"/>
  <c r="F324" i="1" s="1"/>
  <c r="G325" i="1"/>
  <c r="F325" i="1" s="1"/>
  <c r="G326" i="1"/>
  <c r="F326" i="1" s="1"/>
  <c r="G327" i="1"/>
  <c r="F327" i="1" s="1"/>
  <c r="G328" i="1"/>
  <c r="F328" i="1" s="1"/>
  <c r="G329" i="1"/>
  <c r="F329" i="1" s="1"/>
  <c r="G330" i="1"/>
  <c r="F330" i="1" s="1"/>
  <c r="G331" i="1"/>
  <c r="F331" i="1" s="1"/>
  <c r="G332" i="1"/>
  <c r="F332" i="1" s="1"/>
  <c r="G333" i="1"/>
  <c r="F333" i="1" s="1"/>
  <c r="G334" i="1"/>
  <c r="F334" i="1" s="1"/>
  <c r="G335" i="1"/>
  <c r="F335" i="1" s="1"/>
  <c r="G336" i="1"/>
  <c r="F336" i="1" s="1"/>
  <c r="G337" i="1"/>
  <c r="F337" i="1" s="1"/>
  <c r="G338" i="1"/>
  <c r="F338" i="1" s="1"/>
  <c r="G339" i="1"/>
  <c r="F339" i="1" s="1"/>
  <c r="G340" i="1"/>
  <c r="F340" i="1" s="1"/>
  <c r="G341" i="1"/>
  <c r="F341" i="1" s="1"/>
  <c r="G342" i="1"/>
  <c r="F342" i="1" s="1"/>
  <c r="G343" i="1"/>
  <c r="F343" i="1" s="1"/>
  <c r="G344" i="1"/>
  <c r="F344" i="1" s="1"/>
  <c r="G345" i="1"/>
  <c r="F345" i="1" s="1"/>
  <c r="G346" i="1"/>
  <c r="F346" i="1" s="1"/>
  <c r="G347" i="1"/>
  <c r="F347" i="1" s="1"/>
  <c r="G348" i="1"/>
  <c r="F348" i="1" s="1"/>
  <c r="G349" i="1"/>
  <c r="F349" i="1" s="1"/>
  <c r="G350" i="1"/>
  <c r="F350" i="1" s="1"/>
  <c r="G351" i="1"/>
  <c r="F351" i="1" s="1"/>
  <c r="G352" i="1"/>
  <c r="F352" i="1" s="1"/>
  <c r="G353" i="1"/>
  <c r="F353" i="1" s="1"/>
  <c r="F354" i="1"/>
  <c r="G354" i="1"/>
  <c r="G355" i="1"/>
  <c r="F355" i="1" s="1"/>
  <c r="G356" i="1"/>
  <c r="F356" i="1" s="1"/>
  <c r="G357" i="1"/>
  <c r="F357" i="1" s="1"/>
  <c r="G358" i="1"/>
  <c r="F358" i="1" s="1"/>
  <c r="G359" i="1"/>
  <c r="F359" i="1" s="1"/>
  <c r="G360" i="1"/>
  <c r="F360" i="1" s="1"/>
  <c r="G361" i="1"/>
  <c r="F361" i="1" s="1"/>
  <c r="G362" i="1"/>
  <c r="F362" i="1" s="1"/>
  <c r="F363" i="1"/>
  <c r="G363" i="1"/>
  <c r="G364" i="1"/>
  <c r="F364" i="1" s="1"/>
  <c r="G365" i="1"/>
  <c r="F365" i="1" s="1"/>
  <c r="G366" i="1"/>
  <c r="F366" i="1" s="1"/>
  <c r="G367" i="1"/>
  <c r="F367" i="1" s="1"/>
  <c r="G368" i="1"/>
  <c r="F368" i="1" s="1"/>
  <c r="G369" i="1"/>
  <c r="F369" i="1" s="1"/>
  <c r="G370" i="1"/>
  <c r="F370" i="1" s="1"/>
  <c r="G371" i="1"/>
  <c r="F371" i="1" s="1"/>
  <c r="G372" i="1"/>
  <c r="F372" i="1" s="1"/>
  <c r="G373" i="1"/>
  <c r="F373" i="1" s="1"/>
  <c r="G374" i="1"/>
  <c r="F374" i="1" s="1"/>
  <c r="G375" i="1"/>
  <c r="F375" i="1" s="1"/>
  <c r="F376" i="1"/>
  <c r="G376" i="1"/>
  <c r="G377" i="1"/>
  <c r="F377" i="1" s="1"/>
  <c r="G378" i="1"/>
  <c r="F378" i="1" s="1"/>
  <c r="G379" i="1"/>
  <c r="F379" i="1" s="1"/>
  <c r="G380" i="1"/>
  <c r="F380" i="1" s="1"/>
  <c r="G381" i="1"/>
  <c r="F381" i="1" s="1"/>
  <c r="G382" i="1"/>
  <c r="F382" i="1" s="1"/>
  <c r="G383" i="1"/>
  <c r="F383" i="1" s="1"/>
  <c r="G384" i="1"/>
  <c r="F384" i="1" s="1"/>
  <c r="G385" i="1"/>
  <c r="F385" i="1" s="1"/>
  <c r="G386" i="1"/>
  <c r="F386" i="1" s="1"/>
  <c r="G387" i="1"/>
  <c r="F387" i="1" s="1"/>
  <c r="G388" i="1"/>
  <c r="F388" i="1" s="1"/>
  <c r="G389" i="1"/>
  <c r="F389" i="1" s="1"/>
  <c r="G390" i="1"/>
  <c r="F390" i="1" s="1"/>
  <c r="G391" i="1"/>
  <c r="F391" i="1" s="1"/>
  <c r="G392" i="1"/>
  <c r="F392" i="1" s="1"/>
  <c r="G393" i="1"/>
  <c r="F393" i="1" s="1"/>
  <c r="G394" i="1"/>
  <c r="F394" i="1" s="1"/>
  <c r="G395" i="1"/>
  <c r="F395" i="1" s="1"/>
  <c r="G396" i="1"/>
  <c r="F396" i="1" s="1"/>
  <c r="G397" i="1"/>
  <c r="F397" i="1" s="1"/>
  <c r="G398" i="1"/>
  <c r="F398" i="1" s="1"/>
  <c r="G399" i="1"/>
  <c r="F399" i="1" s="1"/>
  <c r="G400" i="1"/>
  <c r="F400" i="1" s="1"/>
  <c r="G401" i="1"/>
  <c r="F401" i="1" s="1"/>
  <c r="G402" i="1"/>
  <c r="F402" i="1" s="1"/>
  <c r="F403" i="1"/>
  <c r="G403" i="1"/>
  <c r="G404" i="1"/>
  <c r="F404" i="1" s="1"/>
  <c r="G405" i="1"/>
  <c r="F405" i="1" s="1"/>
  <c r="G406" i="1"/>
  <c r="F406" i="1" s="1"/>
  <c r="G407" i="1"/>
  <c r="F407" i="1" s="1"/>
  <c r="G408" i="1"/>
  <c r="F408" i="1" s="1"/>
  <c r="G409" i="1"/>
  <c r="F409" i="1" s="1"/>
  <c r="G410" i="1"/>
  <c r="F410" i="1" s="1"/>
  <c r="G411" i="1"/>
  <c r="F411" i="1" s="1"/>
  <c r="G412" i="1"/>
  <c r="F412" i="1" s="1"/>
  <c r="G413" i="1"/>
  <c r="F413" i="1" s="1"/>
  <c r="G414" i="1"/>
  <c r="F414" i="1" s="1"/>
  <c r="G415" i="1"/>
  <c r="F415" i="1" s="1"/>
  <c r="G416" i="1"/>
  <c r="F416" i="1" s="1"/>
  <c r="G417" i="1"/>
  <c r="F417" i="1" s="1"/>
  <c r="G418" i="1"/>
  <c r="F418" i="1" s="1"/>
  <c r="G419" i="1"/>
  <c r="F419" i="1" s="1"/>
  <c r="G420" i="1"/>
  <c r="F420" i="1" s="1"/>
  <c r="G421" i="1"/>
  <c r="F421" i="1" s="1"/>
  <c r="G422" i="1"/>
  <c r="F422" i="1" s="1"/>
  <c r="G423" i="1"/>
  <c r="F423" i="1" s="1"/>
  <c r="G424" i="1"/>
  <c r="F424" i="1" s="1"/>
  <c r="G425" i="1"/>
  <c r="F425" i="1" s="1"/>
  <c r="G426" i="1"/>
  <c r="F426" i="1" s="1"/>
  <c r="G427" i="1"/>
  <c r="F427" i="1" s="1"/>
  <c r="G428" i="1"/>
  <c r="F428" i="1" s="1"/>
  <c r="G429" i="1"/>
  <c r="F429" i="1" s="1"/>
  <c r="G430" i="1"/>
  <c r="F430" i="1" s="1"/>
  <c r="G431" i="1"/>
  <c r="F431" i="1" s="1"/>
  <c r="G432" i="1"/>
  <c r="F432" i="1" s="1"/>
  <c r="G433" i="1"/>
  <c r="F433" i="1" s="1"/>
  <c r="G434" i="1"/>
  <c r="F434" i="1" s="1"/>
  <c r="G435" i="1"/>
  <c r="F435" i="1" s="1"/>
  <c r="G436" i="1"/>
  <c r="F436" i="1" s="1"/>
  <c r="G437" i="1"/>
  <c r="F437" i="1" s="1"/>
  <c r="G438" i="1"/>
  <c r="F438" i="1" s="1"/>
  <c r="G439" i="1"/>
  <c r="F439" i="1" s="1"/>
  <c r="G440" i="1"/>
  <c r="F440" i="1" s="1"/>
  <c r="G441" i="1"/>
  <c r="F441" i="1" s="1"/>
  <c r="G442" i="1"/>
  <c r="F442" i="1" s="1"/>
  <c r="G443" i="1"/>
  <c r="F443" i="1" s="1"/>
  <c r="G444" i="1"/>
  <c r="F444" i="1" s="1"/>
  <c r="G445" i="1"/>
  <c r="F445" i="1" s="1"/>
  <c r="G446" i="1"/>
  <c r="F446" i="1" s="1"/>
  <c r="G447" i="1"/>
  <c r="F447" i="1" s="1"/>
  <c r="G448" i="1"/>
  <c r="F448" i="1" s="1"/>
  <c r="G449" i="1"/>
  <c r="F449" i="1" s="1"/>
  <c r="G450" i="1"/>
  <c r="F450" i="1" s="1"/>
  <c r="G451" i="1"/>
  <c r="F451" i="1" s="1"/>
  <c r="G452" i="1"/>
  <c r="F452" i="1" s="1"/>
  <c r="G453" i="1"/>
  <c r="F453" i="1" s="1"/>
  <c r="G454" i="1"/>
  <c r="F454" i="1" s="1"/>
  <c r="G455" i="1"/>
  <c r="F455" i="1" s="1"/>
  <c r="G456" i="1"/>
  <c r="F456" i="1" s="1"/>
  <c r="G457" i="1"/>
  <c r="F457" i="1" s="1"/>
  <c r="G458" i="1"/>
  <c r="F458" i="1" s="1"/>
  <c r="F459" i="1"/>
  <c r="G459" i="1"/>
  <c r="G460" i="1"/>
  <c r="F460" i="1" s="1"/>
  <c r="G461" i="1"/>
  <c r="F461" i="1" s="1"/>
  <c r="G462" i="1"/>
  <c r="F462" i="1" s="1"/>
  <c r="G463" i="1"/>
  <c r="F463" i="1" s="1"/>
  <c r="G464" i="1"/>
  <c r="F464" i="1" s="1"/>
  <c r="G465" i="1"/>
  <c r="F465" i="1" s="1"/>
  <c r="G466" i="1"/>
  <c r="F466" i="1" s="1"/>
  <c r="G467" i="1"/>
  <c r="F467" i="1" s="1"/>
  <c r="G468" i="1"/>
  <c r="F468" i="1" s="1"/>
  <c r="G469" i="1"/>
  <c r="F469" i="1" s="1"/>
  <c r="G470" i="1"/>
  <c r="F470" i="1" s="1"/>
  <c r="G471" i="1"/>
  <c r="F471" i="1" s="1"/>
  <c r="G472" i="1"/>
  <c r="F472" i="1" s="1"/>
  <c r="G473" i="1"/>
  <c r="F473" i="1" s="1"/>
  <c r="G474" i="1"/>
  <c r="F474" i="1" s="1"/>
  <c r="G475" i="1"/>
  <c r="F475" i="1" s="1"/>
  <c r="G476" i="1"/>
  <c r="F476" i="1" s="1"/>
  <c r="G477" i="1"/>
  <c r="F477" i="1" s="1"/>
  <c r="G478" i="1"/>
  <c r="F478" i="1" s="1"/>
  <c r="G479" i="1"/>
  <c r="F479" i="1" s="1"/>
  <c r="G480" i="1"/>
  <c r="F480" i="1" s="1"/>
  <c r="G481" i="1"/>
  <c r="F481" i="1" s="1"/>
  <c r="G482" i="1"/>
  <c r="F482" i="1" s="1"/>
  <c r="G483" i="1"/>
  <c r="F483" i="1" s="1"/>
  <c r="G484" i="1"/>
  <c r="F484" i="1" s="1"/>
  <c r="G485" i="1"/>
  <c r="F485" i="1" s="1"/>
  <c r="G486" i="1"/>
  <c r="F486" i="1" s="1"/>
  <c r="G487" i="1"/>
  <c r="F487" i="1" s="1"/>
  <c r="G488" i="1"/>
  <c r="F488" i="1" s="1"/>
  <c r="G489" i="1"/>
  <c r="F489" i="1" s="1"/>
  <c r="G490" i="1"/>
  <c r="F490" i="1" s="1"/>
  <c r="G491" i="1"/>
  <c r="F491" i="1" s="1"/>
  <c r="G492" i="1"/>
  <c r="F492" i="1" s="1"/>
  <c r="G493" i="1"/>
  <c r="F493" i="1" s="1"/>
  <c r="G494" i="1"/>
  <c r="F494" i="1" s="1"/>
  <c r="G495" i="1"/>
  <c r="F495" i="1" s="1"/>
  <c r="G496" i="1"/>
  <c r="F496" i="1" s="1"/>
  <c r="G497" i="1"/>
  <c r="F497" i="1" s="1"/>
  <c r="G498" i="1"/>
  <c r="F498" i="1" s="1"/>
  <c r="G499" i="1"/>
  <c r="F499" i="1" s="1"/>
  <c r="G500" i="1"/>
  <c r="F500" i="1" s="1"/>
  <c r="G501" i="1"/>
  <c r="F501" i="1" s="1"/>
  <c r="G502" i="1"/>
  <c r="F502" i="1" s="1"/>
  <c r="G503" i="1"/>
  <c r="F503" i="1" s="1"/>
  <c r="G504" i="1"/>
  <c r="F504" i="1" s="1"/>
  <c r="G505" i="1"/>
  <c r="F505" i="1" s="1"/>
  <c r="G506" i="1"/>
  <c r="F506" i="1" s="1"/>
  <c r="G507" i="1"/>
  <c r="F507" i="1" s="1"/>
  <c r="G508" i="1"/>
  <c r="F508" i="1" s="1"/>
  <c r="G509" i="1"/>
  <c r="F509" i="1" s="1"/>
  <c r="G510" i="1"/>
  <c r="F510" i="1" s="1"/>
  <c r="G511" i="1"/>
  <c r="F511" i="1" s="1"/>
  <c r="G512" i="1"/>
  <c r="F512" i="1" s="1"/>
  <c r="G513" i="1"/>
  <c r="F513" i="1" s="1"/>
  <c r="G514" i="1"/>
  <c r="F514" i="1" s="1"/>
  <c r="G515" i="1"/>
  <c r="F515" i="1" s="1"/>
  <c r="D5" i="5"/>
  <c r="C5" i="5" s="1"/>
  <c r="D6" i="5"/>
  <c r="C6" i="5" s="1"/>
  <c r="D7" i="5"/>
  <c r="C7" i="5" s="1"/>
  <c r="F4" i="1"/>
  <c r="G6" i="1"/>
  <c r="F6" i="1" s="1"/>
  <c r="D4" i="6" l="1"/>
  <c r="C4" i="6" s="1"/>
  <c r="D3" i="6" l="1"/>
  <c r="C3" i="6" s="1"/>
  <c r="D4" i="5"/>
  <c r="C4" i="5" s="1"/>
  <c r="D3" i="5"/>
  <c r="C3" i="5" s="1"/>
  <c r="G5" i="1"/>
  <c r="F5" i="1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C14" i="2" l="1"/>
  <c r="A16" i="2"/>
  <c r="B15" i="2"/>
  <c r="C15" i="2" l="1"/>
  <c r="A17" i="2"/>
  <c r="B16" i="2"/>
  <c r="C16" i="2" s="1"/>
  <c r="A18" i="2" l="1"/>
  <c r="B17" i="2"/>
  <c r="C17" i="2" s="1"/>
  <c r="A19" i="2" l="1"/>
  <c r="B18" i="2"/>
  <c r="C18" i="2" s="1"/>
  <c r="A20" i="2" l="1"/>
  <c r="B19" i="2"/>
  <c r="C19" i="2" s="1"/>
  <c r="A21" i="2" l="1"/>
  <c r="B20" i="2"/>
  <c r="C20" i="2" s="1"/>
  <c r="A22" i="2" l="1"/>
  <c r="B21" i="2"/>
  <c r="C21" i="2" s="1"/>
  <c r="A23" i="2" l="1"/>
  <c r="B22" i="2"/>
  <c r="C22" i="2" s="1"/>
  <c r="A24" i="2" l="1"/>
  <c r="B23" i="2"/>
  <c r="C23" i="2" s="1"/>
  <c r="A25" i="2" l="1"/>
  <c r="B24" i="2"/>
  <c r="C24" i="2" s="1"/>
  <c r="A26" i="2" l="1"/>
  <c r="B25" i="2"/>
  <c r="C25" i="2" s="1"/>
  <c r="A27" i="2" l="1"/>
  <c r="B26" i="2"/>
  <c r="C26" i="2" s="1"/>
  <c r="A28" i="2" l="1"/>
  <c r="B27" i="2"/>
  <c r="C27" i="2" s="1"/>
  <c r="A29" i="2" l="1"/>
  <c r="B28" i="2"/>
  <c r="C28" i="2" s="1"/>
  <c r="A30" i="2" l="1"/>
  <c r="B29" i="2"/>
  <c r="C29" i="2" s="1"/>
  <c r="A31" i="2" l="1"/>
  <c r="B30" i="2"/>
  <c r="C30" i="2" s="1"/>
  <c r="A32" i="2" l="1"/>
  <c r="B31" i="2"/>
  <c r="C31" i="2" s="1"/>
  <c r="A33" i="2" l="1"/>
  <c r="B32" i="2"/>
  <c r="C32" i="2" s="1"/>
  <c r="A34" i="2" l="1"/>
  <c r="B33" i="2"/>
  <c r="C33" i="2" s="1"/>
  <c r="A35" i="2" l="1"/>
  <c r="B34" i="2"/>
  <c r="C34" i="2" s="1"/>
  <c r="A36" i="2" l="1"/>
  <c r="B35" i="2"/>
  <c r="C35" i="2" s="1"/>
  <c r="A37" i="2" l="1"/>
  <c r="B36" i="2"/>
  <c r="C36" i="2" s="1"/>
  <c r="A38" i="2" l="1"/>
  <c r="B37" i="2"/>
  <c r="C37" i="2" s="1"/>
  <c r="A39" i="2" l="1"/>
  <c r="B38" i="2"/>
  <c r="C38" i="2" s="1"/>
  <c r="A40" i="2" l="1"/>
  <c r="B39" i="2"/>
  <c r="C39" i="2" s="1"/>
  <c r="A41" i="2" l="1"/>
  <c r="B40" i="2"/>
  <c r="C40" i="2" s="1"/>
  <c r="A42" i="2" l="1"/>
  <c r="B41" i="2"/>
  <c r="C41" i="2" s="1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C143" i="2" s="1"/>
  <c r="A145" i="2" l="1"/>
  <c r="B144" i="2"/>
  <c r="C144" i="2" s="1"/>
  <c r="A146" i="2" l="1"/>
  <c r="B145" i="2"/>
  <c r="C145" i="2" s="1"/>
  <c r="A147" i="2" l="1"/>
  <c r="B146" i="2"/>
  <c r="C146" i="2" s="1"/>
  <c r="A148" i="2" l="1"/>
  <c r="B147" i="2"/>
  <c r="C147" i="2" s="1"/>
  <c r="A149" i="2" l="1"/>
  <c r="B148" i="2"/>
  <c r="C148" i="2" s="1"/>
  <c r="A150" i="2" l="1"/>
  <c r="B149" i="2"/>
  <c r="C149" i="2" s="1"/>
  <c r="A151" i="2" l="1"/>
  <c r="B150" i="2"/>
  <c r="C150" i="2" s="1"/>
  <c r="A152" i="2" l="1"/>
  <c r="B151" i="2"/>
  <c r="C151" i="2" s="1"/>
  <c r="A153" i="2" l="1"/>
  <c r="B152" i="2"/>
  <c r="C152" i="2" s="1"/>
  <c r="A154" i="2" l="1"/>
  <c r="B153" i="2"/>
  <c r="C153" i="2" s="1"/>
  <c r="A155" i="2" l="1"/>
  <c r="B154" i="2"/>
  <c r="C154" i="2" s="1"/>
  <c r="A156" i="2" l="1"/>
  <c r="B155" i="2"/>
  <c r="C155" i="2" s="1"/>
  <c r="A157" i="2" l="1"/>
  <c r="B156" i="2"/>
  <c r="C156" i="2" s="1"/>
  <c r="A158" i="2" l="1"/>
  <c r="B157" i="2"/>
  <c r="C157" i="2" s="1"/>
  <c r="A159" i="2" l="1"/>
  <c r="B158" i="2"/>
  <c r="C158" i="2" s="1"/>
  <c r="A160" i="2" l="1"/>
  <c r="B159" i="2"/>
  <c r="C159" i="2" s="1"/>
  <c r="A161" i="2" l="1"/>
  <c r="B160" i="2"/>
  <c r="C160" i="2" s="1"/>
  <c r="A162" i="2" l="1"/>
  <c r="B161" i="2"/>
  <c r="C161" i="2" s="1"/>
  <c r="A163" i="2" l="1"/>
  <c r="B162" i="2"/>
  <c r="C162" i="2" s="1"/>
  <c r="A164" i="2" l="1"/>
  <c r="B163" i="2"/>
  <c r="C163" i="2" s="1"/>
  <c r="A165" i="2" l="1"/>
  <c r="B164" i="2"/>
  <c r="C164" i="2" s="1"/>
  <c r="A166" i="2" l="1"/>
  <c r="B165" i="2"/>
  <c r="C165" i="2" s="1"/>
  <c r="A167" i="2" l="1"/>
  <c r="B166" i="2"/>
  <c r="C166" i="2" l="1"/>
  <c r="C7" i="2"/>
  <c r="C6" i="2"/>
  <c r="C8" i="2"/>
  <c r="C9" i="2"/>
  <c r="C10" i="2"/>
  <c r="C12" i="2"/>
  <c r="C11" i="2"/>
  <c r="C5" i="2"/>
  <c r="C13" i="2"/>
  <c r="C4" i="2"/>
  <c r="A168" i="2"/>
  <c r="B167" i="2"/>
  <c r="C167" i="2" s="1"/>
  <c r="A169" i="2" l="1"/>
  <c r="B168" i="2"/>
  <c r="C168" i="2" l="1"/>
  <c r="A170" i="2"/>
  <c r="B169" i="2"/>
  <c r="C169" i="2" s="1"/>
  <c r="A171" i="2" l="1"/>
  <c r="B170" i="2"/>
  <c r="C170" i="2" l="1"/>
  <c r="A172" i="2"/>
  <c r="B171" i="2"/>
  <c r="C171" i="2" s="1"/>
  <c r="A173" i="2" l="1"/>
  <c r="B172" i="2"/>
  <c r="C172" i="2" l="1"/>
  <c r="A174" i="2"/>
  <c r="B173" i="2"/>
  <c r="C173" i="2" s="1"/>
  <c r="A175" i="2" l="1"/>
  <c r="B174" i="2"/>
  <c r="C174" i="2" l="1"/>
  <c r="A176" i="2"/>
  <c r="B175" i="2"/>
  <c r="C175" i="2" s="1"/>
  <c r="A177" i="2" l="1"/>
  <c r="B176" i="2"/>
  <c r="C176" i="2" s="1"/>
  <c r="A178" i="2" l="1"/>
  <c r="B177" i="2"/>
  <c r="C177" i="2" s="1"/>
  <c r="A179" i="2" l="1"/>
  <c r="B178" i="2"/>
  <c r="C178" i="2" s="1"/>
  <c r="A180" i="2" l="1"/>
  <c r="B179" i="2"/>
  <c r="C179" i="2" s="1"/>
  <c r="A181" i="2" l="1"/>
  <c r="B180" i="2"/>
  <c r="C180" i="2" s="1"/>
  <c r="A182" i="2" l="1"/>
  <c r="B181" i="2"/>
  <c r="C181" i="2" s="1"/>
  <c r="A183" i="2" l="1"/>
  <c r="B182" i="2"/>
  <c r="C182" i="2" s="1"/>
  <c r="A184" i="2" l="1"/>
  <c r="B183" i="2"/>
  <c r="C183" i="2" s="1"/>
  <c r="A185" i="2" l="1"/>
  <c r="B184" i="2"/>
  <c r="C184" i="2" s="1"/>
  <c r="A186" i="2" l="1"/>
  <c r="B185" i="2"/>
  <c r="C185" i="2" s="1"/>
  <c r="A187" i="2" l="1"/>
  <c r="B186" i="2"/>
  <c r="C186" i="2" s="1"/>
  <c r="A188" i="2" l="1"/>
  <c r="B187" i="2"/>
  <c r="C187" i="2" s="1"/>
  <c r="A189" i="2" l="1"/>
  <c r="B188" i="2"/>
  <c r="C188" i="2" s="1"/>
  <c r="A190" i="2" l="1"/>
  <c r="B189" i="2"/>
  <c r="C189" i="2" s="1"/>
  <c r="A191" i="2" l="1"/>
  <c r="B190" i="2"/>
  <c r="C190" i="2" s="1"/>
  <c r="A192" i="2" l="1"/>
  <c r="B191" i="2"/>
  <c r="C191" i="2" s="1"/>
  <c r="A193" i="2" l="1"/>
  <c r="B192" i="2"/>
  <c r="C192" i="2" s="1"/>
  <c r="A194" i="2" l="1"/>
  <c r="B193" i="2"/>
  <c r="C193" i="2" s="1"/>
  <c r="A195" i="2" l="1"/>
  <c r="B194" i="2"/>
  <c r="C194" i="2" s="1"/>
  <c r="A196" i="2" l="1"/>
  <c r="B195" i="2"/>
  <c r="C195" i="2" s="1"/>
  <c r="A197" i="2" l="1"/>
  <c r="B196" i="2"/>
  <c r="C196" i="2" s="1"/>
  <c r="A198" i="2" l="1"/>
  <c r="B197" i="2"/>
  <c r="C197" i="2" s="1"/>
  <c r="A199" i="2" l="1"/>
  <c r="B198" i="2"/>
  <c r="C198" i="2" s="1"/>
  <c r="A200" i="2" l="1"/>
  <c r="B199" i="2"/>
  <c r="C199" i="2" s="1"/>
  <c r="A201" i="2" l="1"/>
  <c r="B200" i="2"/>
  <c r="C200" i="2" s="1"/>
  <c r="A202" i="2" l="1"/>
  <c r="B201" i="2"/>
  <c r="C201" i="2" s="1"/>
  <c r="A203" i="2" l="1"/>
  <c r="B202" i="2"/>
  <c r="C202" i="2" s="1"/>
  <c r="A204" i="2" l="1"/>
  <c r="B203" i="2"/>
  <c r="C203" i="2" s="1"/>
  <c r="A205" i="2" l="1"/>
  <c r="B204" i="2"/>
  <c r="C204" i="2" s="1"/>
  <c r="A206" i="2" l="1"/>
  <c r="B205" i="2"/>
  <c r="C205" i="2" s="1"/>
  <c r="A207" i="2" l="1"/>
  <c r="B206" i="2"/>
  <c r="C206" i="2" s="1"/>
  <c r="A208" i="2" l="1"/>
  <c r="B207" i="2"/>
  <c r="C207" i="2" s="1"/>
  <c r="A209" i="2" l="1"/>
  <c r="B208" i="2"/>
  <c r="C208" i="2" s="1"/>
  <c r="A210" i="2" l="1"/>
  <c r="B209" i="2"/>
  <c r="C209" i="2" s="1"/>
  <c r="A211" i="2" l="1"/>
  <c r="B210" i="2"/>
  <c r="C210" i="2" s="1"/>
  <c r="A212" i="2" l="1"/>
  <c r="B211" i="2"/>
  <c r="C211" i="2" s="1"/>
  <c r="A213" i="2" l="1"/>
  <c r="B212" i="2"/>
  <c r="C212" i="2" s="1"/>
  <c r="A214" i="2" l="1"/>
  <c r="B213" i="2"/>
  <c r="C213" i="2" s="1"/>
  <c r="A215" i="2" l="1"/>
  <c r="B214" i="2"/>
  <c r="C214" i="2" s="1"/>
  <c r="A216" i="2" l="1"/>
  <c r="B215" i="2"/>
  <c r="C215" i="2" s="1"/>
  <c r="A217" i="2" l="1"/>
  <c r="B216" i="2"/>
  <c r="C216" i="2" s="1"/>
  <c r="A218" i="2" l="1"/>
  <c r="B217" i="2"/>
  <c r="C217" i="2" s="1"/>
  <c r="A219" i="2" l="1"/>
  <c r="B218" i="2"/>
  <c r="C218" i="2" s="1"/>
  <c r="A220" i="2" l="1"/>
  <c r="B219" i="2"/>
  <c r="C219" i="2" s="1"/>
  <c r="A221" i="2" l="1"/>
  <c r="B220" i="2"/>
  <c r="C220" i="2" s="1"/>
  <c r="A222" i="2" l="1"/>
  <c r="B221" i="2"/>
  <c r="C221" i="2" s="1"/>
  <c r="A223" i="2" l="1"/>
  <c r="B222" i="2"/>
  <c r="C222" i="2" s="1"/>
  <c r="A224" i="2" l="1"/>
  <c r="B223" i="2"/>
  <c r="C223" i="2" s="1"/>
  <c r="A225" i="2" l="1"/>
  <c r="B224" i="2"/>
  <c r="C224" i="2" s="1"/>
  <c r="A226" i="2" l="1"/>
  <c r="B225" i="2"/>
  <c r="C225" i="2" s="1"/>
  <c r="A227" i="2" l="1"/>
  <c r="B226" i="2"/>
  <c r="C226" i="2" s="1"/>
  <c r="A228" i="2" l="1"/>
  <c r="B227" i="2"/>
  <c r="C227" i="2" s="1"/>
  <c r="A229" i="2" l="1"/>
  <c r="B228" i="2"/>
  <c r="C228" i="2" s="1"/>
  <c r="A230" i="2" l="1"/>
  <c r="B229" i="2"/>
  <c r="C229" i="2" s="1"/>
  <c r="A231" i="2" l="1"/>
  <c r="B230" i="2"/>
  <c r="C230" i="2" s="1"/>
  <c r="A232" i="2" l="1"/>
  <c r="B231" i="2"/>
  <c r="C231" i="2" s="1"/>
  <c r="A233" i="2" l="1"/>
  <c r="B232" i="2"/>
  <c r="C232" i="2" s="1"/>
  <c r="A234" i="2" l="1"/>
  <c r="B233" i="2"/>
  <c r="C233" i="2" s="1"/>
  <c r="A235" i="2" l="1"/>
  <c r="B234" i="2"/>
  <c r="C234" i="2" s="1"/>
  <c r="A236" i="2" l="1"/>
  <c r="B235" i="2"/>
  <c r="C235" i="2" s="1"/>
  <c r="A237" i="2" l="1"/>
  <c r="B236" i="2"/>
  <c r="C236" i="2" s="1"/>
  <c r="A238" i="2" l="1"/>
  <c r="B237" i="2"/>
  <c r="C237" i="2" s="1"/>
  <c r="A239" i="2" l="1"/>
  <c r="B238" i="2"/>
  <c r="C238" i="2" s="1"/>
  <c r="A240" i="2" l="1"/>
  <c r="B239" i="2"/>
  <c r="C239" i="2" s="1"/>
  <c r="A241" i="2" l="1"/>
  <c r="B240" i="2"/>
  <c r="C240" i="2" s="1"/>
  <c r="A242" i="2" l="1"/>
  <c r="B241" i="2"/>
  <c r="C241" i="2" s="1"/>
  <c r="A243" i="2" l="1"/>
  <c r="B242" i="2"/>
  <c r="C242" i="2" s="1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C243" i="2" s="1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C244" i="2" s="1"/>
  <c r="A246" i="2" l="1"/>
  <c r="B245" i="2"/>
  <c r="C245" i="2" s="1"/>
  <c r="A247" i="2" l="1"/>
  <c r="B246" i="2"/>
  <c r="C246" i="2" s="1"/>
  <c r="A248" i="2" l="1"/>
  <c r="B247" i="2"/>
  <c r="C247" i="2" s="1"/>
  <c r="A249" i="2" l="1"/>
  <c r="B248" i="2"/>
  <c r="C248" i="2" s="1"/>
  <c r="A250" i="2" l="1"/>
  <c r="B249" i="2"/>
  <c r="C249" i="2" s="1"/>
  <c r="A251" i="2" l="1"/>
  <c r="B250" i="2"/>
  <c r="C250" i="2" s="1"/>
  <c r="A252" i="2" l="1"/>
  <c r="B251" i="2"/>
  <c r="C251" i="2" s="1"/>
  <c r="A253" i="2" l="1"/>
  <c r="B252" i="2"/>
  <c r="C252" i="2" s="1"/>
  <c r="A254" i="2" l="1"/>
  <c r="B253" i="2"/>
  <c r="C253" i="2" s="1"/>
  <c r="A255" i="2" l="1"/>
  <c r="B254" i="2"/>
  <c r="C254" i="2" s="1"/>
  <c r="A256" i="2" l="1"/>
  <c r="B255" i="2"/>
  <c r="C255" i="2" s="1"/>
  <c r="A257" i="2" l="1"/>
  <c r="B256" i="2"/>
  <c r="C256" i="2" s="1"/>
  <c r="A258" i="2" l="1"/>
  <c r="B257" i="2"/>
  <c r="C257" i="2" s="1"/>
  <c r="A259" i="2" l="1"/>
  <c r="B258" i="2"/>
  <c r="C258" i="2" s="1"/>
  <c r="A260" i="2" l="1"/>
  <c r="B259" i="2"/>
  <c r="C259" i="2" s="1"/>
  <c r="A261" i="2" l="1"/>
  <c r="B260" i="2"/>
  <c r="C260" i="2" s="1"/>
  <c r="A262" i="2" l="1"/>
  <c r="B261" i="2"/>
  <c r="C261" i="2" s="1"/>
  <c r="A263" i="2" l="1"/>
  <c r="B262" i="2"/>
  <c r="C262" i="2" s="1"/>
  <c r="A264" i="2" l="1"/>
  <c r="B263" i="2"/>
  <c r="C263" i="2" s="1"/>
  <c r="A265" i="2" l="1"/>
  <c r="B264" i="2"/>
  <c r="C264" i="2" s="1"/>
  <c r="A266" i="2" l="1"/>
  <c r="B265" i="2"/>
  <c r="C265" i="2" s="1"/>
  <c r="A267" i="2" l="1"/>
  <c r="B266" i="2"/>
  <c r="C266" i="2" s="1"/>
  <c r="A268" i="2" l="1"/>
  <c r="B267" i="2"/>
  <c r="C267" i="2" s="1"/>
  <c r="A269" i="2" l="1"/>
  <c r="B268" i="2"/>
  <c r="C268" i="2" s="1"/>
  <c r="A270" i="2" l="1"/>
  <c r="B269" i="2"/>
  <c r="C269" i="2" s="1"/>
  <c r="A271" i="2" l="1"/>
  <c r="B270" i="2"/>
  <c r="C270" i="2" s="1"/>
  <c r="A272" i="2" l="1"/>
  <c r="B271" i="2"/>
  <c r="C271" i="2" s="1"/>
  <c r="A273" i="2" l="1"/>
  <c r="B272" i="2"/>
  <c r="C272" i="2" s="1"/>
  <c r="A274" i="2" l="1"/>
  <c r="B273" i="2"/>
  <c r="C273" i="2" s="1"/>
  <c r="A275" i="2" l="1"/>
  <c r="B274" i="2"/>
  <c r="C274" i="2" s="1"/>
  <c r="A276" i="2" l="1"/>
  <c r="B275" i="2"/>
  <c r="C275" i="2" s="1"/>
  <c r="A277" i="2" l="1"/>
  <c r="B276" i="2"/>
  <c r="C276" i="2" s="1"/>
  <c r="A278" i="2" l="1"/>
  <c r="B277" i="2"/>
  <c r="C277" i="2" s="1"/>
  <c r="A279" i="2" l="1"/>
  <c r="B278" i="2"/>
  <c r="C278" i="2" s="1"/>
  <c r="A280" i="2" l="1"/>
  <c r="B279" i="2"/>
  <c r="C279" i="2" s="1"/>
  <c r="A281" i="2" l="1"/>
  <c r="B280" i="2"/>
  <c r="C280" i="2" s="1"/>
  <c r="A282" i="2" l="1"/>
  <c r="B281" i="2"/>
  <c r="C281" i="2" s="1"/>
  <c r="A283" i="2" l="1"/>
  <c r="B282" i="2"/>
  <c r="C282" i="2" s="1"/>
  <c r="A284" i="2" l="1"/>
  <c r="B283" i="2"/>
  <c r="C283" i="2" s="1"/>
  <c r="A285" i="2" l="1"/>
  <c r="B284" i="2"/>
  <c r="C284" i="2" s="1"/>
  <c r="A286" i="2" l="1"/>
  <c r="B285" i="2"/>
  <c r="C285" i="2" s="1"/>
  <c r="A287" i="2" l="1"/>
  <c r="B286" i="2"/>
  <c r="C286" i="2" s="1"/>
  <c r="A288" i="2" l="1"/>
  <c r="B287" i="2"/>
  <c r="C287" i="2" s="1"/>
  <c r="A289" i="2" l="1"/>
  <c r="B288" i="2"/>
  <c r="C288" i="2" s="1"/>
  <c r="A290" i="2" l="1"/>
  <c r="B289" i="2"/>
  <c r="C289" i="2" s="1"/>
  <c r="A291" i="2" l="1"/>
  <c r="B290" i="2"/>
  <c r="C290" i="2" s="1"/>
  <c r="A292" i="2" l="1"/>
  <c r="B291" i="2"/>
  <c r="C291" i="2" s="1"/>
  <c r="A293" i="2" l="1"/>
  <c r="B292" i="2"/>
  <c r="C292" i="2" s="1"/>
  <c r="A294" i="2" l="1"/>
  <c r="B293" i="2"/>
  <c r="C293" i="2" s="1"/>
  <c r="A295" i="2" l="1"/>
  <c r="B295" i="2" s="1"/>
  <c r="B294" i="2"/>
  <c r="C294" i="2" s="1"/>
  <c r="C295" i="2" l="1"/>
  <c r="C296" i="2"/>
  <c r="C297" i="2"/>
</calcChain>
</file>

<file path=xl/sharedStrings.xml><?xml version="1.0" encoding="utf-8"?>
<sst xmlns="http://schemas.openxmlformats.org/spreadsheetml/2006/main" count="2078" uniqueCount="1230">
  <si>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</si>
  <si>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</si>
  <si>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</si>
  <si>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</si>
  <si>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</si>
  <si>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</si>
  <si>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</si>
  <si>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</si>
  <si>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</si>
  <si>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</si>
  <si>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</si>
  <si>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</si>
  <si>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</si>
  <si>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</si>
  <si>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</si>
  <si>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</si>
  <si>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</si>
  <si>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</si>
  <si>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</si>
  <si>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</si>
  <si>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</si>
  <si>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</si>
  <si>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</si>
  <si>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</si>
  <si>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</si>
  <si>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</si>
  <si>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</si>
  <si>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01-05</t>
  </si>
  <si>
    <t>Man</t>
  </si>
  <si>
    <t>Woman</t>
  </si>
  <si>
    <t>4.4</t>
  </si>
  <si>
    <t>5.4</t>
  </si>
  <si>
    <t>p</t>
  </si>
  <si>
    <t>1.4</t>
  </si>
  <si>
    <t>1.5</t>
  </si>
  <si>
    <t>2.4</t>
  </si>
  <si>
    <t>4.5</t>
  </si>
  <si>
    <t>3.4</t>
  </si>
  <si>
    <t>3.5</t>
  </si>
  <si>
    <t>4.6</t>
  </si>
  <si>
    <t>1Struc</t>
  </si>
  <si>
    <t>1.1Viet</t>
  </si>
  <si>
    <t>1.1Phon</t>
  </si>
  <si>
    <t>1.2Viet</t>
  </si>
  <si>
    <t>1.2Phon</t>
  </si>
  <si>
    <t>1.3Viet</t>
  </si>
  <si>
    <t>1.3Phon</t>
  </si>
  <si>
    <t>1.4Viet</t>
  </si>
  <si>
    <t>1.4Phon</t>
  </si>
  <si>
    <t>1.5Viet</t>
  </si>
  <si>
    <t>1.5Phon</t>
  </si>
  <si>
    <t>2Struc</t>
  </si>
  <si>
    <t>2.1Viet</t>
  </si>
  <si>
    <t>2.1Phon</t>
  </si>
  <si>
    <t>2.2Viet</t>
  </si>
  <si>
    <t>2.2Phon</t>
  </si>
  <si>
    <t>2.3Viet</t>
  </si>
  <si>
    <t>2.3Phon</t>
  </si>
  <si>
    <t>2.4Viet</t>
  </si>
  <si>
    <t>2.4Phon</t>
  </si>
  <si>
    <t>3Struc</t>
  </si>
  <si>
    <t>3.1Viet</t>
  </si>
  <si>
    <t>3.1Phon</t>
  </si>
  <si>
    <t>3.2Viet</t>
  </si>
  <si>
    <t>3.2Phon</t>
  </si>
  <si>
    <t>3.3Viet</t>
  </si>
  <si>
    <t>3.3Phon</t>
  </si>
  <si>
    <t>3.4Viet</t>
  </si>
  <si>
    <t>3.4Phon</t>
  </si>
  <si>
    <t>3.5Viet</t>
  </si>
  <si>
    <t>3.5Phon</t>
  </si>
  <si>
    <t>4Struc</t>
  </si>
  <si>
    <t>4.1Viet</t>
  </si>
  <si>
    <t>4.1Phon</t>
  </si>
  <si>
    <t>4.2Viet</t>
  </si>
  <si>
    <t>4.2Phon</t>
  </si>
  <si>
    <t>4.3Viet</t>
  </si>
  <si>
    <t>4.3Phon</t>
  </si>
  <si>
    <t>4.4Viet</t>
  </si>
  <si>
    <t>4.4Phon</t>
  </si>
  <si>
    <t>4.5Viet</t>
  </si>
  <si>
    <t>4.5Phon</t>
  </si>
  <si>
    <t>4.6Viet</t>
  </si>
  <si>
    <t>4.6Phon</t>
  </si>
  <si>
    <t>5Struc</t>
  </si>
  <si>
    <t>5.1Viet</t>
  </si>
  <si>
    <t>5.1Phon</t>
  </si>
  <si>
    <t>5.2Viet</t>
  </si>
  <si>
    <t>5.2Phon</t>
  </si>
  <si>
    <t>5.3Viet</t>
  </si>
  <si>
    <t>5.3Phon</t>
  </si>
  <si>
    <t>5.4Viet</t>
  </si>
  <si>
    <t>5.4Phon</t>
  </si>
  <si>
    <t>5.5</t>
  </si>
  <si>
    <t>5.6</t>
  </si>
  <si>
    <t>5.7</t>
  </si>
  <si>
    <t>5.8</t>
  </si>
  <si>
    <t>1.1Eng</t>
  </si>
  <si>
    <t>1.2Eng</t>
  </si>
  <si>
    <t>1.3Eng</t>
  </si>
  <si>
    <t>1.4Eng</t>
  </si>
  <si>
    <t>1.5Eng</t>
  </si>
  <si>
    <t>2.1Eng</t>
  </si>
  <si>
    <t>2.2Eng</t>
  </si>
  <si>
    <t>2.3Eng</t>
  </si>
  <si>
    <t>2.4Eng</t>
  </si>
  <si>
    <t>3.1Eng</t>
  </si>
  <si>
    <t>3.2Eng</t>
  </si>
  <si>
    <t>3.3Eng</t>
  </si>
  <si>
    <t>3.4Eng</t>
  </si>
  <si>
    <t>3.5Eng</t>
  </si>
  <si>
    <t>4.1Eng</t>
  </si>
  <si>
    <t>4.2Eng</t>
  </si>
  <si>
    <t>4.3Eng</t>
  </si>
  <si>
    <t>4.4Eng</t>
  </si>
  <si>
    <t>4.5Eng</t>
  </si>
  <si>
    <t>4.6Eng</t>
  </si>
  <si>
    <t>5.1Eng</t>
  </si>
  <si>
    <t>5.2Eng</t>
  </si>
  <si>
    <t>5.3Eng</t>
  </si>
  <si>
    <t>5.4Eng</t>
  </si>
  <si>
    <t>5.5Viet</t>
  </si>
  <si>
    <t>5.5Eng</t>
  </si>
  <si>
    <t>5.5Phon</t>
  </si>
  <si>
    <t>5.6Viet</t>
  </si>
  <si>
    <t>5.6Eng</t>
  </si>
  <si>
    <t>5.6Phon</t>
  </si>
  <si>
    <t>5.7Viet</t>
  </si>
  <si>
    <t>5.7Eng</t>
  </si>
  <si>
    <t>5.7Phon</t>
  </si>
  <si>
    <t>5.8Viet</t>
  </si>
  <si>
    <t>5.8Eng</t>
  </si>
  <si>
    <t>5.8Phon</t>
  </si>
  <si>
    <t>I think it is cool.</t>
  </si>
  <si>
    <t>aɪ θɪŋk ɪt ɪz ku:l</t>
  </si>
  <si>
    <t>I think it is a good idea.</t>
  </si>
  <si>
    <t>aɪ θɪŋk ɪt ɪz ə gʊd aɪˈdi:ə</t>
  </si>
  <si>
    <t>I think it makes sense.</t>
  </si>
  <si>
    <t>aɪ θɪŋk ɪt meɪks sɛns</t>
  </si>
  <si>
    <t>I think you are right.</t>
  </si>
  <si>
    <t>aɪ θɪŋk ju: a:r raɪt</t>
  </si>
  <si>
    <t>I think they got us wrong.</t>
  </si>
  <si>
    <t>aɪ θɪŋk ðeɪ ga:t ʌs rɔ:ŋ</t>
  </si>
  <si>
    <t>I don’t think it is worthy.</t>
  </si>
  <si>
    <t>aɪ doʊnt θɪŋk ɪt ɪz ˈwɜ:rði</t>
  </si>
  <si>
    <t>I don’t think he is honest.</t>
  </si>
  <si>
    <t>aɪ doʊnt θɪŋk hi: ɪz ˈaːnɪst</t>
  </si>
  <si>
    <t>I don’t think she deserves it.</t>
  </si>
  <si>
    <t>aɪ doʊnt θɪŋk ʃi: dɪˈzɜ:rvz ɪt</t>
  </si>
  <si>
    <t>I don’t think you will like the food.</t>
  </si>
  <si>
    <t>aɪ doʊnt θɪŋk ju: wɪl laɪk ðə fu:d</t>
  </si>
  <si>
    <t>I thought it was a lie.</t>
  </si>
  <si>
    <t>aɪ θɔ:t ɪt wʌz ə laɪ</t>
  </si>
  <si>
    <t>I thought it was a stupid idea.</t>
  </si>
  <si>
    <t>aɪ θɔ:t ɪt wʌz ə ˈstuːpɪd aɪˈdi:ə</t>
  </si>
  <si>
    <t>I thought it was acceptable.</t>
  </si>
  <si>
    <t>aɪ θɔ:t ɪt wʌz əkˈseptəbəl</t>
  </si>
  <si>
    <t>I thought you had already left.</t>
  </si>
  <si>
    <t>aɪ θɔ:t ju: hæd a:lˈrɛdi lɛft</t>
  </si>
  <si>
    <t>I thought you would not come.</t>
  </si>
  <si>
    <t>aɪ θɔ:t ju: wʊd na:t kʌm</t>
  </si>
  <si>
    <t>I am afraid it is confusing.</t>
  </si>
  <si>
    <t>aɪ æm əˈfreɪd ɪt ɪz kənˈfju:zɪŋ</t>
  </si>
  <si>
    <t>I am afraid it is hard to deal with.</t>
  </si>
  <si>
    <t>aɪ æm əˈfreɪd ɪt ɪz ha:rd tu: di:l wɪð</t>
  </si>
  <si>
    <t>I am afraid it has something to do with him.</t>
  </si>
  <si>
    <t>aɪ æm əˈfreɪd ɪt hæz ˈsʌmθɪŋ tu: du: wɪð hɪm</t>
  </si>
  <si>
    <t>I am afraid something is wrong with this computer.</t>
  </si>
  <si>
    <t>aɪ æm əˈfreɪd ˈsʌmθɪŋ ɪz rɔ:ŋ wɪð ðɪs kəmˈpju:tər</t>
  </si>
  <si>
    <t>I am afraid she does not believe him.</t>
  </si>
  <si>
    <t>aɪ æm əˈfreɪd ʃi: dʌz na:t bɪˈli:v hɪm</t>
  </si>
  <si>
    <t>I am afraid she is possessed.</t>
  </si>
  <si>
    <t>aɪ æm əˈfreɪd ʃi: ɪz pəˈzɛst</t>
  </si>
  <si>
    <t>I am afraid he is hard to handle.</t>
  </si>
  <si>
    <t>aɪ æm əˈfreɪd hi: ɪz ha:rd tu: ˈhændəl</t>
  </si>
  <si>
    <t>I am afraid it was a mistake.</t>
  </si>
  <si>
    <t>aɪ æm əˈfreɪd ɪt wʌz ə mɪˈsteɪk</t>
  </si>
  <si>
    <t>I am afraid he forgot the appointment.</t>
  </si>
  <si>
    <t>aɪ æm əˈfreɪd hi: fərˈga:t ði: əˈpɔɪntmənt</t>
  </si>
  <si>
    <t>I believe it is nonsense.</t>
  </si>
  <si>
    <t>aɪ bɪˈli:v ɪt ɪz ˈna:nsɛns</t>
  </si>
  <si>
    <t>I believe it works.</t>
  </si>
  <si>
    <t>aɪ bɪˈli:v ɪt wɜ:rks</t>
  </si>
  <si>
    <t>I believe she is innocent.</t>
  </si>
  <si>
    <t>aɪ bɪˈli:v ʃi: ɪz ˈɪnəsənt</t>
  </si>
  <si>
    <t>I believe you were crazy.</t>
  </si>
  <si>
    <t>aɪ bɪˈli:v ju: wɜ:r ˈkreɪzi</t>
  </si>
  <si>
    <t>I believe you lied to me.</t>
  </si>
  <si>
    <t>aɪ bɪˈli:v ju: laɪd tu: mi:</t>
  </si>
  <si>
    <t>I believe he overreacted.</t>
  </si>
  <si>
    <t>aɪ bɪˈli:v hi: əʊvəriˈæktɪd</t>
  </si>
  <si>
    <t>I believe he will accept her offer.</t>
  </si>
  <si>
    <t>aɪ bɪˈli:v hi: wɪl əkˈsept hɜ:r ˈɔ:fər</t>
  </si>
  <si>
    <t>I believe everything will work out.</t>
  </si>
  <si>
    <t>aɪ bɪˈli:v ˈɛvriθɪŋ wɪl wɜ:rk aʊt</t>
  </si>
  <si>
    <t>I would rather remain silent.</t>
  </si>
  <si>
    <t>aɪ wʊd ˈræðər rɪˈmeɪn ˈsaɪlənt</t>
  </si>
  <si>
    <t>I would rather be here.</t>
  </si>
  <si>
    <t>aɪ wʊd ˈræðər bi: hɪr</t>
  </si>
  <si>
    <t>I would rather be alone.</t>
  </si>
  <si>
    <t>aɪ wʊd ˈræðər bi: əˈloʊn</t>
  </si>
  <si>
    <t>I would rather stay home tonight.</t>
  </si>
  <si>
    <t>aɪ wʊd ˈræðər steɪ hoʊm təˈnaɪt</t>
  </si>
  <si>
    <t>I would rather die than live without you.</t>
  </si>
  <si>
    <t>aɪ wʊd ˈræðər daɪ ðæn lɪv wɪˈðaʊt ju:</t>
  </si>
  <si>
    <t>I would rather not see him again.</t>
  </si>
  <si>
    <t>aɪ wʊd ˈræðər na:t si: hɪm əˈgɛn</t>
  </si>
  <si>
    <t>I would rather not get in touch with her.</t>
  </si>
  <si>
    <t>aɪ wʊd ˈræðər na:t gɛt ɪn tʌʧ wɪð hɜ:r</t>
  </si>
  <si>
    <t>I would rather not promise.</t>
  </si>
  <si>
    <t>aɪ wʊd ˈræðər na:t ˈpraːmɪs</t>
  </si>
  <si>
    <t>I am sure you feel the same way.</t>
  </si>
  <si>
    <t>aɪ æm ʃʊr ju: fi:l ðə seɪm weɪ</t>
  </si>
  <si>
    <t>I am sure you see my point.</t>
  </si>
  <si>
    <t>aɪ æm ʃʊr ju: si: maɪ pɔɪnt</t>
  </si>
  <si>
    <t>I am sure he can do it alone.</t>
  </si>
  <si>
    <t>aɪ æm ʃʊr hi: kæn du: ɪt əˈloʊn</t>
  </si>
  <si>
    <t>I am sure she needed your help.</t>
  </si>
  <si>
    <t>aɪ æm ʃʊr ʃi: ˈni:dɪd jʊr hɛlp</t>
  </si>
  <si>
    <t>I am sure they could not afford it.</t>
  </si>
  <si>
    <t>aɪ æm ʃʊr ðeɪ kʊd na:t əˈfɔ:rd ɪt</t>
  </si>
  <si>
    <t>I’m sure she was not trying to be offensive.</t>
  </si>
  <si>
    <t>aɪm ʃʊr ʃi: wʌz na:t ˈtraɪɪŋ tu: bi: əˈfɛnsɪv</t>
  </si>
  <si>
    <t>I’m sure I will have my chance.</t>
  </si>
  <si>
    <t>aɪm ʃʊr aɪ wɪl hæv maɪ ʧæns</t>
  </si>
  <si>
    <t>I am sure I will be better by tomorrow.</t>
  </si>
  <si>
    <t>aɪ æm ʃʊr aɪ wɪl bi: ˈbɛtər baɪ təˈma:roʊ</t>
  </si>
  <si>
    <t>I am sure she will understand.</t>
  </si>
  <si>
    <t>aɪ æm ʃʊr ʃi: wɪl ˌʌndərˈstænd</t>
  </si>
  <si>
    <t>I am sure your father will be very proud.</t>
  </si>
  <si>
    <t>aɪ æm ʃʊr jʊr ˈfa:ðər wɪl bi: ˈvɛri praʊd</t>
  </si>
  <si>
    <t>It looks appetizing.</t>
  </si>
  <si>
    <t>ɪt lʊks ˈæpətaɪzɪŋ</t>
  </si>
  <si>
    <t>It looks huge.</t>
  </si>
  <si>
    <t>ɪt lʊks hju:ʤ</t>
  </si>
  <si>
    <t>It looks a bit strange.</t>
  </si>
  <si>
    <t>ɪt lʊks ə bɪt streɪnʤ</t>
  </si>
  <si>
    <t>Your hair looks good.</t>
  </si>
  <si>
    <t>jʊr hɛr lʊks gʊd</t>
  </si>
  <si>
    <t>The script looks familiar.</t>
  </si>
  <si>
    <t>ðə skrɪpt lʊks fəˈmɪliər</t>
  </si>
  <si>
    <t>You look exhausted.</t>
  </si>
  <si>
    <t>ju: lʊk ɪɡˈzaːstɪd</t>
  </si>
  <si>
    <t>You look different today.</t>
  </si>
  <si>
    <t>ju: lʊk ˈdɪfərənt təˈdeɪ</t>
  </si>
  <si>
    <t>You look very graceful.</t>
  </si>
  <si>
    <t>ju: lʊk ˈvɛri ˈgreɪsfəl</t>
  </si>
  <si>
    <t>You look shaken up.</t>
  </si>
  <si>
    <t>ju: lʊk ˈʃeɪkən ʌp</t>
  </si>
  <si>
    <t>You look furious.</t>
  </si>
  <si>
    <t>ju: lʊk ˈfjʊriəs</t>
  </si>
  <si>
    <t>It doesn’t look so good.</t>
  </si>
  <si>
    <t>ɪt ˈdʌzənt lʊk soʊ gʊd</t>
  </si>
  <si>
    <t>Your life doesn’t look that bad.</t>
  </si>
  <si>
    <t>jʊr laɪf ˈdʌzənt lʊk ðæt bæd</t>
  </si>
  <si>
    <t>Don’t look so tragic.</t>
  </si>
  <si>
    <t>doʊnt lʊk soʊ ˈtræʤɪk</t>
  </si>
  <si>
    <t>It sounds boring.</t>
  </si>
  <si>
    <t>ɪt saʊndz ˈbɔ:rɪŋ</t>
  </si>
  <si>
    <t>It sounds hard to believe.</t>
  </si>
  <si>
    <t>ɪt saʊndz ha:rd tu: bɪˈli:v</t>
  </si>
  <si>
    <t>It sounds far-fetched.</t>
  </si>
  <si>
    <t>ɪt saʊndz faːrˈfetʃt</t>
  </si>
  <si>
    <t>It sounds familiar.</t>
  </si>
  <si>
    <t>ɪt saʊndz fəˈmɪliər</t>
  </si>
  <si>
    <t>You sound serious.</t>
  </si>
  <si>
    <t>ju: saʊnd ˈsɪriəs</t>
  </si>
  <si>
    <t>You sound excited.</t>
  </si>
  <si>
    <t>ju: saʊnd ɪkˈsaɪtɪd</t>
  </si>
  <si>
    <t>You sound coherent.</t>
  </si>
  <si>
    <t>ju: saʊnd koʊˈhɪrənt</t>
  </si>
  <si>
    <t>You don’t sound surprised at all.</t>
  </si>
  <si>
    <t>ju: doʊnt saʊnd sərˈpraɪzd æt a:l</t>
  </si>
  <si>
    <t>How does that sound?</t>
  </si>
  <si>
    <t>haʊ dʌz ðæt saʊnd</t>
  </si>
  <si>
    <t>Does not it sound persuasive?</t>
  </si>
  <si>
    <t>dʌz na:t ɪt saʊnd pərˈsweɪsɪv</t>
  </si>
  <si>
    <t>It sounds like a disaster.</t>
  </si>
  <si>
    <t>ɪt saʊndz laɪk ə dɪˈzæstər</t>
  </si>
  <si>
    <t>You sound like a jerk.</t>
  </si>
  <si>
    <t>ju: saʊnd laɪk ə ʤɜ:rk</t>
  </si>
  <si>
    <t>It sounds like you took on too much work.</t>
  </si>
  <si>
    <t>ɪt saʊndz laɪk ju: tʊk a:n tu: mʌʧ wɜ:rk</t>
  </si>
  <si>
    <t>It sounds like she is getting tired of it.</t>
  </si>
  <si>
    <t>ɪt saʊndz laɪk ʃi: ɪz ˈgɛtɪŋ ˈtaɪərd ʌv ɪt</t>
  </si>
  <si>
    <t>It sounds like he is stressed out.</t>
  </si>
  <si>
    <t>ɪt saʊndz laɪk hi: ɪz strɛst aʊt</t>
  </si>
  <si>
    <t>You sound like you are out of your mind.</t>
  </si>
  <si>
    <t>ju: saʊnd laɪk ju: a:r aʊt ʌv jʊr maɪnd</t>
  </si>
  <si>
    <t>I would like to stay at home.</t>
  </si>
  <si>
    <t>aɪ wʊd laɪk tu: steɪ æt hoʊm</t>
  </si>
  <si>
    <t>I would like to get my money back.</t>
  </si>
  <si>
    <t>aɪ wʊd laɪk tu: gɛt maɪ ˈmʌni bæk</t>
  </si>
  <si>
    <t>I would like to use the restroom.</t>
  </si>
  <si>
    <t>aɪ wʊd laɪk tu: ju:z ðə ˈrɛstru:m</t>
  </si>
  <si>
    <t>I would like you to be more humble.</t>
  </si>
  <si>
    <t>aɪ wʊd laɪk ju: tu: bi: mɔ:r ˈhʌmbəl</t>
  </si>
  <si>
    <t>I would like you to stay in touch with me.</t>
  </si>
  <si>
    <t>aɪ wʊd laɪk ju: tu: steɪ ɪn tʌʧ wɪð mi:</t>
  </si>
  <si>
    <t>I would like you to move on.</t>
  </si>
  <si>
    <t>aɪ wʊd laɪk ju: tu: mu:v a:n</t>
  </si>
  <si>
    <t>I feel like starting over.</t>
  </si>
  <si>
    <t>aɪ fi:l laɪk ˈsta:rtɪŋ ˈoʊvər</t>
  </si>
  <si>
    <t>I feel like going back home.</t>
  </si>
  <si>
    <t>aɪ fi:l laɪk ˈgoʊɪŋ bæk hoʊm</t>
  </si>
  <si>
    <t>I feel like sleeping all day.</t>
  </si>
  <si>
    <t>aɪ fi:l laɪk ˈsli:pɪŋ a:l deɪ</t>
  </si>
  <si>
    <t>I feel like drinking beer.</t>
  </si>
  <si>
    <t>aɪ fi:l laɪk ˈdrɪŋkɪŋ bɪr</t>
  </si>
  <si>
    <t>I don’t feel like talking to anybody.</t>
  </si>
  <si>
    <t>aɪ doʊnt fi:l laɪk ˈta:kɪŋ tu: ˈenibaːdi</t>
  </si>
  <si>
    <t>I don’t feel like exercising.</t>
  </si>
  <si>
    <t>aɪ doʊnt fi:l laɪk ˈɛksərsaɪzɪŋ</t>
  </si>
  <si>
    <t>Let me explain.</t>
  </si>
  <si>
    <t>lɛt mi: ɪkˈspleɪn</t>
  </si>
  <si>
    <t>Let me check.</t>
  </si>
  <si>
    <t>lɛt mi: ʧɛk</t>
  </si>
  <si>
    <t>Let me guess.</t>
  </si>
  <si>
    <t>lɛt mi: ges</t>
  </si>
  <si>
    <t>Let me try.</t>
  </si>
  <si>
    <t>lɛt mi: traɪ</t>
  </si>
  <si>
    <t>Let me tell you.</t>
  </si>
  <si>
    <t>lɛt mi: tel ju:</t>
  </si>
  <si>
    <t>Let me handle it.</t>
  </si>
  <si>
    <t>lɛt mi: ˈhændəl ɪt</t>
  </si>
  <si>
    <t>Let me persuade her.</t>
  </si>
  <si>
    <t>lɛt mi: pərˈsweɪd hɜ:r</t>
  </si>
  <si>
    <t>Let me borrow your car.</t>
  </si>
  <si>
    <t>lɛt mi: ˈba:roʊ jʊr ka:r</t>
  </si>
  <si>
    <t>Let me show you her picture.</t>
  </si>
  <si>
    <t>lɛt mi: ʃoʊ ju: hɜ:r ˈpɪkʧər</t>
  </si>
  <si>
    <t>Let me tell you something.</t>
  </si>
  <si>
    <t>lɛt mi: tɛl ju: ˈsʌmθɪŋ</t>
  </si>
  <si>
    <t>Let me give you some good advice.</t>
  </si>
  <si>
    <t>lɛt mi: gɪv ju: sʌm gʊd ədˈvaɪs</t>
  </si>
  <si>
    <t>Let me ask you this.</t>
  </si>
  <si>
    <t>lɛt mi: æsk ju: ðɪs</t>
  </si>
  <si>
    <t>I wish I knew.</t>
  </si>
  <si>
    <t>aɪ wɪʃ aɪ nu:</t>
  </si>
  <si>
    <t>I wish it were different.</t>
  </si>
  <si>
    <t>aɪ wɪʃ ɪt wɜ:r ˈdɪfərənt</t>
  </si>
  <si>
    <t>I wish I did not have to take the test.</t>
  </si>
  <si>
    <t>aɪ wɪʃ aɪ dɪd na:t hæv tu: teɪk ðə tɛst</t>
  </si>
  <si>
    <t>I wish I were 10 years younger.</t>
  </si>
  <si>
    <t>aɪ wɪʃ aɪ wɜ:r ten jɪrz ˈjʌŋgər</t>
  </si>
  <si>
    <t>I wish it could be done successfully.</t>
  </si>
  <si>
    <t>aɪ wɪʃ ɪt kʊd bi: dʌn səkˈsɛsfəli</t>
  </si>
  <si>
    <t>I wish I could be there.</t>
  </si>
  <si>
    <t>aɪ wɪʃ aɪ kʊd bi: ðɛr</t>
  </si>
  <si>
    <t>I wish you would talk to him honestly.</t>
  </si>
  <si>
    <t>aɪ wɪʃ ju: wʊd ta:k tu: hɪm ˈaːnɪstli</t>
  </si>
  <si>
    <t>I wish I had never been born.</t>
  </si>
  <si>
    <t>aɪ wɪʃ aɪ hæd ˈnɛvər bi:n bɔ:rn</t>
  </si>
  <si>
    <t>I wish he had arrived on time.</t>
  </si>
  <si>
    <t>aɪ wɪʃ hi: hæd əˈraɪvd a:n taɪm</t>
  </si>
  <si>
    <t>I wish I had done this years ago.</t>
  </si>
  <si>
    <t>aɪ wɪʃ aɪ hæd dʌn ðɪs jɪrz əˈgoʊ</t>
  </si>
  <si>
    <t>I wish it had been solved quickly.</t>
  </si>
  <si>
    <t>aɪ wɪʃ ɪt hæd bi:n sa:lvd ˈkwɪkli</t>
  </si>
  <si>
    <t>I hope I am not disappointing you.</t>
  </si>
  <si>
    <t>aɪ hoʊp aɪ æm na:t ˌdɪsəˈpɔɪntɪŋ ju:</t>
  </si>
  <si>
    <t>I hope I am not calling you at a bad time.</t>
  </si>
  <si>
    <t>aɪ hoʊp aɪ æm na:t ˈka:lɪŋ ju: æt ə bæd taɪm</t>
  </si>
  <si>
    <t>I hope you get the job.</t>
  </si>
  <si>
    <t>aɪ hoʊp ju: gɛt ðə ʤa:b</t>
  </si>
  <si>
    <t>I hope no one gets hurt.</t>
  </si>
  <si>
    <t>aɪ hoʊp noʊ wʌn gɛts hɜ:rt</t>
  </si>
  <si>
    <t>I hope this can be a help to you.</t>
  </si>
  <si>
    <t>aɪ hoʊp ðɪs kæn bi: ə hɛlp tu: ju:</t>
  </si>
  <si>
    <t>I hope this does not cause you trouble.</t>
  </si>
  <si>
    <t>aɪ hoʊp ðɪs dʌz na:t ka:z ju: ˈtrʌbəl</t>
  </si>
  <si>
    <t>I hope that is not your fault.</t>
  </si>
  <si>
    <t>aɪ hoʊp ðæt ɪz na:t jʊr fa:lt</t>
  </si>
  <si>
    <t>I should have been there with you.</t>
  </si>
  <si>
    <t>aɪ ʃʊd hæv bi:n ðɛr wɪð ju:</t>
  </si>
  <si>
    <t>I should have studied harder.</t>
  </si>
  <si>
    <t>aɪ ʃʊd hæv ˈstʌdid ˈha:rdər</t>
  </si>
  <si>
    <t>I should have been honest.</t>
  </si>
  <si>
    <t>aɪ ʃʊd hæv bi:n ˈaːnɪst</t>
  </si>
  <si>
    <t>You should have told me.</t>
  </si>
  <si>
    <t>ju: ʃʊd hæv toʊld mi:</t>
  </si>
  <si>
    <t>You should have listened to me.</t>
  </si>
  <si>
    <t>ju: ʃʊd hæv ˈlɪsənd tu: mi:</t>
  </si>
  <si>
    <t>You should not have brought up her past.</t>
  </si>
  <si>
    <t>ju: ʃʊd na:t hæv bra:t ʌp hɜ:r pæst</t>
  </si>
  <si>
    <t>He should have told her the truth.</t>
  </si>
  <si>
    <t>hi: ʃʊd hæv toʊld hɜ:r ðə tru:θ</t>
  </si>
  <si>
    <t xml:space="preserve"> I need tomorrow off</t>
  </si>
  <si>
    <t>ˈaɪ niːd təˈmɒrəʊ ɒf</t>
  </si>
  <si>
    <t>I need a sick leave for two days</t>
  </si>
  <si>
    <t>ˈaɪ niːd ə sɪk ˈli:v fə ˌtu: ˈdeɪz</t>
  </si>
  <si>
    <t xml:space="preserve"> I need a day off to see doctor</t>
  </si>
  <si>
    <t>ˈaɪ niːd ə ˈdeɪ ɒf tu ˈsi: ˈdɒktə</t>
  </si>
  <si>
    <t>I need an afternoon off to go to a wedding</t>
  </si>
  <si>
    <t>ˈaɪ niːd ən ˌɑ:ftənu:n ɒf tu ˈɡəʊ tu ə ˈwedɪŋ</t>
  </si>
  <si>
    <t>I need 3 days personal leave for my  wife’s labor</t>
  </si>
  <si>
    <t>ˈaɪ niːd θri: ˈdeɪz ˈpɜːsənl̩ ˈli:v fə maɪ waɪfs ˈleɪbə</t>
  </si>
  <si>
    <t>I need a day off on March 3rd</t>
  </si>
  <si>
    <t>ˈaɪ niːd ə ˈdeɪ ɒf ˈɒn mɑːtʃ ˈθɜːd</t>
  </si>
  <si>
    <t>Don’t lose your heart</t>
  </si>
  <si>
    <t>dəʊnt luːz jə hɑːt</t>
  </si>
  <si>
    <t>Don’t take it seriously</t>
  </si>
  <si>
    <t>dəʊnt ˈteɪk ˈɪt ˈsɪərɪəsli</t>
  </si>
  <si>
    <t>Don’t be nervous</t>
  </si>
  <si>
    <t>dəʊnt bi ˈnɜːvəs</t>
  </si>
  <si>
    <t>Don’t be a stranger, come over</t>
  </si>
  <si>
    <t>dəʊnt bi ə ˈstreɪndʒə, ˈkʌm ˈəʊvə</t>
  </si>
  <si>
    <t>Don’t jump to conclusion</t>
  </si>
  <si>
    <t>dəʊnt dʒʌmp tu kənˈkluːʒn</t>
  </si>
  <si>
    <t>Don’t be discouraged</t>
  </si>
  <si>
    <t>dəʊnt bi dɪsˈkʌrɪdʒd</t>
  </si>
  <si>
    <t>Ông có thể dời lại deadline 1 tuần được không?</t>
  </si>
  <si>
    <t>Can you push back the deadline by a week?</t>
  </si>
  <si>
    <t>kən ju pʊʃ bæk ðə ˈdedlaɪn ˈbaɪ ə wiːk</t>
  </si>
  <si>
    <t>The deadline has been pushed back 2 weeks</t>
  </si>
  <si>
    <t>ðə ˈdedlaɪn ˈhæz bi:n pʊʃt bæk ˌtu: wiːks</t>
  </si>
  <si>
    <t>Push back the deadline, please</t>
  </si>
  <si>
    <t>pʊʃ bæk ðə ˈdedlaɪn pliːz</t>
  </si>
  <si>
    <t>Give me 2 more days please, you have my word</t>
  </si>
  <si>
    <t>ɡɪv miː ˌtu: mɔː ˈdeɪz pliːz, ju həv maɪ ˈwɜːd</t>
  </si>
  <si>
    <t>Give me 3 more hours please, you have my word</t>
  </si>
  <si>
    <t>ɡɪv miː θri: mɔːr ˈaʊəz pliːz, ju həv maɪ ˈwɜːd</t>
  </si>
  <si>
    <t>Give me 1 more week please, you have my word</t>
  </si>
  <si>
    <t>ɡɪv miː wʌn mɔː wiːk pliːz , ju həv maɪ ˈwɜːd</t>
  </si>
  <si>
    <t>I will pull out all the stops to get it done</t>
  </si>
  <si>
    <t>ˈaɪ ˌwi:l pʊl aʊt ɔ:l ðə stɒps tu ˈget ˈɪt dʌn</t>
  </si>
  <si>
    <t>He will pull out all the stops to get it done</t>
  </si>
  <si>
    <t>ˈhi: ˌwi:l pʊl aʊt ɔ:l ðə stɒps tu ˈget ˈɪt dʌn</t>
  </si>
  <si>
    <t>We will pull out all the stops to get it done, we promise</t>
  </si>
  <si>
    <t>wi ˌwi:l pʊl aʊt ɔ:l ðə stɒps tu ˈget ˈɪt dʌn , wi ˈprɒmɪs</t>
  </si>
  <si>
    <t>I’m sorry, we’ll refund you</t>
  </si>
  <si>
    <t>aɪm ˈsɒri wil rɪˈfʌnd ju</t>
  </si>
  <si>
    <t>We’re sorry to have inconvenienced you</t>
  </si>
  <si>
    <t>wɪə ˈsɒri tu həv ˌɪnkənˈviːnɪənst ju</t>
  </si>
  <si>
    <t>We’re sorry about that,we’ll take care of it right away</t>
  </si>
  <si>
    <t>wɪə ˈsɒri əˌbaʊt ðæt wil ˈteɪk keər əv ˈɪt ˈraɪt əˈweɪ</t>
  </si>
  <si>
    <t>We’re sorry for the delay in shipment</t>
  </si>
  <si>
    <t>wɪə ˈsɒri fə ðə dɪˈleɪ ɪn ˈʃɪpmənt</t>
  </si>
  <si>
    <t>I’m sorry, I may have gotten carried away</t>
  </si>
  <si>
    <t>aɪm ˈsɒri ˈaɪ meɪ həv ˈɡɒtn̩ ˈkærɪd əˈweɪ</t>
  </si>
  <si>
    <t>I totally agree.</t>
  </si>
  <si>
    <t>ˈaɪ ˈtəʊtəli əˈɡriː</t>
  </si>
  <si>
    <t>That’s what I thought.</t>
  </si>
  <si>
    <t>ðæts wɒt ˈaɪ ˈθɔːt</t>
  </si>
  <si>
    <t>There is no doubt about it.</t>
  </si>
  <si>
    <t>ðə ɪz ˈnəʊ daʊt əˌbaʊt ˈɪt.</t>
  </si>
  <si>
    <t>I’m all for the idea.</t>
  </si>
  <si>
    <t>aɪm ɔ:l fə ði aɪˈdɪə</t>
  </si>
  <si>
    <t>we share the same viewpoint</t>
  </si>
  <si>
    <t>wi ˈʃeər ðə seɪm ˈvjuːpɔɪnt</t>
  </si>
  <si>
    <t>I disagree with you on this.</t>
  </si>
  <si>
    <t>ˈaɪ ˌdɪsəˈɡriː wɪð ju ˈɒn ðɪs</t>
  </si>
  <si>
    <t>You may be right, but I view it a little differently.</t>
  </si>
  <si>
    <t>ju meɪ bi raɪt , bət ˈaɪ vjuː ˈɪt ə ˈlɪtl̩ ˈdɪfrəntli</t>
  </si>
  <si>
    <t>I’m not with you on that</t>
  </si>
  <si>
    <t>aɪm nɒt wɪð ju ˈɒn ðæt</t>
  </si>
  <si>
    <t>I doubt it</t>
  </si>
  <si>
    <t>ˈaɪ daʊt ˈɪt</t>
  </si>
  <si>
    <t>I am opposed to that idea</t>
  </si>
  <si>
    <t>ˈaɪ əm əˈpəʊzd tu ðæt aɪˈdɪə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</si>
  <si>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</si>
  <si>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</si>
  <si>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</si>
  <si>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</si>
  <si>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</si>
  <si>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</si>
  <si>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</si>
  <si>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</si>
  <si>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</si>
  <si>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</si>
  <si>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</si>
  <si>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</si>
  <si>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</si>
  <si>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</si>
  <si>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</si>
  <si>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</si>
  <si>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</si>
  <si>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</si>
  <si>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</si>
  <si>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</si>
  <si>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</si>
  <si>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</si>
  <si>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</si>
  <si>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I THINK... /Tôi nghĩ là.../</t>
  </si>
  <si>
    <t>Tôi nghĩ là nó ngầu đấy.</t>
  </si>
  <si>
    <t>Tôi nghĩ đó là một ý kiến hay.</t>
  </si>
  <si>
    <t>Tôi nghĩ điều đó hợp lí.</t>
  </si>
  <si>
    <t>Tôi nghĩ là cậu đúng.</t>
  </si>
  <si>
    <t>Tôi nghĩ là họ hiểu lầm chúng ta.</t>
  </si>
  <si>
    <t>I DON’T THINK... /Tôi không nghĩ là.../</t>
  </si>
  <si>
    <t>Tôi không nghĩ là nó đáng.</t>
  </si>
  <si>
    <t>Tôi không nghĩ anh ta chân thành.</t>
  </si>
  <si>
    <t>Tôi không nghĩ cô ta xứng đáng với nó.</t>
  </si>
  <si>
    <t>Tôi không nghĩ cậu sẽ thích mấy món ăn này.</t>
  </si>
  <si>
    <t>I THOUGHT… /Tôi tưởng là…/</t>
  </si>
  <si>
    <t>Tôi tưởng đó là lời nói dối.</t>
  </si>
  <si>
    <t>Tôi đã nghĩ đó là một ý tưởng ngớ ngẩn.</t>
  </si>
  <si>
    <t>Tôi đã nghĩ là nó có thể chấp nhận được.</t>
  </si>
  <si>
    <t>Tôi tưởng cậu đi rồi.</t>
  </si>
  <si>
    <t>Tôi tưởng cậu sẽ không đến.</t>
  </si>
  <si>
    <t>I AM AFRAID… /Tôi e là…/</t>
  </si>
  <si>
    <t>Tôi e là nó hơi khó hiểu.</t>
  </si>
  <si>
    <t>Tôi e là khó mà giải quyết được.</t>
  </si>
  <si>
    <t>Tôi e là chuyện này có liên quan tới anh ta.</t>
  </si>
  <si>
    <t>Tôi e là cái máy tính này có vấn đề rồi.</t>
  </si>
  <si>
    <t>Tôi e là cô ấy không tin anh ta.</t>
  </si>
  <si>
    <t>Tôi e là cô ấy bị ám ảnh rồi.</t>
  </si>
  <si>
    <t>Tôi e là anh ta không dễ đối phó.</t>
  </si>
  <si>
    <t>Tôi e đó chỉ là sự nhầm lẫn.</t>
  </si>
  <si>
    <t>Tôi e là anh ta đã quên mất cuộc hẹn.</t>
  </si>
  <si>
    <t>I BELIEVE… /Tôi tin là…/</t>
  </si>
  <si>
    <t>Tôi tin là điều đó vô lí.</t>
  </si>
  <si>
    <t>Tôi tin là nó có hiệu quả.</t>
  </si>
  <si>
    <t>Tôi tin là cô ấy vô tội.</t>
  </si>
  <si>
    <t>Tôi chắc chắn là cậu bị điên rồi.</t>
  </si>
  <si>
    <t>Tôi tin chắc là cậu đã nói dối tôi.</t>
  </si>
  <si>
    <t>Tôi tin chắc là anh ta đã phản ứng thái quá.</t>
  </si>
  <si>
    <t>Tôi tin là anh ta sẽ chấp nhận đề nghị của cô ấy.</t>
  </si>
  <si>
    <t>Tôi tin là mọi chuyện sẽ ổn cả thôi.</t>
  </si>
  <si>
    <t>I WOULD RATHER… /Tôi thà..., còn hơn…/</t>
  </si>
  <si>
    <t>Tôi thà im lặng còn hơn.</t>
  </si>
  <si>
    <t>Tôi thà ở đây còn hơn.</t>
  </si>
  <si>
    <t>Tôi thà ở một mình còn hơn.</t>
  </si>
  <si>
    <t>Tôi thà ở nhà tối nay còn hơn.</t>
  </si>
  <si>
    <t>Tôi thà chết còn hơn sống thiếu em.</t>
  </si>
  <si>
    <t>Tôi thà không gặp lại anh ấy còn hơn.</t>
  </si>
  <si>
    <t>Tôi thà không liên lạc với cô ấy còn hơn.</t>
  </si>
  <si>
    <t>Tôi thà không hứa trước còn hơn.</t>
  </si>
  <si>
    <t>I AM SURE… /Tôi chắc chắn…/</t>
  </si>
  <si>
    <t>Tôi chắc chắn là cậu cũng cảm thấy giống vậy.</t>
  </si>
  <si>
    <t>Tôi chắc chắn là cậu hiểu ý tôi.</t>
  </si>
  <si>
    <t>Tôi chắc chắn là anh ta có thể làm một mình.</t>
  </si>
  <si>
    <t>Tôi chắc chắn là cô ta cần sự giúp đỡ của cậu.</t>
  </si>
  <si>
    <t>Tôi chắc chắn là họ không đủ điều kiện để mua nó.</t>
  </si>
  <si>
    <t>Tôi chắc chắn là cô ấy không có ý xúc phạm.</t>
  </si>
  <si>
    <t>Tôi chắc chắn là tôi sẽ có cơ hội.</t>
  </si>
  <si>
    <t>Tôi chắc chắn là mai tôi sẽ khoẻ hơn.</t>
  </si>
  <si>
    <t>Tôi chắc chắn là cô ấy sẽ hiểu.</t>
  </si>
  <si>
    <t>Tôi chắc chắn là bố cậu sẽ rất tự hào.</t>
  </si>
  <si>
    <t>IT LOOKS… /Trông nó…/</t>
  </si>
  <si>
    <t>Trông nó ngon thật đấy.</t>
  </si>
  <si>
    <t>Trông nó đồ sộ quá.</t>
  </si>
  <si>
    <t>Trông nó hơi kì lạ.</t>
  </si>
  <si>
    <t>Tóc cậu trông đẹp đó.</t>
  </si>
  <si>
    <t>Nét chữ trông quen quen.</t>
  </si>
  <si>
    <t>Trông cậu mệt rồi.</t>
  </si>
  <si>
    <t>Hôm nay trông cậu khác thế.</t>
  </si>
  <si>
    <t>Trông em thật duyên dáng.</t>
  </si>
  <si>
    <t>Trông cậu run thế.</t>
  </si>
  <si>
    <t>Trông cậu có vẻ tức tối.</t>
  </si>
  <si>
    <t>Nó trông không đẹp lắm.</t>
  </si>
  <si>
    <t>Cuộc đời bạn không tệ vậy đâu.</t>
  </si>
  <si>
    <t>Đừng tỏ ra bi thảm như vậy.</t>
  </si>
  <si>
    <t>IT SOUNDS... /Nghe có vẻ…/</t>
  </si>
  <si>
    <t>Nghe có vẻ chán.</t>
  </si>
  <si>
    <t>Nghe có vẻ khó tin.</t>
  </si>
  <si>
    <t>Nghe có vẻ gượng gạo.</t>
  </si>
  <si>
    <t>Nghe có vẻ quen quen.</t>
  </si>
  <si>
    <t>Nghe cậu nói nghiêm trọng thế.</t>
  </si>
  <si>
    <t>Nghe cậu có vẻ hào hứng thế.</t>
  </si>
  <si>
    <t>Nghe cậu nói có vẻ chặt chẽ.</t>
  </si>
  <si>
    <t>Nghe giọng cậu chẳng có vẻ bất ngờ gì cả.</t>
  </si>
  <si>
    <t>Nghe có vẻ thế nào?</t>
  </si>
  <si>
    <t>Chuyện đó nghe không thuyết phục à?</t>
  </si>
  <si>
    <t>Nghe có vẻ như là một thảm hoạ.</t>
  </si>
  <si>
    <t>Cậu nói nghe như một tên khốn.</t>
  </si>
  <si>
    <t>Nghe như có vẻ cậu nhận quá nhiều việc.</t>
  </si>
  <si>
    <t>Nghe có vẻ như cô ấy bắt đầu chán nó rồi.</t>
  </si>
  <si>
    <t>Nghe có vẻ như anh ấy đang rất căng thẳng.</t>
  </si>
  <si>
    <t>Nghe cậu nói có vẻ như mất trí rồi ấy.</t>
  </si>
  <si>
    <t>I WOULD LIKE TO… /Tôi muốn…/</t>
  </si>
  <si>
    <t>Tôi muốn ở nhà.</t>
  </si>
  <si>
    <t>Tôi muốn lấy lại tiền của mình.</t>
  </si>
  <si>
    <t>Tôi muốn dùng nhà vệ sinh.</t>
  </si>
  <si>
    <t>Tôi mong cậu có thể khiêm tốn hơn.</t>
  </si>
  <si>
    <t>Tôi muốn cậu giữ liên lạc với tôi.</t>
  </si>
  <si>
    <t>Tôi muốn cậu hãy tiến về phía trước.</t>
  </si>
  <si>
    <t>I FEEL LIKE… /Tôi cảm thấy muốn…/</t>
  </si>
  <si>
    <t>Tôi cảm thấy muốn bắt đầu lại từ đầu.</t>
  </si>
  <si>
    <t>Tôi cảm thấy muốn về nhà.</t>
  </si>
  <si>
    <t>Tôi cảm thấy muốn ngủ cả ngày.</t>
  </si>
  <si>
    <t>Tôi cảm thấy muốn uống bia.</t>
  </si>
  <si>
    <t>Tôi cảm thấy không muốn nói chuyện với bất kì ai.</t>
  </si>
  <si>
    <t>Tôi cảm thấy không muốn tập thể dục.</t>
  </si>
  <si>
    <t>LET ME + V …/ Để tôi…/</t>
  </si>
  <si>
    <t>Để tôi giải thích.</t>
  </si>
  <si>
    <t>Để tôi kiểm tra.</t>
  </si>
  <si>
    <t>Để tôi đoán.</t>
  </si>
  <si>
    <t>Để tôi thử.</t>
  </si>
  <si>
    <t>Để tôi nói cho cậu biết.</t>
  </si>
  <si>
    <t>Để tôi xử lí việc này.</t>
  </si>
  <si>
    <t>Để tôi thuyết phục cô ấy.</t>
  </si>
  <si>
    <t>Cho tôi mượn xe của cậu.</t>
  </si>
  <si>
    <t>Để tôi cho cậu xem ảnh của cô ấy.</t>
  </si>
  <si>
    <t>Để tôi nói cho cậu chuyện này.</t>
  </si>
  <si>
    <t>Để tôi cho cậu vài lời khuyên bổ ích.</t>
  </si>
  <si>
    <t>Để tôi hỏi cậu cái này.</t>
  </si>
  <si>
    <t>I WISH… /Tôi ước gì… /</t>
  </si>
  <si>
    <t>Ước gì tôi biết được điều đó.</t>
  </si>
  <si>
    <t>Tôi ước gì chuyện đã khác đi.</t>
  </si>
  <si>
    <t>Tôi ước gì tôi không phải làm bài thi.</t>
  </si>
  <si>
    <t>Tôi ước gì tôi trẻ ra được 10 tuổi.</t>
  </si>
  <si>
    <t>Tôi ước gì chuyện đó kết thúc thành công.</t>
  </si>
  <si>
    <t>Tôi ước gì tôi có thể có mặt ở đó.</t>
  </si>
  <si>
    <t>Tôi ước gì cậu có thể nói chuyện thành thật với anh ấy.</t>
  </si>
  <si>
    <t>Tôi ước gì mình chưa từng được sinh ra.</t>
  </si>
  <si>
    <t>Tôi ước gì anh ta đã đến đúng giờ.</t>
  </si>
  <si>
    <t>Ước gì tôi làm điều này từ nhiều năm trước.</t>
  </si>
  <si>
    <t>Ước gì chuyện đó được giải quyết nhanh chóng.</t>
  </si>
  <si>
    <t>I HOPE… /Tôi hi vọng…/</t>
  </si>
  <si>
    <t>Hi vọng là tôi không làm cậu thất vọng.</t>
  </si>
  <si>
    <t>Tôi mong là cuộc gọi này không làm phiền cậu.</t>
  </si>
  <si>
    <t>Tôi hi vọng cậu sẽ nhận được công việc.</t>
  </si>
  <si>
    <t>Tôi hi vọng là không ai bị tổn thương.</t>
  </si>
  <si>
    <t>Tôi hi vọng là cái này có thể giúp được cậu.</t>
  </si>
  <si>
    <t>Tôi hi vọng là chuyện này không gây rắc rối cho cậu.</t>
  </si>
  <si>
    <t>Tôi hi vọng đó không phải là lỗi do cậu.</t>
  </si>
  <si>
    <t>I SHOULD HAVE + V3 … /Lẽ ra …/</t>
  </si>
  <si>
    <t>Lẽ ra tôi nên ở đó cùng cậu.</t>
  </si>
  <si>
    <t>Lẽ ra tôi nên học hành chăm chỉ hơn.</t>
  </si>
  <si>
    <t>Lẽ ra tôi nên thành thật.</t>
  </si>
  <si>
    <t>Lẽ ra cậu nên nói với tôi.</t>
  </si>
  <si>
    <t>Lẽ ra cậu nên nghe theo tôi.</t>
  </si>
  <si>
    <t>Lẽ ra cậu không nên nhắc đến chuyện quá khứ của cô ấy.</t>
  </si>
  <si>
    <t>Lẽ ra anh ấy nên nói cho cô ấy sự thật.</t>
  </si>
  <si>
    <t>I NEED… /tôi cần …/</t>
  </si>
  <si>
    <t>Tôi muốn nghỉ làm ngày mai</t>
  </si>
  <si>
    <t>Tôi muốn xin nghỉ bệnh 2 ngày</t>
  </si>
  <si>
    <t>Tôi muốn nghỉ một ngày để đi bác sĩ</t>
  </si>
  <si>
    <t>Tôi muốn nghỉ buổi chiều để đi đám cưới</t>
  </si>
  <si>
    <t>ôi muốn nghỉ 3 ngày vì vợ tôi sinh em bé</t>
  </si>
  <si>
    <t>Tôi muốn nghỉ vào ngày 3 tháng 3</t>
  </si>
  <si>
    <t>DON’T … /Đừng …/</t>
  </si>
  <si>
    <t>Đừng nản chí</t>
  </si>
  <si>
    <t>Đừng trầm trọng hoá vấn đề</t>
  </si>
  <si>
    <t>Đừng lo lắng</t>
  </si>
  <si>
    <t>Đừng khách sáo, đến đây đi</t>
  </si>
  <si>
    <t>Đừng vội kết luận</t>
  </si>
  <si>
    <t>Đừng quá đau buồn</t>
  </si>
  <si>
    <t>PUSH BACK THE DISLIKE /Dời lại deadline/</t>
  </si>
  <si>
    <t>Deadline đã được dời lại 2 tuần</t>
  </si>
  <si>
    <t>Làm ơn hãy dời lại deadline</t>
  </si>
  <si>
    <t>GIVE ME + THỜI GIAN PLEASE, YOU HAVE MY WORD /Cho tôi thêm…… nhé, tôi hứa đấy/</t>
  </si>
  <si>
    <t>Cho tôi thêm 2 ngày nhé, tôi hứa đấy</t>
  </si>
  <si>
    <t>Cho tôi thêm 3 tiếng nhé,tôi hứa đấy</t>
  </si>
  <si>
    <t>Cho tôi thêm 1 tuần nhe, tôi hứa đấy</t>
  </si>
  <si>
    <t>PULL OUT ALL THE STOPS TO IT DONE /Nỗ lực hết sức để hoàn thành/</t>
  </si>
  <si>
    <t>Tôi sẽ nỗ lực để hoàn thành</t>
  </si>
  <si>
    <t>Anh ấy sẽ nỗ lực để hoàn thành</t>
  </si>
  <si>
    <t>Chúng tôi sẽ nỗ lực hết mình để hoàn thành, chúng tôi hứa</t>
  </si>
  <si>
    <t>SORY,… /Xin lỗi,…/</t>
  </si>
  <si>
    <t>Tôi xin lỗi, chúng tôi sẽ trả tiền lại cho anh</t>
  </si>
  <si>
    <t>Chúng tôi xin lỗi đã gây bất tiện cho anh</t>
  </si>
  <si>
    <t>Chúng tôi xin lỗi về điều đó, chúng tôi sẽ xử lí ngay lập tức</t>
  </si>
  <si>
    <t>Chúng tôi xin lỗi về sự chậm trễ của việc giao hàng</t>
  </si>
  <si>
    <t>Tôi xin lỗi, có lẽ tôi đã đi quá vấn đề rồi</t>
  </si>
  <si>
    <t>AGREE /Đồng ý/</t>
  </si>
  <si>
    <t>ôi hoàn toàn đồng ý.</t>
  </si>
  <si>
    <t>Đó là điều mà tôi nghĩ.</t>
  </si>
  <si>
    <t>Không còn nghi ngờ gì về điều đó cả</t>
  </si>
  <si>
    <t>Tôi hoàn toàn tán thành ý kiến này</t>
  </si>
  <si>
    <t>Chúng ta cùng một quan điểm</t>
  </si>
  <si>
    <t>DISAGREE /Không đồng ý/</t>
  </si>
  <si>
    <t>Tôi không đồng ý với anh về vấn đề này</t>
  </si>
  <si>
    <t>Có thể ông nói đúng nhưng tôi nhận định vấn đề đó hơi khác.</t>
  </si>
  <si>
    <t>Tôi không nhất trí với ông về điều đó.</t>
  </si>
  <si>
    <t>Tôi nghi ngờ điều đó</t>
  </si>
  <si>
    <t>Tôi phản đối ý kiến đó</t>
  </si>
  <si>
    <t>4.7</t>
  </si>
  <si>
    <t>4.8</t>
  </si>
  <si>
    <t>4.9</t>
  </si>
  <si>
    <t>6.1</t>
  </si>
  <si>
    <t>6.2</t>
  </si>
  <si>
    <t>6.3</t>
  </si>
  <si>
    <t>6.4</t>
  </si>
  <si>
    <t>6.5</t>
  </si>
  <si>
    <t>6.6</t>
  </si>
  <si>
    <t>6.7</t>
  </si>
  <si>
    <t>6.8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</si>
  <si>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</si>
  <si>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</si>
  <si>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</si>
  <si>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</si>
  <si>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</si>
  <si>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</si>
  <si>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</si>
  <si>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</si>
  <si>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</si>
  <si>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</si>
  <si>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</si>
  <si>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</si>
  <si>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</si>
  <si>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</si>
  <si>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</si>
  <si>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</si>
  <si>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</si>
  <si>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</si>
  <si>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</si>
  <si>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</si>
  <si>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</si>
  <si>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</si>
  <si>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</si>
  <si>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</si>
  <si>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</si>
  <si>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</si>
  <si>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</si>
  <si>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</si>
  <si>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</si>
  <si>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</si>
  <si>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</si>
  <si>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</si>
  <si>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</si>
  <si>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</si>
  <si>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</si>
  <si>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</si>
  <si>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</si>
  <si>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</si>
  <si>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</si>
  <si>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10.1</t>
  </si>
  <si>
    <t>10.2</t>
  </si>
  <si>
    <t>10.3</t>
  </si>
  <si>
    <t>10.4</t>
  </si>
  <si>
    <t>10.5</t>
  </si>
  <si>
    <t>10.6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</si>
  <si>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</si>
  <si>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</si>
  <si>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</si>
  <si>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</si>
  <si>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</si>
  <si>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</si>
  <si>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</si>
  <si>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</si>
  <si>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</si>
  <si>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</si>
  <si>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</si>
  <si>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</si>
  <si>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</si>
  <si>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</si>
  <si>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</si>
  <si>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</si>
  <si>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</si>
  <si>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</si>
  <si>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</si>
  <si>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</si>
  <si>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</si>
  <si>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</si>
  <si>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</si>
  <si>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</si>
  <si>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</si>
  <si>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</si>
  <si>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</si>
  <si>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</si>
  <si>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</si>
  <si>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</si>
  <si>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</si>
  <si>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</si>
  <si>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</si>
  <si>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</si>
  <si>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</si>
  <si>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</si>
  <si>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</si>
  <si>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</si>
  <si>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</si>
  <si>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</si>
  <si>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15.5</t>
  </si>
  <si>
    <t>15.6</t>
  </si>
  <si>
    <t>15.7</t>
  </si>
  <si>
    <t>16.1</t>
  </si>
  <si>
    <t>16.2</t>
  </si>
  <si>
    <t>16.3</t>
  </si>
  <si>
    <t>16.4</t>
  </si>
  <si>
    <t>16.5</t>
  </si>
  <si>
    <t>16.6</t>
  </si>
  <si>
    <t>17.1</t>
  </si>
  <si>
    <t>17.2</t>
  </si>
  <si>
    <t>17.3</t>
  </si>
  <si>
    <t>17.4</t>
  </si>
  <si>
    <t>17.5</t>
  </si>
  <si>
    <t>17.6</t>
  </si>
  <si>
    <t>18.1</t>
  </si>
  <si>
    <t>18.2</t>
  </si>
  <si>
    <t>18.3</t>
  </si>
  <si>
    <t>19.1</t>
  </si>
  <si>
    <t>19.2</t>
  </si>
  <si>
    <t>19.3</t>
  </si>
  <si>
    <t>20.1</t>
  </si>
  <si>
    <t>20.2</t>
  </si>
  <si>
    <t>20.3</t>
  </si>
  <si>
    <t>21.1</t>
  </si>
  <si>
    <t>21.2</t>
  </si>
  <si>
    <t>21.3</t>
  </si>
  <si>
    <t>21.4</t>
  </si>
  <si>
    <t>21.5</t>
  </si>
  <si>
    <t>22.1</t>
  </si>
  <si>
    <t>22.2</t>
  </si>
  <si>
    <t>22.3</t>
  </si>
  <si>
    <t>22.4</t>
  </si>
  <si>
    <t>22.5</t>
  </si>
  <si>
    <t>23.1</t>
  </si>
  <si>
    <t>23.2</t>
  </si>
  <si>
    <t>23.3</t>
  </si>
  <si>
    <t>23.4</t>
  </si>
  <si>
    <t>23.5</t>
  </si>
  <si>
    <t>4.7Viet</t>
  </si>
  <si>
    <t>4.7Eng</t>
  </si>
  <si>
    <t>4.7Phon</t>
  </si>
  <si>
    <t>4.8Viet</t>
  </si>
  <si>
    <t>4.8Eng</t>
  </si>
  <si>
    <t>4.8Phon</t>
  </si>
  <si>
    <t>4.9Viet</t>
  </si>
  <si>
    <t>4.9Eng</t>
  </si>
  <si>
    <t>4.9Phon</t>
  </si>
  <si>
    <t>6Struc</t>
  </si>
  <si>
    <t>6.1Viet</t>
  </si>
  <si>
    <t>6.1Eng</t>
  </si>
  <si>
    <t>6.1Phon</t>
  </si>
  <si>
    <t>6.2Viet</t>
  </si>
  <si>
    <t>6.2Eng</t>
  </si>
  <si>
    <t>6.2Phon</t>
  </si>
  <si>
    <t>6.3Viet</t>
  </si>
  <si>
    <t>6.3Eng</t>
  </si>
  <si>
    <t>6.3Phon</t>
  </si>
  <si>
    <t>6.4Viet</t>
  </si>
  <si>
    <t>6.4Eng</t>
  </si>
  <si>
    <t>6.4Phon</t>
  </si>
  <si>
    <t>6.5Viet</t>
  </si>
  <si>
    <t>6.5Eng</t>
  </si>
  <si>
    <t>6.5Phon</t>
  </si>
  <si>
    <t>6.6Viet</t>
  </si>
  <si>
    <t>6.6Eng</t>
  </si>
  <si>
    <t>6.6Phon</t>
  </si>
  <si>
    <t>6.7Viet</t>
  </si>
  <si>
    <t>6.7Eng</t>
  </si>
  <si>
    <t>6.7Phon</t>
  </si>
  <si>
    <t>6.8Viet</t>
  </si>
  <si>
    <t>6.8Eng</t>
  </si>
  <si>
    <t>6.8Phon</t>
  </si>
  <si>
    <t>7Struc</t>
  </si>
  <si>
    <t>7.1Viet</t>
  </si>
  <si>
    <t>7.1Eng</t>
  </si>
  <si>
    <t>7.1Phon</t>
  </si>
  <si>
    <t>7.2Viet</t>
  </si>
  <si>
    <t>7.2Eng</t>
  </si>
  <si>
    <t>7.2Phon</t>
  </si>
  <si>
    <t>7.3Viet</t>
  </si>
  <si>
    <t>7.3Eng</t>
  </si>
  <si>
    <t>7.3Phon</t>
  </si>
  <si>
    <t>7.4Viet</t>
  </si>
  <si>
    <t>7.4Eng</t>
  </si>
  <si>
    <t>7.4Phon</t>
  </si>
  <si>
    <t>7.5Viet</t>
  </si>
  <si>
    <t>7.5Eng</t>
  </si>
  <si>
    <t>7.5Phon</t>
  </si>
  <si>
    <t>7.6Viet</t>
  </si>
  <si>
    <t>7.6Eng</t>
  </si>
  <si>
    <t>7.6Phon</t>
  </si>
  <si>
    <t>7.7Viet</t>
  </si>
  <si>
    <t>7.7Eng</t>
  </si>
  <si>
    <t>7.7Phon</t>
  </si>
  <si>
    <t>7.8Viet</t>
  </si>
  <si>
    <t>7.8Eng</t>
  </si>
  <si>
    <t>7.8Phon</t>
  </si>
  <si>
    <t>7.9Viet</t>
  </si>
  <si>
    <t>7.9Eng</t>
  </si>
  <si>
    <t>7.9Phon</t>
  </si>
  <si>
    <t>7.10Viet</t>
  </si>
  <si>
    <t>7.10Eng</t>
  </si>
  <si>
    <t>7.10Phon</t>
  </si>
  <si>
    <t>8Struc</t>
  </si>
  <si>
    <t>8.1Viet</t>
  </si>
  <si>
    <t>8.1Eng</t>
  </si>
  <si>
    <t>8.1Phon</t>
  </si>
  <si>
    <t>8.2Viet</t>
  </si>
  <si>
    <t>8.2Eng</t>
  </si>
  <si>
    <t>8.2Phon</t>
  </si>
  <si>
    <t>8.3Viet</t>
  </si>
  <si>
    <t>8.3Eng</t>
  </si>
  <si>
    <t>8.3Phon</t>
  </si>
  <si>
    <t>8.4Viet</t>
  </si>
  <si>
    <t>8.4Eng</t>
  </si>
  <si>
    <t>8.4Phon</t>
  </si>
  <si>
    <t>8.5Viet</t>
  </si>
  <si>
    <t>8.5Eng</t>
  </si>
  <si>
    <t>8.5Phon</t>
  </si>
  <si>
    <t>8.6Viet</t>
  </si>
  <si>
    <t>8.6Eng</t>
  </si>
  <si>
    <t>8.6Phon</t>
  </si>
  <si>
    <t>8.7Viet</t>
  </si>
  <si>
    <t>8.7Eng</t>
  </si>
  <si>
    <t>8.7Phon</t>
  </si>
  <si>
    <t>8.8Viet</t>
  </si>
  <si>
    <t>8.8Eng</t>
  </si>
  <si>
    <t>8.8Phon</t>
  </si>
  <si>
    <t>8.9Viet</t>
  </si>
  <si>
    <t>8.9Eng</t>
  </si>
  <si>
    <t>8.9Phon</t>
  </si>
  <si>
    <t>8.10Viet</t>
  </si>
  <si>
    <t>8.10Eng</t>
  </si>
  <si>
    <t>8.10Phon</t>
  </si>
  <si>
    <t>8.11Viet</t>
  </si>
  <si>
    <t>8.11Eng</t>
  </si>
  <si>
    <t>8.11Phon</t>
  </si>
  <si>
    <t>8.12Viet</t>
  </si>
  <si>
    <t>8.12Eng</t>
  </si>
  <si>
    <t>8.12Phon</t>
  </si>
  <si>
    <t>8.13Viet</t>
  </si>
  <si>
    <t>8.13Eng</t>
  </si>
  <si>
    <t>8.13Phon</t>
  </si>
  <si>
    <t>9Struc</t>
  </si>
  <si>
    <t>9.1Viet</t>
  </si>
  <si>
    <t>9.1Eng</t>
  </si>
  <si>
    <t>9.1Phon</t>
  </si>
  <si>
    <t>9.2Viet</t>
  </si>
  <si>
    <t>9.2Eng</t>
  </si>
  <si>
    <t>9.2Phon</t>
  </si>
  <si>
    <t>9.3Viet</t>
  </si>
  <si>
    <t>9.3Eng</t>
  </si>
  <si>
    <t>9.3Phon</t>
  </si>
  <si>
    <t>9.4Viet</t>
  </si>
  <si>
    <t>9.4Eng</t>
  </si>
  <si>
    <t>9.4Phon</t>
  </si>
  <si>
    <t>9.5Viet</t>
  </si>
  <si>
    <t>9.5Eng</t>
  </si>
  <si>
    <t>9.5Phon</t>
  </si>
  <si>
    <t>9.6Viet</t>
  </si>
  <si>
    <t>9.6Eng</t>
  </si>
  <si>
    <t>9.6Phon</t>
  </si>
  <si>
    <t>9.7Viet</t>
  </si>
  <si>
    <t>9.7Eng</t>
  </si>
  <si>
    <t>9.7Phon</t>
  </si>
  <si>
    <t>9.8Viet</t>
  </si>
  <si>
    <t>9.8Eng</t>
  </si>
  <si>
    <t>9.8Phon</t>
  </si>
  <si>
    <t>9.9Viet</t>
  </si>
  <si>
    <t>9.9Eng</t>
  </si>
  <si>
    <t>9.9Phon</t>
  </si>
  <si>
    <t>9.10Viet</t>
  </si>
  <si>
    <t>9.10Eng</t>
  </si>
  <si>
    <t>9.10Phon</t>
  </si>
  <si>
    <t>9.11Viet</t>
  </si>
  <si>
    <t>9.11Eng</t>
  </si>
  <si>
    <t>9.11Phon</t>
  </si>
  <si>
    <t>9.12Viet</t>
  </si>
  <si>
    <t>9.12Eng</t>
  </si>
  <si>
    <t>9.12Phon</t>
  </si>
  <si>
    <t>9.13Viet</t>
  </si>
  <si>
    <t>9.13Eng</t>
  </si>
  <si>
    <t>9.13Phon</t>
  </si>
  <si>
    <t>9.14Viet</t>
  </si>
  <si>
    <t>9.14Eng</t>
  </si>
  <si>
    <t>9.14Phon</t>
  </si>
  <si>
    <t>9.15Viet</t>
  </si>
  <si>
    <t>9.15Eng</t>
  </si>
  <si>
    <t>9.15Phon</t>
  </si>
  <si>
    <t>9.16Viet</t>
  </si>
  <si>
    <t>9.16Eng</t>
  </si>
  <si>
    <t>9.16Phon</t>
  </si>
  <si>
    <t>10Struc</t>
  </si>
  <si>
    <t>10.1Viet</t>
  </si>
  <si>
    <t>10.1Eng</t>
  </si>
  <si>
    <t>10.1Phon</t>
  </si>
  <si>
    <t>10.2Viet</t>
  </si>
  <si>
    <t>10.2Eng</t>
  </si>
  <si>
    <t>10.2Phon</t>
  </si>
  <si>
    <t>10.3Viet</t>
  </si>
  <si>
    <t>10.3Eng</t>
  </si>
  <si>
    <t>10.3Phon</t>
  </si>
  <si>
    <t>10.4Viet</t>
  </si>
  <si>
    <t>10.4Eng</t>
  </si>
  <si>
    <t>10.4Phon</t>
  </si>
  <si>
    <t>10.5Viet</t>
  </si>
  <si>
    <t>10.5Eng</t>
  </si>
  <si>
    <t>10.5Phon</t>
  </si>
  <si>
    <t>10.6Viet</t>
  </si>
  <si>
    <t>10.6Eng</t>
  </si>
  <si>
    <t>10.6Phon</t>
  </si>
  <si>
    <t>11Struc</t>
  </si>
  <si>
    <t>11.1Viet</t>
  </si>
  <si>
    <t>11.1Eng</t>
  </si>
  <si>
    <t>11.1Phon</t>
  </si>
  <si>
    <t>11.2Viet</t>
  </si>
  <si>
    <t>11.2Eng</t>
  </si>
  <si>
    <t>11.2Phon</t>
  </si>
  <si>
    <t>11.3Viet</t>
  </si>
  <si>
    <t>11.3Eng</t>
  </si>
  <si>
    <t>11.3Phon</t>
  </si>
  <si>
    <t>11.4Viet</t>
  </si>
  <si>
    <t>11.4Eng</t>
  </si>
  <si>
    <t>11.4Phon</t>
  </si>
  <si>
    <t>11.5Viet</t>
  </si>
  <si>
    <t>11.5Eng</t>
  </si>
  <si>
    <t>11.5Phon</t>
  </si>
  <si>
    <t>11.6Viet</t>
  </si>
  <si>
    <t>11.6Eng</t>
  </si>
  <si>
    <t>11.6Phon</t>
  </si>
  <si>
    <t>12Struc</t>
  </si>
  <si>
    <t>12.1Viet</t>
  </si>
  <si>
    <t>12.1Eng</t>
  </si>
  <si>
    <t>12.1Phon</t>
  </si>
  <si>
    <t>12.2Viet</t>
  </si>
  <si>
    <t>12.2Eng</t>
  </si>
  <si>
    <t>12.2Phon</t>
  </si>
  <si>
    <t>12.3Viet</t>
  </si>
  <si>
    <t>12.3Eng</t>
  </si>
  <si>
    <t>12.3Phon</t>
  </si>
  <si>
    <t>12.4Viet</t>
  </si>
  <si>
    <t>12.4Eng</t>
  </si>
  <si>
    <t>12.4Phon</t>
  </si>
  <si>
    <t>12.5Viet</t>
  </si>
  <si>
    <t>12.5Eng</t>
  </si>
  <si>
    <t>12.5Phon</t>
  </si>
  <si>
    <t>12.6Viet</t>
  </si>
  <si>
    <t>12.6Eng</t>
  </si>
  <si>
    <t>12.6Phon</t>
  </si>
  <si>
    <t>12.7Viet</t>
  </si>
  <si>
    <t>12.7Eng</t>
  </si>
  <si>
    <t>12.7Phon</t>
  </si>
  <si>
    <t>12.8Viet</t>
  </si>
  <si>
    <t>12.8Eng</t>
  </si>
  <si>
    <t>12.8Phon</t>
  </si>
  <si>
    <t>12.9Viet</t>
  </si>
  <si>
    <t>12.9Eng</t>
  </si>
  <si>
    <t>12.9Phon</t>
  </si>
  <si>
    <t>12.10Viet</t>
  </si>
  <si>
    <t>12.10Eng</t>
  </si>
  <si>
    <t>12.10Phon</t>
  </si>
  <si>
    <t>12.11Viet</t>
  </si>
  <si>
    <t>12.11Eng</t>
  </si>
  <si>
    <t>12.11Phon</t>
  </si>
  <si>
    <t>12.12Viet</t>
  </si>
  <si>
    <t>12.12Eng</t>
  </si>
  <si>
    <t>12.12Phon</t>
  </si>
  <si>
    <t>13Struc</t>
  </si>
  <si>
    <t>13.1Viet</t>
  </si>
  <si>
    <t>13.1Eng</t>
  </si>
  <si>
    <t>13.1Phon</t>
  </si>
  <si>
    <t>13.2Viet</t>
  </si>
  <si>
    <t>13.2Eng</t>
  </si>
  <si>
    <t>13.2Phon</t>
  </si>
  <si>
    <t>13.3Viet</t>
  </si>
  <si>
    <t>13.3Eng</t>
  </si>
  <si>
    <t>13.3Phon</t>
  </si>
  <si>
    <t>13.4Viet</t>
  </si>
  <si>
    <t>13.4Eng</t>
  </si>
  <si>
    <t>13.4Phon</t>
  </si>
  <si>
    <t>13.5Viet</t>
  </si>
  <si>
    <t>13.5Eng</t>
  </si>
  <si>
    <t>13.5Phon</t>
  </si>
  <si>
    <t>13.6Viet</t>
  </si>
  <si>
    <t>13.6Eng</t>
  </si>
  <si>
    <t>13.6Phon</t>
  </si>
  <si>
    <t>13.7Viet</t>
  </si>
  <si>
    <t>13.7Eng</t>
  </si>
  <si>
    <t>13.7Phon</t>
  </si>
  <si>
    <t>13.8Viet</t>
  </si>
  <si>
    <t>13.8Eng</t>
  </si>
  <si>
    <t>13.8Phon</t>
  </si>
  <si>
    <t>13.9Viet</t>
  </si>
  <si>
    <t>13.9Eng</t>
  </si>
  <si>
    <t>13.9Phon</t>
  </si>
  <si>
    <t>13.10Viet</t>
  </si>
  <si>
    <t>13.10Eng</t>
  </si>
  <si>
    <t>13.10Phon</t>
  </si>
  <si>
    <t>13.11Viet</t>
  </si>
  <si>
    <t>13.11Eng</t>
  </si>
  <si>
    <t>13.11Phon</t>
  </si>
  <si>
    <t>14Struc</t>
  </si>
  <si>
    <t>14.1Viet</t>
  </si>
  <si>
    <t>14.1Eng</t>
  </si>
  <si>
    <t>14.1Phon</t>
  </si>
  <si>
    <t>14.2Viet</t>
  </si>
  <si>
    <t>14.2Eng</t>
  </si>
  <si>
    <t>14.2Phon</t>
  </si>
  <si>
    <t>14.3Viet</t>
  </si>
  <si>
    <t>14.3Eng</t>
  </si>
  <si>
    <t>14.3Phon</t>
  </si>
  <si>
    <t>14.4Viet</t>
  </si>
  <si>
    <t>14.4Eng</t>
  </si>
  <si>
    <t>14.4Phon</t>
  </si>
  <si>
    <t>14.5Viet</t>
  </si>
  <si>
    <t>14.5Eng</t>
  </si>
  <si>
    <t>14.5Phon</t>
  </si>
  <si>
    <t>14.6Viet</t>
  </si>
  <si>
    <t>14.6Eng</t>
  </si>
  <si>
    <t>14.6Phon</t>
  </si>
  <si>
    <t>14.7Viet</t>
  </si>
  <si>
    <t>14.7Eng</t>
  </si>
  <si>
    <t>14.7Phon</t>
  </si>
  <si>
    <t>15Struc</t>
  </si>
  <si>
    <t>15.1Viet</t>
  </si>
  <si>
    <t>15.1Eng</t>
  </si>
  <si>
    <t>15.1Phon</t>
  </si>
  <si>
    <t>15.2Viet</t>
  </si>
  <si>
    <t>15.2Eng</t>
  </si>
  <si>
    <t>15.2Phon</t>
  </si>
  <si>
    <t>15.3Viet</t>
  </si>
  <si>
    <t>15.3Eng</t>
  </si>
  <si>
    <t>15.3Phon</t>
  </si>
  <si>
    <t>15.4Viet</t>
  </si>
  <si>
    <t>15.4Eng</t>
  </si>
  <si>
    <t>15.4Phon</t>
  </si>
  <si>
    <t>15.5Viet</t>
  </si>
  <si>
    <t>15.5Eng</t>
  </si>
  <si>
    <t>15.5Phon</t>
  </si>
  <si>
    <t>15.6Viet</t>
  </si>
  <si>
    <t>15.6Eng</t>
  </si>
  <si>
    <t>15.6Phon</t>
  </si>
  <si>
    <t>15.7Viet</t>
  </si>
  <si>
    <t>15.7Eng</t>
  </si>
  <si>
    <t>15.7Phon</t>
  </si>
  <si>
    <t>16Struc</t>
  </si>
  <si>
    <t>16.1Viet</t>
  </si>
  <si>
    <t>16.1Eng</t>
  </si>
  <si>
    <t>16.1Phon</t>
  </si>
  <si>
    <t>16.2Viet</t>
  </si>
  <si>
    <t>16.2Eng</t>
  </si>
  <si>
    <t>16.2Phon</t>
  </si>
  <si>
    <t>16.3Viet</t>
  </si>
  <si>
    <t>16.3Eng</t>
  </si>
  <si>
    <t>16.3Phon</t>
  </si>
  <si>
    <t>16.4Viet</t>
  </si>
  <si>
    <t>16.4Eng</t>
  </si>
  <si>
    <t>16.4Phon</t>
  </si>
  <si>
    <t>16.5Viet</t>
  </si>
  <si>
    <t>16.5Eng</t>
  </si>
  <si>
    <t>16.5Phon</t>
  </si>
  <si>
    <t>16.6Viet</t>
  </si>
  <si>
    <t>16.6Eng</t>
  </si>
  <si>
    <t>16.6Phon</t>
  </si>
  <si>
    <t>17Struc</t>
  </si>
  <si>
    <t>17.1Viet</t>
  </si>
  <si>
    <t>17.1Eng</t>
  </si>
  <si>
    <t>17.1Phon</t>
  </si>
  <si>
    <t>17.2Viet</t>
  </si>
  <si>
    <t>17.2Eng</t>
  </si>
  <si>
    <t>17.2Phon</t>
  </si>
  <si>
    <t>17.3Viet</t>
  </si>
  <si>
    <t>17.3Eng</t>
  </si>
  <si>
    <t>17.3Phon</t>
  </si>
  <si>
    <t>17.4Viet</t>
  </si>
  <si>
    <t>17.4Eng</t>
  </si>
  <si>
    <t>17.4Phon</t>
  </si>
  <si>
    <t>17.5Viet</t>
  </si>
  <si>
    <t>17.5Eng</t>
  </si>
  <si>
    <t>17.5Phon</t>
  </si>
  <si>
    <t>17.6Viet</t>
  </si>
  <si>
    <t>17.6Eng</t>
  </si>
  <si>
    <t>17.6Phon</t>
  </si>
  <si>
    <t>18Struc</t>
  </si>
  <si>
    <t>18.1Viet</t>
  </si>
  <si>
    <t>18.1Eng</t>
  </si>
  <si>
    <t>18.1Phon</t>
  </si>
  <si>
    <t>18.2Viet</t>
  </si>
  <si>
    <t>18.2Eng</t>
  </si>
  <si>
    <t>18.2Phon</t>
  </si>
  <si>
    <t>18.3Viet</t>
  </si>
  <si>
    <t>18.3Eng</t>
  </si>
  <si>
    <t>18.3Phon</t>
  </si>
  <si>
    <t>19Struc</t>
  </si>
  <si>
    <t>19.1Viet</t>
  </si>
  <si>
    <t>19.1Eng</t>
  </si>
  <si>
    <t>19.1Phon</t>
  </si>
  <si>
    <t>19.2Viet</t>
  </si>
  <si>
    <t>19.2Eng</t>
  </si>
  <si>
    <t>19.2Phon</t>
  </si>
  <si>
    <t>19.3Viet</t>
  </si>
  <si>
    <t>19.3Eng</t>
  </si>
  <si>
    <t>19.3Phon</t>
  </si>
  <si>
    <t>20Struc</t>
  </si>
  <si>
    <t>20.1Viet</t>
  </si>
  <si>
    <t>20.1Eng</t>
  </si>
  <si>
    <t>20.1Phon</t>
  </si>
  <si>
    <t>20.2Viet</t>
  </si>
  <si>
    <t>20.2Eng</t>
  </si>
  <si>
    <t>20.2Phon</t>
  </si>
  <si>
    <t>20.3Viet</t>
  </si>
  <si>
    <t>20.3Eng</t>
  </si>
  <si>
    <t>20.3Phon</t>
  </si>
  <si>
    <t>21Struc</t>
  </si>
  <si>
    <t>21.1Viet</t>
  </si>
  <si>
    <t>21.1Eng</t>
  </si>
  <si>
    <t>21.1Phon</t>
  </si>
  <si>
    <t>21.2Viet</t>
  </si>
  <si>
    <t>21.2Eng</t>
  </si>
  <si>
    <t>21.2Phon</t>
  </si>
  <si>
    <t>21.3Viet</t>
  </si>
  <si>
    <t>21.3Eng</t>
  </si>
  <si>
    <t>21.3Phon</t>
  </si>
  <si>
    <t>21.4Viet</t>
  </si>
  <si>
    <t>21.4Eng</t>
  </si>
  <si>
    <t>21.4Phon</t>
  </si>
  <si>
    <t>21.5Viet</t>
  </si>
  <si>
    <t>21.5Eng</t>
  </si>
  <si>
    <t>21.5Phon</t>
  </si>
  <si>
    <t>22Struc</t>
  </si>
  <si>
    <t>22.1Viet</t>
  </si>
  <si>
    <t>22.1Eng</t>
  </si>
  <si>
    <t>22.1Phon</t>
  </si>
  <si>
    <t>22.2Viet</t>
  </si>
  <si>
    <t>22.2Eng</t>
  </si>
  <si>
    <t>22.2Phon</t>
  </si>
  <si>
    <t>22.3Viet</t>
  </si>
  <si>
    <t>22.3Eng</t>
  </si>
  <si>
    <t>22.3Phon</t>
  </si>
  <si>
    <t>22.4Viet</t>
  </si>
  <si>
    <t>22.4Eng</t>
  </si>
  <si>
    <t>22.4Phon</t>
  </si>
  <si>
    <t>22.5Viet</t>
  </si>
  <si>
    <t>22.5Eng</t>
  </si>
  <si>
    <t>22.5Phon</t>
  </si>
  <si>
    <t>23Struc</t>
  </si>
  <si>
    <t>23.1Viet</t>
  </si>
  <si>
    <t>23.1Eng</t>
  </si>
  <si>
    <t>23.1Phon</t>
  </si>
  <si>
    <t>23.2Viet</t>
  </si>
  <si>
    <t>23.2Eng</t>
  </si>
  <si>
    <t>23.2Phon</t>
  </si>
  <si>
    <t>23.3Viet</t>
  </si>
  <si>
    <t>23.3Eng</t>
  </si>
  <si>
    <t>23.3Phon</t>
  </si>
  <si>
    <t>23.4Viet</t>
  </si>
  <si>
    <t>23.4Eng</t>
  </si>
  <si>
    <t>23.4Phon</t>
  </si>
  <si>
    <t>23.5Viet</t>
  </si>
  <si>
    <t>23.5Eng</t>
  </si>
  <si>
    <t>23.5Phon</t>
  </si>
  <si>
    <t>TOPIC: EXPRESSING OPINIONS</t>
  </si>
  <si>
    <t>06-10</t>
  </si>
  <si>
    <t>11-15</t>
  </si>
  <si>
    <t>16-23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</si>
</sst>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515"/>
  <sheetViews>
    <sheetView showGridLines="0" tabSelected="1" zoomScale="81" zoomScaleNormal="81" workbookViewId="0">
      <selection activeCell="F19" sqref="F19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9.5" style="15" customWidth="1"/>
    <col min="4" max="4" width="39" style="11" customWidth="1"/>
    <col min="5" max="5" width="8.8984375" style="15" customWidth="1"/>
    <col min="6" max="6" width="49.19921875" style="11" customWidth="1"/>
    <col min="7" max="7" width="7.296875" style="21" customWidth="1"/>
    <col min="8" max="8" width="79.5" style="21" customWidth="1"/>
    <col min="9" max="16384" width="8.796875" style="21"/>
  </cols>
  <sheetData>
    <row r="2" spans="1:8" x14ac:dyDescent="0.25">
      <c r="B2" s="11" t="s">
        <v>1226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15"/>
      <c r="B4" s="13" t="s">
        <v>460</v>
      </c>
      <c r="C4" s="14" t="s">
        <v>40</v>
      </c>
      <c r="D4" s="20" t="s">
        <v>483</v>
      </c>
      <c r="E4" s="14" t="s">
        <v>11</v>
      </c>
      <c r="F4" s="20" t="str">
        <f>IF(G4="","","https://docs.google.com/uc?export=download&amp;id="&amp;G4)</f>
        <v/>
      </c>
      <c r="G4" s="9"/>
      <c r="H4" s="21"/>
    </row>
    <row r="5" spans="1:8" x14ac:dyDescent="0.25">
      <c r="B5" s="24" t="s">
        <v>13</v>
      </c>
      <c r="C5" s="24" t="s">
        <v>41</v>
      </c>
      <c r="D5" s="25" t="s">
        <v>484</v>
      </c>
      <c r="E5" s="24" t="s">
        <v>3</v>
      </c>
      <c r="F5" s="20" t="str">
        <f t="shared" ref="F5:F6" si="0">IF(G5="","","https://docs.google.com/uc?export=download&amp;id="&amp;G5)</f>
        <v/>
      </c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97</v>
      </c>
      <c r="D6" s="25" t="s">
        <v>133</v>
      </c>
      <c r="E6" s="24" t="s">
        <v>4</v>
      </c>
      <c r="F6" s="20" t="str">
        <f t="shared" si="0"/>
        <v/>
      </c>
      <c r="G6" s="23" t="str">
        <f t="shared" ref="G6:G7" si="1">IFERROR(LEFT(RIGHT(H6,LEN(H6)-32),LEN(RIGHT(H6,LEN(H6)-32))-17),"")</f>
        <v/>
      </c>
    </row>
    <row r="7" spans="1:8" x14ac:dyDescent="0.25">
      <c r="B7" s="24" t="s">
        <v>13</v>
      </c>
      <c r="C7" s="24" t="s">
        <v>42</v>
      </c>
      <c r="D7" s="25" t="s">
        <v>134</v>
      </c>
      <c r="E7" s="24" t="s">
        <v>5</v>
      </c>
      <c r="F7" s="20" t="str">
        <f t="shared" ref="F7:F70" si="2">IF(G7="","","https://docs.google.com/uc?export=download&amp;id="&amp;G7)</f>
        <v/>
      </c>
      <c r="G7" s="23" t="str">
        <f t="shared" si="1"/>
        <v/>
      </c>
    </row>
    <row r="8" spans="1:8" x14ac:dyDescent="0.25">
      <c r="B8" s="24" t="s">
        <v>14</v>
      </c>
      <c r="C8" s="24" t="s">
        <v>43</v>
      </c>
      <c r="D8" s="25" t="s">
        <v>485</v>
      </c>
      <c r="E8" s="24" t="s">
        <v>3</v>
      </c>
      <c r="F8" s="20" t="str">
        <f t="shared" si="2"/>
        <v/>
      </c>
      <c r="G8" s="23" t="str">
        <f t="shared" ref="G8:G71" si="3">IFERROR(LEFT(RIGHT(H8,LEN(H8)-32),LEN(RIGHT(H8,LEN(H8)-32))-17),"")</f>
        <v/>
      </c>
    </row>
    <row r="9" spans="1:8" x14ac:dyDescent="0.25">
      <c r="A9" s="15">
        <v>2</v>
      </c>
      <c r="B9" s="24" t="s">
        <v>14</v>
      </c>
      <c r="C9" s="24" t="s">
        <v>98</v>
      </c>
      <c r="D9" s="25" t="s">
        <v>135</v>
      </c>
      <c r="E9" s="24" t="s">
        <v>4</v>
      </c>
      <c r="F9" s="20" t="str">
        <f t="shared" si="2"/>
        <v/>
      </c>
      <c r="G9" s="23" t="str">
        <f t="shared" si="3"/>
        <v/>
      </c>
    </row>
    <row r="10" spans="1:8" x14ac:dyDescent="0.25">
      <c r="B10" s="24" t="s">
        <v>14</v>
      </c>
      <c r="C10" s="24" t="s">
        <v>44</v>
      </c>
      <c r="D10" s="25" t="s">
        <v>136</v>
      </c>
      <c r="E10" s="24" t="s">
        <v>5</v>
      </c>
      <c r="F10" s="20" t="str">
        <f t="shared" si="2"/>
        <v/>
      </c>
      <c r="G10" s="23" t="str">
        <f t="shared" si="3"/>
        <v/>
      </c>
    </row>
    <row r="11" spans="1:8" x14ac:dyDescent="0.25">
      <c r="B11" s="24" t="s">
        <v>12</v>
      </c>
      <c r="C11" s="24" t="s">
        <v>45</v>
      </c>
      <c r="D11" s="25" t="s">
        <v>486</v>
      </c>
      <c r="E11" s="24" t="s">
        <v>3</v>
      </c>
      <c r="F11" s="20" t="str">
        <f t="shared" si="2"/>
        <v/>
      </c>
      <c r="G11" s="23" t="str">
        <f t="shared" si="3"/>
        <v/>
      </c>
    </row>
    <row r="12" spans="1:8" x14ac:dyDescent="0.25">
      <c r="A12" s="15">
        <v>3</v>
      </c>
      <c r="B12" s="24" t="s">
        <v>12</v>
      </c>
      <c r="C12" s="24" t="s">
        <v>99</v>
      </c>
      <c r="D12" s="25" t="s">
        <v>137</v>
      </c>
      <c r="E12" s="24" t="s">
        <v>4</v>
      </c>
      <c r="F12" s="20" t="str">
        <f t="shared" si="2"/>
        <v/>
      </c>
      <c r="G12" s="23" t="str">
        <f t="shared" si="3"/>
        <v/>
      </c>
    </row>
    <row r="13" spans="1:8" x14ac:dyDescent="0.25">
      <c r="B13" s="24" t="s">
        <v>12</v>
      </c>
      <c r="C13" s="24" t="s">
        <v>46</v>
      </c>
      <c r="D13" s="25" t="s">
        <v>138</v>
      </c>
      <c r="E13" s="24" t="s">
        <v>5</v>
      </c>
      <c r="F13" s="20" t="str">
        <f t="shared" si="2"/>
        <v/>
      </c>
      <c r="G13" s="23" t="str">
        <f t="shared" si="3"/>
        <v/>
      </c>
    </row>
    <row r="14" spans="1:8" x14ac:dyDescent="0.25">
      <c r="B14" s="24" t="s">
        <v>33</v>
      </c>
      <c r="C14" s="24" t="s">
        <v>47</v>
      </c>
      <c r="D14" s="25" t="s">
        <v>487</v>
      </c>
      <c r="E14" s="24" t="s">
        <v>3</v>
      </c>
      <c r="F14" s="20" t="str">
        <f t="shared" si="2"/>
        <v/>
      </c>
      <c r="G14" s="23" t="str">
        <f t="shared" si="3"/>
        <v/>
      </c>
    </row>
    <row r="15" spans="1:8" x14ac:dyDescent="0.25">
      <c r="A15" s="15">
        <v>4</v>
      </c>
      <c r="B15" s="24" t="s">
        <v>33</v>
      </c>
      <c r="C15" s="24" t="s">
        <v>100</v>
      </c>
      <c r="D15" s="25" t="s">
        <v>139</v>
      </c>
      <c r="E15" s="24" t="s">
        <v>4</v>
      </c>
      <c r="F15" s="20" t="str">
        <f t="shared" si="2"/>
        <v/>
      </c>
      <c r="G15" s="23" t="str">
        <f t="shared" si="3"/>
        <v/>
      </c>
    </row>
    <row r="16" spans="1:8" x14ac:dyDescent="0.25">
      <c r="B16" s="24" t="s">
        <v>33</v>
      </c>
      <c r="C16" s="24" t="s">
        <v>48</v>
      </c>
      <c r="D16" s="25" t="s">
        <v>140</v>
      </c>
      <c r="E16" s="24" t="s">
        <v>5</v>
      </c>
      <c r="F16" s="20" t="str">
        <f t="shared" si="2"/>
        <v/>
      </c>
      <c r="G16" s="23" t="str">
        <f t="shared" si="3"/>
        <v/>
      </c>
    </row>
    <row r="17" spans="1:8" s="10" customFormat="1" x14ac:dyDescent="0.25">
      <c r="A17" s="15"/>
      <c r="B17" s="24" t="s">
        <v>34</v>
      </c>
      <c r="C17" s="24" t="s">
        <v>49</v>
      </c>
      <c r="D17" s="25" t="s">
        <v>488</v>
      </c>
      <c r="E17" s="24" t="s">
        <v>3</v>
      </c>
      <c r="F17" s="20" t="str">
        <f t="shared" si="2"/>
        <v/>
      </c>
      <c r="G17" s="23" t="str">
        <f t="shared" si="3"/>
        <v/>
      </c>
      <c r="H17" s="21"/>
    </row>
    <row r="18" spans="1:8" x14ac:dyDescent="0.25">
      <c r="A18" s="15">
        <v>5</v>
      </c>
      <c r="B18" s="24" t="s">
        <v>34</v>
      </c>
      <c r="C18" s="24" t="s">
        <v>101</v>
      </c>
      <c r="D18" s="25" t="s">
        <v>141</v>
      </c>
      <c r="E18" s="24" t="s">
        <v>4</v>
      </c>
      <c r="F18" s="20" t="str">
        <f t="shared" si="2"/>
        <v/>
      </c>
      <c r="G18" s="23" t="str">
        <f t="shared" si="3"/>
        <v/>
      </c>
    </row>
    <row r="19" spans="1:8" x14ac:dyDescent="0.25">
      <c r="B19" s="24" t="s">
        <v>34</v>
      </c>
      <c r="C19" s="24" t="s">
        <v>50</v>
      </c>
      <c r="D19" s="25" t="s">
        <v>142</v>
      </c>
      <c r="E19" s="24" t="s">
        <v>5</v>
      </c>
      <c r="F19" s="20" t="str">
        <f t="shared" si="2"/>
        <v/>
      </c>
      <c r="G19" s="23" t="str">
        <f t="shared" si="3"/>
        <v/>
      </c>
    </row>
    <row r="20" spans="1:8" x14ac:dyDescent="0.25">
      <c r="B20" s="24" t="s">
        <v>461</v>
      </c>
      <c r="C20" s="24" t="s">
        <v>51</v>
      </c>
      <c r="D20" s="25" t="s">
        <v>489</v>
      </c>
      <c r="E20" s="24" t="s">
        <v>11</v>
      </c>
      <c r="F20" s="20" t="str">
        <f t="shared" si="2"/>
        <v/>
      </c>
      <c r="G20" s="23" t="str">
        <f t="shared" si="3"/>
        <v/>
      </c>
    </row>
    <row r="21" spans="1:8" x14ac:dyDescent="0.25">
      <c r="B21" s="24" t="s">
        <v>15</v>
      </c>
      <c r="C21" s="24" t="s">
        <v>52</v>
      </c>
      <c r="D21" s="25" t="s">
        <v>490</v>
      </c>
      <c r="E21" s="24" t="s">
        <v>3</v>
      </c>
      <c r="F21" s="20" t="str">
        <f t="shared" si="2"/>
        <v/>
      </c>
      <c r="G21" s="23" t="str">
        <f>IFERROR(LEFT(RIGHT(H21,LEN(H21)-32),LEN(RIGHT(H21,LEN(H21)-32))-17),"")</f>
        <v/>
      </c>
    </row>
    <row r="22" spans="1:8" x14ac:dyDescent="0.25">
      <c r="A22" s="15">
        <v>6</v>
      </c>
      <c r="B22" s="24" t="s">
        <v>15</v>
      </c>
      <c r="C22" s="24" t="s">
        <v>102</v>
      </c>
      <c r="D22" s="25" t="s">
        <v>143</v>
      </c>
      <c r="E22" s="24" t="s">
        <v>4</v>
      </c>
      <c r="F22" s="20" t="str">
        <f t="shared" si="2"/>
        <v/>
      </c>
      <c r="G22" s="23" t="str">
        <f>IFERROR(LEFT(RIGHT(H22,LEN(H22)-32),LEN(RIGHT(H22,LEN(H22)-32))-17),"")</f>
        <v/>
      </c>
    </row>
    <row r="23" spans="1:8" x14ac:dyDescent="0.25">
      <c r="B23" s="24" t="s">
        <v>15</v>
      </c>
      <c r="C23" s="24" t="s">
        <v>53</v>
      </c>
      <c r="D23" s="25" t="s">
        <v>144</v>
      </c>
      <c r="E23" s="24" t="s">
        <v>5</v>
      </c>
      <c r="F23" s="20" t="str">
        <f t="shared" si="2"/>
        <v/>
      </c>
      <c r="G23" s="23" t="str">
        <f t="shared" si="3"/>
        <v/>
      </c>
    </row>
    <row r="24" spans="1:8" x14ac:dyDescent="0.25">
      <c r="B24" s="24" t="s">
        <v>17</v>
      </c>
      <c r="C24" s="24" t="s">
        <v>54</v>
      </c>
      <c r="D24" s="25" t="s">
        <v>491</v>
      </c>
      <c r="E24" s="24" t="s">
        <v>3</v>
      </c>
      <c r="F24" s="20" t="str">
        <f t="shared" si="2"/>
        <v/>
      </c>
      <c r="G24" s="23" t="str">
        <f t="shared" si="3"/>
        <v/>
      </c>
    </row>
    <row r="25" spans="1:8" x14ac:dyDescent="0.25">
      <c r="A25" s="15">
        <v>7</v>
      </c>
      <c r="B25" s="24" t="s">
        <v>17</v>
      </c>
      <c r="C25" s="24" t="s">
        <v>103</v>
      </c>
      <c r="D25" s="25" t="s">
        <v>145</v>
      </c>
      <c r="E25" s="24" t="s">
        <v>4</v>
      </c>
      <c r="F25" s="20" t="str">
        <f t="shared" si="2"/>
        <v/>
      </c>
      <c r="G25" s="23" t="str">
        <f t="shared" si="3"/>
        <v/>
      </c>
    </row>
    <row r="26" spans="1:8" x14ac:dyDescent="0.25">
      <c r="B26" s="24" t="s">
        <v>17</v>
      </c>
      <c r="C26" s="24" t="s">
        <v>55</v>
      </c>
      <c r="D26" s="25" t="s">
        <v>146</v>
      </c>
      <c r="E26" s="24" t="s">
        <v>5</v>
      </c>
      <c r="F26" s="20" t="str">
        <f t="shared" si="2"/>
        <v/>
      </c>
      <c r="G26" s="23" t="str">
        <f t="shared" si="3"/>
        <v/>
      </c>
    </row>
    <row r="27" spans="1:8" x14ac:dyDescent="0.25">
      <c r="B27" s="24" t="s">
        <v>16</v>
      </c>
      <c r="C27" s="24" t="s">
        <v>56</v>
      </c>
      <c r="D27" s="25" t="s">
        <v>492</v>
      </c>
      <c r="E27" s="24" t="s">
        <v>3</v>
      </c>
      <c r="F27" s="20" t="str">
        <f t="shared" si="2"/>
        <v/>
      </c>
      <c r="G27" s="23" t="str">
        <f t="shared" si="3"/>
        <v/>
      </c>
    </row>
    <row r="28" spans="1:8" x14ac:dyDescent="0.25">
      <c r="A28" s="15">
        <v>8</v>
      </c>
      <c r="B28" s="24" t="s">
        <v>16</v>
      </c>
      <c r="C28" s="24" t="s">
        <v>104</v>
      </c>
      <c r="D28" s="25" t="s">
        <v>147</v>
      </c>
      <c r="E28" s="24" t="s">
        <v>4</v>
      </c>
      <c r="F28" s="20" t="str">
        <f t="shared" si="2"/>
        <v/>
      </c>
      <c r="G28" s="23" t="str">
        <f t="shared" si="3"/>
        <v/>
      </c>
    </row>
    <row r="29" spans="1:8" x14ac:dyDescent="0.25">
      <c r="B29" s="24" t="s">
        <v>16</v>
      </c>
      <c r="C29" s="24" t="s">
        <v>57</v>
      </c>
      <c r="D29" s="25" t="s">
        <v>148</v>
      </c>
      <c r="E29" s="24" t="s">
        <v>5</v>
      </c>
      <c r="F29" s="20" t="str">
        <f t="shared" si="2"/>
        <v/>
      </c>
      <c r="G29" s="23" t="str">
        <f t="shared" si="3"/>
        <v/>
      </c>
    </row>
    <row r="30" spans="1:8" s="10" customFormat="1" x14ac:dyDescent="0.25">
      <c r="A30" s="15"/>
      <c r="B30" s="24" t="s">
        <v>35</v>
      </c>
      <c r="C30" s="24" t="s">
        <v>58</v>
      </c>
      <c r="D30" s="25" t="s">
        <v>493</v>
      </c>
      <c r="E30" s="24" t="s">
        <v>3</v>
      </c>
      <c r="F30" s="20" t="str">
        <f t="shared" si="2"/>
        <v/>
      </c>
      <c r="G30" s="23" t="str">
        <f t="shared" si="3"/>
        <v/>
      </c>
      <c r="H30" s="21"/>
    </row>
    <row r="31" spans="1:8" x14ac:dyDescent="0.25">
      <c r="A31" s="15">
        <v>9</v>
      </c>
      <c r="B31" s="24" t="s">
        <v>35</v>
      </c>
      <c r="C31" s="24" t="s">
        <v>105</v>
      </c>
      <c r="D31" s="25" t="s">
        <v>149</v>
      </c>
      <c r="E31" s="24" t="s">
        <v>4</v>
      </c>
      <c r="F31" s="20" t="str">
        <f t="shared" si="2"/>
        <v/>
      </c>
      <c r="G31" s="23" t="str">
        <f t="shared" si="3"/>
        <v/>
      </c>
    </row>
    <row r="32" spans="1:8" x14ac:dyDescent="0.25">
      <c r="B32" s="24" t="s">
        <v>35</v>
      </c>
      <c r="C32" s="24" t="s">
        <v>59</v>
      </c>
      <c r="D32" s="20" t="s">
        <v>150</v>
      </c>
      <c r="E32" s="24" t="s">
        <v>5</v>
      </c>
      <c r="F32" s="20" t="str">
        <f t="shared" si="2"/>
        <v/>
      </c>
      <c r="G32" s="23" t="str">
        <f t="shared" si="3"/>
        <v/>
      </c>
    </row>
    <row r="33" spans="1:7" x14ac:dyDescent="0.25">
      <c r="B33" s="24" t="s">
        <v>462</v>
      </c>
      <c r="C33" s="24" t="s">
        <v>60</v>
      </c>
      <c r="D33" s="25" t="s">
        <v>494</v>
      </c>
      <c r="E33" s="24" t="s">
        <v>11</v>
      </c>
      <c r="F33" s="20" t="str">
        <f t="shared" si="2"/>
        <v/>
      </c>
      <c r="G33" s="23" t="str">
        <f t="shared" si="3"/>
        <v/>
      </c>
    </row>
    <row r="34" spans="1:7" x14ac:dyDescent="0.25">
      <c r="B34" s="24" t="s">
        <v>18</v>
      </c>
      <c r="C34" s="24" t="s">
        <v>61</v>
      </c>
      <c r="D34" s="25" t="s">
        <v>495</v>
      </c>
      <c r="E34" s="24" t="s">
        <v>3</v>
      </c>
      <c r="F34" s="20" t="str">
        <f t="shared" si="2"/>
        <v/>
      </c>
      <c r="G34" s="23" t="str">
        <f t="shared" si="3"/>
        <v/>
      </c>
    </row>
    <row r="35" spans="1:7" x14ac:dyDescent="0.25">
      <c r="A35" s="15">
        <v>10</v>
      </c>
      <c r="B35" s="24" t="s">
        <v>18</v>
      </c>
      <c r="C35" s="24" t="s">
        <v>106</v>
      </c>
      <c r="D35" s="25" t="s">
        <v>151</v>
      </c>
      <c r="E35" s="24" t="s">
        <v>4</v>
      </c>
      <c r="F35" s="20" t="str">
        <f t="shared" si="2"/>
        <v/>
      </c>
      <c r="G35" s="23" t="str">
        <f t="shared" si="3"/>
        <v/>
      </c>
    </row>
    <row r="36" spans="1:7" x14ac:dyDescent="0.25">
      <c r="B36" s="24" t="s">
        <v>18</v>
      </c>
      <c r="C36" s="24" t="s">
        <v>62</v>
      </c>
      <c r="D36" s="25" t="s">
        <v>152</v>
      </c>
      <c r="E36" s="24" t="s">
        <v>5</v>
      </c>
      <c r="F36" s="20" t="str">
        <f t="shared" si="2"/>
        <v/>
      </c>
      <c r="G36" s="23" t="str">
        <f t="shared" si="3"/>
        <v/>
      </c>
    </row>
    <row r="37" spans="1:7" x14ac:dyDescent="0.25">
      <c r="B37" s="24" t="s">
        <v>19</v>
      </c>
      <c r="C37" s="24" t="s">
        <v>63</v>
      </c>
      <c r="D37" s="25" t="s">
        <v>496</v>
      </c>
      <c r="E37" s="24" t="s">
        <v>3</v>
      </c>
      <c r="F37" s="20" t="str">
        <f t="shared" si="2"/>
        <v/>
      </c>
      <c r="G37" s="23" t="str">
        <f t="shared" si="3"/>
        <v/>
      </c>
    </row>
    <row r="38" spans="1:7" x14ac:dyDescent="0.25">
      <c r="A38" s="15">
        <v>11</v>
      </c>
      <c r="B38" s="24" t="s">
        <v>19</v>
      </c>
      <c r="C38" s="24" t="s">
        <v>107</v>
      </c>
      <c r="D38" s="25" t="s">
        <v>153</v>
      </c>
      <c r="E38" s="24" t="s">
        <v>4</v>
      </c>
      <c r="F38" s="20" t="str">
        <f t="shared" si="2"/>
        <v/>
      </c>
      <c r="G38" s="23" t="str">
        <f t="shared" si="3"/>
        <v/>
      </c>
    </row>
    <row r="39" spans="1:7" x14ac:dyDescent="0.25">
      <c r="B39" s="24" t="s">
        <v>19</v>
      </c>
      <c r="C39" s="24" t="s">
        <v>64</v>
      </c>
      <c r="D39" s="25" t="s">
        <v>154</v>
      </c>
      <c r="E39" s="24" t="s">
        <v>5</v>
      </c>
      <c r="F39" s="20" t="str">
        <f t="shared" si="2"/>
        <v/>
      </c>
      <c r="G39" s="23" t="str">
        <f t="shared" si="3"/>
        <v/>
      </c>
    </row>
    <row r="40" spans="1:7" x14ac:dyDescent="0.25">
      <c r="B40" s="24" t="s">
        <v>20</v>
      </c>
      <c r="C40" s="24" t="s">
        <v>65</v>
      </c>
      <c r="D40" s="25" t="s">
        <v>497</v>
      </c>
      <c r="E40" s="24" t="s">
        <v>3</v>
      </c>
      <c r="F40" s="20" t="str">
        <f t="shared" si="2"/>
        <v/>
      </c>
      <c r="G40" s="23" t="str">
        <f t="shared" si="3"/>
        <v/>
      </c>
    </row>
    <row r="41" spans="1:7" x14ac:dyDescent="0.25">
      <c r="A41" s="15">
        <v>12</v>
      </c>
      <c r="B41" s="24" t="s">
        <v>20</v>
      </c>
      <c r="C41" s="24" t="s">
        <v>108</v>
      </c>
      <c r="D41" s="25" t="s">
        <v>155</v>
      </c>
      <c r="E41" s="24" t="s">
        <v>4</v>
      </c>
      <c r="F41" s="20" t="str">
        <f t="shared" si="2"/>
        <v/>
      </c>
      <c r="G41" s="23" t="str">
        <f t="shared" si="3"/>
        <v/>
      </c>
    </row>
    <row r="42" spans="1:7" x14ac:dyDescent="0.25">
      <c r="B42" s="24" t="s">
        <v>20</v>
      </c>
      <c r="C42" s="24" t="s">
        <v>66</v>
      </c>
      <c r="D42" s="25" t="s">
        <v>156</v>
      </c>
      <c r="E42" s="24" t="s">
        <v>5</v>
      </c>
      <c r="F42" s="20" t="str">
        <f t="shared" si="2"/>
        <v/>
      </c>
      <c r="G42" s="23" t="str">
        <f t="shared" si="3"/>
        <v/>
      </c>
    </row>
    <row r="43" spans="1:7" x14ac:dyDescent="0.25">
      <c r="B43" s="24" t="s">
        <v>37</v>
      </c>
      <c r="C43" s="24" t="s">
        <v>67</v>
      </c>
      <c r="D43" s="25" t="s">
        <v>498</v>
      </c>
      <c r="E43" s="24" t="s">
        <v>3</v>
      </c>
      <c r="F43" s="20" t="str">
        <f t="shared" si="2"/>
        <v/>
      </c>
      <c r="G43" s="23" t="str">
        <f t="shared" si="3"/>
        <v/>
      </c>
    </row>
    <row r="44" spans="1:7" x14ac:dyDescent="0.25">
      <c r="A44" s="15">
        <v>13</v>
      </c>
      <c r="B44" s="24" t="s">
        <v>37</v>
      </c>
      <c r="C44" s="24" t="s">
        <v>109</v>
      </c>
      <c r="D44" s="25" t="s">
        <v>157</v>
      </c>
      <c r="E44" s="24" t="s">
        <v>4</v>
      </c>
      <c r="F44" s="20" t="str">
        <f t="shared" si="2"/>
        <v/>
      </c>
      <c r="G44" s="23" t="str">
        <f t="shared" si="3"/>
        <v/>
      </c>
    </row>
    <row r="45" spans="1:7" x14ac:dyDescent="0.25">
      <c r="B45" s="24" t="s">
        <v>37</v>
      </c>
      <c r="C45" s="24" t="s">
        <v>68</v>
      </c>
      <c r="D45" s="25" t="s">
        <v>158</v>
      </c>
      <c r="E45" s="24" t="s">
        <v>5</v>
      </c>
      <c r="F45" s="20" t="str">
        <f t="shared" si="2"/>
        <v/>
      </c>
      <c r="G45" s="23" t="str">
        <f t="shared" si="3"/>
        <v/>
      </c>
    </row>
    <row r="46" spans="1:7" x14ac:dyDescent="0.25">
      <c r="B46" s="24" t="s">
        <v>38</v>
      </c>
      <c r="C46" s="24" t="s">
        <v>69</v>
      </c>
      <c r="D46" s="25" t="s">
        <v>499</v>
      </c>
      <c r="E46" s="24" t="s">
        <v>3</v>
      </c>
      <c r="F46" s="20" t="str">
        <f t="shared" si="2"/>
        <v/>
      </c>
      <c r="G46" s="23" t="str">
        <f t="shared" si="3"/>
        <v/>
      </c>
    </row>
    <row r="47" spans="1:7" x14ac:dyDescent="0.25">
      <c r="A47" s="15">
        <v>14</v>
      </c>
      <c r="B47" s="24" t="s">
        <v>38</v>
      </c>
      <c r="C47" s="24" t="s">
        <v>110</v>
      </c>
      <c r="D47" s="25" t="s">
        <v>159</v>
      </c>
      <c r="E47" s="24" t="s">
        <v>4</v>
      </c>
      <c r="F47" s="20" t="str">
        <f t="shared" si="2"/>
        <v/>
      </c>
      <c r="G47" s="23" t="str">
        <f t="shared" si="3"/>
        <v/>
      </c>
    </row>
    <row r="48" spans="1:7" x14ac:dyDescent="0.25">
      <c r="B48" s="24" t="s">
        <v>38</v>
      </c>
      <c r="C48" s="24" t="s">
        <v>70</v>
      </c>
      <c r="D48" s="25" t="s">
        <v>160</v>
      </c>
      <c r="E48" s="24" t="s">
        <v>5</v>
      </c>
      <c r="F48" s="20" t="str">
        <f t="shared" si="2"/>
        <v/>
      </c>
      <c r="G48" s="23" t="str">
        <f t="shared" si="3"/>
        <v/>
      </c>
    </row>
    <row r="49" spans="1:8" x14ac:dyDescent="0.25">
      <c r="B49" s="24" t="s">
        <v>463</v>
      </c>
      <c r="C49" s="24" t="s">
        <v>71</v>
      </c>
      <c r="D49" s="25" t="s">
        <v>500</v>
      </c>
      <c r="E49" s="24" t="s">
        <v>11</v>
      </c>
      <c r="F49" s="20" t="str">
        <f t="shared" si="2"/>
        <v/>
      </c>
      <c r="G49" s="23" t="str">
        <f t="shared" si="3"/>
        <v/>
      </c>
    </row>
    <row r="50" spans="1:8" x14ac:dyDescent="0.25">
      <c r="B50" s="24" t="s">
        <v>21</v>
      </c>
      <c r="C50" s="24" t="s">
        <v>72</v>
      </c>
      <c r="D50" s="25" t="s">
        <v>501</v>
      </c>
      <c r="E50" s="24" t="s">
        <v>3</v>
      </c>
      <c r="F50" s="20" t="str">
        <f t="shared" si="2"/>
        <v/>
      </c>
      <c r="G50" s="23" t="str">
        <f t="shared" si="3"/>
        <v/>
      </c>
    </row>
    <row r="51" spans="1:8" x14ac:dyDescent="0.25">
      <c r="A51" s="15">
        <v>15</v>
      </c>
      <c r="B51" s="24" t="s">
        <v>21</v>
      </c>
      <c r="C51" s="24" t="s">
        <v>111</v>
      </c>
      <c r="D51" s="25" t="s">
        <v>161</v>
      </c>
      <c r="E51" s="24" t="s">
        <v>4</v>
      </c>
      <c r="F51" s="20" t="str">
        <f t="shared" si="2"/>
        <v/>
      </c>
      <c r="G51" s="23" t="str">
        <f t="shared" si="3"/>
        <v/>
      </c>
    </row>
    <row r="52" spans="1:8" x14ac:dyDescent="0.25">
      <c r="B52" s="24" t="s">
        <v>21</v>
      </c>
      <c r="C52" s="24" t="s">
        <v>73</v>
      </c>
      <c r="D52" s="25" t="s">
        <v>162</v>
      </c>
      <c r="E52" s="24" t="s">
        <v>5</v>
      </c>
      <c r="F52" s="20" t="str">
        <f t="shared" si="2"/>
        <v/>
      </c>
      <c r="G52" s="23" t="str">
        <f t="shared" si="3"/>
        <v/>
      </c>
    </row>
    <row r="53" spans="1:8" x14ac:dyDescent="0.25">
      <c r="B53" s="24" t="s">
        <v>22</v>
      </c>
      <c r="C53" s="24" t="s">
        <v>74</v>
      </c>
      <c r="D53" s="25" t="s">
        <v>502</v>
      </c>
      <c r="E53" s="24" t="s">
        <v>3</v>
      </c>
      <c r="F53" s="20" t="str">
        <f t="shared" si="2"/>
        <v/>
      </c>
      <c r="G53" s="23" t="str">
        <f t="shared" si="3"/>
        <v/>
      </c>
    </row>
    <row r="54" spans="1:8" x14ac:dyDescent="0.25">
      <c r="A54" s="15">
        <v>16</v>
      </c>
      <c r="B54" s="24" t="s">
        <v>22</v>
      </c>
      <c r="C54" s="24" t="s">
        <v>112</v>
      </c>
      <c r="D54" s="25" t="s">
        <v>163</v>
      </c>
      <c r="E54" s="24" t="s">
        <v>4</v>
      </c>
      <c r="F54" s="20" t="str">
        <f t="shared" si="2"/>
        <v/>
      </c>
      <c r="G54" s="23" t="str">
        <f t="shared" si="3"/>
        <v/>
      </c>
    </row>
    <row r="55" spans="1:8" x14ac:dyDescent="0.25">
      <c r="B55" s="24" t="s">
        <v>22</v>
      </c>
      <c r="C55" s="24" t="s">
        <v>75</v>
      </c>
      <c r="D55" s="25" t="s">
        <v>164</v>
      </c>
      <c r="E55" s="24" t="s">
        <v>5</v>
      </c>
      <c r="F55" s="20" t="str">
        <f t="shared" si="2"/>
        <v/>
      </c>
      <c r="G55" s="23" t="str">
        <f t="shared" si="3"/>
        <v/>
      </c>
    </row>
    <row r="56" spans="1:8" x14ac:dyDescent="0.25">
      <c r="B56" s="24" t="s">
        <v>23</v>
      </c>
      <c r="C56" s="24" t="s">
        <v>76</v>
      </c>
      <c r="D56" s="25" t="s">
        <v>503</v>
      </c>
      <c r="E56" s="24" t="s">
        <v>3</v>
      </c>
      <c r="F56" s="20" t="str">
        <f t="shared" si="2"/>
        <v/>
      </c>
      <c r="G56" s="23" t="str">
        <f t="shared" si="3"/>
        <v/>
      </c>
    </row>
    <row r="57" spans="1:8" x14ac:dyDescent="0.25">
      <c r="A57" s="15">
        <v>17</v>
      </c>
      <c r="B57" s="24" t="s">
        <v>23</v>
      </c>
      <c r="C57" s="24" t="s">
        <v>113</v>
      </c>
      <c r="D57" s="25" t="s">
        <v>165</v>
      </c>
      <c r="E57" s="24" t="s">
        <v>4</v>
      </c>
      <c r="F57" s="20" t="str">
        <f t="shared" si="2"/>
        <v/>
      </c>
      <c r="G57" s="23" t="str">
        <f t="shared" si="3"/>
        <v/>
      </c>
    </row>
    <row r="58" spans="1:8" x14ac:dyDescent="0.25">
      <c r="B58" s="24" t="s">
        <v>23</v>
      </c>
      <c r="C58" s="24" t="s">
        <v>77</v>
      </c>
      <c r="D58" s="25" t="s">
        <v>166</v>
      </c>
      <c r="E58" s="24" t="s">
        <v>5</v>
      </c>
      <c r="F58" s="20" t="str">
        <f t="shared" si="2"/>
        <v/>
      </c>
      <c r="G58" s="23" t="str">
        <f t="shared" si="3"/>
        <v/>
      </c>
    </row>
    <row r="59" spans="1:8" s="10" customFormat="1" x14ac:dyDescent="0.25">
      <c r="A59" s="15"/>
      <c r="B59" s="24" t="s">
        <v>30</v>
      </c>
      <c r="C59" s="24" t="s">
        <v>78</v>
      </c>
      <c r="D59" s="25" t="s">
        <v>504</v>
      </c>
      <c r="E59" s="24" t="s">
        <v>3</v>
      </c>
      <c r="F59" s="20" t="str">
        <f t="shared" si="2"/>
        <v/>
      </c>
      <c r="G59" s="23" t="str">
        <f t="shared" si="3"/>
        <v/>
      </c>
      <c r="H59" s="21"/>
    </row>
    <row r="60" spans="1:8" x14ac:dyDescent="0.25">
      <c r="A60" s="15">
        <v>18</v>
      </c>
      <c r="B60" s="24" t="s">
        <v>30</v>
      </c>
      <c r="C60" s="24" t="s">
        <v>114</v>
      </c>
      <c r="D60" s="20" t="s">
        <v>167</v>
      </c>
      <c r="E60" s="24" t="s">
        <v>4</v>
      </c>
      <c r="F60" s="20" t="str">
        <f t="shared" si="2"/>
        <v/>
      </c>
      <c r="G60" s="23" t="str">
        <f t="shared" si="3"/>
        <v/>
      </c>
    </row>
    <row r="61" spans="1:8" x14ac:dyDescent="0.25">
      <c r="B61" s="24" t="s">
        <v>30</v>
      </c>
      <c r="C61" s="24" t="s">
        <v>79</v>
      </c>
      <c r="D61" s="25" t="s">
        <v>168</v>
      </c>
      <c r="E61" s="24" t="s">
        <v>5</v>
      </c>
      <c r="F61" s="20" t="str">
        <f t="shared" si="2"/>
        <v/>
      </c>
      <c r="G61" s="23" t="str">
        <f t="shared" si="3"/>
        <v/>
      </c>
    </row>
    <row r="62" spans="1:8" x14ac:dyDescent="0.25">
      <c r="B62" s="24" t="s">
        <v>36</v>
      </c>
      <c r="C62" s="24" t="s">
        <v>80</v>
      </c>
      <c r="D62" s="25" t="s">
        <v>505</v>
      </c>
      <c r="E62" s="24" t="s">
        <v>3</v>
      </c>
      <c r="F62" s="20" t="str">
        <f t="shared" si="2"/>
        <v/>
      </c>
      <c r="G62" s="23" t="str">
        <f t="shared" si="3"/>
        <v/>
      </c>
    </row>
    <row r="63" spans="1:8" x14ac:dyDescent="0.25">
      <c r="A63" s="15">
        <v>19</v>
      </c>
      <c r="B63" s="24" t="s">
        <v>36</v>
      </c>
      <c r="C63" s="24" t="s">
        <v>115</v>
      </c>
      <c r="D63" s="25" t="s">
        <v>169</v>
      </c>
      <c r="E63" s="24" t="s">
        <v>4</v>
      </c>
      <c r="F63" s="20" t="str">
        <f t="shared" si="2"/>
        <v/>
      </c>
      <c r="G63" s="23" t="str">
        <f t="shared" si="3"/>
        <v/>
      </c>
    </row>
    <row r="64" spans="1:8" x14ac:dyDescent="0.25">
      <c r="B64" s="24" t="s">
        <v>36</v>
      </c>
      <c r="C64" s="24" t="s">
        <v>81</v>
      </c>
      <c r="D64" s="25" t="s">
        <v>170</v>
      </c>
      <c r="E64" s="24" t="s">
        <v>5</v>
      </c>
      <c r="F64" s="20" t="str">
        <f t="shared" si="2"/>
        <v/>
      </c>
      <c r="G64" s="23" t="str">
        <f t="shared" si="3"/>
        <v/>
      </c>
    </row>
    <row r="65" spans="1:8" x14ac:dyDescent="0.25">
      <c r="B65" s="24" t="s">
        <v>39</v>
      </c>
      <c r="C65" s="24" t="s">
        <v>82</v>
      </c>
      <c r="D65" s="25" t="s">
        <v>506</v>
      </c>
      <c r="E65" s="24" t="s">
        <v>3</v>
      </c>
      <c r="F65" s="20" t="str">
        <f t="shared" si="2"/>
        <v/>
      </c>
      <c r="G65" s="23" t="str">
        <f t="shared" si="3"/>
        <v/>
      </c>
    </row>
    <row r="66" spans="1:8" x14ac:dyDescent="0.25">
      <c r="A66" s="15">
        <v>20</v>
      </c>
      <c r="B66" s="24" t="s">
        <v>39</v>
      </c>
      <c r="C66" s="24" t="s">
        <v>116</v>
      </c>
      <c r="D66" s="25" t="s">
        <v>171</v>
      </c>
      <c r="E66" s="24" t="s">
        <v>4</v>
      </c>
      <c r="F66" s="20" t="str">
        <f t="shared" si="2"/>
        <v/>
      </c>
      <c r="G66" s="23" t="str">
        <f t="shared" si="3"/>
        <v/>
      </c>
    </row>
    <row r="67" spans="1:8" x14ac:dyDescent="0.25">
      <c r="B67" s="24" t="s">
        <v>39</v>
      </c>
      <c r="C67" s="24" t="s">
        <v>83</v>
      </c>
      <c r="D67" s="25" t="s">
        <v>172</v>
      </c>
      <c r="E67" s="24" t="s">
        <v>5</v>
      </c>
      <c r="F67" s="20" t="str">
        <f t="shared" si="2"/>
        <v/>
      </c>
      <c r="G67" s="23" t="str">
        <f t="shared" si="3"/>
        <v/>
      </c>
    </row>
    <row r="68" spans="1:8" x14ac:dyDescent="0.25">
      <c r="B68" s="24" t="s">
        <v>668</v>
      </c>
      <c r="C68" s="24" t="s">
        <v>803</v>
      </c>
      <c r="D68" s="25" t="s">
        <v>507</v>
      </c>
      <c r="E68" s="24" t="s">
        <v>3</v>
      </c>
      <c r="F68" s="20" t="str">
        <f t="shared" si="2"/>
        <v/>
      </c>
      <c r="G68" s="23" t="str">
        <f t="shared" si="3"/>
        <v/>
      </c>
    </row>
    <row r="69" spans="1:8" x14ac:dyDescent="0.25">
      <c r="A69" s="15">
        <v>21</v>
      </c>
      <c r="B69" s="24" t="s">
        <v>668</v>
      </c>
      <c r="C69" s="24" t="s">
        <v>804</v>
      </c>
      <c r="D69" s="25" t="s">
        <v>173</v>
      </c>
      <c r="E69" s="24" t="s">
        <v>4</v>
      </c>
      <c r="F69" s="20" t="str">
        <f t="shared" si="2"/>
        <v/>
      </c>
      <c r="G69" s="23" t="str">
        <f t="shared" si="3"/>
        <v/>
      </c>
    </row>
    <row r="70" spans="1:8" x14ac:dyDescent="0.25">
      <c r="B70" s="24" t="s">
        <v>668</v>
      </c>
      <c r="C70" s="24" t="s">
        <v>805</v>
      </c>
      <c r="D70" s="25" t="s">
        <v>174</v>
      </c>
      <c r="E70" s="24" t="s">
        <v>5</v>
      </c>
      <c r="F70" s="20" t="str">
        <f t="shared" si="2"/>
        <v/>
      </c>
      <c r="G70" s="23" t="str">
        <f t="shared" si="3"/>
        <v/>
      </c>
    </row>
    <row r="71" spans="1:8" x14ac:dyDescent="0.25">
      <c r="B71" s="24" t="s">
        <v>669</v>
      </c>
      <c r="C71" s="24" t="s">
        <v>806</v>
      </c>
      <c r="D71" s="25" t="s">
        <v>508</v>
      </c>
      <c r="E71" s="24" t="s">
        <v>3</v>
      </c>
      <c r="F71" s="20" t="str">
        <f t="shared" ref="F71:F134" si="4">IF(G71="","","https://docs.google.com/uc?export=download&amp;id="&amp;G71)</f>
        <v/>
      </c>
      <c r="G71" s="23" t="str">
        <f t="shared" si="3"/>
        <v/>
      </c>
    </row>
    <row r="72" spans="1:8" s="10" customFormat="1" x14ac:dyDescent="0.25">
      <c r="A72" s="15">
        <v>22</v>
      </c>
      <c r="B72" s="24" t="s">
        <v>669</v>
      </c>
      <c r="C72" s="24" t="s">
        <v>807</v>
      </c>
      <c r="D72" s="25" t="s">
        <v>175</v>
      </c>
      <c r="E72" s="24" t="s">
        <v>4</v>
      </c>
      <c r="F72" s="20" t="str">
        <f t="shared" si="4"/>
        <v/>
      </c>
      <c r="G72" s="23" t="str">
        <f t="shared" ref="G72:G135" si="5">IFERROR(LEFT(RIGHT(H72,LEN(H72)-32),LEN(RIGHT(H72,LEN(H72)-32))-17),"")</f>
        <v/>
      </c>
      <c r="H72" s="21"/>
    </row>
    <row r="73" spans="1:8" x14ac:dyDescent="0.25">
      <c r="B73" s="24" t="s">
        <v>669</v>
      </c>
      <c r="C73" s="24" t="s">
        <v>808</v>
      </c>
      <c r="D73" s="25" t="s">
        <v>176</v>
      </c>
      <c r="E73" s="24" t="s">
        <v>5</v>
      </c>
      <c r="F73" s="20" t="str">
        <f t="shared" si="4"/>
        <v/>
      </c>
      <c r="G73" s="23" t="str">
        <f t="shared" si="5"/>
        <v/>
      </c>
    </row>
    <row r="74" spans="1:8" x14ac:dyDescent="0.25">
      <c r="B74" s="24" t="s">
        <v>670</v>
      </c>
      <c r="C74" s="24" t="s">
        <v>809</v>
      </c>
      <c r="D74" s="25" t="s">
        <v>509</v>
      </c>
      <c r="E74" s="24" t="s">
        <v>3</v>
      </c>
      <c r="F74" s="20" t="str">
        <f t="shared" si="4"/>
        <v/>
      </c>
      <c r="G74" s="23" t="str">
        <f t="shared" si="5"/>
        <v/>
      </c>
    </row>
    <row r="75" spans="1:8" x14ac:dyDescent="0.25">
      <c r="A75" s="15">
        <v>23</v>
      </c>
      <c r="B75" s="24" t="s">
        <v>670</v>
      </c>
      <c r="C75" s="24" t="s">
        <v>810</v>
      </c>
      <c r="D75" s="25" t="s">
        <v>177</v>
      </c>
      <c r="E75" s="24" t="s">
        <v>4</v>
      </c>
      <c r="F75" s="20" t="str">
        <f t="shared" si="4"/>
        <v/>
      </c>
      <c r="G75" s="23" t="str">
        <f t="shared" si="5"/>
        <v/>
      </c>
    </row>
    <row r="76" spans="1:8" x14ac:dyDescent="0.25">
      <c r="B76" s="24" t="s">
        <v>670</v>
      </c>
      <c r="C76" s="24" t="s">
        <v>811</v>
      </c>
      <c r="D76" s="25" t="s">
        <v>178</v>
      </c>
      <c r="E76" s="24" t="s">
        <v>5</v>
      </c>
      <c r="F76" s="20" t="str">
        <f t="shared" si="4"/>
        <v/>
      </c>
      <c r="G76" s="23" t="str">
        <f t="shared" si="5"/>
        <v/>
      </c>
    </row>
    <row r="77" spans="1:8" x14ac:dyDescent="0.25">
      <c r="B77" s="24" t="s">
        <v>464</v>
      </c>
      <c r="C77" s="24" t="s">
        <v>84</v>
      </c>
      <c r="D77" s="25" t="s">
        <v>510</v>
      </c>
      <c r="E77" s="24" t="s">
        <v>11</v>
      </c>
      <c r="F77" s="20" t="str">
        <f t="shared" si="4"/>
        <v/>
      </c>
      <c r="G77" s="23" t="str">
        <f t="shared" si="5"/>
        <v/>
      </c>
    </row>
    <row r="78" spans="1:8" x14ac:dyDescent="0.25">
      <c r="B78" s="24" t="s">
        <v>24</v>
      </c>
      <c r="C78" s="24" t="s">
        <v>85</v>
      </c>
      <c r="D78" s="25" t="s">
        <v>511</v>
      </c>
      <c r="E78" s="24" t="s">
        <v>3</v>
      </c>
      <c r="F78" s="20" t="str">
        <f t="shared" si="4"/>
        <v/>
      </c>
      <c r="G78" s="23" t="str">
        <f t="shared" si="5"/>
        <v/>
      </c>
    </row>
    <row r="79" spans="1:8" x14ac:dyDescent="0.25">
      <c r="A79" s="15">
        <v>24</v>
      </c>
      <c r="B79" s="24" t="s">
        <v>24</v>
      </c>
      <c r="C79" s="24" t="s">
        <v>117</v>
      </c>
      <c r="D79" s="25" t="s">
        <v>179</v>
      </c>
      <c r="E79" s="24" t="s">
        <v>4</v>
      </c>
      <c r="F79" s="20" t="str">
        <f t="shared" si="4"/>
        <v/>
      </c>
      <c r="G79" s="23" t="str">
        <f t="shared" si="5"/>
        <v/>
      </c>
    </row>
    <row r="80" spans="1:8" x14ac:dyDescent="0.25">
      <c r="B80" s="24" t="s">
        <v>24</v>
      </c>
      <c r="C80" s="24" t="s">
        <v>86</v>
      </c>
      <c r="D80" s="25" t="s">
        <v>180</v>
      </c>
      <c r="E80" s="24" t="s">
        <v>5</v>
      </c>
      <c r="F80" s="20" t="str">
        <f t="shared" si="4"/>
        <v/>
      </c>
      <c r="G80" s="23" t="str">
        <f t="shared" si="5"/>
        <v/>
      </c>
    </row>
    <row r="81" spans="1:8" x14ac:dyDescent="0.25">
      <c r="B81" s="24" t="s">
        <v>25</v>
      </c>
      <c r="C81" s="24" t="s">
        <v>87</v>
      </c>
      <c r="D81" s="25" t="s">
        <v>512</v>
      </c>
      <c r="E81" s="24" t="s">
        <v>3</v>
      </c>
      <c r="F81" s="20" t="str">
        <f t="shared" si="4"/>
        <v/>
      </c>
      <c r="G81" s="23" t="str">
        <f t="shared" si="5"/>
        <v/>
      </c>
    </row>
    <row r="82" spans="1:8" x14ac:dyDescent="0.25">
      <c r="A82" s="15">
        <v>25</v>
      </c>
      <c r="B82" s="24" t="s">
        <v>25</v>
      </c>
      <c r="C82" s="24" t="s">
        <v>118</v>
      </c>
      <c r="D82" s="25" t="s">
        <v>181</v>
      </c>
      <c r="E82" s="24" t="s">
        <v>4</v>
      </c>
      <c r="F82" s="20" t="str">
        <f t="shared" si="4"/>
        <v/>
      </c>
      <c r="G82" s="23" t="str">
        <f t="shared" si="5"/>
        <v/>
      </c>
    </row>
    <row r="83" spans="1:8" x14ac:dyDescent="0.25">
      <c r="B83" s="24" t="s">
        <v>25</v>
      </c>
      <c r="C83" s="24" t="s">
        <v>88</v>
      </c>
      <c r="D83" s="25" t="s">
        <v>182</v>
      </c>
      <c r="E83" s="24" t="s">
        <v>5</v>
      </c>
      <c r="F83" s="20" t="str">
        <f t="shared" si="4"/>
        <v/>
      </c>
      <c r="G83" s="23" t="str">
        <f t="shared" si="5"/>
        <v/>
      </c>
    </row>
    <row r="84" spans="1:8" x14ac:dyDescent="0.25">
      <c r="B84" s="24" t="s">
        <v>26</v>
      </c>
      <c r="C84" s="24" t="s">
        <v>89</v>
      </c>
      <c r="D84" s="25" t="s">
        <v>513</v>
      </c>
      <c r="E84" s="24" t="s">
        <v>3</v>
      </c>
      <c r="F84" s="20" t="str">
        <f t="shared" si="4"/>
        <v/>
      </c>
      <c r="G84" s="23" t="str">
        <f t="shared" si="5"/>
        <v/>
      </c>
    </row>
    <row r="85" spans="1:8" s="10" customFormat="1" x14ac:dyDescent="0.25">
      <c r="A85" s="15">
        <v>26</v>
      </c>
      <c r="B85" s="24" t="s">
        <v>26</v>
      </c>
      <c r="C85" s="24" t="s">
        <v>119</v>
      </c>
      <c r="D85" s="20" t="s">
        <v>183</v>
      </c>
      <c r="E85" s="24" t="s">
        <v>4</v>
      </c>
      <c r="F85" s="20" t="str">
        <f t="shared" si="4"/>
        <v/>
      </c>
      <c r="G85" s="23" t="str">
        <f t="shared" si="5"/>
        <v/>
      </c>
      <c r="H85" s="21"/>
    </row>
    <row r="86" spans="1:8" x14ac:dyDescent="0.25">
      <c r="B86" s="24" t="s">
        <v>26</v>
      </c>
      <c r="C86" s="24" t="s">
        <v>90</v>
      </c>
      <c r="D86" s="25" t="s">
        <v>184</v>
      </c>
      <c r="E86" s="24" t="s">
        <v>5</v>
      </c>
      <c r="F86" s="20" t="str">
        <f t="shared" si="4"/>
        <v/>
      </c>
      <c r="G86" s="23" t="str">
        <f t="shared" si="5"/>
        <v/>
      </c>
    </row>
    <row r="87" spans="1:8" x14ac:dyDescent="0.25">
      <c r="B87" s="24" t="s">
        <v>31</v>
      </c>
      <c r="C87" s="24" t="s">
        <v>91</v>
      </c>
      <c r="D87" s="25" t="s">
        <v>514</v>
      </c>
      <c r="E87" s="24" t="s">
        <v>3</v>
      </c>
      <c r="F87" s="20" t="str">
        <f t="shared" si="4"/>
        <v/>
      </c>
      <c r="G87" s="23" t="str">
        <f t="shared" si="5"/>
        <v/>
      </c>
    </row>
    <row r="88" spans="1:8" x14ac:dyDescent="0.25">
      <c r="A88" s="15">
        <v>27</v>
      </c>
      <c r="B88" s="24" t="s">
        <v>31</v>
      </c>
      <c r="C88" s="24" t="s">
        <v>120</v>
      </c>
      <c r="D88" s="25" t="s">
        <v>185</v>
      </c>
      <c r="E88" s="24" t="s">
        <v>4</v>
      </c>
      <c r="F88" s="20" t="str">
        <f t="shared" si="4"/>
        <v/>
      </c>
      <c r="G88" s="23" t="str">
        <f t="shared" si="5"/>
        <v/>
      </c>
    </row>
    <row r="89" spans="1:8" x14ac:dyDescent="0.25">
      <c r="B89" s="24" t="s">
        <v>31</v>
      </c>
      <c r="C89" s="24" t="s">
        <v>92</v>
      </c>
      <c r="D89" s="25" t="s">
        <v>186</v>
      </c>
      <c r="E89" s="24" t="s">
        <v>5</v>
      </c>
      <c r="F89" s="20" t="str">
        <f t="shared" si="4"/>
        <v/>
      </c>
      <c r="G89" s="23" t="str">
        <f t="shared" si="5"/>
        <v/>
      </c>
    </row>
    <row r="90" spans="1:8" x14ac:dyDescent="0.25">
      <c r="B90" s="24" t="s">
        <v>93</v>
      </c>
      <c r="C90" s="24" t="s">
        <v>121</v>
      </c>
      <c r="D90" s="25" t="s">
        <v>515</v>
      </c>
      <c r="E90" s="24" t="s">
        <v>3</v>
      </c>
      <c r="F90" s="20" t="str">
        <f t="shared" si="4"/>
        <v/>
      </c>
      <c r="G90" s="23" t="str">
        <f t="shared" si="5"/>
        <v/>
      </c>
    </row>
    <row r="91" spans="1:8" x14ac:dyDescent="0.25">
      <c r="A91" s="15">
        <v>28</v>
      </c>
      <c r="B91" s="24" t="s">
        <v>93</v>
      </c>
      <c r="C91" s="24" t="s">
        <v>122</v>
      </c>
      <c r="D91" s="25" t="s">
        <v>187</v>
      </c>
      <c r="E91" s="24" t="s">
        <v>4</v>
      </c>
      <c r="F91" s="20" t="str">
        <f t="shared" si="4"/>
        <v/>
      </c>
      <c r="G91" s="23" t="str">
        <f t="shared" si="5"/>
        <v/>
      </c>
    </row>
    <row r="92" spans="1:8" x14ac:dyDescent="0.25">
      <c r="B92" s="24" t="s">
        <v>93</v>
      </c>
      <c r="C92" s="24" t="s">
        <v>123</v>
      </c>
      <c r="D92" s="25" t="s">
        <v>188</v>
      </c>
      <c r="E92" s="24" t="s">
        <v>5</v>
      </c>
      <c r="F92" s="20" t="str">
        <f t="shared" si="4"/>
        <v/>
      </c>
      <c r="G92" s="23" t="str">
        <f t="shared" si="5"/>
        <v/>
      </c>
    </row>
    <row r="93" spans="1:8" x14ac:dyDescent="0.25">
      <c r="B93" s="24" t="s">
        <v>94</v>
      </c>
      <c r="C93" s="24" t="s">
        <v>124</v>
      </c>
      <c r="D93" s="25" t="s">
        <v>516</v>
      </c>
      <c r="E93" s="24" t="s">
        <v>3</v>
      </c>
      <c r="F93" s="20" t="str">
        <f t="shared" si="4"/>
        <v/>
      </c>
      <c r="G93" s="23" t="str">
        <f t="shared" si="5"/>
        <v/>
      </c>
    </row>
    <row r="94" spans="1:8" x14ac:dyDescent="0.25">
      <c r="A94" s="15">
        <v>29</v>
      </c>
      <c r="B94" s="24" t="s">
        <v>94</v>
      </c>
      <c r="C94" s="24" t="s">
        <v>125</v>
      </c>
      <c r="D94" s="25" t="s">
        <v>189</v>
      </c>
      <c r="E94" s="24" t="s">
        <v>4</v>
      </c>
      <c r="F94" s="20" t="str">
        <f t="shared" si="4"/>
        <v/>
      </c>
      <c r="G94" s="23" t="str">
        <f t="shared" si="5"/>
        <v/>
      </c>
    </row>
    <row r="95" spans="1:8" x14ac:dyDescent="0.25">
      <c r="B95" s="24" t="s">
        <v>94</v>
      </c>
      <c r="C95" s="24" t="s">
        <v>126</v>
      </c>
      <c r="D95" s="25" t="s">
        <v>190</v>
      </c>
      <c r="E95" s="24" t="s">
        <v>5</v>
      </c>
      <c r="F95" s="20" t="str">
        <f t="shared" si="4"/>
        <v/>
      </c>
      <c r="G95" s="23" t="str">
        <f t="shared" si="5"/>
        <v/>
      </c>
    </row>
    <row r="96" spans="1:8" x14ac:dyDescent="0.25">
      <c r="B96" s="24" t="s">
        <v>95</v>
      </c>
      <c r="C96" s="24" t="s">
        <v>127</v>
      </c>
      <c r="D96" s="25" t="s">
        <v>517</v>
      </c>
      <c r="E96" s="24" t="s">
        <v>3</v>
      </c>
      <c r="F96" s="20" t="str">
        <f t="shared" si="4"/>
        <v/>
      </c>
      <c r="G96" s="23" t="str">
        <f t="shared" si="5"/>
        <v/>
      </c>
    </row>
    <row r="97" spans="1:7" x14ac:dyDescent="0.25">
      <c r="A97" s="15">
        <v>30</v>
      </c>
      <c r="B97" s="24" t="s">
        <v>95</v>
      </c>
      <c r="C97" s="24" t="s">
        <v>128</v>
      </c>
      <c r="D97" s="25" t="s">
        <v>191</v>
      </c>
      <c r="E97" s="24" t="s">
        <v>4</v>
      </c>
      <c r="F97" s="20" t="str">
        <f t="shared" si="4"/>
        <v/>
      </c>
      <c r="G97" s="23" t="str">
        <f t="shared" si="5"/>
        <v/>
      </c>
    </row>
    <row r="98" spans="1:7" x14ac:dyDescent="0.25">
      <c r="B98" s="24" t="s">
        <v>95</v>
      </c>
      <c r="C98" s="24" t="s">
        <v>129</v>
      </c>
      <c r="D98" s="25" t="s">
        <v>192</v>
      </c>
      <c r="E98" s="24" t="s">
        <v>5</v>
      </c>
      <c r="F98" s="20" t="str">
        <f t="shared" si="4"/>
        <v/>
      </c>
      <c r="G98" s="23" t="str">
        <f t="shared" si="5"/>
        <v/>
      </c>
    </row>
    <row r="99" spans="1:7" x14ac:dyDescent="0.25">
      <c r="B99" s="24" t="s">
        <v>96</v>
      </c>
      <c r="C99" s="24" t="s">
        <v>130</v>
      </c>
      <c r="D99" s="25" t="s">
        <v>518</v>
      </c>
      <c r="E99" s="24" t="s">
        <v>3</v>
      </c>
      <c r="F99" s="20" t="str">
        <f t="shared" si="4"/>
        <v/>
      </c>
      <c r="G99" s="23" t="str">
        <f t="shared" si="5"/>
        <v/>
      </c>
    </row>
    <row r="100" spans="1:7" x14ac:dyDescent="0.25">
      <c r="A100" s="15">
        <v>31</v>
      </c>
      <c r="B100" s="24" t="s">
        <v>96</v>
      </c>
      <c r="C100" s="24" t="s">
        <v>131</v>
      </c>
      <c r="D100" s="25" t="s">
        <v>193</v>
      </c>
      <c r="E100" s="24" t="s">
        <v>4</v>
      </c>
      <c r="F100" s="20" t="str">
        <f t="shared" si="4"/>
        <v/>
      </c>
      <c r="G100" s="23" t="str">
        <f t="shared" si="5"/>
        <v/>
      </c>
    </row>
    <row r="101" spans="1:7" x14ac:dyDescent="0.25">
      <c r="B101" s="24" t="s">
        <v>96</v>
      </c>
      <c r="C101" s="24" t="s">
        <v>132</v>
      </c>
      <c r="D101" s="25" t="s">
        <v>194</v>
      </c>
      <c r="E101" s="24" t="s">
        <v>5</v>
      </c>
      <c r="F101" s="20" t="str">
        <f t="shared" si="4"/>
        <v/>
      </c>
      <c r="G101" s="23" t="str">
        <f t="shared" si="5"/>
        <v/>
      </c>
    </row>
    <row r="102" spans="1:7" x14ac:dyDescent="0.25">
      <c r="B102" s="24" t="s">
        <v>465</v>
      </c>
      <c r="C102" s="24" t="s">
        <v>812</v>
      </c>
      <c r="D102" s="25" t="s">
        <v>519</v>
      </c>
      <c r="E102" s="24" t="s">
        <v>11</v>
      </c>
      <c r="F102" s="20" t="str">
        <f t="shared" si="4"/>
        <v/>
      </c>
      <c r="G102" s="23" t="str">
        <f t="shared" si="5"/>
        <v/>
      </c>
    </row>
    <row r="103" spans="1:7" x14ac:dyDescent="0.25">
      <c r="B103" s="24" t="s">
        <v>671</v>
      </c>
      <c r="C103" s="24" t="s">
        <v>813</v>
      </c>
      <c r="D103" s="25" t="s">
        <v>520</v>
      </c>
      <c r="E103" s="24" t="s">
        <v>3</v>
      </c>
      <c r="F103" s="20" t="str">
        <f t="shared" si="4"/>
        <v/>
      </c>
      <c r="G103" s="23" t="str">
        <f t="shared" si="5"/>
        <v/>
      </c>
    </row>
    <row r="104" spans="1:7" x14ac:dyDescent="0.25">
      <c r="A104" s="15">
        <v>32</v>
      </c>
      <c r="B104" s="24" t="s">
        <v>671</v>
      </c>
      <c r="C104" s="24" t="s">
        <v>814</v>
      </c>
      <c r="D104" s="25" t="s">
        <v>195</v>
      </c>
      <c r="E104" s="24" t="s">
        <v>4</v>
      </c>
      <c r="F104" s="20" t="str">
        <f t="shared" si="4"/>
        <v/>
      </c>
      <c r="G104" s="23" t="str">
        <f t="shared" si="5"/>
        <v/>
      </c>
    </row>
    <row r="105" spans="1:7" x14ac:dyDescent="0.25">
      <c r="B105" s="24" t="s">
        <v>671</v>
      </c>
      <c r="C105" s="24" t="s">
        <v>815</v>
      </c>
      <c r="D105" s="25" t="s">
        <v>196</v>
      </c>
      <c r="E105" s="24" t="s">
        <v>5</v>
      </c>
      <c r="F105" s="20" t="str">
        <f t="shared" si="4"/>
        <v/>
      </c>
      <c r="G105" s="23" t="str">
        <f t="shared" si="5"/>
        <v/>
      </c>
    </row>
    <row r="106" spans="1:7" x14ac:dyDescent="0.25">
      <c r="B106" s="24" t="s">
        <v>672</v>
      </c>
      <c r="C106" s="24" t="s">
        <v>816</v>
      </c>
      <c r="D106" s="25" t="s">
        <v>521</v>
      </c>
      <c r="E106" s="24" t="s">
        <v>3</v>
      </c>
      <c r="F106" s="20" t="str">
        <f t="shared" si="4"/>
        <v/>
      </c>
      <c r="G106" s="23" t="str">
        <f t="shared" si="5"/>
        <v/>
      </c>
    </row>
    <row r="107" spans="1:7" x14ac:dyDescent="0.25">
      <c r="A107" s="15">
        <v>33</v>
      </c>
      <c r="B107" s="24" t="s">
        <v>672</v>
      </c>
      <c r="C107" s="24" t="s">
        <v>817</v>
      </c>
      <c r="D107" s="20" t="s">
        <v>197</v>
      </c>
      <c r="E107" s="24" t="s">
        <v>4</v>
      </c>
      <c r="F107" s="20" t="str">
        <f t="shared" si="4"/>
        <v/>
      </c>
      <c r="G107" s="23" t="str">
        <f t="shared" si="5"/>
        <v/>
      </c>
    </row>
    <row r="108" spans="1:7" x14ac:dyDescent="0.25">
      <c r="B108" s="24" t="s">
        <v>672</v>
      </c>
      <c r="C108" s="24" t="s">
        <v>818</v>
      </c>
      <c r="D108" s="25" t="s">
        <v>198</v>
      </c>
      <c r="E108" s="24" t="s">
        <v>5</v>
      </c>
      <c r="F108" s="20" t="str">
        <f t="shared" si="4"/>
        <v/>
      </c>
      <c r="G108" s="23" t="str">
        <f t="shared" si="5"/>
        <v/>
      </c>
    </row>
    <row r="109" spans="1:7" x14ac:dyDescent="0.25">
      <c r="B109" s="24" t="s">
        <v>673</v>
      </c>
      <c r="C109" s="24" t="s">
        <v>819</v>
      </c>
      <c r="D109" s="25" t="s">
        <v>522</v>
      </c>
      <c r="E109" s="24" t="s">
        <v>3</v>
      </c>
      <c r="F109" s="20" t="str">
        <f t="shared" si="4"/>
        <v/>
      </c>
      <c r="G109" s="23" t="str">
        <f t="shared" si="5"/>
        <v/>
      </c>
    </row>
    <row r="110" spans="1:7" x14ac:dyDescent="0.25">
      <c r="A110" s="15">
        <v>34</v>
      </c>
      <c r="B110" s="24" t="s">
        <v>673</v>
      </c>
      <c r="C110" s="24" t="s">
        <v>820</v>
      </c>
      <c r="D110" s="25" t="s">
        <v>199</v>
      </c>
      <c r="E110" s="24" t="s">
        <v>4</v>
      </c>
      <c r="F110" s="20" t="str">
        <f t="shared" si="4"/>
        <v/>
      </c>
      <c r="G110" s="23" t="str">
        <f t="shared" si="5"/>
        <v/>
      </c>
    </row>
    <row r="111" spans="1:7" x14ac:dyDescent="0.25">
      <c r="B111" s="24" t="s">
        <v>673</v>
      </c>
      <c r="C111" s="24" t="s">
        <v>821</v>
      </c>
      <c r="D111" s="25" t="s">
        <v>200</v>
      </c>
      <c r="E111" s="24" t="s">
        <v>5</v>
      </c>
      <c r="F111" s="20" t="str">
        <f t="shared" si="4"/>
        <v/>
      </c>
      <c r="G111" s="23" t="str">
        <f t="shared" si="5"/>
        <v/>
      </c>
    </row>
    <row r="112" spans="1:7" x14ac:dyDescent="0.25">
      <c r="B112" s="24" t="s">
        <v>674</v>
      </c>
      <c r="C112" s="24" t="s">
        <v>822</v>
      </c>
      <c r="D112" s="25" t="s">
        <v>523</v>
      </c>
      <c r="E112" s="24" t="s">
        <v>3</v>
      </c>
      <c r="F112" s="20" t="str">
        <f t="shared" si="4"/>
        <v/>
      </c>
      <c r="G112" s="23" t="str">
        <f t="shared" si="5"/>
        <v/>
      </c>
    </row>
    <row r="113" spans="1:7" x14ac:dyDescent="0.25">
      <c r="A113" s="15">
        <v>35</v>
      </c>
      <c r="B113" s="24" t="s">
        <v>674</v>
      </c>
      <c r="C113" s="24" t="s">
        <v>823</v>
      </c>
      <c r="D113" s="25" t="s">
        <v>201</v>
      </c>
      <c r="E113" s="24" t="s">
        <v>4</v>
      </c>
      <c r="F113" s="20" t="str">
        <f t="shared" si="4"/>
        <v/>
      </c>
      <c r="G113" s="23" t="str">
        <f t="shared" si="5"/>
        <v/>
      </c>
    </row>
    <row r="114" spans="1:7" x14ac:dyDescent="0.25">
      <c r="B114" s="24" t="s">
        <v>674</v>
      </c>
      <c r="C114" s="24" t="s">
        <v>824</v>
      </c>
      <c r="D114" s="25" t="s">
        <v>202</v>
      </c>
      <c r="E114" s="24" t="s">
        <v>5</v>
      </c>
      <c r="F114" s="20" t="str">
        <f t="shared" si="4"/>
        <v/>
      </c>
      <c r="G114" s="23" t="str">
        <f t="shared" si="5"/>
        <v/>
      </c>
    </row>
    <row r="115" spans="1:7" x14ac:dyDescent="0.25">
      <c r="B115" s="24" t="s">
        <v>675</v>
      </c>
      <c r="C115" s="24" t="s">
        <v>825</v>
      </c>
      <c r="D115" s="25" t="s">
        <v>524</v>
      </c>
      <c r="E115" s="24" t="s">
        <v>3</v>
      </c>
      <c r="F115" s="20" t="str">
        <f t="shared" si="4"/>
        <v/>
      </c>
      <c r="G115" s="23" t="str">
        <f t="shared" si="5"/>
        <v/>
      </c>
    </row>
    <row r="116" spans="1:7" x14ac:dyDescent="0.25">
      <c r="A116" s="15">
        <v>36</v>
      </c>
      <c r="B116" s="24" t="s">
        <v>675</v>
      </c>
      <c r="C116" s="24" t="s">
        <v>826</v>
      </c>
      <c r="D116" s="25" t="s">
        <v>203</v>
      </c>
      <c r="E116" s="24" t="s">
        <v>4</v>
      </c>
      <c r="F116" s="20" t="str">
        <f t="shared" si="4"/>
        <v/>
      </c>
      <c r="G116" s="23" t="str">
        <f t="shared" si="5"/>
        <v/>
      </c>
    </row>
    <row r="117" spans="1:7" x14ac:dyDescent="0.25">
      <c r="B117" s="24" t="s">
        <v>675</v>
      </c>
      <c r="C117" s="24" t="s">
        <v>827</v>
      </c>
      <c r="D117" s="25" t="s">
        <v>204</v>
      </c>
      <c r="E117" s="24" t="s">
        <v>5</v>
      </c>
      <c r="F117" s="20" t="str">
        <f t="shared" si="4"/>
        <v/>
      </c>
      <c r="G117" s="23" t="str">
        <f t="shared" si="5"/>
        <v/>
      </c>
    </row>
    <row r="118" spans="1:7" x14ac:dyDescent="0.25">
      <c r="B118" s="24" t="s">
        <v>676</v>
      </c>
      <c r="C118" s="24" t="s">
        <v>828</v>
      </c>
      <c r="D118" s="25" t="s">
        <v>525</v>
      </c>
      <c r="E118" s="24" t="s">
        <v>3</v>
      </c>
      <c r="F118" s="20" t="str">
        <f t="shared" si="4"/>
        <v/>
      </c>
      <c r="G118" s="23" t="str">
        <f t="shared" si="5"/>
        <v/>
      </c>
    </row>
    <row r="119" spans="1:7" x14ac:dyDescent="0.25">
      <c r="A119" s="15">
        <v>37</v>
      </c>
      <c r="B119" s="24" t="s">
        <v>676</v>
      </c>
      <c r="C119" s="24" t="s">
        <v>829</v>
      </c>
      <c r="D119" s="25" t="s">
        <v>205</v>
      </c>
      <c r="E119" s="24" t="s">
        <v>4</v>
      </c>
      <c r="F119" s="20" t="str">
        <f t="shared" si="4"/>
        <v/>
      </c>
      <c r="G119" s="23" t="str">
        <f t="shared" si="5"/>
        <v/>
      </c>
    </row>
    <row r="120" spans="1:7" x14ac:dyDescent="0.25">
      <c r="B120" s="15" t="s">
        <v>676</v>
      </c>
      <c r="C120" s="15" t="s">
        <v>830</v>
      </c>
      <c r="D120" s="11" t="s">
        <v>206</v>
      </c>
      <c r="E120" s="15" t="s">
        <v>5</v>
      </c>
      <c r="F120" s="20" t="str">
        <f t="shared" si="4"/>
        <v/>
      </c>
      <c r="G120" s="23" t="str">
        <f t="shared" si="5"/>
        <v/>
      </c>
    </row>
    <row r="121" spans="1:7" x14ac:dyDescent="0.25">
      <c r="B121" s="15" t="s">
        <v>677</v>
      </c>
      <c r="C121" s="15" t="s">
        <v>831</v>
      </c>
      <c r="D121" s="11" t="s">
        <v>526</v>
      </c>
      <c r="E121" s="15" t="s">
        <v>3</v>
      </c>
      <c r="F121" s="20" t="str">
        <f t="shared" si="4"/>
        <v/>
      </c>
      <c r="G121" s="23" t="str">
        <f t="shared" si="5"/>
        <v/>
      </c>
    </row>
    <row r="122" spans="1:7" x14ac:dyDescent="0.25">
      <c r="A122" s="15">
        <v>38</v>
      </c>
      <c r="B122" s="15" t="s">
        <v>677</v>
      </c>
      <c r="C122" s="15" t="s">
        <v>832</v>
      </c>
      <c r="D122" s="11" t="s">
        <v>207</v>
      </c>
      <c r="E122" s="15" t="s">
        <v>4</v>
      </c>
      <c r="F122" s="20" t="str">
        <f t="shared" si="4"/>
        <v/>
      </c>
      <c r="G122" s="23" t="str">
        <f t="shared" si="5"/>
        <v/>
      </c>
    </row>
    <row r="123" spans="1:7" x14ac:dyDescent="0.25">
      <c r="B123" s="15" t="s">
        <v>677</v>
      </c>
      <c r="C123" s="15" t="s">
        <v>833</v>
      </c>
      <c r="D123" s="11" t="s">
        <v>208</v>
      </c>
      <c r="E123" s="15" t="s">
        <v>5</v>
      </c>
      <c r="F123" s="20" t="str">
        <f t="shared" si="4"/>
        <v/>
      </c>
      <c r="G123" s="23" t="str">
        <f t="shared" si="5"/>
        <v/>
      </c>
    </row>
    <row r="124" spans="1:7" x14ac:dyDescent="0.25">
      <c r="B124" s="15" t="s">
        <v>678</v>
      </c>
      <c r="C124" s="15" t="s">
        <v>834</v>
      </c>
      <c r="D124" s="11" t="s">
        <v>527</v>
      </c>
      <c r="E124" s="15" t="s">
        <v>3</v>
      </c>
      <c r="F124" s="20" t="str">
        <f t="shared" si="4"/>
        <v/>
      </c>
      <c r="G124" s="23" t="str">
        <f t="shared" si="5"/>
        <v/>
      </c>
    </row>
    <row r="125" spans="1:7" x14ac:dyDescent="0.25">
      <c r="A125" s="15">
        <v>39</v>
      </c>
      <c r="B125" s="15" t="s">
        <v>678</v>
      </c>
      <c r="C125" s="15" t="s">
        <v>835</v>
      </c>
      <c r="D125" s="11" t="s">
        <v>209</v>
      </c>
      <c r="E125" s="15" t="s">
        <v>4</v>
      </c>
      <c r="F125" s="20" t="str">
        <f t="shared" si="4"/>
        <v/>
      </c>
      <c r="G125" s="23" t="str">
        <f t="shared" si="5"/>
        <v/>
      </c>
    </row>
    <row r="126" spans="1:7" x14ac:dyDescent="0.25">
      <c r="B126" s="15" t="s">
        <v>678</v>
      </c>
      <c r="C126" s="15" t="s">
        <v>836</v>
      </c>
      <c r="D126" s="11" t="s">
        <v>210</v>
      </c>
      <c r="E126" s="15" t="s">
        <v>5</v>
      </c>
      <c r="F126" s="20" t="str">
        <f t="shared" si="4"/>
        <v/>
      </c>
      <c r="G126" s="23" t="str">
        <f t="shared" si="5"/>
        <v/>
      </c>
    </row>
    <row r="127" spans="1:7" x14ac:dyDescent="0.25">
      <c r="B127" s="15" t="s">
        <v>466</v>
      </c>
      <c r="C127" s="15" t="s">
        <v>837</v>
      </c>
      <c r="D127" s="11" t="s">
        <v>528</v>
      </c>
      <c r="E127" s="15" t="s">
        <v>11</v>
      </c>
      <c r="F127" s="20" t="str">
        <f t="shared" si="4"/>
        <v/>
      </c>
      <c r="G127" s="23" t="str">
        <f t="shared" si="5"/>
        <v/>
      </c>
    </row>
    <row r="128" spans="1:7" x14ac:dyDescent="0.25">
      <c r="B128" s="15" t="s">
        <v>679</v>
      </c>
      <c r="C128" s="15" t="s">
        <v>838</v>
      </c>
      <c r="D128" s="11" t="s">
        <v>529</v>
      </c>
      <c r="E128" s="15" t="s">
        <v>3</v>
      </c>
      <c r="F128" s="20" t="str">
        <f t="shared" si="4"/>
        <v/>
      </c>
      <c r="G128" s="23" t="str">
        <f t="shared" si="5"/>
        <v/>
      </c>
    </row>
    <row r="129" spans="1:7" x14ac:dyDescent="0.25">
      <c r="A129" s="15">
        <v>40</v>
      </c>
      <c r="B129" s="15" t="s">
        <v>679</v>
      </c>
      <c r="C129" s="15" t="s">
        <v>839</v>
      </c>
      <c r="D129" s="11" t="s">
        <v>211</v>
      </c>
      <c r="E129" s="15" t="s">
        <v>4</v>
      </c>
      <c r="F129" s="20" t="str">
        <f t="shared" si="4"/>
        <v/>
      </c>
      <c r="G129" s="23" t="str">
        <f t="shared" si="5"/>
        <v/>
      </c>
    </row>
    <row r="130" spans="1:7" x14ac:dyDescent="0.25">
      <c r="B130" s="15" t="s">
        <v>679</v>
      </c>
      <c r="C130" s="15" t="s">
        <v>840</v>
      </c>
      <c r="D130" s="11" t="s">
        <v>212</v>
      </c>
      <c r="E130" s="15" t="s">
        <v>5</v>
      </c>
      <c r="F130" s="20" t="str">
        <f t="shared" si="4"/>
        <v/>
      </c>
      <c r="G130" s="23" t="str">
        <f t="shared" si="5"/>
        <v/>
      </c>
    </row>
    <row r="131" spans="1:7" x14ac:dyDescent="0.25">
      <c r="B131" s="15" t="s">
        <v>680</v>
      </c>
      <c r="C131" s="15" t="s">
        <v>841</v>
      </c>
      <c r="D131" s="11" t="s">
        <v>530</v>
      </c>
      <c r="E131" s="15" t="s">
        <v>3</v>
      </c>
      <c r="F131" s="20" t="str">
        <f t="shared" si="4"/>
        <v/>
      </c>
      <c r="G131" s="23" t="str">
        <f t="shared" si="5"/>
        <v/>
      </c>
    </row>
    <row r="132" spans="1:7" x14ac:dyDescent="0.25">
      <c r="A132" s="15">
        <v>41</v>
      </c>
      <c r="B132" s="15" t="s">
        <v>680</v>
      </c>
      <c r="C132" s="15" t="s">
        <v>842</v>
      </c>
      <c r="D132" s="11" t="s">
        <v>213</v>
      </c>
      <c r="E132" s="15" t="s">
        <v>4</v>
      </c>
      <c r="F132" s="20" t="str">
        <f t="shared" si="4"/>
        <v/>
      </c>
      <c r="G132" s="23" t="str">
        <f t="shared" si="5"/>
        <v/>
      </c>
    </row>
    <row r="133" spans="1:7" x14ac:dyDescent="0.25">
      <c r="B133" s="15" t="s">
        <v>680</v>
      </c>
      <c r="C133" s="15" t="s">
        <v>843</v>
      </c>
      <c r="D133" s="11" t="s">
        <v>214</v>
      </c>
      <c r="E133" s="15" t="s">
        <v>5</v>
      </c>
      <c r="F133" s="20" t="str">
        <f t="shared" si="4"/>
        <v/>
      </c>
      <c r="G133" s="23" t="str">
        <f t="shared" si="5"/>
        <v/>
      </c>
    </row>
    <row r="134" spans="1:7" x14ac:dyDescent="0.25">
      <c r="B134" s="15" t="s">
        <v>681</v>
      </c>
      <c r="C134" s="15" t="s">
        <v>844</v>
      </c>
      <c r="D134" s="11" t="s">
        <v>531</v>
      </c>
      <c r="E134" s="15" t="s">
        <v>3</v>
      </c>
      <c r="F134" s="20" t="str">
        <f t="shared" si="4"/>
        <v/>
      </c>
      <c r="G134" s="23" t="str">
        <f t="shared" si="5"/>
        <v/>
      </c>
    </row>
    <row r="135" spans="1:7" x14ac:dyDescent="0.25">
      <c r="A135" s="15">
        <v>42</v>
      </c>
      <c r="B135" s="15" t="s">
        <v>681</v>
      </c>
      <c r="C135" s="15" t="s">
        <v>845</v>
      </c>
      <c r="D135" s="11" t="s">
        <v>215</v>
      </c>
      <c r="E135" s="15" t="s">
        <v>4</v>
      </c>
      <c r="F135" s="20" t="str">
        <f t="shared" ref="F135:F198" si="6">IF(G135="","","https://docs.google.com/uc?export=download&amp;id="&amp;G135)</f>
        <v/>
      </c>
      <c r="G135" s="23" t="str">
        <f t="shared" si="5"/>
        <v/>
      </c>
    </row>
    <row r="136" spans="1:7" x14ac:dyDescent="0.25">
      <c r="B136" s="15" t="s">
        <v>681</v>
      </c>
      <c r="C136" s="15" t="s">
        <v>846</v>
      </c>
      <c r="D136" s="11" t="s">
        <v>216</v>
      </c>
      <c r="E136" s="15" t="s">
        <v>5</v>
      </c>
      <c r="F136" s="20" t="str">
        <f t="shared" si="6"/>
        <v/>
      </c>
      <c r="G136" s="23" t="str">
        <f t="shared" ref="G136:G199" si="7">IFERROR(LEFT(RIGHT(H136,LEN(H136)-32),LEN(RIGHT(H136,LEN(H136)-32))-17),"")</f>
        <v/>
      </c>
    </row>
    <row r="137" spans="1:7" x14ac:dyDescent="0.25">
      <c r="B137" s="15" t="s">
        <v>682</v>
      </c>
      <c r="C137" s="15" t="s">
        <v>847</v>
      </c>
      <c r="D137" s="11" t="s">
        <v>532</v>
      </c>
      <c r="E137" s="15" t="s">
        <v>3</v>
      </c>
      <c r="F137" s="20" t="str">
        <f t="shared" si="6"/>
        <v/>
      </c>
      <c r="G137" s="23" t="str">
        <f t="shared" si="7"/>
        <v/>
      </c>
    </row>
    <row r="138" spans="1:7" x14ac:dyDescent="0.25">
      <c r="A138" s="15">
        <v>43</v>
      </c>
      <c r="B138" s="15" t="s">
        <v>682</v>
      </c>
      <c r="C138" s="15" t="s">
        <v>848</v>
      </c>
      <c r="D138" s="11" t="s">
        <v>217</v>
      </c>
      <c r="E138" s="15" t="s">
        <v>4</v>
      </c>
      <c r="F138" s="20" t="str">
        <f t="shared" si="6"/>
        <v/>
      </c>
      <c r="G138" s="23" t="str">
        <f t="shared" si="7"/>
        <v/>
      </c>
    </row>
    <row r="139" spans="1:7" x14ac:dyDescent="0.25">
      <c r="B139" s="15" t="s">
        <v>682</v>
      </c>
      <c r="C139" s="15" t="s">
        <v>849</v>
      </c>
      <c r="D139" s="11" t="s">
        <v>218</v>
      </c>
      <c r="E139" s="15" t="s">
        <v>5</v>
      </c>
      <c r="F139" s="20" t="str">
        <f t="shared" si="6"/>
        <v/>
      </c>
      <c r="G139" s="23" t="str">
        <f t="shared" si="7"/>
        <v/>
      </c>
    </row>
    <row r="140" spans="1:7" x14ac:dyDescent="0.25">
      <c r="B140" s="15" t="s">
        <v>683</v>
      </c>
      <c r="C140" s="15" t="s">
        <v>850</v>
      </c>
      <c r="D140" s="11" t="s">
        <v>533</v>
      </c>
      <c r="E140" s="15" t="s">
        <v>3</v>
      </c>
      <c r="F140" s="20" t="str">
        <f t="shared" si="6"/>
        <v/>
      </c>
      <c r="G140" s="23" t="str">
        <f t="shared" si="7"/>
        <v/>
      </c>
    </row>
    <row r="141" spans="1:7" x14ac:dyDescent="0.25">
      <c r="A141" s="15">
        <v>44</v>
      </c>
      <c r="B141" s="15" t="s">
        <v>683</v>
      </c>
      <c r="C141" s="15" t="s">
        <v>851</v>
      </c>
      <c r="D141" s="11" t="s">
        <v>219</v>
      </c>
      <c r="E141" s="15" t="s">
        <v>4</v>
      </c>
      <c r="F141" s="20" t="str">
        <f t="shared" si="6"/>
        <v/>
      </c>
      <c r="G141" s="23" t="str">
        <f t="shared" si="7"/>
        <v/>
      </c>
    </row>
    <row r="142" spans="1:7" x14ac:dyDescent="0.25">
      <c r="B142" s="15" t="s">
        <v>683</v>
      </c>
      <c r="C142" s="15" t="s">
        <v>852</v>
      </c>
      <c r="D142" s="11" t="s">
        <v>220</v>
      </c>
      <c r="E142" s="15" t="s">
        <v>5</v>
      </c>
      <c r="F142" s="20" t="str">
        <f t="shared" si="6"/>
        <v/>
      </c>
      <c r="G142" s="23" t="str">
        <f t="shared" si="7"/>
        <v/>
      </c>
    </row>
    <row r="143" spans="1:7" x14ac:dyDescent="0.25">
      <c r="B143" s="15" t="s">
        <v>684</v>
      </c>
      <c r="C143" s="15" t="s">
        <v>853</v>
      </c>
      <c r="D143" s="11" t="s">
        <v>534</v>
      </c>
      <c r="E143" s="15" t="s">
        <v>3</v>
      </c>
      <c r="F143" s="20" t="str">
        <f t="shared" si="6"/>
        <v/>
      </c>
      <c r="G143" s="23" t="str">
        <f t="shared" si="7"/>
        <v/>
      </c>
    </row>
    <row r="144" spans="1:7" x14ac:dyDescent="0.25">
      <c r="A144" s="15">
        <v>45</v>
      </c>
      <c r="B144" s="15" t="s">
        <v>684</v>
      </c>
      <c r="C144" s="15" t="s">
        <v>854</v>
      </c>
      <c r="D144" s="11" t="s">
        <v>221</v>
      </c>
      <c r="E144" s="15" t="s">
        <v>4</v>
      </c>
      <c r="F144" s="20" t="str">
        <f t="shared" si="6"/>
        <v/>
      </c>
      <c r="G144" s="23" t="str">
        <f t="shared" si="7"/>
        <v/>
      </c>
    </row>
    <row r="145" spans="1:7" x14ac:dyDescent="0.25">
      <c r="B145" s="15" t="s">
        <v>684</v>
      </c>
      <c r="C145" s="15" t="s">
        <v>855</v>
      </c>
      <c r="D145" s="11" t="s">
        <v>222</v>
      </c>
      <c r="E145" s="15" t="s">
        <v>5</v>
      </c>
      <c r="F145" s="20" t="str">
        <f t="shared" si="6"/>
        <v/>
      </c>
      <c r="G145" s="23" t="str">
        <f t="shared" si="7"/>
        <v/>
      </c>
    </row>
    <row r="146" spans="1:7" x14ac:dyDescent="0.25">
      <c r="B146" s="15" t="s">
        <v>685</v>
      </c>
      <c r="C146" s="15" t="s">
        <v>856</v>
      </c>
      <c r="D146" s="11" t="s">
        <v>535</v>
      </c>
      <c r="E146" s="15" t="s">
        <v>3</v>
      </c>
      <c r="F146" s="20" t="str">
        <f t="shared" si="6"/>
        <v/>
      </c>
      <c r="G146" s="23" t="str">
        <f t="shared" si="7"/>
        <v/>
      </c>
    </row>
    <row r="147" spans="1:7" x14ac:dyDescent="0.25">
      <c r="A147" s="15">
        <v>46</v>
      </c>
      <c r="B147" s="15" t="s">
        <v>685</v>
      </c>
      <c r="C147" s="15" t="s">
        <v>857</v>
      </c>
      <c r="D147" s="11" t="s">
        <v>223</v>
      </c>
      <c r="E147" s="15" t="s">
        <v>4</v>
      </c>
      <c r="F147" s="20" t="str">
        <f t="shared" si="6"/>
        <v/>
      </c>
      <c r="G147" s="23" t="str">
        <f t="shared" si="7"/>
        <v/>
      </c>
    </row>
    <row r="148" spans="1:7" x14ac:dyDescent="0.25">
      <c r="B148" s="15" t="s">
        <v>685</v>
      </c>
      <c r="C148" s="15" t="s">
        <v>858</v>
      </c>
      <c r="D148" s="11" t="s">
        <v>224</v>
      </c>
      <c r="E148" s="15" t="s">
        <v>5</v>
      </c>
      <c r="F148" s="20" t="str">
        <f t="shared" si="6"/>
        <v/>
      </c>
      <c r="G148" s="23" t="str">
        <f t="shared" si="7"/>
        <v/>
      </c>
    </row>
    <row r="149" spans="1:7" x14ac:dyDescent="0.25">
      <c r="B149" s="15" t="s">
        <v>686</v>
      </c>
      <c r="C149" s="15" t="s">
        <v>859</v>
      </c>
      <c r="D149" s="11" t="s">
        <v>536</v>
      </c>
      <c r="E149" s="15" t="s">
        <v>3</v>
      </c>
      <c r="F149" s="20" t="str">
        <f t="shared" si="6"/>
        <v/>
      </c>
      <c r="G149" s="23" t="str">
        <f t="shared" si="7"/>
        <v/>
      </c>
    </row>
    <row r="150" spans="1:7" x14ac:dyDescent="0.25">
      <c r="A150" s="15">
        <v>47</v>
      </c>
      <c r="B150" s="15" t="s">
        <v>686</v>
      </c>
      <c r="C150" s="15" t="s">
        <v>860</v>
      </c>
      <c r="D150" s="11" t="s">
        <v>225</v>
      </c>
      <c r="E150" s="15" t="s">
        <v>4</v>
      </c>
      <c r="F150" s="20" t="str">
        <f t="shared" si="6"/>
        <v/>
      </c>
      <c r="G150" s="23" t="str">
        <f t="shared" si="7"/>
        <v/>
      </c>
    </row>
    <row r="151" spans="1:7" x14ac:dyDescent="0.25">
      <c r="B151" s="15" t="s">
        <v>686</v>
      </c>
      <c r="C151" s="15" t="s">
        <v>861</v>
      </c>
      <c r="D151" s="11" t="s">
        <v>226</v>
      </c>
      <c r="E151" s="15" t="s">
        <v>5</v>
      </c>
      <c r="F151" s="20" t="str">
        <f t="shared" si="6"/>
        <v/>
      </c>
      <c r="G151" s="23" t="str">
        <f t="shared" si="7"/>
        <v/>
      </c>
    </row>
    <row r="152" spans="1:7" x14ac:dyDescent="0.25">
      <c r="B152" s="15" t="s">
        <v>687</v>
      </c>
      <c r="C152" s="15" t="s">
        <v>862</v>
      </c>
      <c r="D152" s="11" t="s">
        <v>537</v>
      </c>
      <c r="E152" s="15" t="s">
        <v>3</v>
      </c>
      <c r="F152" s="20" t="str">
        <f t="shared" si="6"/>
        <v/>
      </c>
      <c r="G152" s="23" t="str">
        <f t="shared" si="7"/>
        <v/>
      </c>
    </row>
    <row r="153" spans="1:7" x14ac:dyDescent="0.25">
      <c r="A153" s="15">
        <v>48</v>
      </c>
      <c r="B153" s="15" t="s">
        <v>687</v>
      </c>
      <c r="C153" s="15" t="s">
        <v>863</v>
      </c>
      <c r="D153" s="11" t="s">
        <v>227</v>
      </c>
      <c r="E153" s="15" t="s">
        <v>4</v>
      </c>
      <c r="F153" s="20" t="str">
        <f t="shared" si="6"/>
        <v/>
      </c>
      <c r="G153" s="23" t="str">
        <f t="shared" si="7"/>
        <v/>
      </c>
    </row>
    <row r="154" spans="1:7" x14ac:dyDescent="0.25">
      <c r="B154" s="15" t="s">
        <v>687</v>
      </c>
      <c r="C154" s="15" t="s">
        <v>864</v>
      </c>
      <c r="D154" s="11" t="s">
        <v>228</v>
      </c>
      <c r="E154" s="15" t="s">
        <v>5</v>
      </c>
      <c r="F154" s="20" t="str">
        <f t="shared" si="6"/>
        <v/>
      </c>
      <c r="G154" s="23" t="str">
        <f t="shared" si="7"/>
        <v/>
      </c>
    </row>
    <row r="155" spans="1:7" x14ac:dyDescent="0.25">
      <c r="B155" s="15" t="s">
        <v>688</v>
      </c>
      <c r="C155" s="15" t="s">
        <v>865</v>
      </c>
      <c r="D155" s="11" t="s">
        <v>538</v>
      </c>
      <c r="E155" s="15" t="s">
        <v>3</v>
      </c>
      <c r="F155" s="20" t="str">
        <f t="shared" si="6"/>
        <v/>
      </c>
      <c r="G155" s="23" t="str">
        <f t="shared" si="7"/>
        <v/>
      </c>
    </row>
    <row r="156" spans="1:7" x14ac:dyDescent="0.25">
      <c r="A156" s="15">
        <v>49</v>
      </c>
      <c r="B156" s="15" t="s">
        <v>688</v>
      </c>
      <c r="C156" s="15" t="s">
        <v>866</v>
      </c>
      <c r="D156" s="11" t="s">
        <v>229</v>
      </c>
      <c r="E156" s="15" t="s">
        <v>4</v>
      </c>
      <c r="F156" s="20" t="str">
        <f t="shared" si="6"/>
        <v/>
      </c>
      <c r="G156" s="23" t="str">
        <f t="shared" si="7"/>
        <v/>
      </c>
    </row>
    <row r="157" spans="1:7" x14ac:dyDescent="0.25">
      <c r="B157" s="15" t="s">
        <v>688</v>
      </c>
      <c r="C157" s="15" t="s">
        <v>867</v>
      </c>
      <c r="D157" s="11" t="s">
        <v>230</v>
      </c>
      <c r="E157" s="15" t="s">
        <v>5</v>
      </c>
      <c r="F157" s="20" t="str">
        <f t="shared" si="6"/>
        <v/>
      </c>
      <c r="G157" s="23" t="str">
        <f t="shared" si="7"/>
        <v/>
      </c>
    </row>
    <row r="158" spans="1:7" x14ac:dyDescent="0.25">
      <c r="B158" s="15" t="s">
        <v>467</v>
      </c>
      <c r="C158" s="15" t="s">
        <v>868</v>
      </c>
      <c r="D158" s="11" t="s">
        <v>539</v>
      </c>
      <c r="E158" s="15" t="s">
        <v>11</v>
      </c>
      <c r="F158" s="20" t="str">
        <f t="shared" si="6"/>
        <v/>
      </c>
      <c r="G158" s="23" t="str">
        <f t="shared" si="7"/>
        <v/>
      </c>
    </row>
    <row r="159" spans="1:7" x14ac:dyDescent="0.25">
      <c r="B159" s="15" t="s">
        <v>689</v>
      </c>
      <c r="C159" s="15" t="s">
        <v>869</v>
      </c>
      <c r="D159" s="11" t="s">
        <v>540</v>
      </c>
      <c r="E159" s="15" t="s">
        <v>3</v>
      </c>
      <c r="F159" s="20" t="str">
        <f t="shared" si="6"/>
        <v/>
      </c>
      <c r="G159" s="23" t="str">
        <f t="shared" si="7"/>
        <v/>
      </c>
    </row>
    <row r="160" spans="1:7" x14ac:dyDescent="0.25">
      <c r="A160" s="15">
        <v>50</v>
      </c>
      <c r="B160" s="15" t="s">
        <v>689</v>
      </c>
      <c r="C160" s="15" t="s">
        <v>870</v>
      </c>
      <c r="D160" s="11" t="s">
        <v>231</v>
      </c>
      <c r="E160" s="15" t="s">
        <v>4</v>
      </c>
      <c r="F160" s="20" t="str">
        <f t="shared" si="6"/>
        <v/>
      </c>
      <c r="G160" s="23" t="str">
        <f t="shared" si="7"/>
        <v/>
      </c>
    </row>
    <row r="161" spans="1:7" x14ac:dyDescent="0.25">
      <c r="B161" s="15" t="s">
        <v>689</v>
      </c>
      <c r="C161" s="15" t="s">
        <v>871</v>
      </c>
      <c r="D161" s="11" t="s">
        <v>232</v>
      </c>
      <c r="E161" s="15" t="s">
        <v>5</v>
      </c>
      <c r="F161" s="20" t="str">
        <f t="shared" si="6"/>
        <v/>
      </c>
      <c r="G161" s="23" t="str">
        <f t="shared" si="7"/>
        <v/>
      </c>
    </row>
    <row r="162" spans="1:7" x14ac:dyDescent="0.25">
      <c r="B162" s="15" t="s">
        <v>690</v>
      </c>
      <c r="C162" s="15" t="s">
        <v>872</v>
      </c>
      <c r="D162" s="11" t="s">
        <v>541</v>
      </c>
      <c r="E162" s="15" t="s">
        <v>3</v>
      </c>
      <c r="F162" s="20" t="str">
        <f t="shared" si="6"/>
        <v/>
      </c>
      <c r="G162" s="23" t="str">
        <f t="shared" si="7"/>
        <v/>
      </c>
    </row>
    <row r="163" spans="1:7" x14ac:dyDescent="0.25">
      <c r="A163" s="15">
        <v>51</v>
      </c>
      <c r="B163" s="15" t="s">
        <v>690</v>
      </c>
      <c r="C163" s="15" t="s">
        <v>873</v>
      </c>
      <c r="D163" s="11" t="s">
        <v>233</v>
      </c>
      <c r="E163" s="15" t="s">
        <v>4</v>
      </c>
      <c r="F163" s="20" t="str">
        <f t="shared" si="6"/>
        <v/>
      </c>
      <c r="G163" s="23" t="str">
        <f t="shared" si="7"/>
        <v/>
      </c>
    </row>
    <row r="164" spans="1:7" x14ac:dyDescent="0.25">
      <c r="B164" s="15" t="s">
        <v>690</v>
      </c>
      <c r="C164" s="15" t="s">
        <v>874</v>
      </c>
      <c r="D164" s="11" t="s">
        <v>234</v>
      </c>
      <c r="E164" s="15" t="s">
        <v>5</v>
      </c>
      <c r="F164" s="20" t="str">
        <f t="shared" si="6"/>
        <v/>
      </c>
      <c r="G164" s="23" t="str">
        <f t="shared" si="7"/>
        <v/>
      </c>
    </row>
    <row r="165" spans="1:7" x14ac:dyDescent="0.25">
      <c r="B165" s="15" t="s">
        <v>691</v>
      </c>
      <c r="C165" s="15" t="s">
        <v>875</v>
      </c>
      <c r="D165" s="11" t="s">
        <v>542</v>
      </c>
      <c r="E165" s="15" t="s">
        <v>3</v>
      </c>
      <c r="F165" s="20" t="str">
        <f t="shared" si="6"/>
        <v/>
      </c>
      <c r="G165" s="23" t="str">
        <f t="shared" si="7"/>
        <v/>
      </c>
    </row>
    <row r="166" spans="1:7" x14ac:dyDescent="0.25">
      <c r="A166" s="15">
        <v>52</v>
      </c>
      <c r="B166" s="15" t="s">
        <v>691</v>
      </c>
      <c r="C166" s="15" t="s">
        <v>876</v>
      </c>
      <c r="D166" s="11" t="s">
        <v>235</v>
      </c>
      <c r="E166" s="15" t="s">
        <v>4</v>
      </c>
      <c r="F166" s="20" t="str">
        <f t="shared" si="6"/>
        <v/>
      </c>
      <c r="G166" s="23" t="str">
        <f t="shared" si="7"/>
        <v/>
      </c>
    </row>
    <row r="167" spans="1:7" x14ac:dyDescent="0.25">
      <c r="B167" s="15" t="s">
        <v>691</v>
      </c>
      <c r="C167" s="15" t="s">
        <v>877</v>
      </c>
      <c r="D167" s="11" t="s">
        <v>236</v>
      </c>
      <c r="E167" s="15" t="s">
        <v>5</v>
      </c>
      <c r="F167" s="20" t="str">
        <f t="shared" si="6"/>
        <v/>
      </c>
      <c r="G167" s="23" t="str">
        <f t="shared" si="7"/>
        <v/>
      </c>
    </row>
    <row r="168" spans="1:7" x14ac:dyDescent="0.25">
      <c r="B168" s="15" t="s">
        <v>692</v>
      </c>
      <c r="C168" s="15" t="s">
        <v>878</v>
      </c>
      <c r="D168" s="11" t="s">
        <v>543</v>
      </c>
      <c r="E168" s="15" t="s">
        <v>3</v>
      </c>
      <c r="F168" s="20" t="str">
        <f t="shared" si="6"/>
        <v/>
      </c>
      <c r="G168" s="23" t="str">
        <f t="shared" si="7"/>
        <v/>
      </c>
    </row>
    <row r="169" spans="1:7" x14ac:dyDescent="0.25">
      <c r="A169" s="15">
        <v>53</v>
      </c>
      <c r="B169" s="15" t="s">
        <v>692</v>
      </c>
      <c r="C169" s="15" t="s">
        <v>879</v>
      </c>
      <c r="D169" s="11" t="s">
        <v>237</v>
      </c>
      <c r="E169" s="15" t="s">
        <v>4</v>
      </c>
      <c r="F169" s="20" t="str">
        <f t="shared" si="6"/>
        <v/>
      </c>
      <c r="G169" s="23" t="str">
        <f t="shared" si="7"/>
        <v/>
      </c>
    </row>
    <row r="170" spans="1:7" x14ac:dyDescent="0.25">
      <c r="B170" s="15" t="s">
        <v>692</v>
      </c>
      <c r="C170" s="15" t="s">
        <v>880</v>
      </c>
      <c r="D170" s="11" t="s">
        <v>238</v>
      </c>
      <c r="E170" s="15" t="s">
        <v>5</v>
      </c>
      <c r="F170" s="20" t="str">
        <f t="shared" si="6"/>
        <v/>
      </c>
      <c r="G170" s="23" t="str">
        <f t="shared" si="7"/>
        <v/>
      </c>
    </row>
    <row r="171" spans="1:7" x14ac:dyDescent="0.25">
      <c r="B171" s="15" t="s">
        <v>693</v>
      </c>
      <c r="C171" s="15" t="s">
        <v>881</v>
      </c>
      <c r="D171" s="11" t="s">
        <v>544</v>
      </c>
      <c r="E171" s="15" t="s">
        <v>3</v>
      </c>
      <c r="F171" s="20" t="str">
        <f t="shared" si="6"/>
        <v/>
      </c>
      <c r="G171" s="23" t="str">
        <f t="shared" si="7"/>
        <v/>
      </c>
    </row>
    <row r="172" spans="1:7" x14ac:dyDescent="0.25">
      <c r="A172" s="15">
        <v>54</v>
      </c>
      <c r="B172" s="15" t="s">
        <v>693</v>
      </c>
      <c r="C172" s="15" t="s">
        <v>882</v>
      </c>
      <c r="D172" s="11" t="s">
        <v>239</v>
      </c>
      <c r="E172" s="15" t="s">
        <v>4</v>
      </c>
      <c r="F172" s="20" t="str">
        <f t="shared" si="6"/>
        <v/>
      </c>
      <c r="G172" s="23" t="str">
        <f t="shared" si="7"/>
        <v/>
      </c>
    </row>
    <row r="173" spans="1:7" x14ac:dyDescent="0.25">
      <c r="B173" s="15" t="s">
        <v>693</v>
      </c>
      <c r="C173" s="15" t="s">
        <v>883</v>
      </c>
      <c r="D173" s="11" t="s">
        <v>240</v>
      </c>
      <c r="E173" s="15" t="s">
        <v>5</v>
      </c>
      <c r="F173" s="20" t="str">
        <f t="shared" si="6"/>
        <v/>
      </c>
      <c r="G173" s="23" t="str">
        <f t="shared" si="7"/>
        <v/>
      </c>
    </row>
    <row r="174" spans="1:7" x14ac:dyDescent="0.25">
      <c r="B174" s="15" t="s">
        <v>694</v>
      </c>
      <c r="C174" s="15" t="s">
        <v>884</v>
      </c>
      <c r="D174" s="11" t="s">
        <v>545</v>
      </c>
      <c r="E174" s="15" t="s">
        <v>3</v>
      </c>
      <c r="F174" s="20" t="str">
        <f t="shared" si="6"/>
        <v/>
      </c>
      <c r="G174" s="23" t="str">
        <f t="shared" si="7"/>
        <v/>
      </c>
    </row>
    <row r="175" spans="1:7" x14ac:dyDescent="0.25">
      <c r="A175" s="15">
        <v>55</v>
      </c>
      <c r="B175" s="15" t="s">
        <v>694</v>
      </c>
      <c r="C175" s="15" t="s">
        <v>885</v>
      </c>
      <c r="D175" s="11" t="s">
        <v>241</v>
      </c>
      <c r="E175" s="15" t="s">
        <v>4</v>
      </c>
      <c r="F175" s="20" t="str">
        <f t="shared" si="6"/>
        <v/>
      </c>
      <c r="G175" s="23" t="str">
        <f t="shared" si="7"/>
        <v/>
      </c>
    </row>
    <row r="176" spans="1:7" x14ac:dyDescent="0.25">
      <c r="B176" s="15" t="s">
        <v>694</v>
      </c>
      <c r="C176" s="15" t="s">
        <v>886</v>
      </c>
      <c r="D176" s="11" t="s">
        <v>242</v>
      </c>
      <c r="E176" s="15" t="s">
        <v>5</v>
      </c>
      <c r="F176" s="20" t="str">
        <f t="shared" si="6"/>
        <v/>
      </c>
      <c r="G176" s="23" t="str">
        <f t="shared" si="7"/>
        <v/>
      </c>
    </row>
    <row r="177" spans="1:7" x14ac:dyDescent="0.25">
      <c r="B177" s="15" t="s">
        <v>695</v>
      </c>
      <c r="C177" s="15" t="s">
        <v>887</v>
      </c>
      <c r="D177" s="11" t="s">
        <v>546</v>
      </c>
      <c r="E177" s="15" t="s">
        <v>3</v>
      </c>
      <c r="F177" s="20" t="str">
        <f t="shared" si="6"/>
        <v/>
      </c>
      <c r="G177" s="23" t="str">
        <f t="shared" si="7"/>
        <v/>
      </c>
    </row>
    <row r="178" spans="1:7" x14ac:dyDescent="0.25">
      <c r="A178" s="15">
        <v>56</v>
      </c>
      <c r="B178" s="15" t="s">
        <v>695</v>
      </c>
      <c r="C178" s="15" t="s">
        <v>888</v>
      </c>
      <c r="D178" s="11" t="s">
        <v>243</v>
      </c>
      <c r="E178" s="15" t="s">
        <v>4</v>
      </c>
      <c r="F178" s="20" t="str">
        <f t="shared" si="6"/>
        <v/>
      </c>
      <c r="G178" s="23" t="str">
        <f t="shared" si="7"/>
        <v/>
      </c>
    </row>
    <row r="179" spans="1:7" x14ac:dyDescent="0.25">
      <c r="B179" s="15" t="s">
        <v>695</v>
      </c>
      <c r="C179" s="15" t="s">
        <v>889</v>
      </c>
      <c r="D179" s="11" t="s">
        <v>244</v>
      </c>
      <c r="E179" s="15" t="s">
        <v>5</v>
      </c>
      <c r="F179" s="20" t="str">
        <f t="shared" si="6"/>
        <v/>
      </c>
      <c r="G179" s="23" t="str">
        <f t="shared" si="7"/>
        <v/>
      </c>
    </row>
    <row r="180" spans="1:7" x14ac:dyDescent="0.25">
      <c r="B180" s="15" t="s">
        <v>696</v>
      </c>
      <c r="C180" s="15" t="s">
        <v>890</v>
      </c>
      <c r="D180" s="11" t="s">
        <v>547</v>
      </c>
      <c r="E180" s="15" t="s">
        <v>3</v>
      </c>
      <c r="F180" s="20" t="str">
        <f t="shared" si="6"/>
        <v/>
      </c>
      <c r="G180" s="23" t="str">
        <f t="shared" si="7"/>
        <v/>
      </c>
    </row>
    <row r="181" spans="1:7" x14ac:dyDescent="0.25">
      <c r="A181" s="15">
        <v>57</v>
      </c>
      <c r="B181" s="15" t="s">
        <v>696</v>
      </c>
      <c r="C181" s="15" t="s">
        <v>891</v>
      </c>
      <c r="D181" s="11" t="s">
        <v>245</v>
      </c>
      <c r="E181" s="15" t="s">
        <v>4</v>
      </c>
      <c r="F181" s="20" t="str">
        <f t="shared" si="6"/>
        <v/>
      </c>
      <c r="G181" s="23" t="str">
        <f t="shared" si="7"/>
        <v/>
      </c>
    </row>
    <row r="182" spans="1:7" x14ac:dyDescent="0.25">
      <c r="B182" s="15" t="s">
        <v>696</v>
      </c>
      <c r="C182" s="15" t="s">
        <v>892</v>
      </c>
      <c r="D182" s="11" t="s">
        <v>246</v>
      </c>
      <c r="E182" s="15" t="s">
        <v>5</v>
      </c>
      <c r="F182" s="20" t="str">
        <f t="shared" si="6"/>
        <v/>
      </c>
      <c r="G182" s="23" t="str">
        <f t="shared" si="7"/>
        <v/>
      </c>
    </row>
    <row r="183" spans="1:7" x14ac:dyDescent="0.25">
      <c r="B183" s="15" t="s">
        <v>697</v>
      </c>
      <c r="C183" s="15" t="s">
        <v>893</v>
      </c>
      <c r="D183" s="11" t="s">
        <v>548</v>
      </c>
      <c r="E183" s="15" t="s">
        <v>3</v>
      </c>
      <c r="F183" s="20" t="str">
        <f t="shared" si="6"/>
        <v/>
      </c>
      <c r="G183" s="23" t="str">
        <f t="shared" si="7"/>
        <v/>
      </c>
    </row>
    <row r="184" spans="1:7" x14ac:dyDescent="0.25">
      <c r="A184" s="15">
        <v>58</v>
      </c>
      <c r="B184" s="15" t="s">
        <v>697</v>
      </c>
      <c r="C184" s="15" t="s">
        <v>894</v>
      </c>
      <c r="D184" s="11" t="s">
        <v>247</v>
      </c>
      <c r="E184" s="15" t="s">
        <v>4</v>
      </c>
      <c r="F184" s="20" t="str">
        <f t="shared" si="6"/>
        <v/>
      </c>
      <c r="G184" s="23" t="str">
        <f t="shared" si="7"/>
        <v/>
      </c>
    </row>
    <row r="185" spans="1:7" x14ac:dyDescent="0.25">
      <c r="B185" s="15" t="s">
        <v>697</v>
      </c>
      <c r="C185" s="15" t="s">
        <v>895</v>
      </c>
      <c r="D185" s="11" t="s">
        <v>248</v>
      </c>
      <c r="E185" s="15" t="s">
        <v>5</v>
      </c>
      <c r="F185" s="20" t="str">
        <f t="shared" si="6"/>
        <v/>
      </c>
      <c r="G185" s="23" t="str">
        <f t="shared" si="7"/>
        <v/>
      </c>
    </row>
    <row r="186" spans="1:7" x14ac:dyDescent="0.25">
      <c r="B186" s="15" t="s">
        <v>698</v>
      </c>
      <c r="C186" s="15" t="s">
        <v>896</v>
      </c>
      <c r="D186" s="11" t="s">
        <v>549</v>
      </c>
      <c r="E186" s="15" t="s">
        <v>3</v>
      </c>
      <c r="F186" s="20" t="str">
        <f t="shared" si="6"/>
        <v/>
      </c>
      <c r="G186" s="23" t="str">
        <f t="shared" si="7"/>
        <v/>
      </c>
    </row>
    <row r="187" spans="1:7" x14ac:dyDescent="0.25">
      <c r="A187" s="15">
        <v>59</v>
      </c>
      <c r="B187" s="15" t="s">
        <v>698</v>
      </c>
      <c r="C187" s="15" t="s">
        <v>897</v>
      </c>
      <c r="D187" s="11" t="s">
        <v>249</v>
      </c>
      <c r="E187" s="15" t="s">
        <v>4</v>
      </c>
      <c r="F187" s="20" t="str">
        <f t="shared" si="6"/>
        <v/>
      </c>
      <c r="G187" s="23" t="str">
        <f t="shared" si="7"/>
        <v/>
      </c>
    </row>
    <row r="188" spans="1:7" x14ac:dyDescent="0.25">
      <c r="B188" s="15" t="s">
        <v>698</v>
      </c>
      <c r="C188" s="15" t="s">
        <v>898</v>
      </c>
      <c r="D188" s="11" t="s">
        <v>250</v>
      </c>
      <c r="E188" s="15" t="s">
        <v>5</v>
      </c>
      <c r="F188" s="20" t="str">
        <f t="shared" si="6"/>
        <v/>
      </c>
      <c r="G188" s="23" t="str">
        <f t="shared" si="7"/>
        <v/>
      </c>
    </row>
    <row r="189" spans="1:7" x14ac:dyDescent="0.25">
      <c r="B189" s="15" t="s">
        <v>699</v>
      </c>
      <c r="C189" s="15" t="s">
        <v>899</v>
      </c>
      <c r="D189" s="11" t="s">
        <v>550</v>
      </c>
      <c r="E189" s="15" t="s">
        <v>3</v>
      </c>
      <c r="F189" s="20" t="str">
        <f t="shared" si="6"/>
        <v/>
      </c>
      <c r="G189" s="23" t="str">
        <f t="shared" si="7"/>
        <v/>
      </c>
    </row>
    <row r="190" spans="1:7" x14ac:dyDescent="0.25">
      <c r="A190" s="15">
        <v>60</v>
      </c>
      <c r="B190" s="15" t="s">
        <v>699</v>
      </c>
      <c r="C190" s="15" t="s">
        <v>900</v>
      </c>
      <c r="D190" s="11" t="s">
        <v>251</v>
      </c>
      <c r="E190" s="15" t="s">
        <v>4</v>
      </c>
      <c r="F190" s="20" t="str">
        <f t="shared" si="6"/>
        <v/>
      </c>
      <c r="G190" s="23" t="str">
        <f t="shared" si="7"/>
        <v/>
      </c>
    </row>
    <row r="191" spans="1:7" x14ac:dyDescent="0.25">
      <c r="B191" s="15" t="s">
        <v>699</v>
      </c>
      <c r="C191" s="15" t="s">
        <v>901</v>
      </c>
      <c r="D191" s="11" t="s">
        <v>252</v>
      </c>
      <c r="E191" s="15" t="s">
        <v>5</v>
      </c>
      <c r="F191" s="20" t="str">
        <f t="shared" si="6"/>
        <v/>
      </c>
      <c r="G191" s="23" t="str">
        <f t="shared" si="7"/>
        <v/>
      </c>
    </row>
    <row r="192" spans="1:7" x14ac:dyDescent="0.25">
      <c r="B192" s="15" t="s">
        <v>700</v>
      </c>
      <c r="C192" s="15" t="s">
        <v>902</v>
      </c>
      <c r="D192" s="11" t="s">
        <v>551</v>
      </c>
      <c r="E192" s="15" t="s">
        <v>3</v>
      </c>
      <c r="F192" s="20" t="str">
        <f t="shared" si="6"/>
        <v/>
      </c>
      <c r="G192" s="23" t="str">
        <f t="shared" si="7"/>
        <v/>
      </c>
    </row>
    <row r="193" spans="1:7" x14ac:dyDescent="0.25">
      <c r="A193" s="15">
        <v>61</v>
      </c>
      <c r="B193" s="15" t="s">
        <v>700</v>
      </c>
      <c r="C193" s="15" t="s">
        <v>903</v>
      </c>
      <c r="D193" s="11" t="s">
        <v>253</v>
      </c>
      <c r="E193" s="15" t="s">
        <v>4</v>
      </c>
      <c r="F193" s="20" t="str">
        <f t="shared" si="6"/>
        <v/>
      </c>
      <c r="G193" s="23" t="str">
        <f t="shared" si="7"/>
        <v/>
      </c>
    </row>
    <row r="194" spans="1:7" x14ac:dyDescent="0.25">
      <c r="B194" s="15" t="s">
        <v>700</v>
      </c>
      <c r="C194" s="15" t="s">
        <v>904</v>
      </c>
      <c r="D194" s="11" t="s">
        <v>254</v>
      </c>
      <c r="E194" s="15" t="s">
        <v>5</v>
      </c>
      <c r="F194" s="20" t="str">
        <f t="shared" si="6"/>
        <v/>
      </c>
      <c r="G194" s="23" t="str">
        <f t="shared" si="7"/>
        <v/>
      </c>
    </row>
    <row r="195" spans="1:7" x14ac:dyDescent="0.25">
      <c r="B195" s="15" t="s">
        <v>701</v>
      </c>
      <c r="C195" s="15" t="s">
        <v>905</v>
      </c>
      <c r="D195" s="11" t="s">
        <v>552</v>
      </c>
      <c r="E195" s="15" t="s">
        <v>3</v>
      </c>
      <c r="F195" s="20" t="str">
        <f t="shared" si="6"/>
        <v/>
      </c>
      <c r="G195" s="23" t="str">
        <f t="shared" si="7"/>
        <v/>
      </c>
    </row>
    <row r="196" spans="1:7" x14ac:dyDescent="0.25">
      <c r="A196" s="15">
        <v>62</v>
      </c>
      <c r="B196" s="15" t="s">
        <v>701</v>
      </c>
      <c r="C196" s="15" t="s">
        <v>906</v>
      </c>
      <c r="D196" s="11" t="s">
        <v>255</v>
      </c>
      <c r="E196" s="15" t="s">
        <v>4</v>
      </c>
      <c r="F196" s="20" t="str">
        <f t="shared" si="6"/>
        <v/>
      </c>
      <c r="G196" s="23" t="str">
        <f t="shared" si="7"/>
        <v/>
      </c>
    </row>
    <row r="197" spans="1:7" x14ac:dyDescent="0.25">
      <c r="B197" s="15" t="s">
        <v>701</v>
      </c>
      <c r="C197" s="15" t="s">
        <v>907</v>
      </c>
      <c r="D197" s="11" t="s">
        <v>256</v>
      </c>
      <c r="E197" s="15" t="s">
        <v>5</v>
      </c>
      <c r="F197" s="20" t="str">
        <f t="shared" si="6"/>
        <v/>
      </c>
      <c r="G197" s="23" t="str">
        <f t="shared" si="7"/>
        <v/>
      </c>
    </row>
    <row r="198" spans="1:7" x14ac:dyDescent="0.25">
      <c r="B198" s="15" t="s">
        <v>468</v>
      </c>
      <c r="C198" s="15" t="s">
        <v>908</v>
      </c>
      <c r="D198" s="11" t="s">
        <v>553</v>
      </c>
      <c r="E198" s="15" t="s">
        <v>11</v>
      </c>
      <c r="F198" s="20" t="str">
        <f t="shared" si="6"/>
        <v/>
      </c>
      <c r="G198" s="23" t="str">
        <f t="shared" si="7"/>
        <v/>
      </c>
    </row>
    <row r="199" spans="1:7" x14ac:dyDescent="0.25">
      <c r="B199" s="15" t="s">
        <v>702</v>
      </c>
      <c r="C199" s="15" t="s">
        <v>909</v>
      </c>
      <c r="D199" s="11" t="s">
        <v>554</v>
      </c>
      <c r="E199" s="15" t="s">
        <v>3</v>
      </c>
      <c r="F199" s="20" t="str">
        <f t="shared" ref="F199:F262" si="8">IF(G199="","","https://docs.google.com/uc?export=download&amp;id="&amp;G199)</f>
        <v/>
      </c>
      <c r="G199" s="23" t="str">
        <f t="shared" si="7"/>
        <v/>
      </c>
    </row>
    <row r="200" spans="1:7" x14ac:dyDescent="0.25">
      <c r="A200" s="15">
        <v>63</v>
      </c>
      <c r="B200" s="15" t="s">
        <v>702</v>
      </c>
      <c r="C200" s="15" t="s">
        <v>910</v>
      </c>
      <c r="D200" s="11" t="s">
        <v>257</v>
      </c>
      <c r="E200" s="15" t="s">
        <v>4</v>
      </c>
      <c r="F200" s="20" t="str">
        <f t="shared" si="8"/>
        <v/>
      </c>
      <c r="G200" s="23" t="str">
        <f t="shared" ref="G200:G263" si="9">IFERROR(LEFT(RIGHT(H200,LEN(H200)-32),LEN(RIGHT(H200,LEN(H200)-32))-17),"")</f>
        <v/>
      </c>
    </row>
    <row r="201" spans="1:7" x14ac:dyDescent="0.25">
      <c r="B201" s="15" t="s">
        <v>702</v>
      </c>
      <c r="C201" s="15" t="s">
        <v>911</v>
      </c>
      <c r="D201" s="11" t="s">
        <v>258</v>
      </c>
      <c r="E201" s="15" t="s">
        <v>5</v>
      </c>
      <c r="F201" s="20" t="str">
        <f t="shared" si="8"/>
        <v/>
      </c>
      <c r="G201" s="23" t="str">
        <f t="shared" si="9"/>
        <v/>
      </c>
    </row>
    <row r="202" spans="1:7" x14ac:dyDescent="0.25">
      <c r="B202" s="15" t="s">
        <v>703</v>
      </c>
      <c r="C202" s="15" t="s">
        <v>912</v>
      </c>
      <c r="D202" s="11" t="s">
        <v>555</v>
      </c>
      <c r="E202" s="15" t="s">
        <v>3</v>
      </c>
      <c r="F202" s="20" t="str">
        <f t="shared" si="8"/>
        <v/>
      </c>
      <c r="G202" s="23" t="str">
        <f t="shared" si="9"/>
        <v/>
      </c>
    </row>
    <row r="203" spans="1:7" x14ac:dyDescent="0.25">
      <c r="A203" s="15">
        <v>64</v>
      </c>
      <c r="B203" s="15" t="s">
        <v>703</v>
      </c>
      <c r="C203" s="15" t="s">
        <v>913</v>
      </c>
      <c r="D203" s="11" t="s">
        <v>259</v>
      </c>
      <c r="E203" s="15" t="s">
        <v>4</v>
      </c>
      <c r="F203" s="20" t="str">
        <f t="shared" si="8"/>
        <v/>
      </c>
      <c r="G203" s="23" t="str">
        <f t="shared" si="9"/>
        <v/>
      </c>
    </row>
    <row r="204" spans="1:7" x14ac:dyDescent="0.25">
      <c r="B204" s="15" t="s">
        <v>703</v>
      </c>
      <c r="C204" s="15" t="s">
        <v>914</v>
      </c>
      <c r="D204" s="11" t="s">
        <v>260</v>
      </c>
      <c r="E204" s="15" t="s">
        <v>5</v>
      </c>
      <c r="F204" s="20" t="str">
        <f t="shared" si="8"/>
        <v/>
      </c>
      <c r="G204" s="23" t="str">
        <f t="shared" si="9"/>
        <v/>
      </c>
    </row>
    <row r="205" spans="1:7" x14ac:dyDescent="0.25">
      <c r="B205" s="15" t="s">
        <v>704</v>
      </c>
      <c r="C205" s="15" t="s">
        <v>915</v>
      </c>
      <c r="D205" s="11" t="s">
        <v>556</v>
      </c>
      <c r="E205" s="15" t="s">
        <v>3</v>
      </c>
      <c r="F205" s="20" t="str">
        <f t="shared" si="8"/>
        <v/>
      </c>
      <c r="G205" s="23" t="str">
        <f t="shared" si="9"/>
        <v/>
      </c>
    </row>
    <row r="206" spans="1:7" x14ac:dyDescent="0.25">
      <c r="A206" s="15">
        <v>65</v>
      </c>
      <c r="B206" s="15" t="s">
        <v>704</v>
      </c>
      <c r="C206" s="15" t="s">
        <v>916</v>
      </c>
      <c r="D206" s="11" t="s">
        <v>261</v>
      </c>
      <c r="E206" s="15" t="s">
        <v>4</v>
      </c>
      <c r="F206" s="20" t="str">
        <f t="shared" si="8"/>
        <v/>
      </c>
      <c r="G206" s="23" t="str">
        <f t="shared" si="9"/>
        <v/>
      </c>
    </row>
    <row r="207" spans="1:7" x14ac:dyDescent="0.25">
      <c r="B207" s="15" t="s">
        <v>704</v>
      </c>
      <c r="C207" s="15" t="s">
        <v>917</v>
      </c>
      <c r="D207" s="11" t="s">
        <v>262</v>
      </c>
      <c r="E207" s="15" t="s">
        <v>5</v>
      </c>
      <c r="F207" s="20" t="str">
        <f t="shared" si="8"/>
        <v/>
      </c>
      <c r="G207" s="23" t="str">
        <f t="shared" si="9"/>
        <v/>
      </c>
    </row>
    <row r="208" spans="1:7" x14ac:dyDescent="0.25">
      <c r="B208" s="15" t="s">
        <v>705</v>
      </c>
      <c r="C208" s="15" t="s">
        <v>918</v>
      </c>
      <c r="D208" s="11" t="s">
        <v>557</v>
      </c>
      <c r="E208" s="15" t="s">
        <v>3</v>
      </c>
      <c r="F208" s="20" t="str">
        <f t="shared" si="8"/>
        <v/>
      </c>
      <c r="G208" s="23" t="str">
        <f t="shared" si="9"/>
        <v/>
      </c>
    </row>
    <row r="209" spans="1:7" x14ac:dyDescent="0.25">
      <c r="A209" s="15">
        <v>66</v>
      </c>
      <c r="B209" s="15" t="s">
        <v>705</v>
      </c>
      <c r="C209" s="15" t="s">
        <v>919</v>
      </c>
      <c r="D209" s="11" t="s">
        <v>263</v>
      </c>
      <c r="E209" s="15" t="s">
        <v>4</v>
      </c>
      <c r="F209" s="20" t="str">
        <f t="shared" si="8"/>
        <v/>
      </c>
      <c r="G209" s="23" t="str">
        <f t="shared" si="9"/>
        <v/>
      </c>
    </row>
    <row r="210" spans="1:7" x14ac:dyDescent="0.25">
      <c r="B210" s="15" t="s">
        <v>705</v>
      </c>
      <c r="C210" s="15" t="s">
        <v>920</v>
      </c>
      <c r="D210" s="11" t="s">
        <v>264</v>
      </c>
      <c r="E210" s="15" t="s">
        <v>5</v>
      </c>
      <c r="F210" s="20" t="str">
        <f t="shared" si="8"/>
        <v/>
      </c>
      <c r="G210" s="23" t="str">
        <f t="shared" si="9"/>
        <v/>
      </c>
    </row>
    <row r="211" spans="1:7" x14ac:dyDescent="0.25">
      <c r="B211" s="15" t="s">
        <v>706</v>
      </c>
      <c r="C211" s="15" t="s">
        <v>921</v>
      </c>
      <c r="D211" s="11" t="s">
        <v>558</v>
      </c>
      <c r="E211" s="15" t="s">
        <v>3</v>
      </c>
      <c r="F211" s="20" t="str">
        <f t="shared" si="8"/>
        <v/>
      </c>
      <c r="G211" s="23" t="str">
        <f t="shared" si="9"/>
        <v/>
      </c>
    </row>
    <row r="212" spans="1:7" x14ac:dyDescent="0.25">
      <c r="A212" s="15">
        <v>67</v>
      </c>
      <c r="B212" s="15" t="s">
        <v>706</v>
      </c>
      <c r="C212" s="15" t="s">
        <v>922</v>
      </c>
      <c r="D212" s="11" t="s">
        <v>265</v>
      </c>
      <c r="E212" s="15" t="s">
        <v>4</v>
      </c>
      <c r="F212" s="20" t="str">
        <f t="shared" si="8"/>
        <v/>
      </c>
      <c r="G212" s="23" t="str">
        <f t="shared" si="9"/>
        <v/>
      </c>
    </row>
    <row r="213" spans="1:7" x14ac:dyDescent="0.25">
      <c r="B213" s="15" t="s">
        <v>706</v>
      </c>
      <c r="C213" s="15" t="s">
        <v>923</v>
      </c>
      <c r="D213" s="11" t="s">
        <v>266</v>
      </c>
      <c r="E213" s="15" t="s">
        <v>5</v>
      </c>
      <c r="F213" s="20" t="str">
        <f t="shared" si="8"/>
        <v/>
      </c>
      <c r="G213" s="23" t="str">
        <f t="shared" si="9"/>
        <v/>
      </c>
    </row>
    <row r="214" spans="1:7" x14ac:dyDescent="0.25">
      <c r="B214" s="15" t="s">
        <v>707</v>
      </c>
      <c r="C214" s="15" t="s">
        <v>924</v>
      </c>
      <c r="D214" s="11" t="s">
        <v>559</v>
      </c>
      <c r="E214" s="15" t="s">
        <v>3</v>
      </c>
      <c r="F214" s="20" t="str">
        <f t="shared" si="8"/>
        <v/>
      </c>
      <c r="G214" s="23" t="str">
        <f t="shared" si="9"/>
        <v/>
      </c>
    </row>
    <row r="215" spans="1:7" x14ac:dyDescent="0.25">
      <c r="A215" s="15">
        <v>68</v>
      </c>
      <c r="B215" s="15" t="s">
        <v>707</v>
      </c>
      <c r="C215" s="15" t="s">
        <v>925</v>
      </c>
      <c r="D215" s="11" t="s">
        <v>267</v>
      </c>
      <c r="E215" s="15" t="s">
        <v>4</v>
      </c>
      <c r="F215" s="20" t="str">
        <f t="shared" si="8"/>
        <v/>
      </c>
      <c r="G215" s="23" t="str">
        <f t="shared" si="9"/>
        <v/>
      </c>
    </row>
    <row r="216" spans="1:7" x14ac:dyDescent="0.25">
      <c r="B216" s="15" t="s">
        <v>707</v>
      </c>
      <c r="C216" s="15" t="s">
        <v>926</v>
      </c>
      <c r="D216" s="11" t="s">
        <v>268</v>
      </c>
      <c r="E216" s="15" t="s">
        <v>5</v>
      </c>
      <c r="F216" s="20" t="str">
        <f t="shared" si="8"/>
        <v/>
      </c>
      <c r="G216" s="23" t="str">
        <f t="shared" si="9"/>
        <v/>
      </c>
    </row>
    <row r="217" spans="1:7" x14ac:dyDescent="0.25">
      <c r="B217" s="15" t="s">
        <v>708</v>
      </c>
      <c r="C217" s="15" t="s">
        <v>927</v>
      </c>
      <c r="D217" s="11" t="s">
        <v>560</v>
      </c>
      <c r="E217" s="15" t="s">
        <v>3</v>
      </c>
      <c r="F217" s="20" t="str">
        <f t="shared" si="8"/>
        <v/>
      </c>
      <c r="G217" s="23" t="str">
        <f t="shared" si="9"/>
        <v/>
      </c>
    </row>
    <row r="218" spans="1:7" x14ac:dyDescent="0.25">
      <c r="A218" s="15">
        <v>69</v>
      </c>
      <c r="B218" s="15" t="s">
        <v>708</v>
      </c>
      <c r="C218" s="15" t="s">
        <v>928</v>
      </c>
      <c r="D218" s="11" t="s">
        <v>269</v>
      </c>
      <c r="E218" s="15" t="s">
        <v>4</v>
      </c>
      <c r="F218" s="20" t="str">
        <f t="shared" si="8"/>
        <v/>
      </c>
      <c r="G218" s="23" t="str">
        <f t="shared" si="9"/>
        <v/>
      </c>
    </row>
    <row r="219" spans="1:7" x14ac:dyDescent="0.25">
      <c r="B219" s="15" t="s">
        <v>708</v>
      </c>
      <c r="C219" s="15" t="s">
        <v>929</v>
      </c>
      <c r="D219" s="11" t="s">
        <v>270</v>
      </c>
      <c r="E219" s="15" t="s">
        <v>5</v>
      </c>
      <c r="F219" s="20" t="str">
        <f t="shared" si="8"/>
        <v/>
      </c>
      <c r="G219" s="23" t="str">
        <f t="shared" si="9"/>
        <v/>
      </c>
    </row>
    <row r="220" spans="1:7" x14ac:dyDescent="0.25">
      <c r="B220" s="15" t="s">
        <v>709</v>
      </c>
      <c r="C220" s="15" t="s">
        <v>930</v>
      </c>
      <c r="D220" s="11" t="s">
        <v>561</v>
      </c>
      <c r="E220" s="15" t="s">
        <v>3</v>
      </c>
      <c r="F220" s="20" t="str">
        <f t="shared" si="8"/>
        <v/>
      </c>
      <c r="G220" s="23" t="str">
        <f t="shared" si="9"/>
        <v/>
      </c>
    </row>
    <row r="221" spans="1:7" x14ac:dyDescent="0.25">
      <c r="A221" s="15">
        <v>70</v>
      </c>
      <c r="B221" s="15" t="s">
        <v>709</v>
      </c>
      <c r="C221" s="15" t="s">
        <v>931</v>
      </c>
      <c r="D221" s="11" t="s">
        <v>271</v>
      </c>
      <c r="E221" s="15" t="s">
        <v>4</v>
      </c>
      <c r="F221" s="20" t="str">
        <f t="shared" si="8"/>
        <v/>
      </c>
      <c r="G221" s="23" t="str">
        <f t="shared" si="9"/>
        <v/>
      </c>
    </row>
    <row r="222" spans="1:7" x14ac:dyDescent="0.25">
      <c r="B222" s="15" t="s">
        <v>709</v>
      </c>
      <c r="C222" s="15" t="s">
        <v>932</v>
      </c>
      <c r="D222" s="11" t="s">
        <v>272</v>
      </c>
      <c r="E222" s="15" t="s">
        <v>5</v>
      </c>
      <c r="F222" s="20" t="str">
        <f t="shared" si="8"/>
        <v/>
      </c>
      <c r="G222" s="23" t="str">
        <f t="shared" si="9"/>
        <v/>
      </c>
    </row>
    <row r="223" spans="1:7" x14ac:dyDescent="0.25">
      <c r="B223" s="15" t="s">
        <v>710</v>
      </c>
      <c r="C223" s="15" t="s">
        <v>933</v>
      </c>
      <c r="D223" s="11" t="s">
        <v>562</v>
      </c>
      <c r="E223" s="15" t="s">
        <v>3</v>
      </c>
      <c r="F223" s="20" t="str">
        <f t="shared" si="8"/>
        <v/>
      </c>
      <c r="G223" s="23" t="str">
        <f t="shared" si="9"/>
        <v/>
      </c>
    </row>
    <row r="224" spans="1:7" x14ac:dyDescent="0.25">
      <c r="A224" s="15">
        <v>71</v>
      </c>
      <c r="B224" s="15" t="s">
        <v>710</v>
      </c>
      <c r="C224" s="15" t="s">
        <v>934</v>
      </c>
      <c r="D224" s="11" t="s">
        <v>273</v>
      </c>
      <c r="E224" s="15" t="s">
        <v>4</v>
      </c>
      <c r="F224" s="20" t="str">
        <f t="shared" si="8"/>
        <v/>
      </c>
      <c r="G224" s="23" t="str">
        <f t="shared" si="9"/>
        <v/>
      </c>
    </row>
    <row r="225" spans="1:7" x14ac:dyDescent="0.25">
      <c r="B225" s="15" t="s">
        <v>710</v>
      </c>
      <c r="C225" s="15" t="s">
        <v>935</v>
      </c>
      <c r="D225" s="11" t="s">
        <v>274</v>
      </c>
      <c r="E225" s="15" t="s">
        <v>5</v>
      </c>
      <c r="F225" s="20" t="str">
        <f t="shared" si="8"/>
        <v/>
      </c>
      <c r="G225" s="23" t="str">
        <f t="shared" si="9"/>
        <v/>
      </c>
    </row>
    <row r="226" spans="1:7" x14ac:dyDescent="0.25">
      <c r="B226" s="15" t="s">
        <v>711</v>
      </c>
      <c r="C226" s="15" t="s">
        <v>936</v>
      </c>
      <c r="D226" s="11" t="s">
        <v>563</v>
      </c>
      <c r="E226" s="15" t="s">
        <v>3</v>
      </c>
      <c r="F226" s="20" t="str">
        <f t="shared" si="8"/>
        <v/>
      </c>
      <c r="G226" s="23" t="str">
        <f t="shared" si="9"/>
        <v/>
      </c>
    </row>
    <row r="227" spans="1:7" x14ac:dyDescent="0.25">
      <c r="A227" s="15">
        <v>72</v>
      </c>
      <c r="B227" s="15" t="s">
        <v>711</v>
      </c>
      <c r="C227" s="15" t="s">
        <v>937</v>
      </c>
      <c r="D227" s="11" t="s">
        <v>275</v>
      </c>
      <c r="E227" s="15" t="s">
        <v>4</v>
      </c>
      <c r="F227" s="20" t="str">
        <f t="shared" si="8"/>
        <v/>
      </c>
      <c r="G227" s="23" t="str">
        <f t="shared" si="9"/>
        <v/>
      </c>
    </row>
    <row r="228" spans="1:7" x14ac:dyDescent="0.25">
      <c r="B228" s="15" t="s">
        <v>711</v>
      </c>
      <c r="C228" s="15" t="s">
        <v>938</v>
      </c>
      <c r="D228" s="11" t="s">
        <v>276</v>
      </c>
      <c r="E228" s="15" t="s">
        <v>5</v>
      </c>
      <c r="F228" s="20" t="str">
        <f t="shared" si="8"/>
        <v/>
      </c>
      <c r="G228" s="23" t="str">
        <f t="shared" si="9"/>
        <v/>
      </c>
    </row>
    <row r="229" spans="1:7" x14ac:dyDescent="0.25">
      <c r="B229" s="15" t="s">
        <v>712</v>
      </c>
      <c r="C229" s="15" t="s">
        <v>939</v>
      </c>
      <c r="D229" s="11" t="s">
        <v>564</v>
      </c>
      <c r="E229" s="15" t="s">
        <v>3</v>
      </c>
      <c r="F229" s="20" t="str">
        <f t="shared" si="8"/>
        <v/>
      </c>
      <c r="G229" s="23" t="str">
        <f t="shared" si="9"/>
        <v/>
      </c>
    </row>
    <row r="230" spans="1:7" x14ac:dyDescent="0.25">
      <c r="A230" s="15">
        <v>73</v>
      </c>
      <c r="B230" s="15" t="s">
        <v>712</v>
      </c>
      <c r="C230" s="15" t="s">
        <v>940</v>
      </c>
      <c r="D230" s="11" t="s">
        <v>277</v>
      </c>
      <c r="E230" s="15" t="s">
        <v>4</v>
      </c>
      <c r="F230" s="20" t="str">
        <f t="shared" si="8"/>
        <v/>
      </c>
      <c r="G230" s="23" t="str">
        <f t="shared" si="9"/>
        <v/>
      </c>
    </row>
    <row r="231" spans="1:7" x14ac:dyDescent="0.25">
      <c r="B231" s="15" t="s">
        <v>712</v>
      </c>
      <c r="C231" s="15" t="s">
        <v>941</v>
      </c>
      <c r="D231" s="11" t="s">
        <v>278</v>
      </c>
      <c r="E231" s="15" t="s">
        <v>5</v>
      </c>
      <c r="F231" s="20" t="str">
        <f t="shared" si="8"/>
        <v/>
      </c>
      <c r="G231" s="23" t="str">
        <f t="shared" si="9"/>
        <v/>
      </c>
    </row>
    <row r="232" spans="1:7" x14ac:dyDescent="0.25">
      <c r="B232" s="15" t="s">
        <v>713</v>
      </c>
      <c r="C232" s="15" t="s">
        <v>942</v>
      </c>
      <c r="D232" s="11" t="s">
        <v>565</v>
      </c>
      <c r="E232" s="15" t="s">
        <v>3</v>
      </c>
      <c r="F232" s="20" t="str">
        <f t="shared" si="8"/>
        <v/>
      </c>
      <c r="G232" s="23" t="str">
        <f t="shared" si="9"/>
        <v/>
      </c>
    </row>
    <row r="233" spans="1:7" x14ac:dyDescent="0.25">
      <c r="A233" s="15">
        <v>74</v>
      </c>
      <c r="B233" s="15" t="s">
        <v>713</v>
      </c>
      <c r="C233" s="15" t="s">
        <v>943</v>
      </c>
      <c r="D233" s="11" t="s">
        <v>279</v>
      </c>
      <c r="E233" s="15" t="s">
        <v>4</v>
      </c>
      <c r="F233" s="20" t="str">
        <f t="shared" si="8"/>
        <v/>
      </c>
      <c r="G233" s="23" t="str">
        <f t="shared" si="9"/>
        <v/>
      </c>
    </row>
    <row r="234" spans="1:7" x14ac:dyDescent="0.25">
      <c r="B234" s="15" t="s">
        <v>713</v>
      </c>
      <c r="C234" s="15" t="s">
        <v>944</v>
      </c>
      <c r="D234" s="11" t="s">
        <v>280</v>
      </c>
      <c r="E234" s="15" t="s">
        <v>5</v>
      </c>
      <c r="F234" s="20" t="str">
        <f t="shared" si="8"/>
        <v/>
      </c>
      <c r="G234" s="23" t="str">
        <f t="shared" si="9"/>
        <v/>
      </c>
    </row>
    <row r="235" spans="1:7" x14ac:dyDescent="0.25">
      <c r="B235" s="15" t="s">
        <v>714</v>
      </c>
      <c r="C235" s="15" t="s">
        <v>945</v>
      </c>
      <c r="D235" s="11" t="s">
        <v>566</v>
      </c>
      <c r="E235" s="15" t="s">
        <v>3</v>
      </c>
      <c r="F235" s="20" t="str">
        <f t="shared" si="8"/>
        <v/>
      </c>
      <c r="G235" s="23" t="str">
        <f t="shared" si="9"/>
        <v/>
      </c>
    </row>
    <row r="236" spans="1:7" x14ac:dyDescent="0.25">
      <c r="A236" s="15">
        <v>75</v>
      </c>
      <c r="B236" s="15" t="s">
        <v>714</v>
      </c>
      <c r="C236" s="15" t="s">
        <v>946</v>
      </c>
      <c r="D236" s="11" t="s">
        <v>281</v>
      </c>
      <c r="E236" s="15" t="s">
        <v>4</v>
      </c>
      <c r="F236" s="20" t="str">
        <f t="shared" si="8"/>
        <v/>
      </c>
      <c r="G236" s="23" t="str">
        <f t="shared" si="9"/>
        <v/>
      </c>
    </row>
    <row r="237" spans="1:7" x14ac:dyDescent="0.25">
      <c r="B237" s="15" t="s">
        <v>714</v>
      </c>
      <c r="C237" s="15" t="s">
        <v>947</v>
      </c>
      <c r="D237" s="11" t="s">
        <v>282</v>
      </c>
      <c r="E237" s="15" t="s">
        <v>5</v>
      </c>
      <c r="F237" s="20" t="str">
        <f t="shared" si="8"/>
        <v/>
      </c>
      <c r="G237" s="23" t="str">
        <f t="shared" si="9"/>
        <v/>
      </c>
    </row>
    <row r="238" spans="1:7" x14ac:dyDescent="0.25">
      <c r="B238" s="15" t="s">
        <v>715</v>
      </c>
      <c r="C238" s="15" t="s">
        <v>948</v>
      </c>
      <c r="D238" s="11" t="s">
        <v>567</v>
      </c>
      <c r="E238" s="15" t="s">
        <v>3</v>
      </c>
      <c r="F238" s="20" t="str">
        <f t="shared" si="8"/>
        <v/>
      </c>
      <c r="G238" s="23" t="str">
        <f t="shared" si="9"/>
        <v/>
      </c>
    </row>
    <row r="239" spans="1:7" x14ac:dyDescent="0.25">
      <c r="A239" s="15">
        <v>76</v>
      </c>
      <c r="B239" s="15" t="s">
        <v>715</v>
      </c>
      <c r="C239" s="15" t="s">
        <v>949</v>
      </c>
      <c r="D239" s="11" t="s">
        <v>283</v>
      </c>
      <c r="E239" s="15" t="s">
        <v>4</v>
      </c>
      <c r="F239" s="20" t="str">
        <f t="shared" si="8"/>
        <v/>
      </c>
      <c r="G239" s="23" t="str">
        <f t="shared" si="9"/>
        <v/>
      </c>
    </row>
    <row r="240" spans="1:7" x14ac:dyDescent="0.25">
      <c r="B240" s="15" t="s">
        <v>715</v>
      </c>
      <c r="C240" s="15" t="s">
        <v>950</v>
      </c>
      <c r="D240" s="11" t="s">
        <v>284</v>
      </c>
      <c r="E240" s="15" t="s">
        <v>5</v>
      </c>
      <c r="F240" s="20" t="str">
        <f t="shared" si="8"/>
        <v/>
      </c>
      <c r="G240" s="23" t="str">
        <f t="shared" si="9"/>
        <v/>
      </c>
    </row>
    <row r="241" spans="1:7" x14ac:dyDescent="0.25">
      <c r="B241" s="15" t="s">
        <v>716</v>
      </c>
      <c r="C241" s="15" t="s">
        <v>951</v>
      </c>
      <c r="D241" s="11" t="s">
        <v>568</v>
      </c>
      <c r="E241" s="15" t="s">
        <v>3</v>
      </c>
      <c r="F241" s="20" t="str">
        <f t="shared" si="8"/>
        <v/>
      </c>
      <c r="G241" s="23" t="str">
        <f t="shared" si="9"/>
        <v/>
      </c>
    </row>
    <row r="242" spans="1:7" x14ac:dyDescent="0.25">
      <c r="A242" s="15">
        <v>77</v>
      </c>
      <c r="B242" s="15" t="s">
        <v>716</v>
      </c>
      <c r="C242" s="15" t="s">
        <v>952</v>
      </c>
      <c r="D242" s="11" t="s">
        <v>285</v>
      </c>
      <c r="E242" s="15" t="s">
        <v>4</v>
      </c>
      <c r="F242" s="20" t="str">
        <f t="shared" si="8"/>
        <v/>
      </c>
      <c r="G242" s="23" t="str">
        <f t="shared" si="9"/>
        <v/>
      </c>
    </row>
    <row r="243" spans="1:7" x14ac:dyDescent="0.25">
      <c r="B243" s="15" t="s">
        <v>716</v>
      </c>
      <c r="C243" s="15" t="s">
        <v>953</v>
      </c>
      <c r="D243" s="11" t="s">
        <v>286</v>
      </c>
      <c r="E243" s="15" t="s">
        <v>5</v>
      </c>
      <c r="F243" s="20" t="str">
        <f t="shared" si="8"/>
        <v/>
      </c>
      <c r="G243" s="23" t="str">
        <f t="shared" si="9"/>
        <v/>
      </c>
    </row>
    <row r="244" spans="1:7" x14ac:dyDescent="0.25">
      <c r="B244" s="15" t="s">
        <v>717</v>
      </c>
      <c r="C244" s="15" t="s">
        <v>954</v>
      </c>
      <c r="D244" s="11" t="s">
        <v>569</v>
      </c>
      <c r="E244" s="15" t="s">
        <v>3</v>
      </c>
      <c r="F244" s="20" t="str">
        <f t="shared" si="8"/>
        <v/>
      </c>
      <c r="G244" s="23" t="str">
        <f t="shared" si="9"/>
        <v/>
      </c>
    </row>
    <row r="245" spans="1:7" x14ac:dyDescent="0.25">
      <c r="A245" s="15">
        <v>78</v>
      </c>
      <c r="B245" s="15" t="s">
        <v>717</v>
      </c>
      <c r="C245" s="15" t="s">
        <v>955</v>
      </c>
      <c r="D245" s="11" t="s">
        <v>287</v>
      </c>
      <c r="E245" s="15" t="s">
        <v>4</v>
      </c>
      <c r="F245" s="20" t="str">
        <f t="shared" si="8"/>
        <v/>
      </c>
      <c r="G245" s="23" t="str">
        <f t="shared" si="9"/>
        <v/>
      </c>
    </row>
    <row r="246" spans="1:7" x14ac:dyDescent="0.25">
      <c r="B246" s="15" t="s">
        <v>717</v>
      </c>
      <c r="C246" s="15" t="s">
        <v>956</v>
      </c>
      <c r="D246" s="11" t="s">
        <v>288</v>
      </c>
      <c r="E246" s="15" t="s">
        <v>5</v>
      </c>
      <c r="F246" s="20" t="str">
        <f t="shared" si="8"/>
        <v/>
      </c>
      <c r="G246" s="23" t="str">
        <f t="shared" si="9"/>
        <v/>
      </c>
    </row>
    <row r="247" spans="1:7" x14ac:dyDescent="0.25">
      <c r="B247" s="15" t="s">
        <v>469</v>
      </c>
      <c r="C247" s="15" t="s">
        <v>957</v>
      </c>
      <c r="D247" s="11" t="s">
        <v>570</v>
      </c>
      <c r="E247" s="15" t="s">
        <v>11</v>
      </c>
      <c r="F247" s="20" t="str">
        <f t="shared" si="8"/>
        <v/>
      </c>
      <c r="G247" s="23" t="str">
        <f t="shared" si="9"/>
        <v/>
      </c>
    </row>
    <row r="248" spans="1:7" x14ac:dyDescent="0.25">
      <c r="B248" s="15" t="s">
        <v>718</v>
      </c>
      <c r="C248" s="15" t="s">
        <v>958</v>
      </c>
      <c r="D248" s="11" t="s">
        <v>571</v>
      </c>
      <c r="E248" s="15" t="s">
        <v>3</v>
      </c>
      <c r="F248" s="20" t="str">
        <f t="shared" si="8"/>
        <v/>
      </c>
      <c r="G248" s="23" t="str">
        <f t="shared" si="9"/>
        <v/>
      </c>
    </row>
    <row r="249" spans="1:7" x14ac:dyDescent="0.25">
      <c r="A249" s="15">
        <v>79</v>
      </c>
      <c r="B249" s="15" t="s">
        <v>718</v>
      </c>
      <c r="C249" s="15" t="s">
        <v>959</v>
      </c>
      <c r="D249" s="11" t="s">
        <v>289</v>
      </c>
      <c r="E249" s="15" t="s">
        <v>4</v>
      </c>
      <c r="F249" s="20" t="str">
        <f t="shared" si="8"/>
        <v/>
      </c>
      <c r="G249" s="23" t="str">
        <f t="shared" si="9"/>
        <v/>
      </c>
    </row>
    <row r="250" spans="1:7" x14ac:dyDescent="0.25">
      <c r="B250" s="15" t="s">
        <v>718</v>
      </c>
      <c r="C250" s="15" t="s">
        <v>960</v>
      </c>
      <c r="D250" s="11" t="s">
        <v>290</v>
      </c>
      <c r="E250" s="15" t="s">
        <v>5</v>
      </c>
      <c r="F250" s="20" t="str">
        <f t="shared" si="8"/>
        <v/>
      </c>
      <c r="G250" s="23" t="str">
        <f t="shared" si="9"/>
        <v/>
      </c>
    </row>
    <row r="251" spans="1:7" x14ac:dyDescent="0.25">
      <c r="B251" s="15" t="s">
        <v>719</v>
      </c>
      <c r="C251" s="15" t="s">
        <v>961</v>
      </c>
      <c r="D251" s="11" t="s">
        <v>572</v>
      </c>
      <c r="E251" s="15" t="s">
        <v>3</v>
      </c>
      <c r="F251" s="20" t="str">
        <f t="shared" si="8"/>
        <v/>
      </c>
      <c r="G251" s="23" t="str">
        <f t="shared" si="9"/>
        <v/>
      </c>
    </row>
    <row r="252" spans="1:7" x14ac:dyDescent="0.25">
      <c r="A252" s="15">
        <v>80</v>
      </c>
      <c r="B252" s="15" t="s">
        <v>719</v>
      </c>
      <c r="C252" s="15" t="s">
        <v>962</v>
      </c>
      <c r="D252" s="11" t="s">
        <v>291</v>
      </c>
      <c r="E252" s="15" t="s">
        <v>4</v>
      </c>
      <c r="F252" s="20" t="str">
        <f t="shared" si="8"/>
        <v/>
      </c>
      <c r="G252" s="23" t="str">
        <f t="shared" si="9"/>
        <v/>
      </c>
    </row>
    <row r="253" spans="1:7" x14ac:dyDescent="0.25">
      <c r="B253" s="15" t="s">
        <v>719</v>
      </c>
      <c r="C253" s="15" t="s">
        <v>963</v>
      </c>
      <c r="D253" s="11" t="s">
        <v>292</v>
      </c>
      <c r="E253" s="15" t="s">
        <v>5</v>
      </c>
      <c r="F253" s="20" t="str">
        <f t="shared" si="8"/>
        <v/>
      </c>
      <c r="G253" s="23" t="str">
        <f t="shared" si="9"/>
        <v/>
      </c>
    </row>
    <row r="254" spans="1:7" x14ac:dyDescent="0.25">
      <c r="B254" s="15" t="s">
        <v>720</v>
      </c>
      <c r="C254" s="15" t="s">
        <v>964</v>
      </c>
      <c r="D254" s="11" t="s">
        <v>573</v>
      </c>
      <c r="E254" s="15" t="s">
        <v>3</v>
      </c>
      <c r="F254" s="20" t="str">
        <f t="shared" si="8"/>
        <v/>
      </c>
      <c r="G254" s="23" t="str">
        <f t="shared" si="9"/>
        <v/>
      </c>
    </row>
    <row r="255" spans="1:7" x14ac:dyDescent="0.25">
      <c r="A255" s="15">
        <v>81</v>
      </c>
      <c r="B255" s="15" t="s">
        <v>720</v>
      </c>
      <c r="C255" s="15" t="s">
        <v>965</v>
      </c>
      <c r="D255" s="11" t="s">
        <v>293</v>
      </c>
      <c r="E255" s="15" t="s">
        <v>4</v>
      </c>
      <c r="F255" s="20" t="str">
        <f t="shared" si="8"/>
        <v/>
      </c>
      <c r="G255" s="23" t="str">
        <f t="shared" si="9"/>
        <v/>
      </c>
    </row>
    <row r="256" spans="1:7" x14ac:dyDescent="0.25">
      <c r="B256" s="15" t="s">
        <v>720</v>
      </c>
      <c r="C256" s="15" t="s">
        <v>966</v>
      </c>
      <c r="D256" s="11" t="s">
        <v>294</v>
      </c>
      <c r="E256" s="15" t="s">
        <v>5</v>
      </c>
      <c r="F256" s="20" t="str">
        <f t="shared" si="8"/>
        <v/>
      </c>
      <c r="G256" s="23" t="str">
        <f t="shared" si="9"/>
        <v/>
      </c>
    </row>
    <row r="257" spans="1:7" x14ac:dyDescent="0.25">
      <c r="B257" s="15" t="s">
        <v>721</v>
      </c>
      <c r="C257" s="15" t="s">
        <v>967</v>
      </c>
      <c r="D257" s="11" t="s">
        <v>574</v>
      </c>
      <c r="E257" s="15" t="s">
        <v>3</v>
      </c>
      <c r="F257" s="20" t="str">
        <f t="shared" si="8"/>
        <v/>
      </c>
      <c r="G257" s="23" t="str">
        <f t="shared" si="9"/>
        <v/>
      </c>
    </row>
    <row r="258" spans="1:7" x14ac:dyDescent="0.25">
      <c r="A258" s="15">
        <v>82</v>
      </c>
      <c r="B258" s="15" t="s">
        <v>721</v>
      </c>
      <c r="C258" s="15" t="s">
        <v>968</v>
      </c>
      <c r="D258" s="11" t="s">
        <v>295</v>
      </c>
      <c r="E258" s="15" t="s">
        <v>4</v>
      </c>
      <c r="F258" s="20" t="str">
        <f t="shared" si="8"/>
        <v/>
      </c>
      <c r="G258" s="23" t="str">
        <f t="shared" si="9"/>
        <v/>
      </c>
    </row>
    <row r="259" spans="1:7" x14ac:dyDescent="0.25">
      <c r="B259" s="15" t="s">
        <v>721</v>
      </c>
      <c r="C259" s="15" t="s">
        <v>969</v>
      </c>
      <c r="D259" s="11" t="s">
        <v>296</v>
      </c>
      <c r="E259" s="15" t="s">
        <v>5</v>
      </c>
      <c r="F259" s="20" t="str">
        <f t="shared" si="8"/>
        <v/>
      </c>
      <c r="G259" s="23" t="str">
        <f t="shared" si="9"/>
        <v/>
      </c>
    </row>
    <row r="260" spans="1:7" x14ac:dyDescent="0.25">
      <c r="B260" s="15" t="s">
        <v>722</v>
      </c>
      <c r="C260" s="15" t="s">
        <v>970</v>
      </c>
      <c r="D260" s="11" t="s">
        <v>575</v>
      </c>
      <c r="E260" s="15" t="s">
        <v>3</v>
      </c>
      <c r="F260" s="20" t="str">
        <f t="shared" si="8"/>
        <v/>
      </c>
      <c r="G260" s="23" t="str">
        <f t="shared" si="9"/>
        <v/>
      </c>
    </row>
    <row r="261" spans="1:7" x14ac:dyDescent="0.25">
      <c r="A261" s="15">
        <v>83</v>
      </c>
      <c r="B261" s="15" t="s">
        <v>722</v>
      </c>
      <c r="C261" s="15" t="s">
        <v>971</v>
      </c>
      <c r="D261" s="11" t="s">
        <v>297</v>
      </c>
      <c r="E261" s="15" t="s">
        <v>4</v>
      </c>
      <c r="F261" s="20" t="str">
        <f t="shared" si="8"/>
        <v/>
      </c>
      <c r="G261" s="23" t="str">
        <f t="shared" si="9"/>
        <v/>
      </c>
    </row>
    <row r="262" spans="1:7" x14ac:dyDescent="0.25">
      <c r="B262" s="15" t="s">
        <v>722</v>
      </c>
      <c r="C262" s="15" t="s">
        <v>972</v>
      </c>
      <c r="D262" s="11" t="s">
        <v>298</v>
      </c>
      <c r="E262" s="15" t="s">
        <v>5</v>
      </c>
      <c r="F262" s="20" t="str">
        <f t="shared" si="8"/>
        <v/>
      </c>
      <c r="G262" s="23" t="str">
        <f t="shared" si="9"/>
        <v/>
      </c>
    </row>
    <row r="263" spans="1:7" x14ac:dyDescent="0.25">
      <c r="B263" s="15" t="s">
        <v>723</v>
      </c>
      <c r="C263" s="15" t="s">
        <v>973</v>
      </c>
      <c r="D263" s="11" t="s">
        <v>576</v>
      </c>
      <c r="E263" s="15" t="s">
        <v>3</v>
      </c>
      <c r="F263" s="20" t="str">
        <f t="shared" ref="F263:F326" si="10">IF(G263="","","https://docs.google.com/uc?export=download&amp;id="&amp;G263)</f>
        <v/>
      </c>
      <c r="G263" s="23" t="str">
        <f t="shared" si="9"/>
        <v/>
      </c>
    </row>
    <row r="264" spans="1:7" x14ac:dyDescent="0.25">
      <c r="A264" s="15">
        <v>84</v>
      </c>
      <c r="B264" s="15" t="s">
        <v>723</v>
      </c>
      <c r="C264" s="15" t="s">
        <v>974</v>
      </c>
      <c r="D264" s="11" t="s">
        <v>299</v>
      </c>
      <c r="E264" s="15" t="s">
        <v>4</v>
      </c>
      <c r="F264" s="20" t="str">
        <f t="shared" si="10"/>
        <v/>
      </c>
      <c r="G264" s="23" t="str">
        <f t="shared" ref="G264:G327" si="11">IFERROR(LEFT(RIGHT(H264,LEN(H264)-32),LEN(RIGHT(H264,LEN(H264)-32))-17),"")</f>
        <v/>
      </c>
    </row>
    <row r="265" spans="1:7" x14ac:dyDescent="0.25">
      <c r="B265" s="15" t="s">
        <v>723</v>
      </c>
      <c r="C265" s="15" t="s">
        <v>975</v>
      </c>
      <c r="D265" s="11" t="s">
        <v>300</v>
      </c>
      <c r="E265" s="15" t="s">
        <v>5</v>
      </c>
      <c r="F265" s="20" t="str">
        <f t="shared" si="10"/>
        <v/>
      </c>
      <c r="G265" s="23" t="str">
        <f t="shared" si="11"/>
        <v/>
      </c>
    </row>
    <row r="266" spans="1:7" x14ac:dyDescent="0.25">
      <c r="B266" s="15" t="s">
        <v>470</v>
      </c>
      <c r="C266" s="15" t="s">
        <v>976</v>
      </c>
      <c r="D266" s="11" t="s">
        <v>577</v>
      </c>
      <c r="E266" s="15" t="s">
        <v>11</v>
      </c>
      <c r="F266" s="20" t="str">
        <f t="shared" si="10"/>
        <v/>
      </c>
      <c r="G266" s="23" t="str">
        <f t="shared" si="11"/>
        <v/>
      </c>
    </row>
    <row r="267" spans="1:7" x14ac:dyDescent="0.25">
      <c r="B267" s="15" t="s">
        <v>724</v>
      </c>
      <c r="C267" s="15" t="s">
        <v>977</v>
      </c>
      <c r="D267" s="11" t="s">
        <v>578</v>
      </c>
      <c r="E267" s="15" t="s">
        <v>3</v>
      </c>
      <c r="F267" s="20" t="str">
        <f t="shared" si="10"/>
        <v/>
      </c>
      <c r="G267" s="23" t="str">
        <f t="shared" si="11"/>
        <v/>
      </c>
    </row>
    <row r="268" spans="1:7" x14ac:dyDescent="0.25">
      <c r="A268" s="15">
        <v>85</v>
      </c>
      <c r="B268" s="15" t="s">
        <v>724</v>
      </c>
      <c r="C268" s="15" t="s">
        <v>978</v>
      </c>
      <c r="D268" s="11" t="s">
        <v>301</v>
      </c>
      <c r="E268" s="15" t="s">
        <v>4</v>
      </c>
      <c r="F268" s="20" t="str">
        <f t="shared" si="10"/>
        <v/>
      </c>
      <c r="G268" s="23" t="str">
        <f t="shared" si="11"/>
        <v/>
      </c>
    </row>
    <row r="269" spans="1:7" x14ac:dyDescent="0.25">
      <c r="B269" s="15" t="s">
        <v>724</v>
      </c>
      <c r="C269" s="15" t="s">
        <v>979</v>
      </c>
      <c r="D269" s="11" t="s">
        <v>302</v>
      </c>
      <c r="E269" s="15" t="s">
        <v>5</v>
      </c>
      <c r="F269" s="20" t="str">
        <f t="shared" si="10"/>
        <v/>
      </c>
      <c r="G269" s="23" t="str">
        <f t="shared" si="11"/>
        <v/>
      </c>
    </row>
    <row r="270" spans="1:7" x14ac:dyDescent="0.25">
      <c r="B270" s="15" t="s">
        <v>725</v>
      </c>
      <c r="C270" s="15" t="s">
        <v>980</v>
      </c>
      <c r="D270" s="11" t="s">
        <v>579</v>
      </c>
      <c r="E270" s="15" t="s">
        <v>3</v>
      </c>
      <c r="F270" s="20" t="str">
        <f t="shared" si="10"/>
        <v/>
      </c>
      <c r="G270" s="23" t="str">
        <f t="shared" si="11"/>
        <v/>
      </c>
    </row>
    <row r="271" spans="1:7" x14ac:dyDescent="0.25">
      <c r="A271" s="15">
        <v>86</v>
      </c>
      <c r="B271" s="15" t="s">
        <v>725</v>
      </c>
      <c r="C271" s="15" t="s">
        <v>981</v>
      </c>
      <c r="D271" s="11" t="s">
        <v>303</v>
      </c>
      <c r="E271" s="15" t="s">
        <v>4</v>
      </c>
      <c r="F271" s="20" t="str">
        <f t="shared" si="10"/>
        <v/>
      </c>
      <c r="G271" s="23" t="str">
        <f t="shared" si="11"/>
        <v/>
      </c>
    </row>
    <row r="272" spans="1:7" x14ac:dyDescent="0.25">
      <c r="B272" s="15" t="s">
        <v>725</v>
      </c>
      <c r="C272" s="15" t="s">
        <v>982</v>
      </c>
      <c r="D272" s="11" t="s">
        <v>304</v>
      </c>
      <c r="E272" s="15" t="s">
        <v>5</v>
      </c>
      <c r="F272" s="20" t="str">
        <f t="shared" si="10"/>
        <v/>
      </c>
      <c r="G272" s="23" t="str">
        <f t="shared" si="11"/>
        <v/>
      </c>
    </row>
    <row r="273" spans="1:7" x14ac:dyDescent="0.25">
      <c r="B273" s="15" t="s">
        <v>726</v>
      </c>
      <c r="C273" s="15" t="s">
        <v>983</v>
      </c>
      <c r="D273" s="11" t="s">
        <v>580</v>
      </c>
      <c r="E273" s="15" t="s">
        <v>3</v>
      </c>
      <c r="F273" s="20" t="str">
        <f t="shared" si="10"/>
        <v/>
      </c>
      <c r="G273" s="23" t="str">
        <f t="shared" si="11"/>
        <v/>
      </c>
    </row>
    <row r="274" spans="1:7" x14ac:dyDescent="0.25">
      <c r="A274" s="15">
        <v>87</v>
      </c>
      <c r="B274" s="15" t="s">
        <v>726</v>
      </c>
      <c r="C274" s="15" t="s">
        <v>984</v>
      </c>
      <c r="D274" s="11" t="s">
        <v>305</v>
      </c>
      <c r="E274" s="15" t="s">
        <v>4</v>
      </c>
      <c r="F274" s="20" t="str">
        <f t="shared" si="10"/>
        <v/>
      </c>
      <c r="G274" s="23" t="str">
        <f t="shared" si="11"/>
        <v/>
      </c>
    </row>
    <row r="275" spans="1:7" x14ac:dyDescent="0.25">
      <c r="B275" s="15" t="s">
        <v>726</v>
      </c>
      <c r="C275" s="15" t="s">
        <v>985</v>
      </c>
      <c r="D275" s="11" t="s">
        <v>306</v>
      </c>
      <c r="E275" s="15" t="s">
        <v>5</v>
      </c>
      <c r="F275" s="20" t="str">
        <f t="shared" si="10"/>
        <v/>
      </c>
      <c r="G275" s="23" t="str">
        <f t="shared" si="11"/>
        <v/>
      </c>
    </row>
    <row r="276" spans="1:7" x14ac:dyDescent="0.25">
      <c r="B276" s="15" t="s">
        <v>727</v>
      </c>
      <c r="C276" s="15" t="s">
        <v>986</v>
      </c>
      <c r="D276" s="11" t="s">
        <v>581</v>
      </c>
      <c r="E276" s="15" t="s">
        <v>3</v>
      </c>
      <c r="F276" s="20" t="str">
        <f t="shared" si="10"/>
        <v/>
      </c>
      <c r="G276" s="23" t="str">
        <f t="shared" si="11"/>
        <v/>
      </c>
    </row>
    <row r="277" spans="1:7" x14ac:dyDescent="0.25">
      <c r="A277" s="15">
        <v>88</v>
      </c>
      <c r="B277" s="15" t="s">
        <v>727</v>
      </c>
      <c r="C277" s="15" t="s">
        <v>987</v>
      </c>
      <c r="D277" s="11" t="s">
        <v>307</v>
      </c>
      <c r="E277" s="15" t="s">
        <v>4</v>
      </c>
      <c r="F277" s="20" t="str">
        <f t="shared" si="10"/>
        <v/>
      </c>
      <c r="G277" s="23" t="str">
        <f t="shared" si="11"/>
        <v/>
      </c>
    </row>
    <row r="278" spans="1:7" x14ac:dyDescent="0.25">
      <c r="B278" s="15" t="s">
        <v>727</v>
      </c>
      <c r="C278" s="15" t="s">
        <v>988</v>
      </c>
      <c r="D278" s="11" t="s">
        <v>308</v>
      </c>
      <c r="E278" s="15" t="s">
        <v>5</v>
      </c>
      <c r="F278" s="20" t="str">
        <f t="shared" si="10"/>
        <v/>
      </c>
      <c r="G278" s="23" t="str">
        <f t="shared" si="11"/>
        <v/>
      </c>
    </row>
    <row r="279" spans="1:7" x14ac:dyDescent="0.25">
      <c r="B279" s="15" t="s">
        <v>728</v>
      </c>
      <c r="C279" s="15" t="s">
        <v>989</v>
      </c>
      <c r="D279" s="11" t="s">
        <v>582</v>
      </c>
      <c r="E279" s="15" t="s">
        <v>3</v>
      </c>
      <c r="F279" s="20" t="str">
        <f t="shared" si="10"/>
        <v/>
      </c>
      <c r="G279" s="23" t="str">
        <f t="shared" si="11"/>
        <v/>
      </c>
    </row>
    <row r="280" spans="1:7" x14ac:dyDescent="0.25">
      <c r="A280" s="15">
        <v>89</v>
      </c>
      <c r="B280" s="15" t="s">
        <v>728</v>
      </c>
      <c r="C280" s="15" t="s">
        <v>990</v>
      </c>
      <c r="D280" s="11" t="s">
        <v>309</v>
      </c>
      <c r="E280" s="15" t="s">
        <v>4</v>
      </c>
      <c r="F280" s="20" t="str">
        <f t="shared" si="10"/>
        <v/>
      </c>
      <c r="G280" s="23" t="str">
        <f t="shared" si="11"/>
        <v/>
      </c>
    </row>
    <row r="281" spans="1:7" x14ac:dyDescent="0.25">
      <c r="B281" s="15" t="s">
        <v>728</v>
      </c>
      <c r="C281" s="15" t="s">
        <v>991</v>
      </c>
      <c r="D281" s="11" t="s">
        <v>310</v>
      </c>
      <c r="E281" s="15" t="s">
        <v>5</v>
      </c>
      <c r="F281" s="20" t="str">
        <f t="shared" si="10"/>
        <v/>
      </c>
      <c r="G281" s="23" t="str">
        <f t="shared" si="11"/>
        <v/>
      </c>
    </row>
    <row r="282" spans="1:7" x14ac:dyDescent="0.25">
      <c r="B282" s="15" t="s">
        <v>729</v>
      </c>
      <c r="C282" s="15" t="s">
        <v>992</v>
      </c>
      <c r="D282" s="11" t="s">
        <v>583</v>
      </c>
      <c r="E282" s="15" t="s">
        <v>3</v>
      </c>
      <c r="F282" s="20" t="str">
        <f t="shared" si="10"/>
        <v/>
      </c>
      <c r="G282" s="23" t="str">
        <f t="shared" si="11"/>
        <v/>
      </c>
    </row>
    <row r="283" spans="1:7" x14ac:dyDescent="0.25">
      <c r="A283" s="15">
        <v>90</v>
      </c>
      <c r="B283" s="15" t="s">
        <v>729</v>
      </c>
      <c r="C283" s="15" t="s">
        <v>993</v>
      </c>
      <c r="D283" s="11" t="s">
        <v>311</v>
      </c>
      <c r="E283" s="15" t="s">
        <v>4</v>
      </c>
      <c r="F283" s="20" t="str">
        <f t="shared" si="10"/>
        <v/>
      </c>
      <c r="G283" s="23" t="str">
        <f t="shared" si="11"/>
        <v/>
      </c>
    </row>
    <row r="284" spans="1:7" x14ac:dyDescent="0.25">
      <c r="B284" s="15" t="s">
        <v>729</v>
      </c>
      <c r="C284" s="15" t="s">
        <v>994</v>
      </c>
      <c r="D284" s="11" t="s">
        <v>312</v>
      </c>
      <c r="E284" s="15" t="s">
        <v>5</v>
      </c>
      <c r="F284" s="20" t="str">
        <f t="shared" si="10"/>
        <v/>
      </c>
      <c r="G284" s="23" t="str">
        <f t="shared" si="11"/>
        <v/>
      </c>
    </row>
    <row r="285" spans="1:7" x14ac:dyDescent="0.25">
      <c r="B285" s="15" t="s">
        <v>471</v>
      </c>
      <c r="C285" s="15" t="s">
        <v>995</v>
      </c>
      <c r="D285" s="11" t="s">
        <v>584</v>
      </c>
      <c r="E285" s="15" t="s">
        <v>11</v>
      </c>
      <c r="F285" s="20" t="str">
        <f t="shared" si="10"/>
        <v/>
      </c>
      <c r="G285" s="23" t="str">
        <f t="shared" si="11"/>
        <v/>
      </c>
    </row>
    <row r="286" spans="1:7" x14ac:dyDescent="0.25">
      <c r="B286" s="15" t="s">
        <v>730</v>
      </c>
      <c r="C286" s="15" t="s">
        <v>996</v>
      </c>
      <c r="D286" s="11" t="s">
        <v>585</v>
      </c>
      <c r="E286" s="15" t="s">
        <v>3</v>
      </c>
      <c r="F286" s="20" t="str">
        <f t="shared" si="10"/>
        <v/>
      </c>
      <c r="G286" s="23" t="str">
        <f t="shared" si="11"/>
        <v/>
      </c>
    </row>
    <row r="287" spans="1:7" x14ac:dyDescent="0.25">
      <c r="A287" s="15">
        <v>91</v>
      </c>
      <c r="B287" s="15" t="s">
        <v>730</v>
      </c>
      <c r="C287" s="15" t="s">
        <v>997</v>
      </c>
      <c r="D287" s="11" t="s">
        <v>313</v>
      </c>
      <c r="E287" s="15" t="s">
        <v>4</v>
      </c>
      <c r="F287" s="20" t="str">
        <f t="shared" si="10"/>
        <v/>
      </c>
      <c r="G287" s="23" t="str">
        <f t="shared" si="11"/>
        <v/>
      </c>
    </row>
    <row r="288" spans="1:7" x14ac:dyDescent="0.25">
      <c r="B288" s="15" t="s">
        <v>730</v>
      </c>
      <c r="C288" s="15" t="s">
        <v>998</v>
      </c>
      <c r="D288" s="11" t="s">
        <v>314</v>
      </c>
      <c r="E288" s="15" t="s">
        <v>5</v>
      </c>
      <c r="F288" s="20" t="str">
        <f t="shared" si="10"/>
        <v/>
      </c>
      <c r="G288" s="23" t="str">
        <f t="shared" si="11"/>
        <v/>
      </c>
    </row>
    <row r="289" spans="1:7" x14ac:dyDescent="0.25">
      <c r="B289" s="15" t="s">
        <v>731</v>
      </c>
      <c r="C289" s="15" t="s">
        <v>999</v>
      </c>
      <c r="D289" s="11" t="s">
        <v>586</v>
      </c>
      <c r="E289" s="15" t="s">
        <v>3</v>
      </c>
      <c r="F289" s="20" t="str">
        <f t="shared" si="10"/>
        <v/>
      </c>
      <c r="G289" s="23" t="str">
        <f t="shared" si="11"/>
        <v/>
      </c>
    </row>
    <row r="290" spans="1:7" x14ac:dyDescent="0.25">
      <c r="A290" s="15">
        <v>92</v>
      </c>
      <c r="B290" s="15" t="s">
        <v>731</v>
      </c>
      <c r="C290" s="15" t="s">
        <v>1000</v>
      </c>
      <c r="D290" s="11" t="s">
        <v>315</v>
      </c>
      <c r="E290" s="15" t="s">
        <v>4</v>
      </c>
      <c r="F290" s="20" t="str">
        <f t="shared" si="10"/>
        <v/>
      </c>
      <c r="G290" s="23" t="str">
        <f t="shared" si="11"/>
        <v/>
      </c>
    </row>
    <row r="291" spans="1:7" x14ac:dyDescent="0.25">
      <c r="B291" s="15" t="s">
        <v>731</v>
      </c>
      <c r="C291" s="15" t="s">
        <v>1001</v>
      </c>
      <c r="D291" s="11" t="s">
        <v>316</v>
      </c>
      <c r="E291" s="15" t="s">
        <v>5</v>
      </c>
      <c r="F291" s="20" t="str">
        <f t="shared" si="10"/>
        <v/>
      </c>
      <c r="G291" s="23" t="str">
        <f t="shared" si="11"/>
        <v/>
      </c>
    </row>
    <row r="292" spans="1:7" x14ac:dyDescent="0.25">
      <c r="B292" s="15" t="s">
        <v>732</v>
      </c>
      <c r="C292" s="15" t="s">
        <v>1002</v>
      </c>
      <c r="D292" s="11" t="s">
        <v>587</v>
      </c>
      <c r="E292" s="15" t="s">
        <v>3</v>
      </c>
      <c r="F292" s="20" t="str">
        <f t="shared" si="10"/>
        <v/>
      </c>
      <c r="G292" s="23" t="str">
        <f t="shared" si="11"/>
        <v/>
      </c>
    </row>
    <row r="293" spans="1:7" x14ac:dyDescent="0.25">
      <c r="A293" s="15">
        <v>93</v>
      </c>
      <c r="B293" s="15" t="s">
        <v>732</v>
      </c>
      <c r="C293" s="15" t="s">
        <v>1003</v>
      </c>
      <c r="D293" s="11" t="s">
        <v>317</v>
      </c>
      <c r="E293" s="15" t="s">
        <v>4</v>
      </c>
      <c r="F293" s="20" t="str">
        <f t="shared" si="10"/>
        <v/>
      </c>
      <c r="G293" s="23" t="str">
        <f t="shared" si="11"/>
        <v/>
      </c>
    </row>
    <row r="294" spans="1:7" x14ac:dyDescent="0.25">
      <c r="B294" s="15" t="s">
        <v>732</v>
      </c>
      <c r="C294" s="15" t="s">
        <v>1004</v>
      </c>
      <c r="D294" s="11" t="s">
        <v>318</v>
      </c>
      <c r="E294" s="15" t="s">
        <v>5</v>
      </c>
      <c r="F294" s="20" t="str">
        <f t="shared" si="10"/>
        <v/>
      </c>
      <c r="G294" s="23" t="str">
        <f t="shared" si="11"/>
        <v/>
      </c>
    </row>
    <row r="295" spans="1:7" x14ac:dyDescent="0.25">
      <c r="B295" s="15" t="s">
        <v>733</v>
      </c>
      <c r="C295" s="15" t="s">
        <v>1005</v>
      </c>
      <c r="D295" s="11" t="s">
        <v>588</v>
      </c>
      <c r="E295" s="15" t="s">
        <v>3</v>
      </c>
      <c r="F295" s="20" t="str">
        <f t="shared" si="10"/>
        <v/>
      </c>
      <c r="G295" s="23" t="str">
        <f t="shared" si="11"/>
        <v/>
      </c>
    </row>
    <row r="296" spans="1:7" x14ac:dyDescent="0.25">
      <c r="A296" s="15">
        <v>94</v>
      </c>
      <c r="B296" s="15" t="s">
        <v>733</v>
      </c>
      <c r="C296" s="15" t="s">
        <v>1006</v>
      </c>
      <c r="D296" s="11" t="s">
        <v>319</v>
      </c>
      <c r="E296" s="15" t="s">
        <v>4</v>
      </c>
      <c r="F296" s="20" t="str">
        <f t="shared" si="10"/>
        <v/>
      </c>
      <c r="G296" s="23" t="str">
        <f t="shared" si="11"/>
        <v/>
      </c>
    </row>
    <row r="297" spans="1:7" x14ac:dyDescent="0.25">
      <c r="B297" s="15" t="s">
        <v>733</v>
      </c>
      <c r="C297" s="15" t="s">
        <v>1007</v>
      </c>
      <c r="D297" s="11" t="s">
        <v>320</v>
      </c>
      <c r="E297" s="15" t="s">
        <v>5</v>
      </c>
      <c r="F297" s="20" t="str">
        <f t="shared" si="10"/>
        <v/>
      </c>
      <c r="G297" s="23" t="str">
        <f t="shared" si="11"/>
        <v/>
      </c>
    </row>
    <row r="298" spans="1:7" x14ac:dyDescent="0.25">
      <c r="B298" s="15" t="s">
        <v>734</v>
      </c>
      <c r="C298" s="15" t="s">
        <v>1008</v>
      </c>
      <c r="D298" s="11" t="s">
        <v>589</v>
      </c>
      <c r="E298" s="15" t="s">
        <v>3</v>
      </c>
      <c r="F298" s="20" t="str">
        <f t="shared" si="10"/>
        <v/>
      </c>
      <c r="G298" s="23" t="str">
        <f t="shared" si="11"/>
        <v/>
      </c>
    </row>
    <row r="299" spans="1:7" x14ac:dyDescent="0.25">
      <c r="A299" s="15">
        <v>95</v>
      </c>
      <c r="B299" s="15" t="s">
        <v>734</v>
      </c>
      <c r="C299" s="15" t="s">
        <v>1009</v>
      </c>
      <c r="D299" s="11" t="s">
        <v>321</v>
      </c>
      <c r="E299" s="15" t="s">
        <v>4</v>
      </c>
      <c r="F299" s="20" t="str">
        <f t="shared" si="10"/>
        <v/>
      </c>
      <c r="G299" s="23" t="str">
        <f t="shared" si="11"/>
        <v/>
      </c>
    </row>
    <row r="300" spans="1:7" x14ac:dyDescent="0.25">
      <c r="B300" s="15" t="s">
        <v>734</v>
      </c>
      <c r="C300" s="15" t="s">
        <v>1010</v>
      </c>
      <c r="D300" s="11" t="s">
        <v>322</v>
      </c>
      <c r="E300" s="15" t="s">
        <v>5</v>
      </c>
      <c r="F300" s="20" t="str">
        <f t="shared" si="10"/>
        <v/>
      </c>
      <c r="G300" s="23" t="str">
        <f t="shared" si="11"/>
        <v/>
      </c>
    </row>
    <row r="301" spans="1:7" x14ac:dyDescent="0.25">
      <c r="B301" s="15" t="s">
        <v>735</v>
      </c>
      <c r="C301" s="15" t="s">
        <v>1011</v>
      </c>
      <c r="D301" s="11" t="s">
        <v>590</v>
      </c>
      <c r="E301" s="15" t="s">
        <v>3</v>
      </c>
      <c r="F301" s="20" t="str">
        <f t="shared" si="10"/>
        <v/>
      </c>
      <c r="G301" s="23" t="str">
        <f t="shared" si="11"/>
        <v/>
      </c>
    </row>
    <row r="302" spans="1:7" x14ac:dyDescent="0.25">
      <c r="A302" s="15">
        <v>96</v>
      </c>
      <c r="B302" s="15" t="s">
        <v>735</v>
      </c>
      <c r="C302" s="15" t="s">
        <v>1012</v>
      </c>
      <c r="D302" s="11" t="s">
        <v>323</v>
      </c>
      <c r="E302" s="15" t="s">
        <v>4</v>
      </c>
      <c r="F302" s="20" t="str">
        <f t="shared" si="10"/>
        <v/>
      </c>
      <c r="G302" s="23" t="str">
        <f t="shared" si="11"/>
        <v/>
      </c>
    </row>
    <row r="303" spans="1:7" x14ac:dyDescent="0.25">
      <c r="B303" s="15" t="s">
        <v>735</v>
      </c>
      <c r="C303" s="15" t="s">
        <v>1013</v>
      </c>
      <c r="D303" s="11" t="s">
        <v>324</v>
      </c>
      <c r="E303" s="15" t="s">
        <v>5</v>
      </c>
      <c r="F303" s="20" t="str">
        <f t="shared" si="10"/>
        <v/>
      </c>
      <c r="G303" s="23" t="str">
        <f t="shared" si="11"/>
        <v/>
      </c>
    </row>
    <row r="304" spans="1:7" x14ac:dyDescent="0.25">
      <c r="B304" s="15" t="s">
        <v>736</v>
      </c>
      <c r="C304" s="15" t="s">
        <v>1014</v>
      </c>
      <c r="D304" s="11" t="s">
        <v>591</v>
      </c>
      <c r="E304" s="15" t="s">
        <v>3</v>
      </c>
      <c r="F304" s="20" t="str">
        <f t="shared" si="10"/>
        <v/>
      </c>
      <c r="G304" s="23" t="str">
        <f t="shared" si="11"/>
        <v/>
      </c>
    </row>
    <row r="305" spans="1:7" x14ac:dyDescent="0.25">
      <c r="A305" s="15">
        <v>97</v>
      </c>
      <c r="B305" s="15" t="s">
        <v>736</v>
      </c>
      <c r="C305" s="15" t="s">
        <v>1015</v>
      </c>
      <c r="D305" s="11" t="s">
        <v>325</v>
      </c>
      <c r="E305" s="15" t="s">
        <v>4</v>
      </c>
      <c r="F305" s="20" t="str">
        <f t="shared" si="10"/>
        <v/>
      </c>
      <c r="G305" s="23" t="str">
        <f t="shared" si="11"/>
        <v/>
      </c>
    </row>
    <row r="306" spans="1:7" x14ac:dyDescent="0.25">
      <c r="B306" s="15" t="s">
        <v>736</v>
      </c>
      <c r="C306" s="15" t="s">
        <v>1016</v>
      </c>
      <c r="D306" s="11" t="s">
        <v>326</v>
      </c>
      <c r="E306" s="15" t="s">
        <v>5</v>
      </c>
      <c r="F306" s="20" t="str">
        <f t="shared" si="10"/>
        <v/>
      </c>
      <c r="G306" s="23" t="str">
        <f t="shared" si="11"/>
        <v/>
      </c>
    </row>
    <row r="307" spans="1:7" x14ac:dyDescent="0.25">
      <c r="B307" s="15" t="s">
        <v>737</v>
      </c>
      <c r="C307" s="15" t="s">
        <v>1017</v>
      </c>
      <c r="D307" s="11" t="s">
        <v>592</v>
      </c>
      <c r="E307" s="15" t="s">
        <v>3</v>
      </c>
      <c r="F307" s="20" t="str">
        <f t="shared" si="10"/>
        <v/>
      </c>
      <c r="G307" s="23" t="str">
        <f t="shared" si="11"/>
        <v/>
      </c>
    </row>
    <row r="308" spans="1:7" x14ac:dyDescent="0.25">
      <c r="A308" s="15">
        <v>98</v>
      </c>
      <c r="B308" s="15" t="s">
        <v>737</v>
      </c>
      <c r="C308" s="15" t="s">
        <v>1018</v>
      </c>
      <c r="D308" s="11" t="s">
        <v>327</v>
      </c>
      <c r="E308" s="15" t="s">
        <v>4</v>
      </c>
      <c r="F308" s="20" t="str">
        <f t="shared" si="10"/>
        <v/>
      </c>
      <c r="G308" s="23" t="str">
        <f t="shared" si="11"/>
        <v/>
      </c>
    </row>
    <row r="309" spans="1:7" x14ac:dyDescent="0.25">
      <c r="B309" s="15" t="s">
        <v>737</v>
      </c>
      <c r="C309" s="15" t="s">
        <v>1019</v>
      </c>
      <c r="D309" s="11" t="s">
        <v>328</v>
      </c>
      <c r="E309" s="15" t="s">
        <v>5</v>
      </c>
      <c r="F309" s="20" t="str">
        <f t="shared" si="10"/>
        <v/>
      </c>
      <c r="G309" s="23" t="str">
        <f t="shared" si="11"/>
        <v/>
      </c>
    </row>
    <row r="310" spans="1:7" x14ac:dyDescent="0.25">
      <c r="B310" s="15" t="s">
        <v>738</v>
      </c>
      <c r="C310" s="15" t="s">
        <v>1020</v>
      </c>
      <c r="D310" s="11" t="s">
        <v>593</v>
      </c>
      <c r="E310" s="15" t="s">
        <v>3</v>
      </c>
      <c r="F310" s="20" t="str">
        <f t="shared" si="10"/>
        <v/>
      </c>
      <c r="G310" s="23" t="str">
        <f t="shared" si="11"/>
        <v/>
      </c>
    </row>
    <row r="311" spans="1:7" x14ac:dyDescent="0.25">
      <c r="A311" s="15">
        <v>99</v>
      </c>
      <c r="B311" s="15" t="s">
        <v>738</v>
      </c>
      <c r="C311" s="15" t="s">
        <v>1021</v>
      </c>
      <c r="D311" s="11" t="s">
        <v>329</v>
      </c>
      <c r="E311" s="15" t="s">
        <v>4</v>
      </c>
      <c r="F311" s="20" t="str">
        <f t="shared" si="10"/>
        <v/>
      </c>
      <c r="G311" s="23" t="str">
        <f t="shared" si="11"/>
        <v/>
      </c>
    </row>
    <row r="312" spans="1:7" x14ac:dyDescent="0.25">
      <c r="B312" s="15" t="s">
        <v>738</v>
      </c>
      <c r="C312" s="15" t="s">
        <v>1022</v>
      </c>
      <c r="D312" s="11" t="s">
        <v>330</v>
      </c>
      <c r="E312" s="15" t="s">
        <v>5</v>
      </c>
      <c r="F312" s="20" t="str">
        <f t="shared" si="10"/>
        <v/>
      </c>
      <c r="G312" s="23" t="str">
        <f t="shared" si="11"/>
        <v/>
      </c>
    </row>
    <row r="313" spans="1:7" x14ac:dyDescent="0.25">
      <c r="B313" s="15" t="s">
        <v>739</v>
      </c>
      <c r="C313" s="15" t="s">
        <v>1023</v>
      </c>
      <c r="D313" s="11" t="s">
        <v>594</v>
      </c>
      <c r="E313" s="15" t="s">
        <v>3</v>
      </c>
      <c r="F313" s="20" t="str">
        <f t="shared" si="10"/>
        <v/>
      </c>
      <c r="G313" s="23" t="str">
        <f t="shared" si="11"/>
        <v/>
      </c>
    </row>
    <row r="314" spans="1:7" x14ac:dyDescent="0.25">
      <c r="A314" s="15">
        <v>100</v>
      </c>
      <c r="B314" s="15" t="s">
        <v>739</v>
      </c>
      <c r="C314" s="15" t="s">
        <v>1024</v>
      </c>
      <c r="D314" s="11" t="s">
        <v>331</v>
      </c>
      <c r="E314" s="15" t="s">
        <v>4</v>
      </c>
      <c r="F314" s="20" t="str">
        <f t="shared" si="10"/>
        <v/>
      </c>
      <c r="G314" s="23" t="str">
        <f t="shared" si="11"/>
        <v/>
      </c>
    </row>
    <row r="315" spans="1:7" x14ac:dyDescent="0.25">
      <c r="B315" s="15" t="s">
        <v>739</v>
      </c>
      <c r="C315" s="15" t="s">
        <v>1025</v>
      </c>
      <c r="D315" s="11" t="s">
        <v>332</v>
      </c>
      <c r="E315" s="15" t="s">
        <v>5</v>
      </c>
      <c r="F315" s="20" t="str">
        <f t="shared" si="10"/>
        <v/>
      </c>
      <c r="G315" s="23" t="str">
        <f t="shared" si="11"/>
        <v/>
      </c>
    </row>
    <row r="316" spans="1:7" x14ac:dyDescent="0.25">
      <c r="B316" s="15" t="s">
        <v>740</v>
      </c>
      <c r="C316" s="15" t="s">
        <v>1026</v>
      </c>
      <c r="D316" s="11" t="s">
        <v>595</v>
      </c>
      <c r="E316" s="15" t="s">
        <v>3</v>
      </c>
      <c r="F316" s="20" t="str">
        <f t="shared" si="10"/>
        <v/>
      </c>
      <c r="G316" s="23" t="str">
        <f t="shared" si="11"/>
        <v/>
      </c>
    </row>
    <row r="317" spans="1:7" x14ac:dyDescent="0.25">
      <c r="A317" s="15">
        <v>101</v>
      </c>
      <c r="B317" s="15" t="s">
        <v>740</v>
      </c>
      <c r="C317" s="15" t="s">
        <v>1027</v>
      </c>
      <c r="D317" s="11" t="s">
        <v>333</v>
      </c>
      <c r="E317" s="15" t="s">
        <v>4</v>
      </c>
      <c r="F317" s="20" t="str">
        <f t="shared" si="10"/>
        <v/>
      </c>
      <c r="G317" s="23" t="str">
        <f t="shared" si="11"/>
        <v/>
      </c>
    </row>
    <row r="318" spans="1:7" x14ac:dyDescent="0.25">
      <c r="B318" s="15" t="s">
        <v>740</v>
      </c>
      <c r="C318" s="15" t="s">
        <v>1028</v>
      </c>
      <c r="D318" s="11" t="s">
        <v>334</v>
      </c>
      <c r="E318" s="15" t="s">
        <v>5</v>
      </c>
      <c r="F318" s="20" t="str">
        <f t="shared" si="10"/>
        <v/>
      </c>
      <c r="G318" s="23" t="str">
        <f t="shared" si="11"/>
        <v/>
      </c>
    </row>
    <row r="319" spans="1:7" x14ac:dyDescent="0.25">
      <c r="B319" s="15" t="s">
        <v>741</v>
      </c>
      <c r="C319" s="15" t="s">
        <v>1029</v>
      </c>
      <c r="D319" s="11" t="s">
        <v>596</v>
      </c>
      <c r="E319" s="15" t="s">
        <v>3</v>
      </c>
      <c r="F319" s="20" t="str">
        <f t="shared" si="10"/>
        <v/>
      </c>
      <c r="G319" s="23" t="str">
        <f t="shared" si="11"/>
        <v/>
      </c>
    </row>
    <row r="320" spans="1:7" x14ac:dyDescent="0.25">
      <c r="A320" s="15">
        <v>102</v>
      </c>
      <c r="B320" s="15" t="s">
        <v>741</v>
      </c>
      <c r="C320" s="15" t="s">
        <v>1030</v>
      </c>
      <c r="D320" s="11" t="s">
        <v>335</v>
      </c>
      <c r="E320" s="15" t="s">
        <v>4</v>
      </c>
      <c r="F320" s="20" t="str">
        <f t="shared" si="10"/>
        <v/>
      </c>
      <c r="G320" s="23" t="str">
        <f t="shared" si="11"/>
        <v/>
      </c>
    </row>
    <row r="321" spans="1:7" x14ac:dyDescent="0.25">
      <c r="B321" s="15" t="s">
        <v>741</v>
      </c>
      <c r="C321" s="15" t="s">
        <v>1031</v>
      </c>
      <c r="D321" s="11" t="s">
        <v>336</v>
      </c>
      <c r="E321" s="15" t="s">
        <v>5</v>
      </c>
      <c r="F321" s="20" t="str">
        <f t="shared" si="10"/>
        <v/>
      </c>
      <c r="G321" s="23" t="str">
        <f t="shared" si="11"/>
        <v/>
      </c>
    </row>
    <row r="322" spans="1:7" x14ac:dyDescent="0.25">
      <c r="B322" s="15" t="s">
        <v>472</v>
      </c>
      <c r="C322" s="15" t="s">
        <v>1032</v>
      </c>
      <c r="D322" s="11" t="s">
        <v>597</v>
      </c>
      <c r="E322" s="15" t="s">
        <v>11</v>
      </c>
      <c r="F322" s="20" t="str">
        <f t="shared" si="10"/>
        <v/>
      </c>
      <c r="G322" s="23" t="str">
        <f t="shared" si="11"/>
        <v/>
      </c>
    </row>
    <row r="323" spans="1:7" x14ac:dyDescent="0.25">
      <c r="B323" s="15" t="s">
        <v>742</v>
      </c>
      <c r="C323" s="15" t="s">
        <v>1033</v>
      </c>
      <c r="D323" s="11" t="s">
        <v>598</v>
      </c>
      <c r="E323" s="15" t="s">
        <v>3</v>
      </c>
      <c r="F323" s="20" t="str">
        <f t="shared" si="10"/>
        <v/>
      </c>
      <c r="G323" s="23" t="str">
        <f t="shared" si="11"/>
        <v/>
      </c>
    </row>
    <row r="324" spans="1:7" x14ac:dyDescent="0.25">
      <c r="A324" s="15">
        <v>103</v>
      </c>
      <c r="B324" s="15" t="s">
        <v>742</v>
      </c>
      <c r="C324" s="15" t="s">
        <v>1034</v>
      </c>
      <c r="D324" s="11" t="s">
        <v>337</v>
      </c>
      <c r="E324" s="15" t="s">
        <v>4</v>
      </c>
      <c r="F324" s="20" t="str">
        <f t="shared" si="10"/>
        <v/>
      </c>
      <c r="G324" s="23" t="str">
        <f t="shared" si="11"/>
        <v/>
      </c>
    </row>
    <row r="325" spans="1:7" x14ac:dyDescent="0.25">
      <c r="B325" s="15" t="s">
        <v>742</v>
      </c>
      <c r="C325" s="15" t="s">
        <v>1035</v>
      </c>
      <c r="D325" s="11" t="s">
        <v>338</v>
      </c>
      <c r="E325" s="15" t="s">
        <v>5</v>
      </c>
      <c r="F325" s="20" t="str">
        <f t="shared" si="10"/>
        <v/>
      </c>
      <c r="G325" s="23" t="str">
        <f t="shared" si="11"/>
        <v/>
      </c>
    </row>
    <row r="326" spans="1:7" x14ac:dyDescent="0.25">
      <c r="B326" s="15" t="s">
        <v>743</v>
      </c>
      <c r="C326" s="15" t="s">
        <v>1036</v>
      </c>
      <c r="D326" s="11" t="s">
        <v>599</v>
      </c>
      <c r="E326" s="15" t="s">
        <v>3</v>
      </c>
      <c r="F326" s="20" t="str">
        <f t="shared" si="10"/>
        <v/>
      </c>
      <c r="G326" s="23" t="str">
        <f t="shared" si="11"/>
        <v/>
      </c>
    </row>
    <row r="327" spans="1:7" x14ac:dyDescent="0.25">
      <c r="A327" s="15">
        <v>104</v>
      </c>
      <c r="B327" s="15" t="s">
        <v>743</v>
      </c>
      <c r="C327" s="15" t="s">
        <v>1037</v>
      </c>
      <c r="D327" s="11" t="s">
        <v>339</v>
      </c>
      <c r="E327" s="15" t="s">
        <v>4</v>
      </c>
      <c r="F327" s="20" t="str">
        <f t="shared" ref="F327:F390" si="12">IF(G327="","","https://docs.google.com/uc?export=download&amp;id="&amp;G327)</f>
        <v/>
      </c>
      <c r="G327" s="23" t="str">
        <f t="shared" si="11"/>
        <v/>
      </c>
    </row>
    <row r="328" spans="1:7" x14ac:dyDescent="0.25">
      <c r="B328" s="15" t="s">
        <v>743</v>
      </c>
      <c r="C328" s="15" t="s">
        <v>1038</v>
      </c>
      <c r="D328" s="11" t="s">
        <v>340</v>
      </c>
      <c r="E328" s="15" t="s">
        <v>5</v>
      </c>
      <c r="F328" s="20" t="str">
        <f t="shared" si="12"/>
        <v/>
      </c>
      <c r="G328" s="23" t="str">
        <f t="shared" ref="G328:G391" si="13">IFERROR(LEFT(RIGHT(H328,LEN(H328)-32),LEN(RIGHT(H328,LEN(H328)-32))-17),"")</f>
        <v/>
      </c>
    </row>
    <row r="329" spans="1:7" x14ac:dyDescent="0.25">
      <c r="B329" s="15" t="s">
        <v>744</v>
      </c>
      <c r="C329" s="15" t="s">
        <v>1039</v>
      </c>
      <c r="D329" s="11" t="s">
        <v>600</v>
      </c>
      <c r="E329" s="15" t="s">
        <v>3</v>
      </c>
      <c r="F329" s="20" t="str">
        <f t="shared" si="12"/>
        <v/>
      </c>
      <c r="G329" s="23" t="str">
        <f t="shared" si="13"/>
        <v/>
      </c>
    </row>
    <row r="330" spans="1:7" x14ac:dyDescent="0.25">
      <c r="A330" s="15">
        <v>105</v>
      </c>
      <c r="B330" s="15" t="s">
        <v>744</v>
      </c>
      <c r="C330" s="15" t="s">
        <v>1040</v>
      </c>
      <c r="D330" s="11" t="s">
        <v>341</v>
      </c>
      <c r="E330" s="15" t="s">
        <v>4</v>
      </c>
      <c r="F330" s="20" t="str">
        <f t="shared" si="12"/>
        <v/>
      </c>
      <c r="G330" s="23" t="str">
        <f t="shared" si="13"/>
        <v/>
      </c>
    </row>
    <row r="331" spans="1:7" x14ac:dyDescent="0.25">
      <c r="B331" s="15" t="s">
        <v>744</v>
      </c>
      <c r="C331" s="15" t="s">
        <v>1041</v>
      </c>
      <c r="D331" s="11" t="s">
        <v>342</v>
      </c>
      <c r="E331" s="15" t="s">
        <v>5</v>
      </c>
      <c r="F331" s="20" t="str">
        <f t="shared" si="12"/>
        <v/>
      </c>
      <c r="G331" s="23" t="str">
        <f t="shared" si="13"/>
        <v/>
      </c>
    </row>
    <row r="332" spans="1:7" x14ac:dyDescent="0.25">
      <c r="B332" s="15" t="s">
        <v>745</v>
      </c>
      <c r="C332" s="15" t="s">
        <v>1042</v>
      </c>
      <c r="D332" s="11" t="s">
        <v>601</v>
      </c>
      <c r="E332" s="15" t="s">
        <v>3</v>
      </c>
      <c r="F332" s="20" t="str">
        <f t="shared" si="12"/>
        <v/>
      </c>
      <c r="G332" s="23" t="str">
        <f t="shared" si="13"/>
        <v/>
      </c>
    </row>
    <row r="333" spans="1:7" x14ac:dyDescent="0.25">
      <c r="A333" s="15">
        <v>106</v>
      </c>
      <c r="B333" s="15" t="s">
        <v>745</v>
      </c>
      <c r="C333" s="15" t="s">
        <v>1043</v>
      </c>
      <c r="D333" s="11" t="s">
        <v>343</v>
      </c>
      <c r="E333" s="15" t="s">
        <v>4</v>
      </c>
      <c r="F333" s="20" t="str">
        <f t="shared" si="12"/>
        <v/>
      </c>
      <c r="G333" s="23" t="str">
        <f t="shared" si="13"/>
        <v/>
      </c>
    </row>
    <row r="334" spans="1:7" x14ac:dyDescent="0.25">
      <c r="B334" s="15" t="s">
        <v>745</v>
      </c>
      <c r="C334" s="15" t="s">
        <v>1044</v>
      </c>
      <c r="D334" s="11" t="s">
        <v>344</v>
      </c>
      <c r="E334" s="15" t="s">
        <v>5</v>
      </c>
      <c r="F334" s="20" t="str">
        <f t="shared" si="12"/>
        <v/>
      </c>
      <c r="G334" s="23" t="str">
        <f t="shared" si="13"/>
        <v/>
      </c>
    </row>
    <row r="335" spans="1:7" x14ac:dyDescent="0.25">
      <c r="B335" s="15" t="s">
        <v>746</v>
      </c>
      <c r="C335" s="15" t="s">
        <v>1045</v>
      </c>
      <c r="D335" s="11" t="s">
        <v>602</v>
      </c>
      <c r="E335" s="15" t="s">
        <v>3</v>
      </c>
      <c r="F335" s="20" t="str">
        <f t="shared" si="12"/>
        <v/>
      </c>
      <c r="G335" s="23" t="str">
        <f t="shared" si="13"/>
        <v/>
      </c>
    </row>
    <row r="336" spans="1:7" x14ac:dyDescent="0.25">
      <c r="A336" s="15">
        <v>107</v>
      </c>
      <c r="B336" s="15" t="s">
        <v>746</v>
      </c>
      <c r="C336" s="15" t="s">
        <v>1046</v>
      </c>
      <c r="D336" s="11" t="s">
        <v>345</v>
      </c>
      <c r="E336" s="15" t="s">
        <v>4</v>
      </c>
      <c r="F336" s="20" t="str">
        <f t="shared" si="12"/>
        <v/>
      </c>
      <c r="G336" s="23" t="str">
        <f t="shared" si="13"/>
        <v/>
      </c>
    </row>
    <row r="337" spans="1:7" x14ac:dyDescent="0.25">
      <c r="B337" s="15" t="s">
        <v>746</v>
      </c>
      <c r="C337" s="15" t="s">
        <v>1047</v>
      </c>
      <c r="D337" s="11" t="s">
        <v>346</v>
      </c>
      <c r="E337" s="15" t="s">
        <v>5</v>
      </c>
      <c r="F337" s="20" t="str">
        <f t="shared" si="12"/>
        <v/>
      </c>
      <c r="G337" s="23" t="str">
        <f t="shared" si="13"/>
        <v/>
      </c>
    </row>
    <row r="338" spans="1:7" x14ac:dyDescent="0.25">
      <c r="B338" s="15" t="s">
        <v>747</v>
      </c>
      <c r="C338" s="15" t="s">
        <v>1048</v>
      </c>
      <c r="D338" s="11" t="s">
        <v>603</v>
      </c>
      <c r="E338" s="15" t="s">
        <v>3</v>
      </c>
      <c r="F338" s="20" t="str">
        <f t="shared" si="12"/>
        <v/>
      </c>
      <c r="G338" s="23" t="str">
        <f t="shared" si="13"/>
        <v/>
      </c>
    </row>
    <row r="339" spans="1:7" x14ac:dyDescent="0.25">
      <c r="A339" s="15">
        <v>108</v>
      </c>
      <c r="B339" s="15" t="s">
        <v>747</v>
      </c>
      <c r="C339" s="15" t="s">
        <v>1049</v>
      </c>
      <c r="D339" s="11" t="s">
        <v>347</v>
      </c>
      <c r="E339" s="15" t="s">
        <v>4</v>
      </c>
      <c r="F339" s="20" t="str">
        <f t="shared" si="12"/>
        <v/>
      </c>
      <c r="G339" s="23" t="str">
        <f t="shared" si="13"/>
        <v/>
      </c>
    </row>
    <row r="340" spans="1:7" x14ac:dyDescent="0.25">
      <c r="B340" s="15" t="s">
        <v>747</v>
      </c>
      <c r="C340" s="15" t="s">
        <v>1050</v>
      </c>
      <c r="D340" s="11" t="s">
        <v>348</v>
      </c>
      <c r="E340" s="15" t="s">
        <v>5</v>
      </c>
      <c r="F340" s="20" t="str">
        <f t="shared" si="12"/>
        <v/>
      </c>
      <c r="G340" s="23" t="str">
        <f t="shared" si="13"/>
        <v/>
      </c>
    </row>
    <row r="341" spans="1:7" x14ac:dyDescent="0.25">
      <c r="B341" s="15" t="s">
        <v>748</v>
      </c>
      <c r="C341" s="15" t="s">
        <v>1051</v>
      </c>
      <c r="D341" s="11" t="s">
        <v>604</v>
      </c>
      <c r="E341" s="15" t="s">
        <v>3</v>
      </c>
      <c r="F341" s="20" t="str">
        <f t="shared" si="12"/>
        <v/>
      </c>
      <c r="G341" s="23" t="str">
        <f t="shared" si="13"/>
        <v/>
      </c>
    </row>
    <row r="342" spans="1:7" x14ac:dyDescent="0.25">
      <c r="A342" s="15">
        <v>109</v>
      </c>
      <c r="B342" s="15" t="s">
        <v>748</v>
      </c>
      <c r="C342" s="15" t="s">
        <v>1052</v>
      </c>
      <c r="D342" s="11" t="s">
        <v>349</v>
      </c>
      <c r="E342" s="15" t="s">
        <v>4</v>
      </c>
      <c r="F342" s="20" t="str">
        <f t="shared" si="12"/>
        <v/>
      </c>
      <c r="G342" s="23" t="str">
        <f t="shared" si="13"/>
        <v/>
      </c>
    </row>
    <row r="343" spans="1:7" x14ac:dyDescent="0.25">
      <c r="B343" s="15" t="s">
        <v>748</v>
      </c>
      <c r="C343" s="15" t="s">
        <v>1053</v>
      </c>
      <c r="D343" s="11" t="s">
        <v>350</v>
      </c>
      <c r="E343" s="15" t="s">
        <v>5</v>
      </c>
      <c r="F343" s="20" t="str">
        <f t="shared" si="12"/>
        <v/>
      </c>
      <c r="G343" s="23" t="str">
        <f t="shared" si="13"/>
        <v/>
      </c>
    </row>
    <row r="344" spans="1:7" x14ac:dyDescent="0.25">
      <c r="B344" s="15" t="s">
        <v>749</v>
      </c>
      <c r="C344" s="15" t="s">
        <v>1054</v>
      </c>
      <c r="D344" s="11" t="s">
        <v>605</v>
      </c>
      <c r="E344" s="15" t="s">
        <v>3</v>
      </c>
      <c r="F344" s="20" t="str">
        <f t="shared" si="12"/>
        <v/>
      </c>
      <c r="G344" s="23" t="str">
        <f t="shared" si="13"/>
        <v/>
      </c>
    </row>
    <row r="345" spans="1:7" x14ac:dyDescent="0.25">
      <c r="A345" s="15">
        <v>110</v>
      </c>
      <c r="B345" s="15" t="s">
        <v>749</v>
      </c>
      <c r="C345" s="15" t="s">
        <v>1055</v>
      </c>
      <c r="D345" s="11" t="s">
        <v>351</v>
      </c>
      <c r="E345" s="15" t="s">
        <v>4</v>
      </c>
      <c r="F345" s="20" t="str">
        <f t="shared" si="12"/>
        <v/>
      </c>
      <c r="G345" s="23" t="str">
        <f t="shared" si="13"/>
        <v/>
      </c>
    </row>
    <row r="346" spans="1:7" x14ac:dyDescent="0.25">
      <c r="B346" s="15" t="s">
        <v>749</v>
      </c>
      <c r="C346" s="15" t="s">
        <v>1056</v>
      </c>
      <c r="D346" s="11" t="s">
        <v>352</v>
      </c>
      <c r="E346" s="15" t="s">
        <v>5</v>
      </c>
      <c r="F346" s="20" t="str">
        <f t="shared" si="12"/>
        <v/>
      </c>
      <c r="G346" s="23" t="str">
        <f t="shared" si="13"/>
        <v/>
      </c>
    </row>
    <row r="347" spans="1:7" x14ac:dyDescent="0.25">
      <c r="B347" s="15" t="s">
        <v>750</v>
      </c>
      <c r="C347" s="15" t="s">
        <v>1057</v>
      </c>
      <c r="D347" s="11" t="s">
        <v>606</v>
      </c>
      <c r="E347" s="15" t="s">
        <v>3</v>
      </c>
      <c r="F347" s="20" t="str">
        <f t="shared" si="12"/>
        <v/>
      </c>
      <c r="G347" s="23" t="str">
        <f t="shared" si="13"/>
        <v/>
      </c>
    </row>
    <row r="348" spans="1:7" x14ac:dyDescent="0.25">
      <c r="A348" s="15">
        <v>111</v>
      </c>
      <c r="B348" s="15" t="s">
        <v>750</v>
      </c>
      <c r="C348" s="15" t="s">
        <v>1058</v>
      </c>
      <c r="D348" s="11" t="s">
        <v>353</v>
      </c>
      <c r="E348" s="15" t="s">
        <v>4</v>
      </c>
      <c r="F348" s="20" t="str">
        <f t="shared" si="12"/>
        <v/>
      </c>
      <c r="G348" s="23" t="str">
        <f t="shared" si="13"/>
        <v/>
      </c>
    </row>
    <row r="349" spans="1:7" x14ac:dyDescent="0.25">
      <c r="B349" s="15" t="s">
        <v>750</v>
      </c>
      <c r="C349" s="15" t="s">
        <v>1059</v>
      </c>
      <c r="D349" s="11" t="s">
        <v>354</v>
      </c>
      <c r="E349" s="15" t="s">
        <v>5</v>
      </c>
      <c r="F349" s="20" t="str">
        <f t="shared" si="12"/>
        <v/>
      </c>
      <c r="G349" s="23" t="str">
        <f t="shared" si="13"/>
        <v/>
      </c>
    </row>
    <row r="350" spans="1:7" x14ac:dyDescent="0.25">
      <c r="B350" s="15" t="s">
        <v>751</v>
      </c>
      <c r="C350" s="15" t="s">
        <v>1060</v>
      </c>
      <c r="D350" s="11" t="s">
        <v>607</v>
      </c>
      <c r="E350" s="15" t="s">
        <v>3</v>
      </c>
      <c r="F350" s="20" t="str">
        <f t="shared" si="12"/>
        <v/>
      </c>
      <c r="G350" s="23" t="str">
        <f t="shared" si="13"/>
        <v/>
      </c>
    </row>
    <row r="351" spans="1:7" x14ac:dyDescent="0.25">
      <c r="A351" s="15">
        <v>112</v>
      </c>
      <c r="B351" s="15" t="s">
        <v>751</v>
      </c>
      <c r="C351" s="15" t="s">
        <v>1061</v>
      </c>
      <c r="D351" s="11" t="s">
        <v>355</v>
      </c>
      <c r="E351" s="15" t="s">
        <v>4</v>
      </c>
      <c r="F351" s="20" t="str">
        <f t="shared" si="12"/>
        <v/>
      </c>
      <c r="G351" s="23" t="str">
        <f t="shared" si="13"/>
        <v/>
      </c>
    </row>
    <row r="352" spans="1:7" x14ac:dyDescent="0.25">
      <c r="B352" s="15" t="s">
        <v>751</v>
      </c>
      <c r="C352" s="15" t="s">
        <v>1062</v>
      </c>
      <c r="D352" s="11" t="s">
        <v>356</v>
      </c>
      <c r="E352" s="15" t="s">
        <v>5</v>
      </c>
      <c r="F352" s="20" t="str">
        <f t="shared" si="12"/>
        <v/>
      </c>
      <c r="G352" s="23" t="str">
        <f t="shared" si="13"/>
        <v/>
      </c>
    </row>
    <row r="353" spans="1:7" x14ac:dyDescent="0.25">
      <c r="B353" s="15" t="s">
        <v>752</v>
      </c>
      <c r="C353" s="15" t="s">
        <v>1063</v>
      </c>
      <c r="D353" s="11" t="s">
        <v>608</v>
      </c>
      <c r="E353" s="15" t="s">
        <v>3</v>
      </c>
      <c r="F353" s="20" t="str">
        <f t="shared" si="12"/>
        <v/>
      </c>
      <c r="G353" s="23" t="str">
        <f t="shared" si="13"/>
        <v/>
      </c>
    </row>
    <row r="354" spans="1:7" x14ac:dyDescent="0.25">
      <c r="A354" s="15">
        <v>113</v>
      </c>
      <c r="B354" s="15" t="s">
        <v>752</v>
      </c>
      <c r="C354" s="15" t="s">
        <v>1064</v>
      </c>
      <c r="D354" s="11" t="s">
        <v>357</v>
      </c>
      <c r="E354" s="15" t="s">
        <v>4</v>
      </c>
      <c r="F354" s="20" t="str">
        <f t="shared" si="12"/>
        <v/>
      </c>
      <c r="G354" s="23" t="str">
        <f t="shared" si="13"/>
        <v/>
      </c>
    </row>
    <row r="355" spans="1:7" x14ac:dyDescent="0.25">
      <c r="B355" s="15" t="s">
        <v>752</v>
      </c>
      <c r="C355" s="15" t="s">
        <v>1065</v>
      </c>
      <c r="D355" s="11" t="s">
        <v>358</v>
      </c>
      <c r="E355" s="15" t="s">
        <v>5</v>
      </c>
      <c r="F355" s="20" t="str">
        <f t="shared" si="12"/>
        <v/>
      </c>
      <c r="G355" s="23" t="str">
        <f t="shared" si="13"/>
        <v/>
      </c>
    </row>
    <row r="356" spans="1:7" x14ac:dyDescent="0.25">
      <c r="B356" s="15" t="s">
        <v>473</v>
      </c>
      <c r="C356" s="15" t="s">
        <v>1066</v>
      </c>
      <c r="D356" s="11" t="s">
        <v>609</v>
      </c>
      <c r="E356" s="15" t="s">
        <v>11</v>
      </c>
      <c r="F356" s="20" t="str">
        <f t="shared" si="12"/>
        <v/>
      </c>
      <c r="G356" s="23" t="str">
        <f t="shared" si="13"/>
        <v/>
      </c>
    </row>
    <row r="357" spans="1:7" x14ac:dyDescent="0.25">
      <c r="B357" s="15" t="s">
        <v>753</v>
      </c>
      <c r="C357" s="15" t="s">
        <v>1067</v>
      </c>
      <c r="D357" s="11" t="s">
        <v>610</v>
      </c>
      <c r="E357" s="15" t="s">
        <v>3</v>
      </c>
      <c r="F357" s="20" t="str">
        <f t="shared" si="12"/>
        <v/>
      </c>
      <c r="G357" s="23" t="str">
        <f t="shared" si="13"/>
        <v/>
      </c>
    </row>
    <row r="358" spans="1:7" x14ac:dyDescent="0.25">
      <c r="A358" s="15">
        <v>114</v>
      </c>
      <c r="B358" s="15" t="s">
        <v>753</v>
      </c>
      <c r="C358" s="15" t="s">
        <v>1068</v>
      </c>
      <c r="D358" s="11" t="s">
        <v>359</v>
      </c>
      <c r="E358" s="15" t="s">
        <v>4</v>
      </c>
      <c r="F358" s="20" t="str">
        <f t="shared" si="12"/>
        <v/>
      </c>
      <c r="G358" s="23" t="str">
        <f t="shared" si="13"/>
        <v/>
      </c>
    </row>
    <row r="359" spans="1:7" x14ac:dyDescent="0.25">
      <c r="B359" s="15" t="s">
        <v>753</v>
      </c>
      <c r="C359" s="15" t="s">
        <v>1069</v>
      </c>
      <c r="D359" s="11" t="s">
        <v>360</v>
      </c>
      <c r="E359" s="15" t="s">
        <v>5</v>
      </c>
      <c r="F359" s="20" t="str">
        <f t="shared" si="12"/>
        <v/>
      </c>
      <c r="G359" s="23" t="str">
        <f t="shared" si="13"/>
        <v/>
      </c>
    </row>
    <row r="360" spans="1:7" x14ac:dyDescent="0.25">
      <c r="B360" s="15" t="s">
        <v>754</v>
      </c>
      <c r="C360" s="15" t="s">
        <v>1070</v>
      </c>
      <c r="D360" s="11" t="s">
        <v>611</v>
      </c>
      <c r="E360" s="15" t="s">
        <v>3</v>
      </c>
      <c r="F360" s="20" t="str">
        <f t="shared" si="12"/>
        <v/>
      </c>
      <c r="G360" s="23" t="str">
        <f t="shared" si="13"/>
        <v/>
      </c>
    </row>
    <row r="361" spans="1:7" x14ac:dyDescent="0.25">
      <c r="A361" s="15">
        <v>115</v>
      </c>
      <c r="B361" s="15" t="s">
        <v>754</v>
      </c>
      <c r="C361" s="15" t="s">
        <v>1071</v>
      </c>
      <c r="D361" s="11" t="s">
        <v>361</v>
      </c>
      <c r="E361" s="15" t="s">
        <v>4</v>
      </c>
      <c r="F361" s="20" t="str">
        <f t="shared" si="12"/>
        <v/>
      </c>
      <c r="G361" s="23" t="str">
        <f t="shared" si="13"/>
        <v/>
      </c>
    </row>
    <row r="362" spans="1:7" x14ac:dyDescent="0.25">
      <c r="B362" s="15" t="s">
        <v>754</v>
      </c>
      <c r="C362" s="15" t="s">
        <v>1072</v>
      </c>
      <c r="D362" s="11" t="s">
        <v>362</v>
      </c>
      <c r="E362" s="15" t="s">
        <v>5</v>
      </c>
      <c r="F362" s="20" t="str">
        <f t="shared" si="12"/>
        <v/>
      </c>
      <c r="G362" s="23" t="str">
        <f t="shared" si="13"/>
        <v/>
      </c>
    </row>
    <row r="363" spans="1:7" x14ac:dyDescent="0.25">
      <c r="B363" s="15" t="s">
        <v>755</v>
      </c>
      <c r="C363" s="15" t="s">
        <v>1073</v>
      </c>
      <c r="D363" s="11" t="s">
        <v>612</v>
      </c>
      <c r="E363" s="15" t="s">
        <v>3</v>
      </c>
      <c r="F363" s="20" t="str">
        <f t="shared" si="12"/>
        <v/>
      </c>
      <c r="G363" s="23" t="str">
        <f t="shared" si="13"/>
        <v/>
      </c>
    </row>
    <row r="364" spans="1:7" x14ac:dyDescent="0.25">
      <c r="A364" s="15">
        <v>116</v>
      </c>
      <c r="B364" s="15" t="s">
        <v>755</v>
      </c>
      <c r="C364" s="15" t="s">
        <v>1074</v>
      </c>
      <c r="D364" s="11" t="s">
        <v>363</v>
      </c>
      <c r="E364" s="15" t="s">
        <v>4</v>
      </c>
      <c r="F364" s="20" t="str">
        <f t="shared" si="12"/>
        <v/>
      </c>
      <c r="G364" s="23" t="str">
        <f t="shared" si="13"/>
        <v/>
      </c>
    </row>
    <row r="365" spans="1:7" x14ac:dyDescent="0.25">
      <c r="B365" s="15" t="s">
        <v>755</v>
      </c>
      <c r="C365" s="15" t="s">
        <v>1075</v>
      </c>
      <c r="D365" s="11" t="s">
        <v>364</v>
      </c>
      <c r="E365" s="15" t="s">
        <v>5</v>
      </c>
      <c r="F365" s="20" t="str">
        <f t="shared" si="12"/>
        <v/>
      </c>
      <c r="G365" s="23" t="str">
        <f t="shared" si="13"/>
        <v/>
      </c>
    </row>
    <row r="366" spans="1:7" x14ac:dyDescent="0.25">
      <c r="B366" s="15" t="s">
        <v>756</v>
      </c>
      <c r="C366" s="15" t="s">
        <v>1076</v>
      </c>
      <c r="D366" s="11" t="s">
        <v>613</v>
      </c>
      <c r="E366" s="15" t="s">
        <v>3</v>
      </c>
      <c r="F366" s="20" t="str">
        <f t="shared" si="12"/>
        <v/>
      </c>
      <c r="G366" s="23" t="str">
        <f t="shared" si="13"/>
        <v/>
      </c>
    </row>
    <row r="367" spans="1:7" x14ac:dyDescent="0.25">
      <c r="A367" s="15">
        <v>117</v>
      </c>
      <c r="B367" s="15" t="s">
        <v>756</v>
      </c>
      <c r="C367" s="15" t="s">
        <v>1077</v>
      </c>
      <c r="D367" s="11" t="s">
        <v>365</v>
      </c>
      <c r="E367" s="15" t="s">
        <v>4</v>
      </c>
      <c r="F367" s="20" t="str">
        <f t="shared" si="12"/>
        <v/>
      </c>
      <c r="G367" s="23" t="str">
        <f t="shared" si="13"/>
        <v/>
      </c>
    </row>
    <row r="368" spans="1:7" x14ac:dyDescent="0.25">
      <c r="B368" s="15" t="s">
        <v>756</v>
      </c>
      <c r="C368" s="15" t="s">
        <v>1078</v>
      </c>
      <c r="D368" s="11" t="s">
        <v>366</v>
      </c>
      <c r="E368" s="15" t="s">
        <v>5</v>
      </c>
      <c r="F368" s="20" t="str">
        <f t="shared" si="12"/>
        <v/>
      </c>
      <c r="G368" s="23" t="str">
        <f t="shared" si="13"/>
        <v/>
      </c>
    </row>
    <row r="369" spans="1:7" x14ac:dyDescent="0.25">
      <c r="B369" s="15" t="s">
        <v>757</v>
      </c>
      <c r="C369" s="15" t="s">
        <v>1079</v>
      </c>
      <c r="D369" s="11" t="s">
        <v>614</v>
      </c>
      <c r="E369" s="15" t="s">
        <v>3</v>
      </c>
      <c r="F369" s="20" t="str">
        <f t="shared" si="12"/>
        <v/>
      </c>
      <c r="G369" s="23" t="str">
        <f t="shared" si="13"/>
        <v/>
      </c>
    </row>
    <row r="370" spans="1:7" x14ac:dyDescent="0.25">
      <c r="A370" s="15">
        <v>118</v>
      </c>
      <c r="B370" s="15" t="s">
        <v>757</v>
      </c>
      <c r="C370" s="15" t="s">
        <v>1080</v>
      </c>
      <c r="D370" s="11" t="s">
        <v>367</v>
      </c>
      <c r="E370" s="15" t="s">
        <v>4</v>
      </c>
      <c r="F370" s="20" t="str">
        <f t="shared" si="12"/>
        <v/>
      </c>
      <c r="G370" s="23" t="str">
        <f t="shared" si="13"/>
        <v/>
      </c>
    </row>
    <row r="371" spans="1:7" x14ac:dyDescent="0.25">
      <c r="B371" s="15" t="s">
        <v>757</v>
      </c>
      <c r="C371" s="15" t="s">
        <v>1081</v>
      </c>
      <c r="D371" s="11" t="s">
        <v>368</v>
      </c>
      <c r="E371" s="15" t="s">
        <v>5</v>
      </c>
      <c r="F371" s="20" t="str">
        <f t="shared" si="12"/>
        <v/>
      </c>
      <c r="G371" s="23" t="str">
        <f t="shared" si="13"/>
        <v/>
      </c>
    </row>
    <row r="372" spans="1:7" x14ac:dyDescent="0.25">
      <c r="B372" s="15" t="s">
        <v>758</v>
      </c>
      <c r="C372" s="15" t="s">
        <v>1082</v>
      </c>
      <c r="D372" s="11" t="s">
        <v>615</v>
      </c>
      <c r="E372" s="15" t="s">
        <v>3</v>
      </c>
      <c r="F372" s="20" t="str">
        <f t="shared" si="12"/>
        <v/>
      </c>
      <c r="G372" s="23" t="str">
        <f t="shared" si="13"/>
        <v/>
      </c>
    </row>
    <row r="373" spans="1:7" x14ac:dyDescent="0.25">
      <c r="A373" s="15">
        <v>119</v>
      </c>
      <c r="B373" s="15" t="s">
        <v>758</v>
      </c>
      <c r="C373" s="15" t="s">
        <v>1083</v>
      </c>
      <c r="D373" s="11" t="s">
        <v>369</v>
      </c>
      <c r="E373" s="15" t="s">
        <v>4</v>
      </c>
      <c r="F373" s="20" t="str">
        <f t="shared" si="12"/>
        <v/>
      </c>
      <c r="G373" s="23" t="str">
        <f t="shared" si="13"/>
        <v/>
      </c>
    </row>
    <row r="374" spans="1:7" x14ac:dyDescent="0.25">
      <c r="B374" s="15" t="s">
        <v>758</v>
      </c>
      <c r="C374" s="15" t="s">
        <v>1084</v>
      </c>
      <c r="D374" s="11" t="s">
        <v>370</v>
      </c>
      <c r="E374" s="15" t="s">
        <v>5</v>
      </c>
      <c r="F374" s="20" t="str">
        <f t="shared" si="12"/>
        <v/>
      </c>
      <c r="G374" s="23" t="str">
        <f t="shared" si="13"/>
        <v/>
      </c>
    </row>
    <row r="375" spans="1:7" x14ac:dyDescent="0.25">
      <c r="B375" s="15" t="s">
        <v>759</v>
      </c>
      <c r="C375" s="15" t="s">
        <v>1085</v>
      </c>
      <c r="D375" s="11" t="s">
        <v>616</v>
      </c>
      <c r="E375" s="15" t="s">
        <v>3</v>
      </c>
      <c r="F375" s="20" t="str">
        <f t="shared" si="12"/>
        <v/>
      </c>
      <c r="G375" s="23" t="str">
        <f t="shared" si="13"/>
        <v/>
      </c>
    </row>
    <row r="376" spans="1:7" x14ac:dyDescent="0.25">
      <c r="A376" s="15">
        <v>120</v>
      </c>
      <c r="B376" s="15" t="s">
        <v>759</v>
      </c>
      <c r="C376" s="15" t="s">
        <v>1086</v>
      </c>
      <c r="D376" s="11" t="s">
        <v>371</v>
      </c>
      <c r="E376" s="15" t="s">
        <v>4</v>
      </c>
      <c r="F376" s="20" t="str">
        <f t="shared" si="12"/>
        <v/>
      </c>
      <c r="G376" s="23" t="str">
        <f t="shared" si="13"/>
        <v/>
      </c>
    </row>
    <row r="377" spans="1:7" x14ac:dyDescent="0.25">
      <c r="B377" s="15" t="s">
        <v>759</v>
      </c>
      <c r="C377" s="15" t="s">
        <v>1087</v>
      </c>
      <c r="D377" s="11" t="s">
        <v>372</v>
      </c>
      <c r="E377" s="15" t="s">
        <v>5</v>
      </c>
      <c r="F377" s="20" t="str">
        <f t="shared" si="12"/>
        <v/>
      </c>
      <c r="G377" s="23" t="str">
        <f t="shared" si="13"/>
        <v/>
      </c>
    </row>
    <row r="378" spans="1:7" x14ac:dyDescent="0.25">
      <c r="B378" s="15" t="s">
        <v>474</v>
      </c>
      <c r="C378" s="15" t="s">
        <v>1088</v>
      </c>
      <c r="D378" s="11" t="s">
        <v>617</v>
      </c>
      <c r="E378" s="15" t="s">
        <v>11</v>
      </c>
      <c r="F378" s="20" t="str">
        <f t="shared" si="12"/>
        <v/>
      </c>
      <c r="G378" s="23" t="str">
        <f t="shared" si="13"/>
        <v/>
      </c>
    </row>
    <row r="379" spans="1:7" x14ac:dyDescent="0.25">
      <c r="B379" s="15" t="s">
        <v>760</v>
      </c>
      <c r="C379" s="15" t="s">
        <v>1089</v>
      </c>
      <c r="D379" s="11" t="s">
        <v>618</v>
      </c>
      <c r="E379" s="15" t="s">
        <v>3</v>
      </c>
      <c r="F379" s="20" t="str">
        <f t="shared" si="12"/>
        <v/>
      </c>
      <c r="G379" s="23" t="str">
        <f t="shared" si="13"/>
        <v/>
      </c>
    </row>
    <row r="380" spans="1:7" x14ac:dyDescent="0.25">
      <c r="A380" s="15">
        <v>121</v>
      </c>
      <c r="B380" s="15" t="s">
        <v>760</v>
      </c>
      <c r="C380" s="15" t="s">
        <v>1090</v>
      </c>
      <c r="D380" s="11" t="s">
        <v>373</v>
      </c>
      <c r="E380" s="15" t="s">
        <v>4</v>
      </c>
      <c r="F380" s="20" t="str">
        <f t="shared" si="12"/>
        <v/>
      </c>
      <c r="G380" s="23" t="str">
        <f t="shared" si="13"/>
        <v/>
      </c>
    </row>
    <row r="381" spans="1:7" x14ac:dyDescent="0.25">
      <c r="B381" s="15" t="s">
        <v>760</v>
      </c>
      <c r="C381" s="15" t="s">
        <v>1091</v>
      </c>
      <c r="D381" s="11" t="s">
        <v>374</v>
      </c>
      <c r="E381" s="15" t="s">
        <v>5</v>
      </c>
      <c r="F381" s="20" t="str">
        <f t="shared" si="12"/>
        <v/>
      </c>
      <c r="G381" s="23" t="str">
        <f t="shared" si="13"/>
        <v/>
      </c>
    </row>
    <row r="382" spans="1:7" x14ac:dyDescent="0.25">
      <c r="B382" s="15" t="s">
        <v>761</v>
      </c>
      <c r="C382" s="15" t="s">
        <v>1092</v>
      </c>
      <c r="D382" s="11" t="s">
        <v>619</v>
      </c>
      <c r="E382" s="15" t="s">
        <v>3</v>
      </c>
      <c r="F382" s="20" t="str">
        <f t="shared" si="12"/>
        <v/>
      </c>
      <c r="G382" s="23" t="str">
        <f t="shared" si="13"/>
        <v/>
      </c>
    </row>
    <row r="383" spans="1:7" x14ac:dyDescent="0.25">
      <c r="A383" s="15">
        <v>122</v>
      </c>
      <c r="B383" s="15" t="s">
        <v>761</v>
      </c>
      <c r="C383" s="15" t="s">
        <v>1093</v>
      </c>
      <c r="D383" s="11" t="s">
        <v>375</v>
      </c>
      <c r="E383" s="15" t="s">
        <v>4</v>
      </c>
      <c r="F383" s="20" t="str">
        <f t="shared" si="12"/>
        <v/>
      </c>
      <c r="G383" s="23" t="str">
        <f t="shared" si="13"/>
        <v/>
      </c>
    </row>
    <row r="384" spans="1:7" x14ac:dyDescent="0.25">
      <c r="B384" s="15" t="s">
        <v>761</v>
      </c>
      <c r="C384" s="15" t="s">
        <v>1094</v>
      </c>
      <c r="D384" s="11" t="s">
        <v>376</v>
      </c>
      <c r="E384" s="15" t="s">
        <v>5</v>
      </c>
      <c r="F384" s="20" t="str">
        <f t="shared" si="12"/>
        <v/>
      </c>
      <c r="G384" s="23" t="str">
        <f t="shared" si="13"/>
        <v/>
      </c>
    </row>
    <row r="385" spans="1:7" x14ac:dyDescent="0.25">
      <c r="B385" s="15" t="s">
        <v>762</v>
      </c>
      <c r="C385" s="15" t="s">
        <v>1095</v>
      </c>
      <c r="D385" s="11" t="s">
        <v>620</v>
      </c>
      <c r="E385" s="15" t="s">
        <v>3</v>
      </c>
      <c r="F385" s="20" t="str">
        <f t="shared" si="12"/>
        <v/>
      </c>
      <c r="G385" s="23" t="str">
        <f t="shared" si="13"/>
        <v/>
      </c>
    </row>
    <row r="386" spans="1:7" x14ac:dyDescent="0.25">
      <c r="A386" s="15">
        <v>123</v>
      </c>
      <c r="B386" s="15" t="s">
        <v>762</v>
      </c>
      <c r="C386" s="15" t="s">
        <v>1096</v>
      </c>
      <c r="D386" s="11" t="s">
        <v>377</v>
      </c>
      <c r="E386" s="15" t="s">
        <v>4</v>
      </c>
      <c r="F386" s="20" t="str">
        <f t="shared" si="12"/>
        <v/>
      </c>
      <c r="G386" s="23" t="str">
        <f t="shared" si="13"/>
        <v/>
      </c>
    </row>
    <row r="387" spans="1:7" x14ac:dyDescent="0.25">
      <c r="B387" s="15" t="s">
        <v>762</v>
      </c>
      <c r="C387" s="15" t="s">
        <v>1097</v>
      </c>
      <c r="D387" s="11" t="s">
        <v>378</v>
      </c>
      <c r="E387" s="15" t="s">
        <v>5</v>
      </c>
      <c r="F387" s="20" t="str">
        <f t="shared" si="12"/>
        <v/>
      </c>
      <c r="G387" s="23" t="str">
        <f t="shared" si="13"/>
        <v/>
      </c>
    </row>
    <row r="388" spans="1:7" x14ac:dyDescent="0.25">
      <c r="B388" s="15" t="s">
        <v>763</v>
      </c>
      <c r="C388" s="15" t="s">
        <v>1098</v>
      </c>
      <c r="D388" s="11" t="s">
        <v>621</v>
      </c>
      <c r="E388" s="15" t="s">
        <v>3</v>
      </c>
      <c r="F388" s="20" t="str">
        <f t="shared" si="12"/>
        <v/>
      </c>
      <c r="G388" s="23" t="str">
        <f t="shared" si="13"/>
        <v/>
      </c>
    </row>
    <row r="389" spans="1:7" x14ac:dyDescent="0.25">
      <c r="A389" s="15">
        <v>124</v>
      </c>
      <c r="B389" s="15" t="s">
        <v>763</v>
      </c>
      <c r="C389" s="15" t="s">
        <v>1099</v>
      </c>
      <c r="D389" s="11" t="s">
        <v>379</v>
      </c>
      <c r="E389" s="15" t="s">
        <v>4</v>
      </c>
      <c r="F389" s="20" t="str">
        <f t="shared" si="12"/>
        <v/>
      </c>
      <c r="G389" s="23" t="str">
        <f t="shared" si="13"/>
        <v/>
      </c>
    </row>
    <row r="390" spans="1:7" x14ac:dyDescent="0.25">
      <c r="B390" s="15" t="s">
        <v>763</v>
      </c>
      <c r="C390" s="15" t="s">
        <v>1100</v>
      </c>
      <c r="D390" s="11" t="s">
        <v>380</v>
      </c>
      <c r="E390" s="15" t="s">
        <v>5</v>
      </c>
      <c r="F390" s="20" t="str">
        <f t="shared" si="12"/>
        <v/>
      </c>
      <c r="G390" s="23" t="str">
        <f t="shared" si="13"/>
        <v/>
      </c>
    </row>
    <row r="391" spans="1:7" x14ac:dyDescent="0.25">
      <c r="B391" s="15" t="s">
        <v>764</v>
      </c>
      <c r="C391" s="15" t="s">
        <v>1101</v>
      </c>
      <c r="D391" s="11" t="s">
        <v>622</v>
      </c>
      <c r="E391" s="15" t="s">
        <v>3</v>
      </c>
      <c r="F391" s="20" t="str">
        <f t="shared" ref="F391:F454" si="14">IF(G391="","","https://docs.google.com/uc?export=download&amp;id="&amp;G391)</f>
        <v/>
      </c>
      <c r="G391" s="23" t="str">
        <f t="shared" si="13"/>
        <v/>
      </c>
    </row>
    <row r="392" spans="1:7" x14ac:dyDescent="0.25">
      <c r="A392" s="15">
        <v>125</v>
      </c>
      <c r="B392" s="15" t="s">
        <v>764</v>
      </c>
      <c r="C392" s="15" t="s">
        <v>1102</v>
      </c>
      <c r="D392" s="11" t="s">
        <v>381</v>
      </c>
      <c r="E392" s="15" t="s">
        <v>4</v>
      </c>
      <c r="F392" s="20" t="str">
        <f t="shared" si="14"/>
        <v/>
      </c>
      <c r="G392" s="23" t="str">
        <f t="shared" ref="G392:G455" si="15">IFERROR(LEFT(RIGHT(H392,LEN(H392)-32),LEN(RIGHT(H392,LEN(H392)-32))-17),"")</f>
        <v/>
      </c>
    </row>
    <row r="393" spans="1:7" x14ac:dyDescent="0.25">
      <c r="B393" s="15" t="s">
        <v>764</v>
      </c>
      <c r="C393" s="15" t="s">
        <v>1103</v>
      </c>
      <c r="D393" s="11" t="s">
        <v>382</v>
      </c>
      <c r="E393" s="15" t="s">
        <v>5</v>
      </c>
      <c r="F393" s="20" t="str">
        <f t="shared" si="14"/>
        <v/>
      </c>
      <c r="G393" s="23" t="str">
        <f t="shared" si="15"/>
        <v/>
      </c>
    </row>
    <row r="394" spans="1:7" x14ac:dyDescent="0.25">
      <c r="B394" s="15" t="s">
        <v>765</v>
      </c>
      <c r="C394" s="15" t="s">
        <v>1104</v>
      </c>
      <c r="D394" s="11" t="s">
        <v>623</v>
      </c>
      <c r="E394" s="15" t="s">
        <v>3</v>
      </c>
      <c r="F394" s="20" t="str">
        <f t="shared" si="14"/>
        <v/>
      </c>
      <c r="G394" s="23" t="str">
        <f t="shared" si="15"/>
        <v/>
      </c>
    </row>
    <row r="395" spans="1:7" x14ac:dyDescent="0.25">
      <c r="A395" s="15">
        <v>126</v>
      </c>
      <c r="B395" s="15" t="s">
        <v>765</v>
      </c>
      <c r="C395" s="15" t="s">
        <v>1105</v>
      </c>
      <c r="D395" s="11" t="s">
        <v>383</v>
      </c>
      <c r="E395" s="15" t="s">
        <v>4</v>
      </c>
      <c r="F395" s="20" t="str">
        <f t="shared" si="14"/>
        <v/>
      </c>
      <c r="G395" s="23" t="str">
        <f t="shared" si="15"/>
        <v/>
      </c>
    </row>
    <row r="396" spans="1:7" x14ac:dyDescent="0.25">
      <c r="B396" s="15" t="s">
        <v>765</v>
      </c>
      <c r="C396" s="15" t="s">
        <v>1106</v>
      </c>
      <c r="D396" s="11" t="s">
        <v>384</v>
      </c>
      <c r="E396" s="15" t="s">
        <v>5</v>
      </c>
      <c r="F396" s="20" t="str">
        <f t="shared" si="14"/>
        <v/>
      </c>
      <c r="G396" s="23" t="str">
        <f t="shared" si="15"/>
        <v/>
      </c>
    </row>
    <row r="397" spans="1:7" x14ac:dyDescent="0.25">
      <c r="B397" s="15" t="s">
        <v>766</v>
      </c>
      <c r="C397" s="15" t="s">
        <v>1107</v>
      </c>
      <c r="D397" s="11" t="s">
        <v>624</v>
      </c>
      <c r="E397" s="15" t="s">
        <v>3</v>
      </c>
      <c r="F397" s="20" t="str">
        <f t="shared" si="14"/>
        <v/>
      </c>
      <c r="G397" s="23" t="str">
        <f t="shared" si="15"/>
        <v/>
      </c>
    </row>
    <row r="398" spans="1:7" x14ac:dyDescent="0.25">
      <c r="A398" s="15">
        <v>127</v>
      </c>
      <c r="B398" s="15" t="s">
        <v>766</v>
      </c>
      <c r="C398" s="15" t="s">
        <v>1108</v>
      </c>
      <c r="D398" s="11" t="s">
        <v>385</v>
      </c>
      <c r="E398" s="15" t="s">
        <v>4</v>
      </c>
      <c r="F398" s="20" t="str">
        <f t="shared" si="14"/>
        <v/>
      </c>
      <c r="G398" s="23" t="str">
        <f t="shared" si="15"/>
        <v/>
      </c>
    </row>
    <row r="399" spans="1:7" x14ac:dyDescent="0.25">
      <c r="B399" s="15" t="s">
        <v>766</v>
      </c>
      <c r="C399" s="15" t="s">
        <v>1109</v>
      </c>
      <c r="D399" s="11" t="s">
        <v>386</v>
      </c>
      <c r="E399" s="15" t="s">
        <v>5</v>
      </c>
      <c r="F399" s="20" t="str">
        <f t="shared" si="14"/>
        <v/>
      </c>
      <c r="G399" s="23" t="str">
        <f t="shared" si="15"/>
        <v/>
      </c>
    </row>
    <row r="400" spans="1:7" x14ac:dyDescent="0.25">
      <c r="B400" s="15" t="s">
        <v>475</v>
      </c>
      <c r="C400" s="15" t="s">
        <v>1110</v>
      </c>
      <c r="D400" s="11" t="s">
        <v>625</v>
      </c>
      <c r="E400" s="15" t="s">
        <v>11</v>
      </c>
      <c r="F400" s="20" t="str">
        <f t="shared" si="14"/>
        <v/>
      </c>
      <c r="G400" s="23" t="str">
        <f t="shared" si="15"/>
        <v/>
      </c>
    </row>
    <row r="401" spans="1:7" x14ac:dyDescent="0.25">
      <c r="B401" s="15" t="s">
        <v>767</v>
      </c>
      <c r="C401" s="15" t="s">
        <v>1111</v>
      </c>
      <c r="D401" s="11" t="s">
        <v>626</v>
      </c>
      <c r="E401" s="15" t="s">
        <v>3</v>
      </c>
      <c r="F401" s="20" t="str">
        <f t="shared" si="14"/>
        <v/>
      </c>
      <c r="G401" s="23" t="str">
        <f t="shared" si="15"/>
        <v/>
      </c>
    </row>
    <row r="402" spans="1:7" x14ac:dyDescent="0.25">
      <c r="A402" s="15">
        <v>128</v>
      </c>
      <c r="B402" s="15" t="s">
        <v>767</v>
      </c>
      <c r="C402" s="15" t="s">
        <v>1112</v>
      </c>
      <c r="D402" s="11" t="s">
        <v>387</v>
      </c>
      <c r="E402" s="15" t="s">
        <v>4</v>
      </c>
      <c r="F402" s="20" t="str">
        <f t="shared" si="14"/>
        <v/>
      </c>
      <c r="G402" s="23" t="str">
        <f t="shared" si="15"/>
        <v/>
      </c>
    </row>
    <row r="403" spans="1:7" x14ac:dyDescent="0.25">
      <c r="B403" s="15" t="s">
        <v>767</v>
      </c>
      <c r="C403" s="15" t="s">
        <v>1113</v>
      </c>
      <c r="D403" s="11" t="s">
        <v>388</v>
      </c>
      <c r="E403" s="15" t="s">
        <v>5</v>
      </c>
      <c r="F403" s="20" t="str">
        <f t="shared" si="14"/>
        <v/>
      </c>
      <c r="G403" s="23" t="str">
        <f t="shared" si="15"/>
        <v/>
      </c>
    </row>
    <row r="404" spans="1:7" x14ac:dyDescent="0.25">
      <c r="B404" s="15" t="s">
        <v>768</v>
      </c>
      <c r="C404" s="15" t="s">
        <v>1114</v>
      </c>
      <c r="D404" s="11" t="s">
        <v>627</v>
      </c>
      <c r="E404" s="15" t="s">
        <v>3</v>
      </c>
      <c r="F404" s="20" t="str">
        <f t="shared" si="14"/>
        <v/>
      </c>
      <c r="G404" s="23" t="str">
        <f t="shared" si="15"/>
        <v/>
      </c>
    </row>
    <row r="405" spans="1:7" x14ac:dyDescent="0.25">
      <c r="A405" s="15">
        <v>129</v>
      </c>
      <c r="B405" s="15" t="s">
        <v>768</v>
      </c>
      <c r="C405" s="15" t="s">
        <v>1115</v>
      </c>
      <c r="D405" s="11" t="s">
        <v>389</v>
      </c>
      <c r="E405" s="15" t="s">
        <v>4</v>
      </c>
      <c r="F405" s="20" t="str">
        <f t="shared" si="14"/>
        <v/>
      </c>
      <c r="G405" s="23" t="str">
        <f t="shared" si="15"/>
        <v/>
      </c>
    </row>
    <row r="406" spans="1:7" x14ac:dyDescent="0.25">
      <c r="B406" s="15" t="s">
        <v>768</v>
      </c>
      <c r="C406" s="15" t="s">
        <v>1116</v>
      </c>
      <c r="D406" s="11" t="s">
        <v>390</v>
      </c>
      <c r="E406" s="15" t="s">
        <v>5</v>
      </c>
      <c r="F406" s="20" t="str">
        <f t="shared" si="14"/>
        <v/>
      </c>
      <c r="G406" s="23" t="str">
        <f t="shared" si="15"/>
        <v/>
      </c>
    </row>
    <row r="407" spans="1:7" x14ac:dyDescent="0.25">
      <c r="B407" s="15" t="s">
        <v>769</v>
      </c>
      <c r="C407" s="15" t="s">
        <v>1117</v>
      </c>
      <c r="D407" s="11" t="s">
        <v>628</v>
      </c>
      <c r="E407" s="15" t="s">
        <v>3</v>
      </c>
      <c r="F407" s="20" t="str">
        <f t="shared" si="14"/>
        <v/>
      </c>
      <c r="G407" s="23" t="str">
        <f t="shared" si="15"/>
        <v/>
      </c>
    </row>
    <row r="408" spans="1:7" x14ac:dyDescent="0.25">
      <c r="A408" s="15">
        <v>130</v>
      </c>
      <c r="B408" s="15" t="s">
        <v>769</v>
      </c>
      <c r="C408" s="15" t="s">
        <v>1118</v>
      </c>
      <c r="D408" s="11" t="s">
        <v>391</v>
      </c>
      <c r="E408" s="15" t="s">
        <v>4</v>
      </c>
      <c r="F408" s="20" t="str">
        <f t="shared" si="14"/>
        <v/>
      </c>
      <c r="G408" s="23" t="str">
        <f t="shared" si="15"/>
        <v/>
      </c>
    </row>
    <row r="409" spans="1:7" x14ac:dyDescent="0.25">
      <c r="B409" s="15" t="s">
        <v>769</v>
      </c>
      <c r="C409" s="15" t="s">
        <v>1119</v>
      </c>
      <c r="D409" s="11" t="s">
        <v>392</v>
      </c>
      <c r="E409" s="15" t="s">
        <v>5</v>
      </c>
      <c r="F409" s="20" t="str">
        <f t="shared" si="14"/>
        <v/>
      </c>
      <c r="G409" s="23" t="str">
        <f t="shared" si="15"/>
        <v/>
      </c>
    </row>
    <row r="410" spans="1:7" x14ac:dyDescent="0.25">
      <c r="B410" s="15" t="s">
        <v>770</v>
      </c>
      <c r="C410" s="15" t="s">
        <v>1120</v>
      </c>
      <c r="D410" s="11" t="s">
        <v>629</v>
      </c>
      <c r="E410" s="15" t="s">
        <v>3</v>
      </c>
      <c r="F410" s="20" t="str">
        <f t="shared" si="14"/>
        <v/>
      </c>
      <c r="G410" s="23" t="str">
        <f t="shared" si="15"/>
        <v/>
      </c>
    </row>
    <row r="411" spans="1:7" x14ac:dyDescent="0.25">
      <c r="A411" s="15">
        <v>131</v>
      </c>
      <c r="B411" s="15" t="s">
        <v>770</v>
      </c>
      <c r="C411" s="15" t="s">
        <v>1121</v>
      </c>
      <c r="D411" s="11" t="s">
        <v>393</v>
      </c>
      <c r="E411" s="15" t="s">
        <v>4</v>
      </c>
      <c r="F411" s="20" t="str">
        <f t="shared" si="14"/>
        <v/>
      </c>
      <c r="G411" s="23" t="str">
        <f t="shared" si="15"/>
        <v/>
      </c>
    </row>
    <row r="412" spans="1:7" x14ac:dyDescent="0.25">
      <c r="B412" s="15" t="s">
        <v>770</v>
      </c>
      <c r="C412" s="15" t="s">
        <v>1122</v>
      </c>
      <c r="D412" s="11" t="s">
        <v>394</v>
      </c>
      <c r="E412" s="15" t="s">
        <v>5</v>
      </c>
      <c r="F412" s="20" t="str">
        <f t="shared" si="14"/>
        <v/>
      </c>
      <c r="G412" s="23" t="str">
        <f t="shared" si="15"/>
        <v/>
      </c>
    </row>
    <row r="413" spans="1:7" x14ac:dyDescent="0.25">
      <c r="B413" s="15" t="s">
        <v>771</v>
      </c>
      <c r="C413" s="15" t="s">
        <v>1123</v>
      </c>
      <c r="D413" s="11" t="s">
        <v>630</v>
      </c>
      <c r="E413" s="15" t="s">
        <v>3</v>
      </c>
      <c r="F413" s="20" t="str">
        <f t="shared" si="14"/>
        <v/>
      </c>
      <c r="G413" s="23" t="str">
        <f t="shared" si="15"/>
        <v/>
      </c>
    </row>
    <row r="414" spans="1:7" x14ac:dyDescent="0.25">
      <c r="A414" s="15">
        <v>132</v>
      </c>
      <c r="B414" s="15" t="s">
        <v>771</v>
      </c>
      <c r="C414" s="15" t="s">
        <v>1124</v>
      </c>
      <c r="D414" s="11" t="s">
        <v>395</v>
      </c>
      <c r="E414" s="15" t="s">
        <v>4</v>
      </c>
      <c r="F414" s="20" t="str">
        <f t="shared" si="14"/>
        <v/>
      </c>
      <c r="G414" s="23" t="str">
        <f t="shared" si="15"/>
        <v/>
      </c>
    </row>
    <row r="415" spans="1:7" x14ac:dyDescent="0.25">
      <c r="B415" s="15" t="s">
        <v>771</v>
      </c>
      <c r="C415" s="15" t="s">
        <v>1125</v>
      </c>
      <c r="D415" s="11" t="s">
        <v>396</v>
      </c>
      <c r="E415" s="15" t="s">
        <v>5</v>
      </c>
      <c r="F415" s="20" t="str">
        <f t="shared" si="14"/>
        <v/>
      </c>
      <c r="G415" s="23" t="str">
        <f t="shared" si="15"/>
        <v/>
      </c>
    </row>
    <row r="416" spans="1:7" x14ac:dyDescent="0.25">
      <c r="B416" s="15" t="s">
        <v>772</v>
      </c>
      <c r="C416" s="15" t="s">
        <v>1126</v>
      </c>
      <c r="D416" s="11" t="s">
        <v>631</v>
      </c>
      <c r="E416" s="15" t="s">
        <v>3</v>
      </c>
      <c r="F416" s="20" t="str">
        <f t="shared" si="14"/>
        <v/>
      </c>
      <c r="G416" s="23" t="str">
        <f t="shared" si="15"/>
        <v/>
      </c>
    </row>
    <row r="417" spans="1:7" x14ac:dyDescent="0.25">
      <c r="A417" s="15">
        <v>133</v>
      </c>
      <c r="B417" s="15" t="s">
        <v>772</v>
      </c>
      <c r="C417" s="15" t="s">
        <v>1127</v>
      </c>
      <c r="D417" s="11" t="s">
        <v>397</v>
      </c>
      <c r="E417" s="15" t="s">
        <v>4</v>
      </c>
      <c r="F417" s="20" t="str">
        <f t="shared" si="14"/>
        <v/>
      </c>
      <c r="G417" s="23" t="str">
        <f t="shared" si="15"/>
        <v/>
      </c>
    </row>
    <row r="418" spans="1:7" x14ac:dyDescent="0.25">
      <c r="B418" s="15" t="s">
        <v>772</v>
      </c>
      <c r="C418" s="15" t="s">
        <v>1128</v>
      </c>
      <c r="D418" s="11" t="s">
        <v>398</v>
      </c>
      <c r="E418" s="15" t="s">
        <v>5</v>
      </c>
      <c r="F418" s="20" t="str">
        <f t="shared" si="14"/>
        <v/>
      </c>
      <c r="G418" s="23" t="str">
        <f t="shared" si="15"/>
        <v/>
      </c>
    </row>
    <row r="419" spans="1:7" x14ac:dyDescent="0.25">
      <c r="B419" s="15" t="s">
        <v>476</v>
      </c>
      <c r="C419" s="15" t="s">
        <v>1129</v>
      </c>
      <c r="D419" s="11" t="s">
        <v>632</v>
      </c>
      <c r="E419" s="15" t="s">
        <v>11</v>
      </c>
      <c r="F419" s="20" t="str">
        <f t="shared" si="14"/>
        <v/>
      </c>
      <c r="G419" s="23" t="str">
        <f t="shared" si="15"/>
        <v/>
      </c>
    </row>
    <row r="420" spans="1:7" x14ac:dyDescent="0.25">
      <c r="B420" s="15" t="s">
        <v>773</v>
      </c>
      <c r="C420" s="15" t="s">
        <v>1130</v>
      </c>
      <c r="D420" s="11" t="s">
        <v>633</v>
      </c>
      <c r="E420" s="15" t="s">
        <v>3</v>
      </c>
      <c r="F420" s="20" t="str">
        <f t="shared" si="14"/>
        <v/>
      </c>
      <c r="G420" s="23" t="str">
        <f t="shared" si="15"/>
        <v/>
      </c>
    </row>
    <row r="421" spans="1:7" x14ac:dyDescent="0.25">
      <c r="A421" s="15">
        <v>134</v>
      </c>
      <c r="B421" s="15" t="s">
        <v>773</v>
      </c>
      <c r="C421" s="15" t="s">
        <v>1131</v>
      </c>
      <c r="D421" s="11" t="s">
        <v>399</v>
      </c>
      <c r="E421" s="15" t="s">
        <v>4</v>
      </c>
      <c r="F421" s="20" t="str">
        <f t="shared" si="14"/>
        <v/>
      </c>
      <c r="G421" s="23" t="str">
        <f t="shared" si="15"/>
        <v/>
      </c>
    </row>
    <row r="422" spans="1:7" x14ac:dyDescent="0.25">
      <c r="B422" s="15" t="s">
        <v>773</v>
      </c>
      <c r="C422" s="15" t="s">
        <v>1132</v>
      </c>
      <c r="D422" s="11" t="s">
        <v>400</v>
      </c>
      <c r="E422" s="15" t="s">
        <v>5</v>
      </c>
      <c r="F422" s="20" t="str">
        <f t="shared" si="14"/>
        <v/>
      </c>
      <c r="G422" s="23" t="str">
        <f t="shared" si="15"/>
        <v/>
      </c>
    </row>
    <row r="423" spans="1:7" x14ac:dyDescent="0.25">
      <c r="B423" s="15" t="s">
        <v>774</v>
      </c>
      <c r="C423" s="15" t="s">
        <v>1133</v>
      </c>
      <c r="D423" s="11" t="s">
        <v>634</v>
      </c>
      <c r="E423" s="15" t="s">
        <v>3</v>
      </c>
      <c r="F423" s="20" t="str">
        <f t="shared" si="14"/>
        <v/>
      </c>
      <c r="G423" s="23" t="str">
        <f t="shared" si="15"/>
        <v/>
      </c>
    </row>
    <row r="424" spans="1:7" x14ac:dyDescent="0.25">
      <c r="A424" s="15">
        <v>135</v>
      </c>
      <c r="B424" s="15" t="s">
        <v>774</v>
      </c>
      <c r="C424" s="15" t="s">
        <v>1134</v>
      </c>
      <c r="D424" s="11" t="s">
        <v>401</v>
      </c>
      <c r="E424" s="15" t="s">
        <v>4</v>
      </c>
      <c r="F424" s="20" t="str">
        <f t="shared" si="14"/>
        <v/>
      </c>
      <c r="G424" s="23" t="str">
        <f t="shared" si="15"/>
        <v/>
      </c>
    </row>
    <row r="425" spans="1:7" x14ac:dyDescent="0.25">
      <c r="B425" s="15" t="s">
        <v>774</v>
      </c>
      <c r="C425" s="15" t="s">
        <v>1135</v>
      </c>
      <c r="D425" s="11" t="s">
        <v>402</v>
      </c>
      <c r="E425" s="15" t="s">
        <v>5</v>
      </c>
      <c r="F425" s="20" t="str">
        <f t="shared" si="14"/>
        <v/>
      </c>
      <c r="G425" s="23" t="str">
        <f t="shared" si="15"/>
        <v/>
      </c>
    </row>
    <row r="426" spans="1:7" x14ac:dyDescent="0.25">
      <c r="B426" s="15" t="s">
        <v>775</v>
      </c>
      <c r="C426" s="15" t="s">
        <v>1136</v>
      </c>
      <c r="D426" s="11" t="s">
        <v>635</v>
      </c>
      <c r="E426" s="15" t="s">
        <v>3</v>
      </c>
      <c r="F426" s="20" t="str">
        <f t="shared" si="14"/>
        <v/>
      </c>
      <c r="G426" s="23" t="str">
        <f t="shared" si="15"/>
        <v/>
      </c>
    </row>
    <row r="427" spans="1:7" x14ac:dyDescent="0.25">
      <c r="A427" s="15">
        <v>136</v>
      </c>
      <c r="B427" s="15" t="s">
        <v>775</v>
      </c>
      <c r="C427" s="15" t="s">
        <v>1137</v>
      </c>
      <c r="D427" s="11" t="s">
        <v>403</v>
      </c>
      <c r="E427" s="15" t="s">
        <v>4</v>
      </c>
      <c r="F427" s="20" t="str">
        <f t="shared" si="14"/>
        <v/>
      </c>
      <c r="G427" s="23" t="str">
        <f t="shared" si="15"/>
        <v/>
      </c>
    </row>
    <row r="428" spans="1:7" x14ac:dyDescent="0.25">
      <c r="B428" s="15" t="s">
        <v>775</v>
      </c>
      <c r="C428" s="15" t="s">
        <v>1138</v>
      </c>
      <c r="D428" s="11" t="s">
        <v>404</v>
      </c>
      <c r="E428" s="15" t="s">
        <v>5</v>
      </c>
      <c r="F428" s="20" t="str">
        <f t="shared" si="14"/>
        <v/>
      </c>
      <c r="G428" s="23" t="str">
        <f t="shared" si="15"/>
        <v/>
      </c>
    </row>
    <row r="429" spans="1:7" x14ac:dyDescent="0.25">
      <c r="B429" s="15" t="s">
        <v>776</v>
      </c>
      <c r="C429" s="15" t="s">
        <v>1139</v>
      </c>
      <c r="D429" s="11" t="s">
        <v>636</v>
      </c>
      <c r="E429" s="15" t="s">
        <v>3</v>
      </c>
      <c r="F429" s="20" t="str">
        <f t="shared" si="14"/>
        <v/>
      </c>
      <c r="G429" s="23" t="str">
        <f t="shared" si="15"/>
        <v/>
      </c>
    </row>
    <row r="430" spans="1:7" x14ac:dyDescent="0.25">
      <c r="A430" s="15">
        <v>137</v>
      </c>
      <c r="B430" s="15" t="s">
        <v>776</v>
      </c>
      <c r="C430" s="15" t="s">
        <v>1140</v>
      </c>
      <c r="D430" s="11" t="s">
        <v>405</v>
      </c>
      <c r="E430" s="15" t="s">
        <v>4</v>
      </c>
      <c r="F430" s="20" t="str">
        <f t="shared" si="14"/>
        <v/>
      </c>
      <c r="G430" s="23" t="str">
        <f t="shared" si="15"/>
        <v/>
      </c>
    </row>
    <row r="431" spans="1:7" x14ac:dyDescent="0.25">
      <c r="B431" s="15" t="s">
        <v>776</v>
      </c>
      <c r="C431" s="15" t="s">
        <v>1141</v>
      </c>
      <c r="D431" s="11" t="s">
        <v>406</v>
      </c>
      <c r="E431" s="15" t="s">
        <v>5</v>
      </c>
      <c r="F431" s="20" t="str">
        <f t="shared" si="14"/>
        <v/>
      </c>
      <c r="G431" s="23" t="str">
        <f t="shared" si="15"/>
        <v/>
      </c>
    </row>
    <row r="432" spans="1:7" x14ac:dyDescent="0.25">
      <c r="B432" s="15" t="s">
        <v>777</v>
      </c>
      <c r="C432" s="15" t="s">
        <v>1142</v>
      </c>
      <c r="D432" s="11" t="s">
        <v>637</v>
      </c>
      <c r="E432" s="15" t="s">
        <v>3</v>
      </c>
      <c r="F432" s="20" t="str">
        <f t="shared" si="14"/>
        <v/>
      </c>
      <c r="G432" s="23" t="str">
        <f t="shared" si="15"/>
        <v/>
      </c>
    </row>
    <row r="433" spans="1:7" x14ac:dyDescent="0.25">
      <c r="A433" s="15">
        <v>138</v>
      </c>
      <c r="B433" s="15" t="s">
        <v>777</v>
      </c>
      <c r="C433" s="15" t="s">
        <v>1143</v>
      </c>
      <c r="D433" s="11" t="s">
        <v>407</v>
      </c>
      <c r="E433" s="15" t="s">
        <v>4</v>
      </c>
      <c r="F433" s="20" t="str">
        <f t="shared" si="14"/>
        <v/>
      </c>
      <c r="G433" s="23" t="str">
        <f t="shared" si="15"/>
        <v/>
      </c>
    </row>
    <row r="434" spans="1:7" x14ac:dyDescent="0.25">
      <c r="B434" s="15" t="s">
        <v>777</v>
      </c>
      <c r="C434" s="15" t="s">
        <v>1144</v>
      </c>
      <c r="D434" s="11" t="s">
        <v>408</v>
      </c>
      <c r="E434" s="15" t="s">
        <v>5</v>
      </c>
      <c r="F434" s="20" t="str">
        <f t="shared" si="14"/>
        <v/>
      </c>
      <c r="G434" s="23" t="str">
        <f t="shared" si="15"/>
        <v/>
      </c>
    </row>
    <row r="435" spans="1:7" x14ac:dyDescent="0.25">
      <c r="B435" s="15" t="s">
        <v>778</v>
      </c>
      <c r="C435" s="15" t="s">
        <v>1145</v>
      </c>
      <c r="D435" s="11" t="s">
        <v>638</v>
      </c>
      <c r="E435" s="15" t="s">
        <v>3</v>
      </c>
      <c r="F435" s="20" t="str">
        <f t="shared" si="14"/>
        <v/>
      </c>
      <c r="G435" s="23" t="str">
        <f t="shared" si="15"/>
        <v/>
      </c>
    </row>
    <row r="436" spans="1:7" x14ac:dyDescent="0.25">
      <c r="A436" s="15">
        <v>139</v>
      </c>
      <c r="B436" s="15" t="s">
        <v>778</v>
      </c>
      <c r="C436" s="15" t="s">
        <v>1146</v>
      </c>
      <c r="D436" s="11" t="s">
        <v>409</v>
      </c>
      <c r="E436" s="15" t="s">
        <v>4</v>
      </c>
      <c r="F436" s="20" t="str">
        <f t="shared" si="14"/>
        <v/>
      </c>
      <c r="G436" s="23" t="str">
        <f t="shared" si="15"/>
        <v/>
      </c>
    </row>
    <row r="437" spans="1:7" x14ac:dyDescent="0.25">
      <c r="B437" s="15" t="s">
        <v>778</v>
      </c>
      <c r="C437" s="15" t="s">
        <v>1147</v>
      </c>
      <c r="D437" s="11" t="s">
        <v>410</v>
      </c>
      <c r="E437" s="15" t="s">
        <v>5</v>
      </c>
      <c r="F437" s="20" t="str">
        <f t="shared" si="14"/>
        <v/>
      </c>
      <c r="G437" s="23" t="str">
        <f t="shared" si="15"/>
        <v/>
      </c>
    </row>
    <row r="438" spans="1:7" x14ac:dyDescent="0.25">
      <c r="B438" s="15" t="s">
        <v>477</v>
      </c>
      <c r="C438" s="15" t="s">
        <v>1148</v>
      </c>
      <c r="D438" s="11" t="s">
        <v>639</v>
      </c>
      <c r="E438" s="15" t="s">
        <v>11</v>
      </c>
      <c r="F438" s="20" t="str">
        <f t="shared" si="14"/>
        <v/>
      </c>
      <c r="G438" s="23" t="str">
        <f t="shared" si="15"/>
        <v/>
      </c>
    </row>
    <row r="439" spans="1:7" x14ac:dyDescent="0.25">
      <c r="B439" s="15" t="s">
        <v>779</v>
      </c>
      <c r="C439" s="15" t="s">
        <v>1149</v>
      </c>
      <c r="D439" s="11" t="s">
        <v>411</v>
      </c>
      <c r="E439" s="15" t="s">
        <v>3</v>
      </c>
      <c r="F439" s="20" t="str">
        <f t="shared" si="14"/>
        <v/>
      </c>
      <c r="G439" s="23" t="str">
        <f t="shared" si="15"/>
        <v/>
      </c>
    </row>
    <row r="440" spans="1:7" x14ac:dyDescent="0.25">
      <c r="A440" s="15">
        <v>140</v>
      </c>
      <c r="B440" s="15" t="s">
        <v>779</v>
      </c>
      <c r="C440" s="15" t="s">
        <v>1150</v>
      </c>
      <c r="D440" s="11" t="s">
        <v>412</v>
      </c>
      <c r="E440" s="15" t="s">
        <v>4</v>
      </c>
      <c r="F440" s="20" t="str">
        <f t="shared" si="14"/>
        <v/>
      </c>
      <c r="G440" s="23" t="str">
        <f t="shared" si="15"/>
        <v/>
      </c>
    </row>
    <row r="441" spans="1:7" x14ac:dyDescent="0.25">
      <c r="B441" s="15" t="s">
        <v>779</v>
      </c>
      <c r="C441" s="15" t="s">
        <v>1151</v>
      </c>
      <c r="D441" s="11" t="s">
        <v>413</v>
      </c>
      <c r="E441" s="15" t="s">
        <v>5</v>
      </c>
      <c r="F441" s="20" t="str">
        <f t="shared" si="14"/>
        <v/>
      </c>
      <c r="G441" s="23" t="str">
        <f t="shared" si="15"/>
        <v/>
      </c>
    </row>
    <row r="442" spans="1:7" x14ac:dyDescent="0.25">
      <c r="B442" s="15" t="s">
        <v>780</v>
      </c>
      <c r="C442" s="15" t="s">
        <v>1152</v>
      </c>
      <c r="D442" s="11" t="s">
        <v>640</v>
      </c>
      <c r="E442" s="15" t="s">
        <v>3</v>
      </c>
      <c r="F442" s="20" t="str">
        <f t="shared" si="14"/>
        <v/>
      </c>
      <c r="G442" s="23" t="str">
        <f t="shared" si="15"/>
        <v/>
      </c>
    </row>
    <row r="443" spans="1:7" x14ac:dyDescent="0.25">
      <c r="A443" s="15">
        <v>141</v>
      </c>
      <c r="B443" s="15" t="s">
        <v>780</v>
      </c>
      <c r="C443" s="15" t="s">
        <v>1153</v>
      </c>
      <c r="D443" s="11" t="s">
        <v>414</v>
      </c>
      <c r="E443" s="15" t="s">
        <v>4</v>
      </c>
      <c r="F443" s="20" t="str">
        <f t="shared" si="14"/>
        <v/>
      </c>
      <c r="G443" s="23" t="str">
        <f t="shared" si="15"/>
        <v/>
      </c>
    </row>
    <row r="444" spans="1:7" x14ac:dyDescent="0.25">
      <c r="B444" s="15" t="s">
        <v>780</v>
      </c>
      <c r="C444" s="15" t="s">
        <v>1154</v>
      </c>
      <c r="D444" s="11" t="s">
        <v>415</v>
      </c>
      <c r="E444" s="15" t="s">
        <v>5</v>
      </c>
      <c r="F444" s="20" t="str">
        <f t="shared" si="14"/>
        <v/>
      </c>
      <c r="G444" s="23" t="str">
        <f t="shared" si="15"/>
        <v/>
      </c>
    </row>
    <row r="445" spans="1:7" x14ac:dyDescent="0.25">
      <c r="B445" s="15" t="s">
        <v>781</v>
      </c>
      <c r="C445" s="15" t="s">
        <v>1155</v>
      </c>
      <c r="D445" s="11" t="s">
        <v>641</v>
      </c>
      <c r="E445" s="15" t="s">
        <v>3</v>
      </c>
      <c r="F445" s="20" t="str">
        <f t="shared" si="14"/>
        <v/>
      </c>
      <c r="G445" s="23" t="str">
        <f t="shared" si="15"/>
        <v/>
      </c>
    </row>
    <row r="446" spans="1:7" x14ac:dyDescent="0.25">
      <c r="A446" s="15">
        <v>142</v>
      </c>
      <c r="B446" s="15" t="s">
        <v>781</v>
      </c>
      <c r="C446" s="15" t="s">
        <v>1156</v>
      </c>
      <c r="D446" s="11" t="s">
        <v>416</v>
      </c>
      <c r="E446" s="15" t="s">
        <v>4</v>
      </c>
      <c r="F446" s="20" t="str">
        <f t="shared" si="14"/>
        <v/>
      </c>
      <c r="G446" s="23" t="str">
        <f t="shared" si="15"/>
        <v/>
      </c>
    </row>
    <row r="447" spans="1:7" x14ac:dyDescent="0.25">
      <c r="B447" s="15" t="s">
        <v>781</v>
      </c>
      <c r="C447" s="15" t="s">
        <v>1157</v>
      </c>
      <c r="D447" s="11" t="s">
        <v>417</v>
      </c>
      <c r="E447" s="15" t="s">
        <v>5</v>
      </c>
      <c r="F447" s="20" t="str">
        <f t="shared" si="14"/>
        <v/>
      </c>
      <c r="G447" s="23" t="str">
        <f t="shared" si="15"/>
        <v/>
      </c>
    </row>
    <row r="448" spans="1:7" x14ac:dyDescent="0.25">
      <c r="B448" s="15" t="s">
        <v>478</v>
      </c>
      <c r="C448" s="15" t="s">
        <v>1158</v>
      </c>
      <c r="D448" s="11" t="s">
        <v>642</v>
      </c>
      <c r="E448" s="15" t="s">
        <v>11</v>
      </c>
      <c r="F448" s="20" t="str">
        <f t="shared" si="14"/>
        <v/>
      </c>
      <c r="G448" s="23" t="str">
        <f t="shared" si="15"/>
        <v/>
      </c>
    </row>
    <row r="449" spans="1:7" x14ac:dyDescent="0.25">
      <c r="B449" s="15" t="s">
        <v>782</v>
      </c>
      <c r="C449" s="15" t="s">
        <v>1159</v>
      </c>
      <c r="D449" s="11" t="s">
        <v>643</v>
      </c>
      <c r="E449" s="15" t="s">
        <v>3</v>
      </c>
      <c r="F449" s="20" t="str">
        <f t="shared" si="14"/>
        <v/>
      </c>
      <c r="G449" s="23" t="str">
        <f t="shared" si="15"/>
        <v/>
      </c>
    </row>
    <row r="450" spans="1:7" x14ac:dyDescent="0.25">
      <c r="A450" s="15">
        <v>143</v>
      </c>
      <c r="B450" s="15" t="s">
        <v>782</v>
      </c>
      <c r="C450" s="15" t="s">
        <v>1160</v>
      </c>
      <c r="D450" s="11" t="s">
        <v>418</v>
      </c>
      <c r="E450" s="15" t="s">
        <v>4</v>
      </c>
      <c r="F450" s="20" t="str">
        <f t="shared" si="14"/>
        <v/>
      </c>
      <c r="G450" s="23" t="str">
        <f t="shared" si="15"/>
        <v/>
      </c>
    </row>
    <row r="451" spans="1:7" x14ac:dyDescent="0.25">
      <c r="B451" s="15" t="s">
        <v>782</v>
      </c>
      <c r="C451" s="15" t="s">
        <v>1161</v>
      </c>
      <c r="D451" s="11" t="s">
        <v>419</v>
      </c>
      <c r="E451" s="15" t="s">
        <v>5</v>
      </c>
      <c r="F451" s="20" t="str">
        <f t="shared" si="14"/>
        <v/>
      </c>
      <c r="G451" s="23" t="str">
        <f t="shared" si="15"/>
        <v/>
      </c>
    </row>
    <row r="452" spans="1:7" x14ac:dyDescent="0.25">
      <c r="B452" s="15" t="s">
        <v>783</v>
      </c>
      <c r="C452" s="15" t="s">
        <v>1162</v>
      </c>
      <c r="D452" s="11" t="s">
        <v>644</v>
      </c>
      <c r="E452" s="15" t="s">
        <v>3</v>
      </c>
      <c r="F452" s="20" t="str">
        <f t="shared" si="14"/>
        <v/>
      </c>
      <c r="G452" s="23" t="str">
        <f t="shared" si="15"/>
        <v/>
      </c>
    </row>
    <row r="453" spans="1:7" x14ac:dyDescent="0.25">
      <c r="A453" s="15">
        <v>144</v>
      </c>
      <c r="B453" s="15" t="s">
        <v>783</v>
      </c>
      <c r="C453" s="15" t="s">
        <v>1163</v>
      </c>
      <c r="D453" s="11" t="s">
        <v>420</v>
      </c>
      <c r="E453" s="15" t="s">
        <v>4</v>
      </c>
      <c r="F453" s="20" t="str">
        <f t="shared" si="14"/>
        <v/>
      </c>
      <c r="G453" s="23" t="str">
        <f t="shared" si="15"/>
        <v/>
      </c>
    </row>
    <row r="454" spans="1:7" x14ac:dyDescent="0.25">
      <c r="B454" s="15" t="s">
        <v>783</v>
      </c>
      <c r="C454" s="15" t="s">
        <v>1164</v>
      </c>
      <c r="D454" s="11" t="s">
        <v>421</v>
      </c>
      <c r="E454" s="15" t="s">
        <v>5</v>
      </c>
      <c r="F454" s="20" t="str">
        <f t="shared" si="14"/>
        <v/>
      </c>
      <c r="G454" s="23" t="str">
        <f t="shared" si="15"/>
        <v/>
      </c>
    </row>
    <row r="455" spans="1:7" x14ac:dyDescent="0.25">
      <c r="B455" s="15" t="s">
        <v>784</v>
      </c>
      <c r="C455" s="15" t="s">
        <v>1165</v>
      </c>
      <c r="D455" s="11" t="s">
        <v>645</v>
      </c>
      <c r="E455" s="15" t="s">
        <v>3</v>
      </c>
      <c r="F455" s="20" t="str">
        <f t="shared" ref="F455:F515" si="16">IF(G455="","","https://docs.google.com/uc?export=download&amp;id="&amp;G455)</f>
        <v/>
      </c>
      <c r="G455" s="23" t="str">
        <f t="shared" si="15"/>
        <v/>
      </c>
    </row>
    <row r="456" spans="1:7" x14ac:dyDescent="0.25">
      <c r="A456" s="15">
        <v>145</v>
      </c>
      <c r="B456" s="15" t="s">
        <v>784</v>
      </c>
      <c r="C456" s="15" t="s">
        <v>1166</v>
      </c>
      <c r="D456" s="11" t="s">
        <v>422</v>
      </c>
      <c r="E456" s="15" t="s">
        <v>4</v>
      </c>
      <c r="F456" s="20" t="str">
        <f t="shared" si="16"/>
        <v/>
      </c>
      <c r="G456" s="23" t="str">
        <f t="shared" ref="G456:G515" si="17">IFERROR(LEFT(RIGHT(H456,LEN(H456)-32),LEN(RIGHT(H456,LEN(H456)-32))-17),"")</f>
        <v/>
      </c>
    </row>
    <row r="457" spans="1:7" x14ac:dyDescent="0.25">
      <c r="B457" s="15" t="s">
        <v>784</v>
      </c>
      <c r="C457" s="15" t="s">
        <v>1167</v>
      </c>
      <c r="D457" s="11" t="s">
        <v>423</v>
      </c>
      <c r="E457" s="15" t="s">
        <v>5</v>
      </c>
      <c r="F457" s="20" t="str">
        <f t="shared" si="16"/>
        <v/>
      </c>
      <c r="G457" s="23" t="str">
        <f t="shared" si="17"/>
        <v/>
      </c>
    </row>
    <row r="458" spans="1:7" x14ac:dyDescent="0.25">
      <c r="B458" s="15" t="s">
        <v>479</v>
      </c>
      <c r="C458" s="15" t="s">
        <v>1168</v>
      </c>
      <c r="D458" s="11" t="s">
        <v>646</v>
      </c>
      <c r="E458" s="15" t="s">
        <v>11</v>
      </c>
      <c r="F458" s="20" t="str">
        <f t="shared" si="16"/>
        <v/>
      </c>
      <c r="G458" s="23" t="str">
        <f t="shared" si="17"/>
        <v/>
      </c>
    </row>
    <row r="459" spans="1:7" x14ac:dyDescent="0.25">
      <c r="B459" s="15" t="s">
        <v>785</v>
      </c>
      <c r="C459" s="15" t="s">
        <v>1169</v>
      </c>
      <c r="D459" s="11" t="s">
        <v>647</v>
      </c>
      <c r="E459" s="15" t="s">
        <v>3</v>
      </c>
      <c r="F459" s="20" t="str">
        <f t="shared" si="16"/>
        <v/>
      </c>
      <c r="G459" s="23" t="str">
        <f t="shared" si="17"/>
        <v/>
      </c>
    </row>
    <row r="460" spans="1:7" x14ac:dyDescent="0.25">
      <c r="A460" s="15">
        <v>146</v>
      </c>
      <c r="B460" s="15" t="s">
        <v>785</v>
      </c>
      <c r="C460" s="15" t="s">
        <v>1170</v>
      </c>
      <c r="D460" s="11" t="s">
        <v>424</v>
      </c>
      <c r="E460" s="15" t="s">
        <v>4</v>
      </c>
      <c r="F460" s="20" t="str">
        <f t="shared" si="16"/>
        <v/>
      </c>
      <c r="G460" s="23" t="str">
        <f t="shared" si="17"/>
        <v/>
      </c>
    </row>
    <row r="461" spans="1:7" x14ac:dyDescent="0.25">
      <c r="B461" s="15" t="s">
        <v>785</v>
      </c>
      <c r="C461" s="15" t="s">
        <v>1171</v>
      </c>
      <c r="D461" s="11" t="s">
        <v>425</v>
      </c>
      <c r="E461" s="15" t="s">
        <v>5</v>
      </c>
      <c r="F461" s="20" t="str">
        <f t="shared" si="16"/>
        <v/>
      </c>
      <c r="G461" s="23" t="str">
        <f t="shared" si="17"/>
        <v/>
      </c>
    </row>
    <row r="462" spans="1:7" x14ac:dyDescent="0.25">
      <c r="B462" s="15" t="s">
        <v>786</v>
      </c>
      <c r="C462" s="15" t="s">
        <v>1172</v>
      </c>
      <c r="D462" s="11" t="s">
        <v>648</v>
      </c>
      <c r="E462" s="15" t="s">
        <v>3</v>
      </c>
      <c r="F462" s="20" t="str">
        <f t="shared" si="16"/>
        <v/>
      </c>
      <c r="G462" s="23" t="str">
        <f t="shared" si="17"/>
        <v/>
      </c>
    </row>
    <row r="463" spans="1:7" x14ac:dyDescent="0.25">
      <c r="A463" s="15">
        <v>147</v>
      </c>
      <c r="B463" s="15" t="s">
        <v>786</v>
      </c>
      <c r="C463" s="15" t="s">
        <v>1173</v>
      </c>
      <c r="D463" s="11" t="s">
        <v>426</v>
      </c>
      <c r="E463" s="15" t="s">
        <v>4</v>
      </c>
      <c r="F463" s="20" t="str">
        <f t="shared" si="16"/>
        <v/>
      </c>
      <c r="G463" s="23" t="str">
        <f t="shared" si="17"/>
        <v/>
      </c>
    </row>
    <row r="464" spans="1:7" x14ac:dyDescent="0.25">
      <c r="B464" s="15" t="s">
        <v>786</v>
      </c>
      <c r="C464" s="15" t="s">
        <v>1174</v>
      </c>
      <c r="D464" s="11" t="s">
        <v>427</v>
      </c>
      <c r="E464" s="15" t="s">
        <v>5</v>
      </c>
      <c r="F464" s="20" t="str">
        <f t="shared" si="16"/>
        <v/>
      </c>
      <c r="G464" s="23" t="str">
        <f t="shared" si="17"/>
        <v/>
      </c>
    </row>
    <row r="465" spans="1:7" x14ac:dyDescent="0.25">
      <c r="B465" s="15" t="s">
        <v>787</v>
      </c>
      <c r="C465" s="15" t="s">
        <v>1175</v>
      </c>
      <c r="D465" s="11" t="s">
        <v>649</v>
      </c>
      <c r="E465" s="15" t="s">
        <v>3</v>
      </c>
      <c r="F465" s="20" t="str">
        <f t="shared" si="16"/>
        <v/>
      </c>
      <c r="G465" s="23" t="str">
        <f t="shared" si="17"/>
        <v/>
      </c>
    </row>
    <row r="466" spans="1:7" x14ac:dyDescent="0.25">
      <c r="A466" s="15">
        <v>148</v>
      </c>
      <c r="B466" s="15" t="s">
        <v>787</v>
      </c>
      <c r="C466" s="15" t="s">
        <v>1176</v>
      </c>
      <c r="D466" s="11" t="s">
        <v>428</v>
      </c>
      <c r="E466" s="15" t="s">
        <v>4</v>
      </c>
      <c r="F466" s="20" t="str">
        <f t="shared" si="16"/>
        <v/>
      </c>
      <c r="G466" s="23" t="str">
        <f t="shared" si="17"/>
        <v/>
      </c>
    </row>
    <row r="467" spans="1:7" x14ac:dyDescent="0.25">
      <c r="B467" s="15" t="s">
        <v>787</v>
      </c>
      <c r="C467" s="15" t="s">
        <v>1177</v>
      </c>
      <c r="D467" s="11" t="s">
        <v>429</v>
      </c>
      <c r="E467" s="15" t="s">
        <v>5</v>
      </c>
      <c r="F467" s="20" t="str">
        <f t="shared" si="16"/>
        <v/>
      </c>
      <c r="G467" s="23" t="str">
        <f t="shared" si="17"/>
        <v/>
      </c>
    </row>
    <row r="468" spans="1:7" x14ac:dyDescent="0.25">
      <c r="B468" s="15" t="s">
        <v>480</v>
      </c>
      <c r="C468" s="15" t="s">
        <v>1178</v>
      </c>
      <c r="D468" s="11" t="s">
        <v>650</v>
      </c>
      <c r="E468" s="15" t="s">
        <v>11</v>
      </c>
      <c r="F468" s="20" t="str">
        <f t="shared" si="16"/>
        <v/>
      </c>
      <c r="G468" s="23" t="str">
        <f t="shared" si="17"/>
        <v/>
      </c>
    </row>
    <row r="469" spans="1:7" x14ac:dyDescent="0.25">
      <c r="B469" s="15" t="s">
        <v>788</v>
      </c>
      <c r="C469" s="15" t="s">
        <v>1179</v>
      </c>
      <c r="D469" s="11" t="s">
        <v>651</v>
      </c>
      <c r="E469" s="15" t="s">
        <v>3</v>
      </c>
      <c r="F469" s="20" t="str">
        <f t="shared" si="16"/>
        <v/>
      </c>
      <c r="G469" s="23" t="str">
        <f t="shared" si="17"/>
        <v/>
      </c>
    </row>
    <row r="470" spans="1:7" x14ac:dyDescent="0.25">
      <c r="A470" s="15">
        <v>149</v>
      </c>
      <c r="B470" s="15" t="s">
        <v>788</v>
      </c>
      <c r="C470" s="15" t="s">
        <v>1180</v>
      </c>
      <c r="D470" s="11" t="s">
        <v>430</v>
      </c>
      <c r="E470" s="15" t="s">
        <v>4</v>
      </c>
      <c r="F470" s="20" t="str">
        <f t="shared" si="16"/>
        <v/>
      </c>
      <c r="G470" s="23" t="str">
        <f t="shared" si="17"/>
        <v/>
      </c>
    </row>
    <row r="471" spans="1:7" x14ac:dyDescent="0.25">
      <c r="B471" s="15" t="s">
        <v>788</v>
      </c>
      <c r="C471" s="15" t="s">
        <v>1181</v>
      </c>
      <c r="D471" s="11" t="s">
        <v>431</v>
      </c>
      <c r="E471" s="15" t="s">
        <v>5</v>
      </c>
      <c r="F471" s="20" t="str">
        <f t="shared" si="16"/>
        <v/>
      </c>
      <c r="G471" s="23" t="str">
        <f t="shared" si="17"/>
        <v/>
      </c>
    </row>
    <row r="472" spans="1:7" x14ac:dyDescent="0.25">
      <c r="B472" s="15" t="s">
        <v>789</v>
      </c>
      <c r="C472" s="15" t="s">
        <v>1182</v>
      </c>
      <c r="D472" s="11" t="s">
        <v>652</v>
      </c>
      <c r="E472" s="15" t="s">
        <v>3</v>
      </c>
      <c r="F472" s="20" t="str">
        <f t="shared" si="16"/>
        <v/>
      </c>
      <c r="G472" s="23" t="str">
        <f t="shared" si="17"/>
        <v/>
      </c>
    </row>
    <row r="473" spans="1:7" x14ac:dyDescent="0.25">
      <c r="A473" s="15">
        <v>150</v>
      </c>
      <c r="B473" s="15" t="s">
        <v>789</v>
      </c>
      <c r="C473" s="15" t="s">
        <v>1183</v>
      </c>
      <c r="D473" s="11" t="s">
        <v>432</v>
      </c>
      <c r="E473" s="15" t="s">
        <v>4</v>
      </c>
      <c r="F473" s="20" t="str">
        <f t="shared" si="16"/>
        <v/>
      </c>
      <c r="G473" s="23" t="str">
        <f t="shared" si="17"/>
        <v/>
      </c>
    </row>
    <row r="474" spans="1:7" x14ac:dyDescent="0.25">
      <c r="B474" s="15" t="s">
        <v>789</v>
      </c>
      <c r="C474" s="15" t="s">
        <v>1184</v>
      </c>
      <c r="D474" s="11" t="s">
        <v>433</v>
      </c>
      <c r="E474" s="15" t="s">
        <v>5</v>
      </c>
      <c r="F474" s="20" t="str">
        <f t="shared" si="16"/>
        <v/>
      </c>
      <c r="G474" s="23" t="str">
        <f t="shared" si="17"/>
        <v/>
      </c>
    </row>
    <row r="475" spans="1:7" x14ac:dyDescent="0.25">
      <c r="B475" s="15" t="s">
        <v>790</v>
      </c>
      <c r="C475" s="15" t="s">
        <v>1185</v>
      </c>
      <c r="D475" s="11" t="s">
        <v>653</v>
      </c>
      <c r="E475" s="15" t="s">
        <v>3</v>
      </c>
      <c r="F475" s="20" t="str">
        <f t="shared" si="16"/>
        <v/>
      </c>
      <c r="G475" s="23" t="str">
        <f t="shared" si="17"/>
        <v/>
      </c>
    </row>
    <row r="476" spans="1:7" x14ac:dyDescent="0.25">
      <c r="A476" s="15">
        <v>151</v>
      </c>
      <c r="B476" s="15" t="s">
        <v>790</v>
      </c>
      <c r="C476" s="15" t="s">
        <v>1186</v>
      </c>
      <c r="D476" s="11" t="s">
        <v>434</v>
      </c>
      <c r="E476" s="15" t="s">
        <v>4</v>
      </c>
      <c r="F476" s="20" t="str">
        <f t="shared" si="16"/>
        <v/>
      </c>
      <c r="G476" s="23" t="str">
        <f t="shared" si="17"/>
        <v/>
      </c>
    </row>
    <row r="477" spans="1:7" x14ac:dyDescent="0.25">
      <c r="B477" s="15" t="s">
        <v>790</v>
      </c>
      <c r="C477" s="15" t="s">
        <v>1187</v>
      </c>
      <c r="D477" s="11" t="s">
        <v>435</v>
      </c>
      <c r="E477" s="15" t="s">
        <v>5</v>
      </c>
      <c r="F477" s="20" t="str">
        <f t="shared" si="16"/>
        <v/>
      </c>
      <c r="G477" s="23" t="str">
        <f t="shared" si="17"/>
        <v/>
      </c>
    </row>
    <row r="478" spans="1:7" x14ac:dyDescent="0.25">
      <c r="B478" s="15" t="s">
        <v>791</v>
      </c>
      <c r="C478" s="15" t="s">
        <v>1188</v>
      </c>
      <c r="D478" s="11" t="s">
        <v>654</v>
      </c>
      <c r="E478" s="15" t="s">
        <v>3</v>
      </c>
      <c r="F478" s="20" t="str">
        <f t="shared" si="16"/>
        <v/>
      </c>
      <c r="G478" s="23" t="str">
        <f t="shared" si="17"/>
        <v/>
      </c>
    </row>
    <row r="479" spans="1:7" x14ac:dyDescent="0.25">
      <c r="A479" s="15">
        <v>152</v>
      </c>
      <c r="B479" s="15" t="s">
        <v>791</v>
      </c>
      <c r="C479" s="15" t="s">
        <v>1189</v>
      </c>
      <c r="D479" s="11" t="s">
        <v>436</v>
      </c>
      <c r="E479" s="15" t="s">
        <v>4</v>
      </c>
      <c r="F479" s="20" t="str">
        <f t="shared" si="16"/>
        <v/>
      </c>
      <c r="G479" s="23" t="str">
        <f t="shared" si="17"/>
        <v/>
      </c>
    </row>
    <row r="480" spans="1:7" x14ac:dyDescent="0.25">
      <c r="B480" s="15" t="s">
        <v>791</v>
      </c>
      <c r="C480" s="15" t="s">
        <v>1190</v>
      </c>
      <c r="D480" s="11" t="s">
        <v>437</v>
      </c>
      <c r="E480" s="15" t="s">
        <v>5</v>
      </c>
      <c r="F480" s="20" t="str">
        <f t="shared" si="16"/>
        <v/>
      </c>
      <c r="G480" s="23" t="str">
        <f t="shared" si="17"/>
        <v/>
      </c>
    </row>
    <row r="481" spans="1:7" x14ac:dyDescent="0.25">
      <c r="B481" s="15" t="s">
        <v>792</v>
      </c>
      <c r="C481" s="15" t="s">
        <v>1191</v>
      </c>
      <c r="D481" s="11" t="s">
        <v>655</v>
      </c>
      <c r="E481" s="15" t="s">
        <v>3</v>
      </c>
      <c r="F481" s="20" t="str">
        <f t="shared" si="16"/>
        <v/>
      </c>
      <c r="G481" s="23" t="str">
        <f t="shared" si="17"/>
        <v/>
      </c>
    </row>
    <row r="482" spans="1:7" x14ac:dyDescent="0.25">
      <c r="A482" s="15">
        <v>153</v>
      </c>
      <c r="B482" s="15" t="s">
        <v>792</v>
      </c>
      <c r="C482" s="15" t="s">
        <v>1192</v>
      </c>
      <c r="D482" s="11" t="s">
        <v>438</v>
      </c>
      <c r="E482" s="15" t="s">
        <v>4</v>
      </c>
      <c r="F482" s="20" t="str">
        <f t="shared" si="16"/>
        <v/>
      </c>
      <c r="G482" s="23" t="str">
        <f t="shared" si="17"/>
        <v/>
      </c>
    </row>
    <row r="483" spans="1:7" x14ac:dyDescent="0.25">
      <c r="B483" s="15" t="s">
        <v>792</v>
      </c>
      <c r="C483" s="15" t="s">
        <v>1193</v>
      </c>
      <c r="D483" s="11" t="s">
        <v>439</v>
      </c>
      <c r="E483" s="15" t="s">
        <v>5</v>
      </c>
      <c r="F483" s="20" t="str">
        <f t="shared" si="16"/>
        <v/>
      </c>
      <c r="G483" s="23" t="str">
        <f t="shared" si="17"/>
        <v/>
      </c>
    </row>
    <row r="484" spans="1:7" x14ac:dyDescent="0.25">
      <c r="B484" s="15" t="s">
        <v>481</v>
      </c>
      <c r="C484" s="15" t="s">
        <v>1194</v>
      </c>
      <c r="D484" s="11" t="s">
        <v>656</v>
      </c>
      <c r="E484" s="15" t="s">
        <v>11</v>
      </c>
      <c r="F484" s="20" t="str">
        <f t="shared" si="16"/>
        <v/>
      </c>
      <c r="G484" s="23" t="str">
        <f t="shared" si="17"/>
        <v/>
      </c>
    </row>
    <row r="485" spans="1:7" x14ac:dyDescent="0.25">
      <c r="B485" s="15" t="s">
        <v>793</v>
      </c>
      <c r="C485" s="15" t="s">
        <v>1195</v>
      </c>
      <c r="D485" s="11" t="s">
        <v>657</v>
      </c>
      <c r="E485" s="15" t="s">
        <v>3</v>
      </c>
      <c r="F485" s="20" t="str">
        <f t="shared" si="16"/>
        <v/>
      </c>
      <c r="G485" s="23" t="str">
        <f t="shared" si="17"/>
        <v/>
      </c>
    </row>
    <row r="486" spans="1:7" x14ac:dyDescent="0.25">
      <c r="A486" s="15">
        <v>154</v>
      </c>
      <c r="B486" s="15" t="s">
        <v>793</v>
      </c>
      <c r="C486" s="15" t="s">
        <v>1196</v>
      </c>
      <c r="D486" s="11" t="s">
        <v>440</v>
      </c>
      <c r="E486" s="15" t="s">
        <v>4</v>
      </c>
      <c r="F486" s="20" t="str">
        <f t="shared" si="16"/>
        <v/>
      </c>
      <c r="G486" s="23" t="str">
        <f t="shared" si="17"/>
        <v/>
      </c>
    </row>
    <row r="487" spans="1:7" x14ac:dyDescent="0.25">
      <c r="B487" s="15" t="s">
        <v>793</v>
      </c>
      <c r="C487" s="15" t="s">
        <v>1197</v>
      </c>
      <c r="D487" s="11" t="s">
        <v>441</v>
      </c>
      <c r="E487" s="15" t="s">
        <v>5</v>
      </c>
      <c r="F487" s="20" t="str">
        <f t="shared" si="16"/>
        <v/>
      </c>
      <c r="G487" s="23" t="str">
        <f t="shared" si="17"/>
        <v/>
      </c>
    </row>
    <row r="488" spans="1:7" x14ac:dyDescent="0.25">
      <c r="B488" s="15" t="s">
        <v>794</v>
      </c>
      <c r="C488" s="15" t="s">
        <v>1198</v>
      </c>
      <c r="D488" s="11" t="s">
        <v>658</v>
      </c>
      <c r="E488" s="15" t="s">
        <v>3</v>
      </c>
      <c r="F488" s="20" t="str">
        <f t="shared" si="16"/>
        <v/>
      </c>
      <c r="G488" s="23" t="str">
        <f t="shared" si="17"/>
        <v/>
      </c>
    </row>
    <row r="489" spans="1:7" x14ac:dyDescent="0.25">
      <c r="A489" s="15">
        <v>155</v>
      </c>
      <c r="B489" s="15" t="s">
        <v>794</v>
      </c>
      <c r="C489" s="15" t="s">
        <v>1199</v>
      </c>
      <c r="D489" s="11" t="s">
        <v>442</v>
      </c>
      <c r="E489" s="15" t="s">
        <v>4</v>
      </c>
      <c r="F489" s="20" t="str">
        <f t="shared" si="16"/>
        <v/>
      </c>
      <c r="G489" s="23" t="str">
        <f t="shared" si="17"/>
        <v/>
      </c>
    </row>
    <row r="490" spans="1:7" x14ac:dyDescent="0.25">
      <c r="B490" s="15" t="s">
        <v>794</v>
      </c>
      <c r="C490" s="15" t="s">
        <v>1200</v>
      </c>
      <c r="D490" s="11" t="s">
        <v>443</v>
      </c>
      <c r="E490" s="15" t="s">
        <v>5</v>
      </c>
      <c r="F490" s="20" t="str">
        <f t="shared" si="16"/>
        <v/>
      </c>
      <c r="G490" s="23" t="str">
        <f t="shared" si="17"/>
        <v/>
      </c>
    </row>
    <row r="491" spans="1:7" x14ac:dyDescent="0.25">
      <c r="B491" s="15" t="s">
        <v>795</v>
      </c>
      <c r="C491" s="15" t="s">
        <v>1201</v>
      </c>
      <c r="D491" s="11" t="s">
        <v>659</v>
      </c>
      <c r="E491" s="15" t="s">
        <v>3</v>
      </c>
      <c r="F491" s="20" t="str">
        <f t="shared" si="16"/>
        <v/>
      </c>
      <c r="G491" s="23" t="str">
        <f t="shared" si="17"/>
        <v/>
      </c>
    </row>
    <row r="492" spans="1:7" x14ac:dyDescent="0.25">
      <c r="A492" s="15">
        <v>156</v>
      </c>
      <c r="B492" s="15" t="s">
        <v>795</v>
      </c>
      <c r="C492" s="15" t="s">
        <v>1202</v>
      </c>
      <c r="D492" s="11" t="s">
        <v>444</v>
      </c>
      <c r="E492" s="15" t="s">
        <v>4</v>
      </c>
      <c r="F492" s="20" t="str">
        <f t="shared" si="16"/>
        <v/>
      </c>
      <c r="G492" s="23" t="str">
        <f t="shared" si="17"/>
        <v/>
      </c>
    </row>
    <row r="493" spans="1:7" x14ac:dyDescent="0.25">
      <c r="B493" s="15" t="s">
        <v>795</v>
      </c>
      <c r="C493" s="15" t="s">
        <v>1203</v>
      </c>
      <c r="D493" s="11" t="s">
        <v>445</v>
      </c>
      <c r="E493" s="15" t="s">
        <v>5</v>
      </c>
      <c r="F493" s="20" t="str">
        <f t="shared" si="16"/>
        <v/>
      </c>
      <c r="G493" s="23" t="str">
        <f t="shared" si="17"/>
        <v/>
      </c>
    </row>
    <row r="494" spans="1:7" x14ac:dyDescent="0.25">
      <c r="B494" s="15" t="s">
        <v>796</v>
      </c>
      <c r="C494" s="15" t="s">
        <v>1204</v>
      </c>
      <c r="D494" s="11" t="s">
        <v>660</v>
      </c>
      <c r="E494" s="15" t="s">
        <v>3</v>
      </c>
      <c r="F494" s="20" t="str">
        <f t="shared" si="16"/>
        <v/>
      </c>
      <c r="G494" s="23" t="str">
        <f t="shared" si="17"/>
        <v/>
      </c>
    </row>
    <row r="495" spans="1:7" x14ac:dyDescent="0.25">
      <c r="A495" s="15">
        <v>157</v>
      </c>
      <c r="B495" s="15" t="s">
        <v>796</v>
      </c>
      <c r="C495" s="15" t="s">
        <v>1205</v>
      </c>
      <c r="D495" s="11" t="s">
        <v>446</v>
      </c>
      <c r="E495" s="15" t="s">
        <v>4</v>
      </c>
      <c r="F495" s="20" t="str">
        <f t="shared" si="16"/>
        <v/>
      </c>
      <c r="G495" s="23" t="str">
        <f t="shared" si="17"/>
        <v/>
      </c>
    </row>
    <row r="496" spans="1:7" x14ac:dyDescent="0.25">
      <c r="B496" s="15" t="s">
        <v>796</v>
      </c>
      <c r="C496" s="15" t="s">
        <v>1206</v>
      </c>
      <c r="D496" s="11" t="s">
        <v>447</v>
      </c>
      <c r="E496" s="15" t="s">
        <v>5</v>
      </c>
      <c r="F496" s="20" t="str">
        <f t="shared" si="16"/>
        <v/>
      </c>
      <c r="G496" s="23" t="str">
        <f t="shared" si="17"/>
        <v/>
      </c>
    </row>
    <row r="497" spans="1:7" x14ac:dyDescent="0.25">
      <c r="B497" s="15" t="s">
        <v>797</v>
      </c>
      <c r="C497" s="15" t="s">
        <v>1207</v>
      </c>
      <c r="D497" s="11" t="s">
        <v>661</v>
      </c>
      <c r="E497" s="15" t="s">
        <v>3</v>
      </c>
      <c r="F497" s="20" t="str">
        <f t="shared" si="16"/>
        <v/>
      </c>
      <c r="G497" s="23" t="str">
        <f t="shared" si="17"/>
        <v/>
      </c>
    </row>
    <row r="498" spans="1:7" x14ac:dyDescent="0.25">
      <c r="A498" s="15">
        <v>158</v>
      </c>
      <c r="B498" s="15" t="s">
        <v>797</v>
      </c>
      <c r="C498" s="15" t="s">
        <v>1208</v>
      </c>
      <c r="D498" s="11" t="s">
        <v>448</v>
      </c>
      <c r="E498" s="15" t="s">
        <v>4</v>
      </c>
      <c r="F498" s="20" t="str">
        <f t="shared" si="16"/>
        <v/>
      </c>
      <c r="G498" s="23" t="str">
        <f t="shared" si="17"/>
        <v/>
      </c>
    </row>
    <row r="499" spans="1:7" x14ac:dyDescent="0.25">
      <c r="B499" s="15" t="s">
        <v>797</v>
      </c>
      <c r="C499" s="15" t="s">
        <v>1209</v>
      </c>
      <c r="D499" s="11" t="s">
        <v>449</v>
      </c>
      <c r="E499" s="15" t="s">
        <v>5</v>
      </c>
      <c r="F499" s="20" t="str">
        <f t="shared" si="16"/>
        <v/>
      </c>
      <c r="G499" s="23" t="str">
        <f t="shared" si="17"/>
        <v/>
      </c>
    </row>
    <row r="500" spans="1:7" x14ac:dyDescent="0.25">
      <c r="B500" s="15" t="s">
        <v>482</v>
      </c>
      <c r="C500" s="15" t="s">
        <v>1210</v>
      </c>
      <c r="D500" s="11" t="s">
        <v>662</v>
      </c>
      <c r="E500" s="15" t="s">
        <v>11</v>
      </c>
      <c r="F500" s="20" t="str">
        <f t="shared" si="16"/>
        <v/>
      </c>
      <c r="G500" s="23" t="str">
        <f t="shared" si="17"/>
        <v/>
      </c>
    </row>
    <row r="501" spans="1:7" x14ac:dyDescent="0.25">
      <c r="B501" s="15" t="s">
        <v>798</v>
      </c>
      <c r="C501" s="15" t="s">
        <v>1211</v>
      </c>
      <c r="D501" s="11" t="s">
        <v>663</v>
      </c>
      <c r="E501" s="15" t="s">
        <v>3</v>
      </c>
      <c r="F501" s="20" t="str">
        <f t="shared" si="16"/>
        <v/>
      </c>
      <c r="G501" s="23" t="str">
        <f t="shared" si="17"/>
        <v/>
      </c>
    </row>
    <row r="502" spans="1:7" x14ac:dyDescent="0.25">
      <c r="A502" s="15">
        <v>159</v>
      </c>
      <c r="B502" s="15" t="s">
        <v>798</v>
      </c>
      <c r="C502" s="15" t="s">
        <v>1212</v>
      </c>
      <c r="D502" s="11" t="s">
        <v>450</v>
      </c>
      <c r="E502" s="15" t="s">
        <v>4</v>
      </c>
      <c r="F502" s="20" t="str">
        <f t="shared" si="16"/>
        <v/>
      </c>
      <c r="G502" s="23" t="str">
        <f t="shared" si="17"/>
        <v/>
      </c>
    </row>
    <row r="503" spans="1:7" x14ac:dyDescent="0.25">
      <c r="B503" s="15" t="s">
        <v>798</v>
      </c>
      <c r="C503" s="15" t="s">
        <v>1213</v>
      </c>
      <c r="D503" s="11" t="s">
        <v>451</v>
      </c>
      <c r="E503" s="15" t="s">
        <v>5</v>
      </c>
      <c r="F503" s="20" t="str">
        <f t="shared" si="16"/>
        <v/>
      </c>
      <c r="G503" s="23" t="str">
        <f t="shared" si="17"/>
        <v/>
      </c>
    </row>
    <row r="504" spans="1:7" x14ac:dyDescent="0.25">
      <c r="B504" s="15" t="s">
        <v>799</v>
      </c>
      <c r="C504" s="15" t="s">
        <v>1214</v>
      </c>
      <c r="D504" s="11" t="s">
        <v>664</v>
      </c>
      <c r="E504" s="15" t="s">
        <v>3</v>
      </c>
      <c r="F504" s="20" t="str">
        <f t="shared" si="16"/>
        <v/>
      </c>
      <c r="G504" s="23" t="str">
        <f t="shared" si="17"/>
        <v/>
      </c>
    </row>
    <row r="505" spans="1:7" x14ac:dyDescent="0.25">
      <c r="A505" s="15">
        <v>160</v>
      </c>
      <c r="B505" s="15" t="s">
        <v>799</v>
      </c>
      <c r="C505" s="15" t="s">
        <v>1215</v>
      </c>
      <c r="D505" s="11" t="s">
        <v>452</v>
      </c>
      <c r="E505" s="15" t="s">
        <v>4</v>
      </c>
      <c r="F505" s="20" t="str">
        <f t="shared" si="16"/>
        <v/>
      </c>
      <c r="G505" s="23" t="str">
        <f t="shared" si="17"/>
        <v/>
      </c>
    </row>
    <row r="506" spans="1:7" x14ac:dyDescent="0.25">
      <c r="B506" s="15" t="s">
        <v>799</v>
      </c>
      <c r="C506" s="15" t="s">
        <v>1216</v>
      </c>
      <c r="D506" s="11" t="s">
        <v>453</v>
      </c>
      <c r="E506" s="15" t="s">
        <v>5</v>
      </c>
      <c r="F506" s="20" t="str">
        <f t="shared" si="16"/>
        <v/>
      </c>
      <c r="G506" s="23" t="str">
        <f t="shared" si="17"/>
        <v/>
      </c>
    </row>
    <row r="507" spans="1:7" x14ac:dyDescent="0.25">
      <c r="B507" s="15" t="s">
        <v>800</v>
      </c>
      <c r="C507" s="15" t="s">
        <v>1217</v>
      </c>
      <c r="D507" s="11" t="s">
        <v>665</v>
      </c>
      <c r="E507" s="15" t="s">
        <v>3</v>
      </c>
      <c r="F507" s="20" t="str">
        <f t="shared" si="16"/>
        <v/>
      </c>
      <c r="G507" s="23" t="str">
        <f t="shared" si="17"/>
        <v/>
      </c>
    </row>
    <row r="508" spans="1:7" x14ac:dyDescent="0.25">
      <c r="A508" s="15">
        <v>161</v>
      </c>
      <c r="B508" s="15" t="s">
        <v>800</v>
      </c>
      <c r="C508" s="15" t="s">
        <v>1218</v>
      </c>
      <c r="D508" s="11" t="s">
        <v>454</v>
      </c>
      <c r="E508" s="15" t="s">
        <v>4</v>
      </c>
      <c r="F508" s="20" t="str">
        <f t="shared" si="16"/>
        <v/>
      </c>
      <c r="G508" s="23" t="str">
        <f t="shared" si="17"/>
        <v/>
      </c>
    </row>
    <row r="509" spans="1:7" x14ac:dyDescent="0.25">
      <c r="B509" s="15" t="s">
        <v>800</v>
      </c>
      <c r="C509" s="15" t="s">
        <v>1219</v>
      </c>
      <c r="D509" s="11" t="s">
        <v>455</v>
      </c>
      <c r="E509" s="15" t="s">
        <v>5</v>
      </c>
      <c r="F509" s="20" t="str">
        <f t="shared" si="16"/>
        <v/>
      </c>
      <c r="G509" s="23" t="str">
        <f t="shared" si="17"/>
        <v/>
      </c>
    </row>
    <row r="510" spans="1:7" x14ac:dyDescent="0.25">
      <c r="B510" s="15" t="s">
        <v>801</v>
      </c>
      <c r="C510" s="15" t="s">
        <v>1220</v>
      </c>
      <c r="D510" s="11" t="s">
        <v>666</v>
      </c>
      <c r="E510" s="15" t="s">
        <v>3</v>
      </c>
      <c r="F510" s="20" t="str">
        <f t="shared" si="16"/>
        <v/>
      </c>
      <c r="G510" s="23" t="str">
        <f t="shared" si="17"/>
        <v/>
      </c>
    </row>
    <row r="511" spans="1:7" x14ac:dyDescent="0.25">
      <c r="A511" s="15">
        <v>162</v>
      </c>
      <c r="B511" s="15" t="s">
        <v>801</v>
      </c>
      <c r="C511" s="15" t="s">
        <v>1221</v>
      </c>
      <c r="D511" s="11" t="s">
        <v>456</v>
      </c>
      <c r="E511" s="15" t="s">
        <v>4</v>
      </c>
      <c r="F511" s="20" t="str">
        <f t="shared" si="16"/>
        <v/>
      </c>
      <c r="G511" s="23" t="str">
        <f t="shared" si="17"/>
        <v/>
      </c>
    </row>
    <row r="512" spans="1:7" x14ac:dyDescent="0.25">
      <c r="B512" s="15" t="s">
        <v>801</v>
      </c>
      <c r="C512" s="15" t="s">
        <v>1222</v>
      </c>
      <c r="D512" s="11" t="s">
        <v>457</v>
      </c>
      <c r="E512" s="15" t="s">
        <v>5</v>
      </c>
      <c r="F512" s="20" t="str">
        <f t="shared" si="16"/>
        <v/>
      </c>
      <c r="G512" s="23" t="str">
        <f t="shared" si="17"/>
        <v/>
      </c>
    </row>
    <row r="513" spans="1:7" x14ac:dyDescent="0.25">
      <c r="B513" s="15" t="s">
        <v>802</v>
      </c>
      <c r="C513" s="15" t="s">
        <v>1223</v>
      </c>
      <c r="D513" s="11" t="s">
        <v>667</v>
      </c>
      <c r="E513" s="15" t="s">
        <v>3</v>
      </c>
      <c r="F513" s="20" t="str">
        <f t="shared" si="16"/>
        <v/>
      </c>
      <c r="G513" s="23" t="str">
        <f t="shared" si="17"/>
        <v/>
      </c>
    </row>
    <row r="514" spans="1:7" x14ac:dyDescent="0.25">
      <c r="A514" s="15">
        <v>163</v>
      </c>
      <c r="B514" s="15" t="s">
        <v>802</v>
      </c>
      <c r="C514" s="15" t="s">
        <v>1224</v>
      </c>
      <c r="D514" s="11" t="s">
        <v>458</v>
      </c>
      <c r="E514" s="15" t="s">
        <v>4</v>
      </c>
      <c r="F514" s="20" t="str">
        <f t="shared" si="16"/>
        <v/>
      </c>
      <c r="G514" s="23" t="str">
        <f t="shared" si="17"/>
        <v/>
      </c>
    </row>
    <row r="515" spans="1:7" x14ac:dyDescent="0.25">
      <c r="B515" s="15" t="s">
        <v>802</v>
      </c>
      <c r="C515" s="15" t="s">
        <v>1225</v>
      </c>
      <c r="D515" s="11" t="s">
        <v>459</v>
      </c>
      <c r="E515" s="15" t="s">
        <v>5</v>
      </c>
      <c r="F515" s="20" t="str">
        <f t="shared" si="16"/>
        <v/>
      </c>
      <c r="G515" s="23" t="str">
        <f t="shared" si="17"/>
        <v/>
      </c>
    </row>
  </sheetData>
  <autoFilter ref="A3:H515" xr:uid="{409C9D1B-A452-401C-9733-8750E50DAAFC}"/>
  <conditionalFormatting sqref="H1:H1048576">
    <cfRule type="duplicateValues" dxfId="1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opLeftCell="A2" workbookViewId="0">
      <selection activeCell="C14" sqref="C14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27</v>
      </c>
      <c r="C3" s="6" t="str">
        <f>IF(D3="","","https://docs.google.com/uc?export=download&amp;id="&amp;D3)</f>
        <v/>
      </c>
      <c r="D3" s="7" t="str">
        <f t="shared" ref="D3:D4" si="0">IFERROR(LEFT(RIGHT(E3,LEN(E3)-32),LEN(RIGHT(E3,LEN(E3)-32))-17),"")</f>
        <v/>
      </c>
      <c r="E3" s="7"/>
    </row>
    <row r="4" spans="2:5" x14ac:dyDescent="0.25">
      <c r="B4" s="8" t="s">
        <v>1227</v>
      </c>
      <c r="C4" s="6" t="str">
        <f t="shared" ref="C4" si="1">IF(D4="","","https://docs.google.com/uc?export=download&amp;id="&amp;D4)</f>
        <v/>
      </c>
      <c r="D4" s="7" t="str">
        <f t="shared" si="0"/>
        <v/>
      </c>
      <c r="E4" s="7"/>
    </row>
    <row r="5" spans="2:5" x14ac:dyDescent="0.25">
      <c r="B5" s="8" t="s">
        <v>1228</v>
      </c>
      <c r="C5" s="6" t="str">
        <f t="shared" ref="C5:C7" si="2">IF(D5="","","https://docs.google.com/uc?export=download&amp;id="&amp;D5)</f>
        <v/>
      </c>
      <c r="D5" s="7" t="str">
        <f t="shared" ref="D5:D7" si="3">IFERROR(LEFT(RIGHT(E5,LEN(E5)-32),LEN(RIGHT(E5,LEN(E5)-32))-17),"")</f>
        <v/>
      </c>
      <c r="E5" s="7"/>
    </row>
    <row r="6" spans="2:5" x14ac:dyDescent="0.25">
      <c r="B6" s="8" t="s">
        <v>1229</v>
      </c>
      <c r="C6" s="6" t="str">
        <f t="shared" si="2"/>
        <v/>
      </c>
      <c r="D6" s="7" t="str">
        <f t="shared" si="3"/>
        <v/>
      </c>
      <c r="E6" s="7"/>
    </row>
    <row r="7" spans="2:5" x14ac:dyDescent="0.25">
      <c r="B7" s="8"/>
      <c r="C7" s="6" t="str">
        <f t="shared" si="2"/>
        <v/>
      </c>
      <c r="D7" s="7" t="str">
        <f t="shared" si="3"/>
        <v/>
      </c>
      <c r="E7" s="7"/>
    </row>
  </sheetData>
  <phoneticPr fontId="3" type="noConversion"/>
  <pageMargins left="0.7" right="0.7" top="0.75" bottom="0.75" header="0.3" footer="0.3"/>
  <ignoredErrors>
    <ignoredError sqref="B5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3" sqref="C3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29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28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L297"/>
  <sheetViews>
    <sheetView topLeftCell="C1" zoomScale="86" zoomScaleNormal="86" workbookViewId="0">
      <selection activeCell="F19" sqref="F19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16">
        <v>1</v>
      </c>
      <c r="D1" s="3"/>
    </row>
    <row r="2" spans="1:10" x14ac:dyDescent="0.25">
      <c r="B2" t="s">
        <v>7</v>
      </c>
      <c r="C2" s="16">
        <v>10</v>
      </c>
      <c r="D2" s="3"/>
    </row>
    <row r="3" spans="1:10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0" x14ac:dyDescent="0.25">
      <c r="A4">
        <f>C1</f>
        <v>1</v>
      </c>
      <c r="B4">
        <f t="shared" ref="B4:B67" ca="1" si="0">IF(A4="","",RANDBETWEEN($C$1,$C$2))</f>
        <v>10</v>
      </c>
      <c r="C4" s="1">
        <f ca="1">IFERROR($C$1-1+_xlfn.RANK.EQ(B4,$B$4:$B$166)+COUNTIF(B$4:$B4,B4)-1,"")</f>
        <v>1</v>
      </c>
      <c r="D4" s="1" t="str">
        <f ca="1">IFERROR(VLOOKUP(C4,'Expressing opinions'!A:B,2,0),"")</f>
        <v>1.1</v>
      </c>
      <c r="E4" t="str">
        <f ca="1">IFERROR(VLOOKUP(D4&amp;"Viet",'Expressing opinions'!C:D,2,0),"")</f>
        <v>Tôi nghĩ là nó ngầu đấy.</v>
      </c>
      <c r="F4" t="str">
        <f ca="1">IFERROR(VLOOKUP(D4&amp;"Eng",'Expressing opinions'!C:D,2,0),"")</f>
        <v>I think it is cool.</v>
      </c>
    </row>
    <row r="5" spans="1:10" x14ac:dyDescent="0.25">
      <c r="A5">
        <f>IFERROR(IF(A4+1&gt;$C$2,"",A4+1),"")</f>
        <v>2</v>
      </c>
      <c r="B5">
        <f t="shared" ca="1" si="0"/>
        <v>5</v>
      </c>
      <c r="C5" s="1">
        <f ca="1">IFERROR($C$1-1+_xlfn.RANK.EQ(B5,$B$4:$B$166)+COUNTIF(B$4:$B5,B5)-1,"")</f>
        <v>6</v>
      </c>
      <c r="D5" s="1" t="str">
        <f ca="1">IFERROR(VLOOKUP(C5,'Expressing opinions'!A:B,2,0),"")</f>
        <v>2.1</v>
      </c>
      <c r="E5" t="str">
        <f ca="1">IFERROR(VLOOKUP(D5&amp;"Viet",'Expressing opinions'!C:D,2,0),"")</f>
        <v>Tôi không nghĩ là nó đáng.</v>
      </c>
      <c r="F5" t="str">
        <f ca="1">IFERROR(VLOOKUP(D5&amp;"Eng",'Expressing opinions'!C:D,2,0),"")</f>
        <v>I don’t think it is worthy.</v>
      </c>
    </row>
    <row r="6" spans="1:10" x14ac:dyDescent="0.25">
      <c r="A6">
        <f t="shared" ref="A6:A69" si="1">IFERROR(IF(A5+1&gt;$C$2,"",A5+1),"")</f>
        <v>3</v>
      </c>
      <c r="B6">
        <f t="shared" ca="1" si="0"/>
        <v>2</v>
      </c>
      <c r="C6" s="1">
        <f ca="1">IFERROR($C$1-1+_xlfn.RANK.EQ(B6,$B$4:$B$166)+COUNTIF(B$4:$B6,B6)-1,"")</f>
        <v>10</v>
      </c>
      <c r="D6" s="1" t="str">
        <f ca="1">IFERROR(VLOOKUP(C6,'Expressing opinions'!A:B,2,0),"")</f>
        <v>3.1</v>
      </c>
      <c r="E6" t="str">
        <f ca="1">IFERROR(VLOOKUP(D6&amp;"Viet",'Expressing opinions'!C:D,2,0),"")</f>
        <v>Tôi tưởng đó là lời nói dối.</v>
      </c>
      <c r="F6" t="str">
        <f ca="1">IFERROR(VLOOKUP(D6&amp;"Eng",'Expressing opinions'!C:D,2,0),"")</f>
        <v>I thought it was a lie.</v>
      </c>
    </row>
    <row r="7" spans="1:10" x14ac:dyDescent="0.25">
      <c r="A7">
        <f t="shared" si="1"/>
        <v>4</v>
      </c>
      <c r="B7">
        <f t="shared" ca="1" si="0"/>
        <v>9</v>
      </c>
      <c r="C7" s="1">
        <f ca="1">IFERROR($C$1-1+_xlfn.RANK.EQ(B7,$B$4:$B$166)+COUNTIF(B$4:$B7,B7)-1,"")</f>
        <v>3</v>
      </c>
      <c r="D7" s="1" t="str">
        <f ca="1">IFERROR(VLOOKUP(C7,'Expressing opinions'!A:B,2,0),"")</f>
        <v>1.3</v>
      </c>
      <c r="E7" t="str">
        <f ca="1">IFERROR(VLOOKUP(D7&amp;"Viet",'Expressing opinions'!C:D,2,0),"")</f>
        <v>Tôi nghĩ điều đó hợp lí.</v>
      </c>
      <c r="F7" t="str">
        <f ca="1">IFERROR(VLOOKUP(D7&amp;"Eng",'Expressing opinions'!C:D,2,0),"")</f>
        <v>I think it makes sense.</v>
      </c>
    </row>
    <row r="8" spans="1:10" x14ac:dyDescent="0.25">
      <c r="A8">
        <f t="shared" si="1"/>
        <v>5</v>
      </c>
      <c r="B8">
        <f t="shared" ca="1" si="0"/>
        <v>10</v>
      </c>
      <c r="C8" s="1">
        <f ca="1">IFERROR($C$1-1+_xlfn.RANK.EQ(B8,$B$4:$B$166)+COUNTIF(B$4:$B8,B8)-1,"")</f>
        <v>2</v>
      </c>
      <c r="D8" s="1" t="str">
        <f ca="1">IFERROR(VLOOKUP(C8,'Expressing opinions'!A:B,2,0),"")</f>
        <v>1.2</v>
      </c>
      <c r="E8" t="str">
        <f ca="1">IFERROR(VLOOKUP(D8&amp;"Viet",'Expressing opinions'!C:D,2,0),"")</f>
        <v>Tôi nghĩ đó là một ý kiến hay.</v>
      </c>
      <c r="F8" t="str">
        <f ca="1">IFERROR(VLOOKUP(D8&amp;"Eng",'Expressing opinions'!C:D,2,0),"")</f>
        <v>I think it is a good idea.</v>
      </c>
    </row>
    <row r="9" spans="1:10" x14ac:dyDescent="0.25">
      <c r="A9">
        <f t="shared" si="1"/>
        <v>6</v>
      </c>
      <c r="B9">
        <f t="shared" ca="1" si="0"/>
        <v>8</v>
      </c>
      <c r="C9" s="1">
        <f ca="1">IFERROR($C$1-1+_xlfn.RANK.EQ(B9,$B$4:$B$166)+COUNTIF(B$4:$B9,B9)-1,"")</f>
        <v>5</v>
      </c>
      <c r="D9" s="1" t="str">
        <f ca="1">IFERROR(VLOOKUP(C9,'Expressing opinions'!A:B,2,0),"")</f>
        <v>1.5</v>
      </c>
      <c r="E9" t="str">
        <f ca="1">IFERROR(VLOOKUP(D9&amp;"Viet",'Expressing opinions'!C:D,2,0),"")</f>
        <v>Tôi nghĩ là họ hiểu lầm chúng ta.</v>
      </c>
      <c r="F9" t="str">
        <f ca="1">IFERROR(VLOOKUP(D9&amp;"Eng",'Expressing opinions'!C:D,2,0),"")</f>
        <v>I think they got us wrong.</v>
      </c>
    </row>
    <row r="10" spans="1:10" x14ac:dyDescent="0.25">
      <c r="A10">
        <f t="shared" si="1"/>
        <v>7</v>
      </c>
      <c r="B10">
        <f t="shared" ca="1" si="0"/>
        <v>3</v>
      </c>
      <c r="C10" s="1">
        <f ca="1">IFERROR($C$1-1+_xlfn.RANK.EQ(B10,$B$4:$B$166)+COUNTIF(B$4:$B10,B10)-1,"")</f>
        <v>9</v>
      </c>
      <c r="D10" s="1" t="str">
        <f ca="1">IFERROR(VLOOKUP(C10,'Expressing opinions'!A:B,2,0),"")</f>
        <v>2.4</v>
      </c>
      <c r="E10" t="str">
        <f ca="1">IFERROR(VLOOKUP(D10&amp;"Viet",'Expressing opinions'!C:D,2,0),"")</f>
        <v>Tôi không nghĩ cậu sẽ thích mấy món ăn này.</v>
      </c>
      <c r="F10" t="str">
        <f ca="1">IFERROR(VLOOKUP(D10&amp;"Eng",'Expressing opinions'!C:D,2,0),"")</f>
        <v>I don’t think you will like the food.</v>
      </c>
    </row>
    <row r="11" spans="1:10" x14ac:dyDescent="0.25">
      <c r="A11">
        <f t="shared" si="1"/>
        <v>8</v>
      </c>
      <c r="B11">
        <f t="shared" ca="1" si="0"/>
        <v>9</v>
      </c>
      <c r="C11" s="1">
        <f ca="1">IFERROR($C$1-1+_xlfn.RANK.EQ(B11,$B$4:$B$166)+COUNTIF(B$4:$B11,B11)-1,"")</f>
        <v>4</v>
      </c>
      <c r="D11" s="1" t="str">
        <f ca="1">IFERROR(VLOOKUP(C11,'Expressing opinions'!A:B,2,0),"")</f>
        <v>1.4</v>
      </c>
      <c r="E11" t="str">
        <f ca="1">IFERROR(VLOOKUP(D11&amp;"Viet",'Expressing opinions'!C:D,2,0),"")</f>
        <v>Tôi nghĩ là cậu đúng.</v>
      </c>
      <c r="F11" t="str">
        <f ca="1">IFERROR(VLOOKUP(D11&amp;"Eng",'Expressing opinions'!C:D,2,0),"")</f>
        <v>I think you are right.</v>
      </c>
    </row>
    <row r="12" spans="1:10" x14ac:dyDescent="0.25">
      <c r="A12">
        <f t="shared" si="1"/>
        <v>9</v>
      </c>
      <c r="B12">
        <f t="shared" ca="1" si="0"/>
        <v>4</v>
      </c>
      <c r="C12" s="1">
        <f ca="1">IFERROR($C$1-1+_xlfn.RANK.EQ(B12,$B$4:$B$166)+COUNTIF(B$4:$B12,B12)-1,"")</f>
        <v>7</v>
      </c>
      <c r="D12" s="1" t="str">
        <f ca="1">IFERROR(VLOOKUP(C12,'Expressing opinions'!A:B,2,0),"")</f>
        <v>2.2</v>
      </c>
      <c r="E12" t="str">
        <f ca="1">IFERROR(VLOOKUP(D12&amp;"Viet",'Expressing opinions'!C:D,2,0),"")</f>
        <v>Tôi không nghĩ anh ta chân thành.</v>
      </c>
      <c r="F12" t="str">
        <f ca="1">IFERROR(VLOOKUP(D12&amp;"Eng",'Expressing opinions'!C:D,2,0),"")</f>
        <v>I don’t think he is honest.</v>
      </c>
      <c r="J12" s="18"/>
    </row>
    <row r="13" spans="1:10" x14ac:dyDescent="0.25">
      <c r="A13">
        <f t="shared" si="1"/>
        <v>10</v>
      </c>
      <c r="B13">
        <f t="shared" ca="1" si="0"/>
        <v>4</v>
      </c>
      <c r="C13" s="1">
        <f ca="1">IFERROR($C$1-1+_xlfn.RANK.EQ(B13,$B$4:$B$166)+COUNTIF(B$4:$B13,B13)-1,"")</f>
        <v>8</v>
      </c>
      <c r="D13" s="1" t="str">
        <f ca="1">IFERROR(VLOOKUP(C13,'Expressing opinions'!A:B,2,0),"")</f>
        <v>2.3</v>
      </c>
      <c r="E13" t="str">
        <f ca="1">IFERROR(VLOOKUP(D13&amp;"Viet",'Expressing opinions'!C:D,2,0),"")</f>
        <v>Tôi không nghĩ cô ta xứng đáng với nó.</v>
      </c>
      <c r="F13" t="str">
        <f ca="1">IFERROR(VLOOKUP(D13&amp;"Eng",'Expressing opinions'!C:D,2,0),"")</f>
        <v>I don’t think she deserves it.</v>
      </c>
    </row>
    <row r="14" spans="1:10" x14ac:dyDescent="0.25">
      <c r="A14" t="str">
        <f t="shared" si="1"/>
        <v/>
      </c>
      <c r="B14" t="str">
        <f t="shared" ca="1" si="0"/>
        <v/>
      </c>
      <c r="C14" s="1" t="str">
        <f ca="1">IFERROR($C$1-1+_xlfn.RANK.EQ(B14,$B$4:$B$166)+COUNTIF(B$4:$B14,B14)-1,"")</f>
        <v/>
      </c>
      <c r="D14" s="1" t="str">
        <f ca="1">IFERROR(VLOOKUP(C14,'Expressing opinions'!A:B,2,0),"")</f>
        <v/>
      </c>
      <c r="E14" t="str">
        <f ca="1">IFERROR(VLOOKUP(D14&amp;"Viet",'Expressing opinions'!C:D,2,0),"")</f>
        <v/>
      </c>
      <c r="F14" t="str">
        <f ca="1">IFERROR(VLOOKUP(D14&amp;"Eng",'Expressing opinions'!C:D,2,0),"")</f>
        <v/>
      </c>
    </row>
    <row r="15" spans="1:10" x14ac:dyDescent="0.25">
      <c r="A15" t="str">
        <f t="shared" si="1"/>
        <v/>
      </c>
      <c r="B15" t="str">
        <f t="shared" ca="1" si="0"/>
        <v/>
      </c>
      <c r="C15" s="1" t="str">
        <f ca="1">IFERROR($C$1-1+_xlfn.RANK.EQ(B15,$B$4:$B$166)+COUNTIF(B$4:$B15,B15)-1,"")</f>
        <v/>
      </c>
      <c r="D15" s="1" t="str">
        <f ca="1">IFERROR(VLOOKUP(C15,'Expressing opinions'!A:B,2,0),"")</f>
        <v/>
      </c>
      <c r="E15" t="str">
        <f ca="1">IFERROR(VLOOKUP(D15&amp;"Viet",'Expressing opinions'!C:D,2,0),"")</f>
        <v/>
      </c>
      <c r="F15" t="str">
        <f ca="1">IFERROR(VLOOKUP(D15&amp;"Eng",'Expressing opinions'!C:D,2,0),"")</f>
        <v/>
      </c>
    </row>
    <row r="16" spans="1:10" x14ac:dyDescent="0.25">
      <c r="A16" t="str">
        <f t="shared" si="1"/>
        <v/>
      </c>
      <c r="B16" t="str">
        <f t="shared" ca="1" si="0"/>
        <v/>
      </c>
      <c r="C16" s="1" t="str">
        <f ca="1">IFERROR($C$1-1+_xlfn.RANK.EQ(B16,$B$4:$B$166)+COUNTIF(B$4:$B16,B16)-1,"")</f>
        <v/>
      </c>
      <c r="D16" s="1" t="str">
        <f ca="1">IFERROR(VLOOKUP(C16,'Expressing opinions'!A:B,2,0),"")</f>
        <v/>
      </c>
      <c r="E16" t="str">
        <f ca="1">IFERROR(VLOOKUP(D16&amp;"Viet",'Expressing opinions'!C:D,2,0),"")</f>
        <v/>
      </c>
      <c r="F16" t="str">
        <f ca="1">IFERROR(VLOOKUP(D16&amp;"Eng",'Expressing opinions'!C:D,2,0),"")</f>
        <v/>
      </c>
    </row>
    <row r="17" spans="1:12" x14ac:dyDescent="0.25">
      <c r="A17" t="str">
        <f t="shared" si="1"/>
        <v/>
      </c>
      <c r="B17" t="str">
        <f t="shared" ca="1" si="0"/>
        <v/>
      </c>
      <c r="C17" s="1" t="str">
        <f ca="1">IFERROR($C$1-1+_xlfn.RANK.EQ(B17,$B$4:$B$166)+COUNTIF(B$4:$B17,B17)-1,"")</f>
        <v/>
      </c>
      <c r="D17" s="1" t="str">
        <f ca="1">IFERROR(VLOOKUP(C17,'Expressing opinions'!A:B,2,0),"")</f>
        <v/>
      </c>
      <c r="E17" t="str">
        <f ca="1">IFERROR(VLOOKUP(D17&amp;"Viet",'Expressing opinions'!C:D,2,0),"")</f>
        <v/>
      </c>
      <c r="F17" t="str">
        <f ca="1">IFERROR(VLOOKUP(D17&amp;"Eng",'Expressing opinions'!C:D,2,0),"")</f>
        <v/>
      </c>
      <c r="L17">
        <v>4</v>
      </c>
    </row>
    <row r="18" spans="1:12" ht="12.6" customHeight="1" x14ac:dyDescent="0.25">
      <c r="A18" t="str">
        <f t="shared" si="1"/>
        <v/>
      </c>
      <c r="B18" t="str">
        <f t="shared" ca="1" si="0"/>
        <v/>
      </c>
      <c r="C18" s="1" t="str">
        <f ca="1">IFERROR($C$1-1+_xlfn.RANK.EQ(B18,$B$4:$B$166)+COUNTIF(B$4:$B18,B18)-1,"")</f>
        <v/>
      </c>
      <c r="D18" s="1" t="str">
        <f ca="1">IFERROR(VLOOKUP(C18,'Expressing opinions'!A:B,2,0),"")</f>
        <v/>
      </c>
      <c r="E18" t="str">
        <f ca="1">IFERROR(VLOOKUP(D18&amp;"Viet",'Expressing opinions'!C:D,2,0),"")</f>
        <v/>
      </c>
      <c r="F18" t="str">
        <f ca="1">IFERROR(VLOOKUP(D18&amp;"Eng",'Expressing opinions'!C:D,2,0),"")</f>
        <v/>
      </c>
    </row>
    <row r="19" spans="1:12" x14ac:dyDescent="0.25">
      <c r="A19" t="str">
        <f t="shared" si="1"/>
        <v/>
      </c>
      <c r="B19" t="str">
        <f t="shared" ca="1" si="0"/>
        <v/>
      </c>
      <c r="C19" s="1" t="str">
        <f ca="1">IFERROR($C$1-1+_xlfn.RANK.EQ(B19,$B$4:$B$166)+COUNTIF(B$4:$B19,B19)-1,"")</f>
        <v/>
      </c>
      <c r="D19" s="1" t="str">
        <f ca="1">IFERROR(VLOOKUP(C19,'Expressing opinions'!A:B,2,0),"")</f>
        <v/>
      </c>
      <c r="E19" t="str">
        <f ca="1">IFERROR(VLOOKUP(D19&amp;"Viet",'Expressing opinions'!C:D,2,0),"")</f>
        <v/>
      </c>
      <c r="F19" t="str">
        <f ca="1">IFERROR(VLOOKUP(D19&amp;"Eng",'Expressing opinions'!C:D,2,0),"")</f>
        <v/>
      </c>
      <c r="L19" t="s">
        <v>32</v>
      </c>
    </row>
    <row r="20" spans="1:12" x14ac:dyDescent="0.25">
      <c r="A20" t="str">
        <f t="shared" si="1"/>
        <v/>
      </c>
      <c r="B20" t="str">
        <f t="shared" ca="1" si="0"/>
        <v/>
      </c>
      <c r="C20" s="1" t="str">
        <f ca="1">IFERROR($C$1-1+_xlfn.RANK.EQ(B20,$B$4:$B$166)+COUNTIF(B$4:$B20,B20)-1,"")</f>
        <v/>
      </c>
      <c r="D20" s="1" t="str">
        <f ca="1">IFERROR(VLOOKUP(C20,'Expressing opinions'!A:B,2,0),"")</f>
        <v/>
      </c>
      <c r="E20" t="str">
        <f ca="1">IFERROR(VLOOKUP(D20&amp;"Viet",'Expressing opinions'!C:D,2,0),"")</f>
        <v/>
      </c>
      <c r="F20" t="str">
        <f ca="1">IFERROR(VLOOKUP(D20&amp;"Eng",'Expressing opinions'!C:D,2,0),"")</f>
        <v/>
      </c>
    </row>
    <row r="21" spans="1:12" x14ac:dyDescent="0.25">
      <c r="A21" t="str">
        <f t="shared" si="1"/>
        <v/>
      </c>
      <c r="B21" t="str">
        <f t="shared" ca="1" si="0"/>
        <v/>
      </c>
      <c r="C21" s="1" t="str">
        <f ca="1">IFERROR($C$1-1+_xlfn.RANK.EQ(B21,$B$4:$B$166)+COUNTIF(B$4:$B21,B21)-1,"")</f>
        <v/>
      </c>
      <c r="D21" s="1" t="str">
        <f ca="1">IFERROR(VLOOKUP(C21,'Expressing opinions'!A:B,2,0),"")</f>
        <v/>
      </c>
      <c r="E21" t="str">
        <f ca="1">IFERROR(VLOOKUP(D21&amp;"Viet",'Expressing opinions'!C:D,2,0),"")</f>
        <v/>
      </c>
      <c r="F21" t="str">
        <f ca="1">IFERROR(VLOOKUP(D21&amp;"Eng",'Expressing opinions'!C:D,2,0),"")</f>
        <v/>
      </c>
    </row>
    <row r="22" spans="1:12" x14ac:dyDescent="0.25">
      <c r="A22" t="str">
        <f t="shared" si="1"/>
        <v/>
      </c>
      <c r="B22" t="str">
        <f t="shared" ca="1" si="0"/>
        <v/>
      </c>
      <c r="C22" s="1" t="str">
        <f ca="1">IFERROR($C$1-1+_xlfn.RANK.EQ(B22,$B$4:$B$166)+COUNTIF(B$4:$B22,B22)-1,"")</f>
        <v/>
      </c>
      <c r="D22" s="1" t="str">
        <f ca="1">IFERROR(VLOOKUP(C22,'Expressing opinions'!A:B,2,0),"")</f>
        <v/>
      </c>
      <c r="E22" t="str">
        <f ca="1">IFERROR(VLOOKUP(D22&amp;"Viet",'Expressing opinions'!C:D,2,0),"")</f>
        <v/>
      </c>
      <c r="F22" t="str">
        <f ca="1">IFERROR(VLOOKUP(D22&amp;"Eng",'Expressing opinions'!C:D,2,0),"")</f>
        <v/>
      </c>
    </row>
    <row r="23" spans="1:12" x14ac:dyDescent="0.25">
      <c r="A23" t="str">
        <f t="shared" si="1"/>
        <v/>
      </c>
      <c r="B23" t="str">
        <f t="shared" ca="1" si="0"/>
        <v/>
      </c>
      <c r="C23" s="1" t="str">
        <f ca="1">IFERROR($C$1-1+_xlfn.RANK.EQ(B23,$B$4:$B$166)+COUNTIF(B$4:$B23,B23)-1,"")</f>
        <v/>
      </c>
      <c r="D23" s="1" t="str">
        <f ca="1">IFERROR(VLOOKUP(C23,'Expressing opinions'!A:B,2,0),"")</f>
        <v/>
      </c>
      <c r="E23" t="str">
        <f ca="1">IFERROR(VLOOKUP(D23&amp;"Viet",'Expressing opinions'!C:D,2,0),"")</f>
        <v/>
      </c>
      <c r="F23" t="str">
        <f ca="1">IFERROR(VLOOKUP(D23&amp;"Eng",'Expressing opinions'!C:D,2,0),"")</f>
        <v/>
      </c>
    </row>
    <row r="24" spans="1:12" x14ac:dyDescent="0.25">
      <c r="A24" t="str">
        <f t="shared" si="1"/>
        <v/>
      </c>
      <c r="B24" t="str">
        <f t="shared" ca="1" si="0"/>
        <v/>
      </c>
      <c r="C24" s="1" t="str">
        <f ca="1">IFERROR($C$1-1+_xlfn.RANK.EQ(B24,$B$4:$B$166)+COUNTIF(B$4:$B24,B24)-1,"")</f>
        <v/>
      </c>
      <c r="D24" s="1" t="str">
        <f ca="1">IFERROR(VLOOKUP(C24,'Expressing opinions'!A:B,2,0),"")</f>
        <v/>
      </c>
      <c r="E24" t="str">
        <f ca="1">IFERROR(VLOOKUP(D24&amp;"Viet",'Expressing opinions'!C:D,2,0),"")</f>
        <v/>
      </c>
      <c r="F24" t="str">
        <f ca="1">IFERROR(VLOOKUP(D24&amp;"Eng",'Expressing opinions'!C:D,2,0),"")</f>
        <v/>
      </c>
    </row>
    <row r="25" spans="1:12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IFERROR($C$1-1+_xlfn.RANK.EQ(B25,$B$4:$B$166)+COUNTIF(B$4:$B25,B25)-1,"")</f>
        <v/>
      </c>
      <c r="D25" s="1" t="str">
        <f ca="1">IFERROR(VLOOKUP(C25,'Expressing opinions'!A:B,2,0),"")</f>
        <v/>
      </c>
      <c r="E25" t="str">
        <f ca="1">IFERROR(VLOOKUP(D25&amp;"Viet",'Expressing opinions'!C:D,2,0),"")</f>
        <v/>
      </c>
      <c r="F25" t="str">
        <f ca="1">IFERROR(VLOOKUP(D25&amp;"Eng",'Expressing opinions'!C:D,2,0),"")</f>
        <v/>
      </c>
    </row>
    <row r="26" spans="1:12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IFERROR($C$1-1+_xlfn.RANK.EQ(B26,$B$4:$B$166)+COUNTIF(B$4:$B26,B26)-1,"")</f>
        <v/>
      </c>
      <c r="D26" s="1" t="str">
        <f ca="1">IFERROR(VLOOKUP(C26,'Expressing opinions'!A:B,2,0),"")</f>
        <v/>
      </c>
      <c r="E26" t="str">
        <f ca="1">IFERROR(VLOOKUP(D26&amp;"Viet",'Expressing opinions'!C:D,2,0),"")</f>
        <v/>
      </c>
      <c r="F26" t="str">
        <f ca="1">IFERROR(VLOOKUP(D26&amp;"Eng",'Expressing opinions'!C:D,2,0),"")</f>
        <v/>
      </c>
    </row>
    <row r="27" spans="1:12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IFERROR($C$1-1+_xlfn.RANK.EQ(B27,$B$4:$B$166)+COUNTIF(B$4:$B27,B27)-1,"")</f>
        <v/>
      </c>
      <c r="D27" s="1" t="str">
        <f ca="1">IFERROR(VLOOKUP(C27,'Expressing opinions'!A:B,2,0),"")</f>
        <v/>
      </c>
      <c r="E27" t="str">
        <f ca="1">IFERROR(VLOOKUP(D27&amp;"Viet",'Expressing opinions'!C:D,2,0),"")</f>
        <v/>
      </c>
      <c r="F27" t="str">
        <f ca="1">IFERROR(VLOOKUP(D27&amp;"Eng",'Expressing opinions'!C:D,2,0),"")</f>
        <v/>
      </c>
    </row>
    <row r="28" spans="1:12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IFERROR($C$1-1+_xlfn.RANK.EQ(B28,$B$4:$B$166)+COUNTIF(B$4:$B28,B28)-1,"")</f>
        <v/>
      </c>
      <c r="D28" s="1" t="str">
        <f ca="1">IFERROR(VLOOKUP(C28,'Expressing opinions'!A:B,2,0),"")</f>
        <v/>
      </c>
      <c r="E28" t="str">
        <f ca="1">IFERROR(VLOOKUP(D28&amp;"Viet",'Expressing opinions'!C:D,2,0),"")</f>
        <v/>
      </c>
      <c r="F28" t="str">
        <f ca="1">IFERROR(VLOOKUP(D28&amp;"Eng",'Expressing opinions'!C:D,2,0),"")</f>
        <v/>
      </c>
    </row>
    <row r="29" spans="1:12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IFERROR($C$1-1+_xlfn.RANK.EQ(B29,$B$4:$B$166)+COUNTIF(B$4:$B29,B29)-1,"")</f>
        <v/>
      </c>
      <c r="D29" s="1" t="str">
        <f ca="1">IFERROR(VLOOKUP(C29,'Expressing opinions'!A:B,2,0),"")</f>
        <v/>
      </c>
      <c r="E29" t="str">
        <f ca="1">IFERROR(VLOOKUP(D29&amp;"Viet",'Expressing opinions'!C:D,2,0),"")</f>
        <v/>
      </c>
      <c r="F29" t="str">
        <f ca="1">IFERROR(VLOOKUP(D29&amp;"Eng",'Expressing opinions'!C:D,2,0),"")</f>
        <v/>
      </c>
    </row>
    <row r="30" spans="1:12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IFERROR($C$1-1+_xlfn.RANK.EQ(B30,$B$4:$B$166)+COUNTIF(B$4:$B30,B30)-1,"")</f>
        <v/>
      </c>
      <c r="D30" s="1" t="str">
        <f ca="1">IFERROR(VLOOKUP(C30,'Expressing opinions'!A:B,2,0),"")</f>
        <v/>
      </c>
      <c r="E30" t="str">
        <f ca="1">IFERROR(VLOOKUP(D30&amp;"Viet",'Expressing opinions'!C:D,2,0),"")</f>
        <v/>
      </c>
      <c r="F30" t="str">
        <f ca="1">IFERROR(VLOOKUP(D30&amp;"Eng",'Expressing opinions'!C:D,2,0),"")</f>
        <v/>
      </c>
    </row>
    <row r="31" spans="1:12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IFERROR($C$1-1+_xlfn.RANK.EQ(B31,$B$4:$B$166)+COUNTIF(B$4:$B31,B31)-1,"")</f>
        <v/>
      </c>
      <c r="D31" s="1" t="str">
        <f ca="1">IFERROR(VLOOKUP(C31,'Expressing opinions'!A:B,2,0),"")</f>
        <v/>
      </c>
      <c r="E31" t="str">
        <f ca="1">IFERROR(VLOOKUP(D31&amp;"Viet",'Expressing opinions'!C:D,2,0),"")</f>
        <v/>
      </c>
      <c r="F31" t="str">
        <f ca="1">IFERROR(VLOOKUP(D31&amp;"Eng",'Expressing opinions'!C:D,2,0),"")</f>
        <v/>
      </c>
    </row>
    <row r="32" spans="1:12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IFERROR($C$1-1+_xlfn.RANK.EQ(B32,$B$4:$B$166)+COUNTIF(B$4:$B32,B32)-1,"")</f>
        <v/>
      </c>
      <c r="D32" s="1" t="str">
        <f ca="1">IFERROR(VLOOKUP(C32,'Expressing opinions'!A:B,2,0),"")</f>
        <v/>
      </c>
      <c r="E32" t="str">
        <f ca="1">IFERROR(VLOOKUP(D32&amp;"Viet",'Expressing opinions'!C:D,2,0),"")</f>
        <v/>
      </c>
      <c r="F32" t="str">
        <f ca="1">IFERROR(VLOOKUP(D32&amp;"Eng",'Expressing opinions'!C:D,2,0),"")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IFERROR($C$1-1+_xlfn.RANK.EQ(B33,$B$4:$B$166)+COUNTIF(B$4:$B33,B33)-1,"")</f>
        <v/>
      </c>
      <c r="D33" s="1" t="str">
        <f ca="1">IFERROR(VLOOKUP(C33,'Expressing opinions'!A:B,2,0),"")</f>
        <v/>
      </c>
      <c r="E33" t="str">
        <f ca="1">IFERROR(VLOOKUP(D33&amp;"Viet",'Expressing opinions'!C:D,2,0),"")</f>
        <v/>
      </c>
      <c r="F33" t="str">
        <f ca="1">IFERROR(VLOOKUP(D33&amp;"Eng",'Expressing opinions'!C:D,2,0),"")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IFERROR($C$1-1+_xlfn.RANK.EQ(B34,$B$4:$B$166)+COUNTIF(B$4:$B34,B34)-1,"")</f>
        <v/>
      </c>
      <c r="D34" s="1" t="str">
        <f ca="1">IFERROR(VLOOKUP(C34,'Expressing opinions'!A:B,2,0),"")</f>
        <v/>
      </c>
      <c r="E34" t="str">
        <f ca="1">IFERROR(VLOOKUP(D34&amp;"Viet",'Expressing opinions'!C:D,2,0),"")</f>
        <v/>
      </c>
      <c r="F34" t="str">
        <f ca="1">IFERROR(VLOOKUP(D34&amp;"Eng",'Expressing opinions'!C:D,2,0),"")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IFERROR($C$1-1+_xlfn.RANK.EQ(B35,$B$4:$B$166)+COUNTIF(B$4:$B35,B35)-1,"")</f>
        <v/>
      </c>
      <c r="D35" s="1" t="str">
        <f ca="1">IFERROR(VLOOKUP(C35,'Expressing opinions'!A:B,2,0),"")</f>
        <v/>
      </c>
      <c r="E35" t="str">
        <f ca="1">IFERROR(VLOOKUP(D35&amp;"Viet",'Expressing opinions'!C:D,2,0),"")</f>
        <v/>
      </c>
      <c r="F35" t="str">
        <f ca="1">IFERROR(VLOOKUP(D35&amp;"Eng",'Expressing opinions'!C:D,2,0),"")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IFERROR($C$1-1+_xlfn.RANK.EQ(B36,$B$4:$B$166)+COUNTIF(B$4:$B36,B36)-1,"")</f>
        <v/>
      </c>
      <c r="D36" s="1" t="str">
        <f ca="1">IFERROR(VLOOKUP(C36,'Expressing opinions'!A:B,2,0),"")</f>
        <v/>
      </c>
      <c r="E36" t="str">
        <f ca="1">IFERROR(VLOOKUP(D36&amp;"Viet",'Expressing opinions'!C:D,2,0),"")</f>
        <v/>
      </c>
      <c r="F36" t="str">
        <f ca="1">IFERROR(VLOOKUP(D36&amp;"Eng",'Expressing opinions'!C:D,2,0),"")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IFERROR($C$1-1+_xlfn.RANK.EQ(B37,$B$4:$B$166)+COUNTIF(B$4:$B37,B37)-1,"")</f>
        <v/>
      </c>
      <c r="D37" s="1" t="str">
        <f ca="1">IFERROR(VLOOKUP(C37,'Expressing opinions'!A:B,2,0),"")</f>
        <v/>
      </c>
      <c r="E37" t="str">
        <f ca="1">IFERROR(VLOOKUP(D37&amp;"Viet",'Expressing opinions'!C:D,2,0),"")</f>
        <v/>
      </c>
      <c r="F37" t="str">
        <f ca="1">IFERROR(VLOOKUP(D37&amp;"Eng",'Expressing opinions'!C:D,2,0),"")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IFERROR($C$1-1+_xlfn.RANK.EQ(B38,$B$4:$B$166)+COUNTIF(B$4:$B38,B38)-1,"")</f>
        <v/>
      </c>
      <c r="D38" s="1" t="str">
        <f ca="1">IFERROR(VLOOKUP(C38,'Expressing opinions'!A:B,2,0),"")</f>
        <v/>
      </c>
      <c r="E38" t="str">
        <f ca="1">IFERROR(VLOOKUP(D38&amp;"Viet",'Expressing opinions'!C:D,2,0),"")</f>
        <v/>
      </c>
      <c r="F38" t="str">
        <f ca="1">IFERROR(VLOOKUP(D38&amp;"Eng",'Expressing opinions'!C:D,2,0),"")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IFERROR($C$1-1+_xlfn.RANK.EQ(B39,$B$4:$B$166)+COUNTIF(B$4:$B39,B39)-1,"")</f>
        <v/>
      </c>
      <c r="D39" s="1" t="str">
        <f ca="1">IFERROR(VLOOKUP(C39,'Expressing opinions'!A:B,2,0),"")</f>
        <v/>
      </c>
      <c r="E39" t="str">
        <f ca="1">IFERROR(VLOOKUP(D39&amp;"Viet",'Expressing opinions'!C:D,2,0),"")</f>
        <v/>
      </c>
      <c r="F39" t="str">
        <f ca="1">IFERROR(VLOOKUP(D39&amp;"Eng",'Expressing opinions'!C:D,2,0),"")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IFERROR($C$1-1+_xlfn.RANK.EQ(B40,$B$4:$B$166)+COUNTIF(B$4:$B40,B40)-1,"")</f>
        <v/>
      </c>
      <c r="D40" s="1" t="str">
        <f ca="1">IFERROR(VLOOKUP(C40,'Expressing opinions'!A:B,2,0),"")</f>
        <v/>
      </c>
      <c r="E40" t="str">
        <f ca="1">IFERROR(VLOOKUP(D40&amp;"Viet",'Expressing opinions'!C:D,2,0),"")</f>
        <v/>
      </c>
      <c r="F40" t="str">
        <f ca="1">IFERROR(VLOOKUP(D40&amp;"Eng",'Expressing opinions'!C:D,2,0),"")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IFERROR($C$1-1+_xlfn.RANK.EQ(B41,$B$4:$B$166)+COUNTIF(B$4:$B41,B41)-1,"")</f>
        <v/>
      </c>
      <c r="D41" s="1" t="str">
        <f ca="1">IFERROR(VLOOKUP(C41,'Expressing opinions'!A:B,2,0),"")</f>
        <v/>
      </c>
      <c r="E41" t="str">
        <f ca="1">IFERROR(VLOOKUP(D41&amp;"Viet",'Expressing opinions'!C:D,2,0),"")</f>
        <v/>
      </c>
      <c r="F41" t="str">
        <f ca="1">IFERROR(VLOOKUP(D41&amp;"Eng",'Expressing opinions'!C:D,2,0),"")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IFERROR($C$1-1+_xlfn.RANK.EQ(B42,$B$4:$B$166)+COUNTIF(B$4:$B42,B42)-1,"")</f>
        <v/>
      </c>
      <c r="D42" s="1" t="str">
        <f ca="1">IFERROR(VLOOKUP(C42,'Expressing opinions'!A:B,2,0),"")</f>
        <v/>
      </c>
      <c r="E42" t="str">
        <f ca="1">IFERROR(VLOOKUP(D42&amp;"Viet",'Expressing opinions'!C:D,2,0),"")</f>
        <v/>
      </c>
      <c r="F42" t="str">
        <f ca="1">IFERROR(VLOOKUP(D42&amp;"Eng",'Expressing opinions'!C:D,2,0),"")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IFERROR($C$1-1+_xlfn.RANK.EQ(B43,$B$4:$B$166)+COUNTIF(B$4:$B43,B43)-1,"")</f>
        <v/>
      </c>
      <c r="D43" s="1" t="str">
        <f ca="1">IFERROR(VLOOKUP(C43,'Expressing opinions'!A:B,2,0),"")</f>
        <v/>
      </c>
      <c r="E43" t="str">
        <f ca="1">IFERROR(VLOOKUP(D43&amp;"Viet",'Expressing opinions'!C:D,2,0),"")</f>
        <v/>
      </c>
      <c r="F43" t="str">
        <f ca="1">IFERROR(VLOOKUP(D43&amp;"Eng",'Expressing opinions'!C:D,2,0),"")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IFERROR($C$1-1+_xlfn.RANK.EQ(B44,$B$4:$B$166)+COUNTIF(B$4:$B44,B44)-1,"")</f>
        <v/>
      </c>
      <c r="D44" s="1" t="str">
        <f ca="1">IFERROR(VLOOKUP(C44,'Expressing opinions'!A:B,2,0),"")</f>
        <v/>
      </c>
      <c r="E44" t="str">
        <f ca="1">IFERROR(VLOOKUP(D44&amp;"Viet",'Expressing opinions'!C:D,2,0),"")</f>
        <v/>
      </c>
      <c r="F44" t="str">
        <f ca="1">IFERROR(VLOOKUP(D44&amp;"Eng",'Expressing opinions'!C:D,2,0),"")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IFERROR($C$1-1+_xlfn.RANK.EQ(B45,$B$4:$B$166)+COUNTIF(B$4:$B45,B45)-1,"")</f>
        <v/>
      </c>
      <c r="D45" s="1" t="str">
        <f ca="1">IFERROR(VLOOKUP(C45,'Expressing opinions'!A:B,2,0),"")</f>
        <v/>
      </c>
      <c r="E45" t="str">
        <f ca="1">IFERROR(VLOOKUP(D45&amp;"Viet",'Expressing opinions'!C:D,2,0),"")</f>
        <v/>
      </c>
      <c r="F45" t="str">
        <f ca="1">IFERROR(VLOOKUP(D45&amp;"Eng",'Expressing opinions'!C:D,2,0),"")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IFERROR($C$1-1+_xlfn.RANK.EQ(B46,$B$4:$B$166)+COUNTIF(B$4:$B46,B46)-1,"")</f>
        <v/>
      </c>
      <c r="D46" s="1" t="str">
        <f ca="1">IFERROR(VLOOKUP(C46,'Expressing opinions'!A:B,2,0),"")</f>
        <v/>
      </c>
      <c r="E46" t="str">
        <f ca="1">IFERROR(VLOOKUP(D46&amp;"Viet",'Expressing opinions'!C:D,2,0),"")</f>
        <v/>
      </c>
      <c r="F46" t="str">
        <f ca="1">IFERROR(VLOOKUP(D46&amp;"Eng",'Expressing opinions'!C:D,2,0),"")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IFERROR($C$1-1+_xlfn.RANK.EQ(B47,$B$4:$B$166)+COUNTIF(B$4:$B47,B47)-1,"")</f>
        <v/>
      </c>
      <c r="D47" s="1" t="str">
        <f ca="1">IFERROR(VLOOKUP(C47,'Expressing opinions'!A:B,2,0),"")</f>
        <v/>
      </c>
      <c r="E47" t="str">
        <f ca="1">IFERROR(VLOOKUP(D47&amp;"Viet",'Expressing opinions'!C:D,2,0),"")</f>
        <v/>
      </c>
      <c r="F47" t="str">
        <f ca="1">IFERROR(VLOOKUP(D47&amp;"Eng",'Expressing opinions'!C:D,2,0),"")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IFERROR($C$1-1+_xlfn.RANK.EQ(B48,$B$4:$B$166)+COUNTIF(B$4:$B48,B48)-1,"")</f>
        <v/>
      </c>
      <c r="D48" s="1" t="str">
        <f ca="1">IFERROR(VLOOKUP(C48,'Expressing opinions'!A:B,2,0),"")</f>
        <v/>
      </c>
      <c r="E48" t="str">
        <f ca="1">IFERROR(VLOOKUP(D48&amp;"Viet",'Expressing opinions'!C:D,2,0),"")</f>
        <v/>
      </c>
      <c r="F48" t="str">
        <f ca="1">IFERROR(VLOOKUP(D48&amp;"Eng",'Expressing opinions'!C:D,2,0),"")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IFERROR($C$1-1+_xlfn.RANK.EQ(B49,$B$4:$B$166)+COUNTIF(B$4:$B49,B49)-1,"")</f>
        <v/>
      </c>
      <c r="D49" s="1" t="str">
        <f ca="1">IFERROR(VLOOKUP(C49,'Expressing opinions'!A:B,2,0),"")</f>
        <v/>
      </c>
      <c r="E49" t="str">
        <f ca="1">IFERROR(VLOOKUP(D49&amp;"Viet",'Expressing opinions'!C:D,2,0),"")</f>
        <v/>
      </c>
      <c r="F49" t="str">
        <f ca="1">IFERROR(VLOOKUP(D49&amp;"Eng",'Expressing opinions'!C:D,2,0),"")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IFERROR($C$1-1+_xlfn.RANK.EQ(B50,$B$4:$B$166)+COUNTIF(B$4:$B50,B50)-1,"")</f>
        <v/>
      </c>
      <c r="D50" s="1" t="str">
        <f ca="1">IFERROR(VLOOKUP(C50,'Expressing opinions'!A:B,2,0),"")</f>
        <v/>
      </c>
      <c r="E50" t="str">
        <f ca="1">IFERROR(VLOOKUP(D50&amp;"Viet",'Expressing opinions'!C:D,2,0),"")</f>
        <v/>
      </c>
      <c r="F50" t="str">
        <f ca="1">IFERROR(VLOOKUP(D50&amp;"Eng",'Expressing opinions'!C:D,2,0),"")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IFERROR($C$1-1+_xlfn.RANK.EQ(B51,$B$4:$B$166)+COUNTIF(B$4:$B51,B51)-1,"")</f>
        <v/>
      </c>
      <c r="D51" s="1" t="str">
        <f ca="1">IFERROR(VLOOKUP(C51,'Expressing opinions'!A:B,2,0),"")</f>
        <v/>
      </c>
      <c r="E51" t="str">
        <f ca="1">IFERROR(VLOOKUP(D51&amp;"Viet",'Expressing opinions'!C:D,2,0),"")</f>
        <v/>
      </c>
      <c r="F51" t="str">
        <f ca="1">IFERROR(VLOOKUP(D51&amp;"Eng",'Expressing opinions'!C:D,2,0),"")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IFERROR($C$1-1+_xlfn.RANK.EQ(B52,$B$4:$B$166)+COUNTIF(B$4:$B52,B52)-1,"")</f>
        <v/>
      </c>
      <c r="D52" s="1" t="str">
        <f ca="1">IFERROR(VLOOKUP(C52,'Expressing opinions'!A:B,2,0),"")</f>
        <v/>
      </c>
      <c r="E52" t="str">
        <f ca="1">IFERROR(VLOOKUP(D52&amp;"Viet",'Expressing opinions'!C:D,2,0),"")</f>
        <v/>
      </c>
      <c r="F52" t="str">
        <f ca="1">IFERROR(VLOOKUP(D52&amp;"Eng",'Expressing opinions'!C:D,2,0),"")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IFERROR($C$1-1+_xlfn.RANK.EQ(B53,$B$4:$B$166)+COUNTIF(B$4:$B53,B53)-1,"")</f>
        <v/>
      </c>
      <c r="D53" s="1" t="str">
        <f ca="1">IFERROR(VLOOKUP(C53,'Expressing opinions'!A:B,2,0),"")</f>
        <v/>
      </c>
      <c r="E53" t="str">
        <f ca="1">IFERROR(VLOOKUP(D53&amp;"Viet",'Expressing opinions'!C:D,2,0),"")</f>
        <v/>
      </c>
      <c r="F53" t="str">
        <f ca="1">IFERROR(VLOOKUP(D53&amp;"Eng",'Expressing opinions'!C:D,2,0),"")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IFERROR($C$1-1+_xlfn.RANK.EQ(B54,$B$4:$B$166)+COUNTIF(B$4:$B54,B54)-1,"")</f>
        <v/>
      </c>
      <c r="D54" s="1" t="str">
        <f ca="1">IFERROR(VLOOKUP(C54,'Expressing opinions'!A:B,2,0),"")</f>
        <v/>
      </c>
      <c r="E54" t="str">
        <f ca="1">IFERROR(VLOOKUP(D54&amp;"Viet",'Expressing opinions'!C:D,2,0),"")</f>
        <v/>
      </c>
      <c r="F54" t="str">
        <f ca="1">IFERROR(VLOOKUP(D54&amp;"Eng",'Expressing opinions'!C:D,2,0),"")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IFERROR($C$1-1+_xlfn.RANK.EQ(B55,$B$4:$B$166)+COUNTIF(B$4:$B55,B55)-1,"")</f>
        <v/>
      </c>
      <c r="D55" s="1" t="str">
        <f ca="1">IFERROR(VLOOKUP(C55,'Expressing opinions'!A:B,2,0),"")</f>
        <v/>
      </c>
      <c r="E55" t="str">
        <f ca="1">IFERROR(VLOOKUP(D55&amp;"Viet",'Expressing opinions'!C:D,2,0),"")</f>
        <v/>
      </c>
      <c r="F55" t="str">
        <f ca="1">IFERROR(VLOOKUP(D55&amp;"Eng",'Expressing opinions'!C:D,2,0),"")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IFERROR($C$1-1+_xlfn.RANK.EQ(B56,$B$4:$B$166)+COUNTIF(B$4:$B56,B56)-1,"")</f>
        <v/>
      </c>
      <c r="D56" s="1" t="str">
        <f ca="1">IFERROR(VLOOKUP(C56,'Expressing opinions'!A:B,2,0),"")</f>
        <v/>
      </c>
      <c r="E56" t="str">
        <f ca="1">IFERROR(VLOOKUP(D56&amp;"Viet",'Expressing opinions'!C:D,2,0),"")</f>
        <v/>
      </c>
      <c r="F56" t="str">
        <f ca="1">IFERROR(VLOOKUP(D56&amp;"Eng",'Expressing opinions'!C:D,2,0),"")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IFERROR($C$1-1+_xlfn.RANK.EQ(B57,$B$4:$B$166)+COUNTIF(B$4:$B57,B57)-1,"")</f>
        <v/>
      </c>
      <c r="D57" s="1" t="str">
        <f ca="1">IFERROR(VLOOKUP(C57,'Expressing opinions'!A:B,2,0),"")</f>
        <v/>
      </c>
      <c r="E57" t="str">
        <f ca="1">IFERROR(VLOOKUP(D57&amp;"Viet",'Expressing opinions'!C:D,2,0),"")</f>
        <v/>
      </c>
      <c r="F57" t="str">
        <f ca="1">IFERROR(VLOOKUP(D57&amp;"Eng",'Expressing opinions'!C:D,2,0),"")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IFERROR($C$1-1+_xlfn.RANK.EQ(B58,$B$4:$B$166)+COUNTIF(B$4:$B58,B58)-1,"")</f>
        <v/>
      </c>
      <c r="D58" s="1" t="str">
        <f ca="1">IFERROR(VLOOKUP(C58,'Expressing opinions'!A:B,2,0),"")</f>
        <v/>
      </c>
      <c r="E58" t="str">
        <f ca="1">IFERROR(VLOOKUP(D58&amp;"Viet",'Expressing opinions'!C:D,2,0),"")</f>
        <v/>
      </c>
      <c r="F58" t="str">
        <f ca="1">IFERROR(VLOOKUP(D58&amp;"Eng",'Expressing opinions'!C:D,2,0),"")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IFERROR($C$1-1+_xlfn.RANK.EQ(B59,$B$4:$B$166)+COUNTIF(B$4:$B59,B59)-1,"")</f>
        <v/>
      </c>
      <c r="D59" s="1" t="str">
        <f ca="1">IFERROR(VLOOKUP(C59,'Expressing opinions'!A:B,2,0),"")</f>
        <v/>
      </c>
      <c r="E59" t="str">
        <f ca="1">IFERROR(VLOOKUP(D59&amp;"Viet",'Expressing opinions'!C:D,2,0),"")</f>
        <v/>
      </c>
      <c r="F59" t="str">
        <f ca="1">IFERROR(VLOOKUP(D59&amp;"Eng",'Expressing opinions'!C:D,2,0),"")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IFERROR($C$1-1+_xlfn.RANK.EQ(B60,$B$4:$B$166)+COUNTIF(B$4:$B60,B60)-1,"")</f>
        <v/>
      </c>
      <c r="D60" s="1" t="str">
        <f ca="1">IFERROR(VLOOKUP(C60,'Expressing opinions'!A:B,2,0),"")</f>
        <v/>
      </c>
      <c r="E60" t="str">
        <f ca="1">IFERROR(VLOOKUP(D60&amp;"Viet",'Expressing opinions'!C:D,2,0),"")</f>
        <v/>
      </c>
      <c r="F60" t="str">
        <f ca="1">IFERROR(VLOOKUP(D60&amp;"Eng",'Expressing opinions'!C:D,2,0),"")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IFERROR($C$1-1+_xlfn.RANK.EQ(B61,$B$4:$B$166)+COUNTIF(B$4:$B61,B61)-1,"")</f>
        <v/>
      </c>
      <c r="D61" s="1" t="str">
        <f ca="1">IFERROR(VLOOKUP(C61,'Expressing opinions'!A:B,2,0),"")</f>
        <v/>
      </c>
      <c r="E61" t="str">
        <f ca="1">IFERROR(VLOOKUP(D61&amp;"Viet",'Expressing opinions'!C:D,2,0),"")</f>
        <v/>
      </c>
      <c r="F61" t="str">
        <f ca="1">IFERROR(VLOOKUP(D61&amp;"Eng",'Expressing opinions'!C:D,2,0),"")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IFERROR($C$1-1+_xlfn.RANK.EQ(B62,$B$4:$B$166)+COUNTIF(B$4:$B62,B62)-1,"")</f>
        <v/>
      </c>
      <c r="D62" s="1" t="str">
        <f ca="1">IFERROR(VLOOKUP(C62,'Expressing opinions'!A:B,2,0),"")</f>
        <v/>
      </c>
      <c r="E62" t="str">
        <f ca="1">IFERROR(VLOOKUP(D62&amp;"Viet",'Expressing opinions'!C:D,2,0),"")</f>
        <v/>
      </c>
      <c r="F62" t="str">
        <f ca="1">IFERROR(VLOOKUP(D62&amp;"Eng",'Expressing opinions'!C:D,2,0),"")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IFERROR($C$1-1+_xlfn.RANK.EQ(B63,$B$4:$B$166)+COUNTIF(B$4:$B63,B63)-1,"")</f>
        <v/>
      </c>
      <c r="D63" s="1" t="str">
        <f ca="1">IFERROR(VLOOKUP(C63,'Expressing opinions'!A:B,2,0),"")</f>
        <v/>
      </c>
      <c r="E63" t="str">
        <f ca="1">IFERROR(VLOOKUP(D63&amp;"Viet",'Expressing opinions'!C:D,2,0),"")</f>
        <v/>
      </c>
      <c r="F63" t="str">
        <f ca="1">IFERROR(VLOOKUP(D63&amp;"Eng",'Expressing opinions'!C:D,2,0),"")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IFERROR($C$1-1+_xlfn.RANK.EQ(B64,$B$4:$B$166)+COUNTIF(B$4:$B64,B64)-1,"")</f>
        <v/>
      </c>
      <c r="D64" s="1" t="str">
        <f ca="1">IFERROR(VLOOKUP(C64,'Expressing opinions'!A:B,2,0),"")</f>
        <v/>
      </c>
      <c r="E64" t="str">
        <f ca="1">IFERROR(VLOOKUP(D64&amp;"Viet",'Expressing opinions'!C:D,2,0),"")</f>
        <v/>
      </c>
      <c r="F64" t="str">
        <f ca="1">IFERROR(VLOOKUP(D64&amp;"Eng",'Expressing opinions'!C:D,2,0),"")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IFERROR($C$1-1+_xlfn.RANK.EQ(B65,$B$4:$B$166)+COUNTIF(B$4:$B65,B65)-1,"")</f>
        <v/>
      </c>
      <c r="D65" s="1" t="str">
        <f ca="1">IFERROR(VLOOKUP(C65,'Expressing opinions'!A:B,2,0),"")</f>
        <v/>
      </c>
      <c r="E65" t="str">
        <f ca="1">IFERROR(VLOOKUP(D65&amp;"Viet",'Expressing opinions'!C:D,2,0),"")</f>
        <v/>
      </c>
      <c r="F65" t="str">
        <f ca="1">IFERROR(VLOOKUP(D65&amp;"Eng",'Expressing opinions'!C:D,2,0),"")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IFERROR($C$1-1+_xlfn.RANK.EQ(B66,$B$4:$B$166)+COUNTIF(B$4:$B66,B66)-1,"")</f>
        <v/>
      </c>
      <c r="D66" s="1" t="str">
        <f ca="1">IFERROR(VLOOKUP(C66,'Expressing opinions'!A:B,2,0),"")</f>
        <v/>
      </c>
      <c r="E66" t="str">
        <f ca="1">IFERROR(VLOOKUP(D66&amp;"Viet",'Expressing opinions'!C:D,2,0),"")</f>
        <v/>
      </c>
      <c r="F66" t="str">
        <f ca="1">IFERROR(VLOOKUP(D66&amp;"Eng",'Expressing opinions'!C:D,2,0),"")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IFERROR($C$1-1+_xlfn.RANK.EQ(B67,$B$4:$B$166)+COUNTIF(B$4:$B67,B67)-1,"")</f>
        <v/>
      </c>
      <c r="D67" s="1" t="str">
        <f ca="1">IFERROR(VLOOKUP(C67,'Expressing opinions'!A:B,2,0),"")</f>
        <v/>
      </c>
      <c r="E67" t="str">
        <f ca="1">IFERROR(VLOOKUP(D67&amp;"Viet",'Expressing opinions'!C:D,2,0),"")</f>
        <v/>
      </c>
      <c r="F67" t="str">
        <f ca="1">IFERROR(VLOOKUP(D67&amp;"Eng",'Expressing opinions'!C:D,2,0),"")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IFERROR($C$1-1+_xlfn.RANK.EQ(B68,$B$4:$B$166)+COUNTIF(B$4:$B68,B68)-1,"")</f>
        <v/>
      </c>
      <c r="D68" s="1" t="str">
        <f ca="1">IFERROR(VLOOKUP(C68,'Expressing opinions'!A:B,2,0),"")</f>
        <v/>
      </c>
      <c r="E68" t="str">
        <f ca="1">IFERROR(VLOOKUP(D68&amp;"Viet",'Expressing opinions'!C:D,2,0),"")</f>
        <v/>
      </c>
      <c r="F68" t="str">
        <f ca="1">IFERROR(VLOOKUP(D68&amp;"Eng",'Expressing opinions'!C:D,2,0),"")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IFERROR($C$1-1+_xlfn.RANK.EQ(B69,$B$4:$B$166)+COUNTIF(B$4:$B69,B69)-1,"")</f>
        <v/>
      </c>
      <c r="D69" s="1" t="str">
        <f ca="1">IFERROR(VLOOKUP(C69,'Expressing opinions'!A:B,2,0),"")</f>
        <v/>
      </c>
      <c r="E69" t="str">
        <f ca="1">IFERROR(VLOOKUP(D69&amp;"Viet",'Expressing opinions'!C:D,2,0),"")</f>
        <v/>
      </c>
      <c r="F69" t="str">
        <f ca="1">IFERROR(VLOOKUP(D69&amp;"Eng",'Expressing opinions'!C:D,2,0),"")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IFERROR($C$1-1+_xlfn.RANK.EQ(B70,$B$4:$B$166)+COUNTIF(B$4:$B70,B70)-1,"")</f>
        <v/>
      </c>
      <c r="D70" s="1" t="str">
        <f ca="1">IFERROR(VLOOKUP(C70,'Expressing opinions'!A:B,2,0),"")</f>
        <v/>
      </c>
      <c r="E70" t="str">
        <f ca="1">IFERROR(VLOOKUP(D70&amp;"Viet",'Expressing opinions'!C:D,2,0),"")</f>
        <v/>
      </c>
      <c r="F70" t="str">
        <f ca="1">IFERROR(VLOOKUP(D70&amp;"Eng",'Expressing opinions'!C:D,2,0),"")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IFERROR($C$1-1+_xlfn.RANK.EQ(B71,$B$4:$B$166)+COUNTIF(B$4:$B71,B71)-1,"")</f>
        <v/>
      </c>
      <c r="D71" s="1" t="str">
        <f ca="1">IFERROR(VLOOKUP(C71,'Expressing opinions'!A:B,2,0),"")</f>
        <v/>
      </c>
      <c r="E71" t="str">
        <f ca="1">IFERROR(VLOOKUP(D71&amp;"Viet",'Expressing opinions'!C:D,2,0),"")</f>
        <v/>
      </c>
      <c r="F71" t="str">
        <f ca="1">IFERROR(VLOOKUP(D71&amp;"Eng",'Expressing opinions'!C:D,2,0),"")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IFERROR($C$1-1+_xlfn.RANK.EQ(B72,$B$4:$B$166)+COUNTIF(B$4:$B72,B72)-1,"")</f>
        <v/>
      </c>
      <c r="D72" s="1" t="str">
        <f ca="1">IFERROR(VLOOKUP(C72,'Expressing opinions'!A:B,2,0),"")</f>
        <v/>
      </c>
      <c r="E72" t="str">
        <f ca="1">IFERROR(VLOOKUP(D72&amp;"Viet",'Expressing opinions'!C:D,2,0),"")</f>
        <v/>
      </c>
      <c r="F72" t="str">
        <f ca="1">IFERROR(VLOOKUP(D72&amp;"Eng",'Expressing opinions'!C:D,2,0),"")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IFERROR($C$1-1+_xlfn.RANK.EQ(B73,$B$4:$B$166)+COUNTIF(B$4:$B73,B73)-1,"")</f>
        <v/>
      </c>
      <c r="D73" s="1" t="str">
        <f ca="1">IFERROR(VLOOKUP(C73,'Expressing opinions'!A:B,2,0),"")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IFERROR($C$1-1+_xlfn.RANK.EQ(B74,$B$4:$B$166)+COUNTIF(B$4:$B74,B74)-1,"")</f>
        <v/>
      </c>
      <c r="D74" s="1" t="str">
        <f ca="1">IFERROR(VLOOKUP(C74,'Expressing opinions'!A:B,2,0),"")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IFERROR($C$1-1+_xlfn.RANK.EQ(B75,$B$4:$B$166)+COUNTIF(B$4:$B75,B75)-1,"")</f>
        <v/>
      </c>
      <c r="D75" s="1" t="str">
        <f ca="1">IFERROR(VLOOKUP(C75,'Expressing opinions'!A:B,2,0),"")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IFERROR($C$1-1+_xlfn.RANK.EQ(B76,$B$4:$B$166)+COUNTIF(B$4:$B76,B76)-1,"")</f>
        <v/>
      </c>
      <c r="D76" s="1" t="str">
        <f ca="1">IFERROR(VLOOKUP(C76,'Expressing opinions'!A:B,2,0),"")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IFERROR($C$1-1+_xlfn.RANK.EQ(B77,$B$4:$B$166)+COUNTIF(B$4:$B77,B77)-1,"")</f>
        <v/>
      </c>
      <c r="D77" s="1" t="str">
        <f ca="1">IFERROR(VLOOKUP(C77,'Expressing opinions'!A:B,2,0),"")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IFERROR($C$1-1+_xlfn.RANK.EQ(B78,$B$4:$B$166)+COUNTIF(B$4:$B78,B78)-1,"")</f>
        <v/>
      </c>
      <c r="D78" s="1" t="str">
        <f ca="1">IFERROR(VLOOKUP(C78,'Expressing opinions'!A:B,2,0),"")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IFERROR($C$1-1+_xlfn.RANK.EQ(B79,$B$4:$B$166)+COUNTIF(B$4:$B79,B79)-1,"")</f>
        <v/>
      </c>
      <c r="D79" s="1" t="str">
        <f ca="1">IFERROR(VLOOKUP(C79,'Expressing opinions'!A:B,2,0),"")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IFERROR($C$1-1+_xlfn.RANK.EQ(B80,$B$4:$B$166)+COUNTIF(B$4:$B80,B80)-1,"")</f>
        <v/>
      </c>
      <c r="D80" s="1" t="str">
        <f ca="1">IFERROR(VLOOKUP(C80,'Expressing opinions'!A:B,2,0),"")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IFERROR($C$1-1+_xlfn.RANK.EQ(B81,$B$4:$B$166)+COUNTIF(B$4:$B81,B81)-1,"")</f>
        <v/>
      </c>
      <c r="D81" s="1" t="str">
        <f ca="1">IFERROR(VLOOKUP(C81,'Expressing opinions'!A:B,2,0),"")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IFERROR($C$1-1+_xlfn.RANK.EQ(B82,$B$4:$B$166)+COUNTIF(B$4:$B82,B82)-1,"")</f>
        <v/>
      </c>
      <c r="D82" s="1" t="str">
        <f ca="1">IFERROR(VLOOKUP(C82,'Expressing opinions'!A:B,2,0),"")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IFERROR($C$1-1+_xlfn.RANK.EQ(B83,$B$4:$B$166)+COUNTIF(B$4:$B83,B83)-1,"")</f>
        <v/>
      </c>
      <c r="D83" s="1" t="str">
        <f ca="1">IFERROR(VLOOKUP(C83,'Expressing opinions'!A:B,2,0),"")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IFERROR($C$1-1+_xlfn.RANK.EQ(B84,$B$4:$B$166)+COUNTIF(B$4:$B84,B84)-1,"")</f>
        <v/>
      </c>
      <c r="D84" s="1" t="str">
        <f ca="1">IFERROR(VLOOKUP(C84,'Expressing opinions'!A:B,2,0),"")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IFERROR($C$1-1+_xlfn.RANK.EQ(B85,$B$4:$B$166)+COUNTIF(B$4:$B85,B85)-1,"")</f>
        <v/>
      </c>
      <c r="D85" s="1" t="str">
        <f ca="1">IFERROR(VLOOKUP(C85,'Expressing opinions'!A:B,2,0),"")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IFERROR($C$1-1+_xlfn.RANK.EQ(B86,$B$4:$B$166)+COUNTIF(B$4:$B86,B86)-1,"")</f>
        <v/>
      </c>
      <c r="D86" s="1" t="str">
        <f ca="1">IFERROR(VLOOKUP(C86,'Expressing opinions'!A:B,2,0),"")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IFERROR($C$1-1+_xlfn.RANK.EQ(B87,$B$4:$B$166)+COUNTIF(B$4:$B87,B87)-1,"")</f>
        <v/>
      </c>
      <c r="D87" s="1" t="str">
        <f ca="1">IFERROR(VLOOKUP(C87,'Expressing opinions'!A:B,2,0),"")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IFERROR($C$1-1+_xlfn.RANK.EQ(B88,$B$4:$B$166)+COUNTIF(B$4:$B88,B88)-1,"")</f>
        <v/>
      </c>
      <c r="D88" s="1" t="str">
        <f ca="1">IFERROR(VLOOKUP(C88,'Expressing opinions'!A:B,2,0),"")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IFERROR($C$1-1+_xlfn.RANK.EQ(B89,$B$4:$B$166)+COUNTIF(B$4:$B89,B89)-1,"")</f>
        <v/>
      </c>
      <c r="D89" s="1" t="str">
        <f ca="1">IFERROR(VLOOKUP(C89,'Expressing opinions'!A:B,2,0),"")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IFERROR($C$1-1+_xlfn.RANK.EQ(B90,$B$4:$B$166)+COUNTIF(B$4:$B90,B90)-1,"")</f>
        <v/>
      </c>
      <c r="D90" s="1" t="str">
        <f ca="1">IFERROR(VLOOKUP(C90,'Expressing opinions'!A:B,2,0),"")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IFERROR($C$1-1+_xlfn.RANK.EQ(B91,$B$4:$B$166)+COUNTIF(B$4:$B91,B91)-1,"")</f>
        <v/>
      </c>
      <c r="D91" s="1" t="str">
        <f ca="1">IFERROR(VLOOKUP(C91,'Expressing opinions'!A:B,2,0),"")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IFERROR($C$1-1+_xlfn.RANK.EQ(B92,$B$4:$B$166)+COUNTIF(B$4:$B92,B92)-1,"")</f>
        <v/>
      </c>
      <c r="D92" s="1" t="str">
        <f ca="1">IFERROR(VLOOKUP(C92,'Expressing opinions'!A:B,2,0),"")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IFERROR($C$1-1+_xlfn.RANK.EQ(B93,$B$4:$B$166)+COUNTIF(B$4:$B93,B93)-1,"")</f>
        <v/>
      </c>
      <c r="D93" s="1" t="str">
        <f ca="1">IFERROR(VLOOKUP(C93,'Expressing opinions'!A:B,2,0),"")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IFERROR($C$1-1+_xlfn.RANK.EQ(B94,$B$4:$B$166)+COUNTIF(B$4:$B94,B94)-1,"")</f>
        <v/>
      </c>
      <c r="D94" s="1" t="str">
        <f ca="1">IFERROR(VLOOKUP(C94,'Expressing opinions'!A:B,2,0),"")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IFERROR($C$1-1+_xlfn.RANK.EQ(B95,$B$4:$B$166)+COUNTIF(B$4:$B95,B95)-1,"")</f>
        <v/>
      </c>
      <c r="D95" s="1" t="str">
        <f ca="1">IFERROR(VLOOKUP(C95,'Expressing opinions'!A:B,2,0),"")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IFERROR($C$1-1+_xlfn.RANK.EQ(B96,$B$4:$B$166)+COUNTIF(B$4:$B96,B96)-1,"")</f>
        <v/>
      </c>
      <c r="D96" s="1" t="str">
        <f ca="1">IFERROR(VLOOKUP(C96,'Expressing opinions'!A:B,2,0),"")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IFERROR($C$1-1+_xlfn.RANK.EQ(B97,$B$4:$B$166)+COUNTIF(B$4:$B97,B97)-1,"")</f>
        <v/>
      </c>
      <c r="D97" s="1" t="str">
        <f ca="1">IFERROR(VLOOKUP(C97,'Expressing opinions'!A:B,2,0),"")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IFERROR($C$1-1+_xlfn.RANK.EQ(B98,$B$4:$B$166)+COUNTIF(B$4:$B98,B98)-1,"")</f>
        <v/>
      </c>
      <c r="D98" s="1" t="str">
        <f ca="1">IFERROR(VLOOKUP(C98,'Expressing opinions'!A:B,2,0),"")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IFERROR($C$1-1+_xlfn.RANK.EQ(B99,$B$4:$B$166)+COUNTIF(B$4:$B99,B99)-1,"")</f>
        <v/>
      </c>
      <c r="D99" s="1" t="str">
        <f ca="1">IFERROR(VLOOKUP(C99,'Expressing opinions'!A:B,2,0),"")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IFERROR($C$1-1+_xlfn.RANK.EQ(B100,$B$4:$B$166)+COUNTIF(B$4:$B100,B100)-1,"")</f>
        <v/>
      </c>
      <c r="D100" s="1" t="str">
        <f ca="1">IFERROR(VLOOKUP(C100,'Expressing opinions'!A:B,2,0),"")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IFERROR($C$1-1+_xlfn.RANK.EQ(B101,$B$4:$B$166)+COUNTIF(B$4:$B101,B101)-1,"")</f>
        <v/>
      </c>
      <c r="D101" s="1" t="str">
        <f ca="1">IFERROR(VLOOKUP(C101,'Expressing opinions'!A:B,2,0),"")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IFERROR($C$1-1+_xlfn.RANK.EQ(B102,$B$4:$B$166)+COUNTIF(B$4:$B102,B102)-1,"")</f>
        <v/>
      </c>
      <c r="D102" s="1" t="str">
        <f ca="1">IFERROR(VLOOKUP(C102,'Expressing opinions'!A:B,2,0),"")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IFERROR($C$1-1+_xlfn.RANK.EQ(B103,$B$4:$B$166)+COUNTIF(B$4:$B103,B103)-1,"")</f>
        <v/>
      </c>
      <c r="D103" s="1" t="str">
        <f ca="1">IFERROR(VLOOKUP(C103,'Expressing opinions'!A:B,2,0),"")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IFERROR($C$1-1+_xlfn.RANK.EQ(B104,$B$4:$B$166)+COUNTIF(B$4:$B104,B104)-1,"")</f>
        <v/>
      </c>
      <c r="D104" s="1" t="str">
        <f ca="1">IFERROR(VLOOKUP(C104,'Expressing opinions'!A:B,2,0),"")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IFERROR($C$1-1+_xlfn.RANK.EQ(B105,$B$4:$B$166)+COUNTIF(B$4:$B105,B105)-1,"")</f>
        <v/>
      </c>
      <c r="D105" s="1" t="str">
        <f ca="1">IFERROR(VLOOKUP(C105,'Expressing opinions'!A:B,2,0),"")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IFERROR($C$1-1+_xlfn.RANK.EQ(B106,$B$4:$B$166)+COUNTIF(B$4:$B106,B106)-1,"")</f>
        <v/>
      </c>
      <c r="D106" s="1" t="str">
        <f ca="1">IFERROR(VLOOKUP(C106,'Expressing opinions'!A:B,2,0),"")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IFERROR($C$1-1+_xlfn.RANK.EQ(B107,$B$4:$B$166)+COUNTIF(B$4:$B107,B107)-1,"")</f>
        <v/>
      </c>
      <c r="D107" s="1" t="str">
        <f ca="1">IFERROR(VLOOKUP(C107,'Expressing opinions'!A:B,2,0),"")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IFERROR($C$1-1+_xlfn.RANK.EQ(B108,$B$4:$B$166)+COUNTIF(B$4:$B108,B108)-1,"")</f>
        <v/>
      </c>
      <c r="D108" s="1" t="str">
        <f ca="1">IFERROR(VLOOKUP(C108,'Expressing opinions'!A:B,2,0),"")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IFERROR($C$1-1+_xlfn.RANK.EQ(B109,$B$4:$B$166)+COUNTIF(B$4:$B109,B109)-1,"")</f>
        <v/>
      </c>
      <c r="D109" s="1" t="str">
        <f ca="1">IFERROR(VLOOKUP(C109,'Expressing opinions'!A:B,2,0),"")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IFERROR($C$1-1+_xlfn.RANK.EQ(B110,$B$4:$B$166)+COUNTIF(B$4:$B110,B110)-1,"")</f>
        <v/>
      </c>
      <c r="D110" s="1" t="str">
        <f ca="1">IFERROR(VLOOKUP(C110,'Expressing opinions'!A:B,2,0),"")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IFERROR($C$1-1+_xlfn.RANK.EQ(B111,$B$4:$B$166)+COUNTIF(B$4:$B111,B111)-1,"")</f>
        <v/>
      </c>
      <c r="D111" s="1" t="str">
        <f ca="1">IFERROR(VLOOKUP(C111,'Expressing opinions'!A:B,2,0),"")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IFERROR($C$1-1+_xlfn.RANK.EQ(B112,$B$4:$B$166)+COUNTIF(B$4:$B112,B112)-1,"")</f>
        <v/>
      </c>
      <c r="D112" s="1" t="str">
        <f ca="1">IFERROR(VLOOKUP(C112,'Expressing opinions'!A:B,2,0),"")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IFERROR($C$1-1+_xlfn.RANK.EQ(B113,$B$4:$B$166)+COUNTIF(B$4:$B113,B113)-1,"")</f>
        <v/>
      </c>
      <c r="D113" s="1" t="str">
        <f ca="1">IFERROR(VLOOKUP(C113,'Expressing opinions'!A:B,2,0),"")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IFERROR($C$1-1+_xlfn.RANK.EQ(B114,$B$4:$B$166)+COUNTIF(B$4:$B114,B114)-1,"")</f>
        <v/>
      </c>
      <c r="D114" s="1" t="str">
        <f ca="1">IFERROR(VLOOKUP(C114,'Expressing opinions'!A:B,2,0),"")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IFERROR($C$1-1+_xlfn.RANK.EQ(B115,$B$4:$B$166)+COUNTIF(B$4:$B115,B115)-1,"")</f>
        <v/>
      </c>
      <c r="D115" s="1" t="str">
        <f ca="1">IFERROR(VLOOKUP(C115,'Expressing opinions'!A:B,2,0),"")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IFERROR($C$1-1+_xlfn.RANK.EQ(B116,$B$4:$B$166)+COUNTIF(B$4:$B116,B116)-1,"")</f>
        <v/>
      </c>
      <c r="D116" s="1" t="str">
        <f ca="1">IFERROR(VLOOKUP(C116,'Expressing opinions'!A:B,2,0),"")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IFERROR($C$1-1+_xlfn.RANK.EQ(B117,$B$4:$B$166)+COUNTIF(B$4:$B117,B117)-1,"")</f>
        <v/>
      </c>
      <c r="D117" s="1" t="str">
        <f ca="1">IFERROR(VLOOKUP(C117,'Expressing opinions'!A:B,2,0),"")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IFERROR($C$1-1+_xlfn.RANK.EQ(B118,$B$4:$B$166)+COUNTIF(B$4:$B118,B118)-1,"")</f>
        <v/>
      </c>
      <c r="D118" s="1" t="str">
        <f ca="1">IFERROR(VLOOKUP(C118,'Expressing opinions'!A:B,2,0),"")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IFERROR($C$1-1+_xlfn.RANK.EQ(B119,$B$4:$B$166)+COUNTIF(B$4:$B119,B119)-1,"")</f>
        <v/>
      </c>
      <c r="D119" s="1" t="str">
        <f ca="1">IFERROR(VLOOKUP(C119,'Expressing opinions'!A:B,2,0),"")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IFERROR($C$1-1+_xlfn.RANK.EQ(B120,$B$4:$B$166)+COUNTIF(B$4:$B120,B120)-1,"")</f>
        <v/>
      </c>
      <c r="D120" s="1" t="str">
        <f ca="1">IFERROR(VLOOKUP(C120,'Expressing opinions'!A:B,2,0),"")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IFERROR($C$1-1+_xlfn.RANK.EQ(B121,$B$4:$B$166)+COUNTIF(B$4:$B121,B121)-1,"")</f>
        <v/>
      </c>
      <c r="D121" s="1" t="str">
        <f ca="1">IFERROR(VLOOKUP(C121,'Expressing opinions'!A:B,2,0),"")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IFERROR($C$1-1+_xlfn.RANK.EQ(B122,$B$4:$B$166)+COUNTIF(B$4:$B122,B122)-1,"")</f>
        <v/>
      </c>
      <c r="D122" s="1" t="str">
        <f ca="1">IFERROR(VLOOKUP(C122,'Expressing opinions'!A:B,2,0),"")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IFERROR($C$1-1+_xlfn.RANK.EQ(B123,$B$4:$B$166)+COUNTIF(B$4:$B123,B123)-1,"")</f>
        <v/>
      </c>
      <c r="D123" s="1" t="str">
        <f ca="1">IFERROR(VLOOKUP(C123,'Expressing opinions'!A:B,2,0),"")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IFERROR($C$1-1+_xlfn.RANK.EQ(B124,$B$4:$B$166)+COUNTIF(B$4:$B124,B124)-1,"")</f>
        <v/>
      </c>
      <c r="D124" s="1" t="str">
        <f ca="1">IFERROR(VLOOKUP(C124,'Expressing opinions'!A:B,2,0),"")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IFERROR($C$1-1+_xlfn.RANK.EQ(B125,$B$4:$B$166)+COUNTIF(B$4:$B125,B125)-1,"")</f>
        <v/>
      </c>
      <c r="D125" s="1" t="str">
        <f ca="1">IFERROR(VLOOKUP(C125,'Expressing opinions'!A:B,2,0),"")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IFERROR($C$1-1+_xlfn.RANK.EQ(B126,$B$4:$B$166)+COUNTIF(B$4:$B126,B126)-1,"")</f>
        <v/>
      </c>
      <c r="D126" s="1" t="str">
        <f ca="1">IFERROR(VLOOKUP(C126,'Expressing opinions'!A:B,2,0),"")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IFERROR($C$1-1+_xlfn.RANK.EQ(B127,$B$4:$B$166)+COUNTIF(B$4:$B127,B127)-1,"")</f>
        <v/>
      </c>
      <c r="D127" s="1" t="str">
        <f ca="1">IFERROR(VLOOKUP(C127,'Expressing opinions'!A:B,2,0),"")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IFERROR($C$1-1+_xlfn.RANK.EQ(B128,$B$4:$B$166)+COUNTIF(B$4:$B128,B128)-1,"")</f>
        <v/>
      </c>
      <c r="D128" s="1" t="str">
        <f ca="1">IFERROR(VLOOKUP(C128,'Expressing opinions'!A:B,2,0),"")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IFERROR($C$1-1+_xlfn.RANK.EQ(B129,$B$4:$B$166)+COUNTIF(B$4:$B129,B129)-1,"")</f>
        <v/>
      </c>
      <c r="D129" s="1" t="str">
        <f ca="1">IFERROR(VLOOKUP(C129,'Expressing opinions'!A:B,2,0),"")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IFERROR($C$1-1+_xlfn.RANK.EQ(B130,$B$4:$B$166)+COUNTIF(B$4:$B130,B130)-1,"")</f>
        <v/>
      </c>
      <c r="D130" s="1" t="str">
        <f ca="1">IFERROR(VLOOKUP(C130,'Expressing opinions'!A:B,2,0),"")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IFERROR($C$1-1+_xlfn.RANK.EQ(B131,$B$4:$B$166)+COUNTIF(B$4:$B131,B131)-1,"")</f>
        <v/>
      </c>
      <c r="D131" s="1" t="str">
        <f ca="1">IFERROR(VLOOKUP(C131,'Expressing opinions'!A:B,2,0),"")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IFERROR($C$1-1+_xlfn.RANK.EQ(B132,$B$4:$B$166)+COUNTIF(B$4:$B132,B132)-1,"")</f>
        <v/>
      </c>
      <c r="D132" s="1" t="str">
        <f ca="1">IFERROR(VLOOKUP(C132,'Expressing opinions'!A:B,2,0),"")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IFERROR($C$1-1+_xlfn.RANK.EQ(B133,$B$4:$B$166)+COUNTIF(B$4:$B133,B133)-1,"")</f>
        <v/>
      </c>
      <c r="D133" s="1" t="str">
        <f ca="1">IFERROR(VLOOKUP(C133,'Expressing opinions'!A:B,2,0),"")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IFERROR($C$1-1+_xlfn.RANK.EQ(B134,$B$4:$B$166)+COUNTIF(B$4:$B134,B134)-1,"")</f>
        <v/>
      </c>
      <c r="D134" s="1" t="str">
        <f ca="1">IFERROR(VLOOKUP(C134,'Expressing opinions'!A:B,2,0),"")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IFERROR($C$1-1+_xlfn.RANK.EQ(B135,$B$4:$B$166)+COUNTIF(B$4:$B135,B135)-1,"")</f>
        <v/>
      </c>
      <c r="D135" s="1" t="str">
        <f ca="1">IFERROR(VLOOKUP(C135,'Expressing opinions'!A:B,2,0),"")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IFERROR($C$1-1+_xlfn.RANK.EQ(B136,$B$4:$B$166)+COUNTIF(B$4:$B136,B136)-1,"")</f>
        <v/>
      </c>
      <c r="D136" s="1" t="str">
        <f ca="1">IFERROR(VLOOKUP(C136,'Expressing opinions'!A:B,2,0),"")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IFERROR($C$1-1+_xlfn.RANK.EQ(B137,$B$4:$B$166)+COUNTIF(B$4:$B137,B137)-1,"")</f>
        <v/>
      </c>
      <c r="D137" s="1" t="str">
        <f ca="1">IFERROR(VLOOKUP(C137,'Expressing opinions'!A:B,2,0),"")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IFERROR($C$1-1+_xlfn.RANK.EQ(B138,$B$4:$B$166)+COUNTIF(B$4:$B138,B138)-1,"")</f>
        <v/>
      </c>
      <c r="D138" s="1" t="str">
        <f ca="1">IFERROR(VLOOKUP(C138,'Expressing opinions'!A:B,2,0),"")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IFERROR($C$1-1+_xlfn.RANK.EQ(B139,$B$4:$B$166)+COUNTIF(B$4:$B139,B139)-1,"")</f>
        <v/>
      </c>
      <c r="D139" s="1" t="str">
        <f ca="1">IFERROR(VLOOKUP(C139,'Expressing opinions'!A:B,2,0),"")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IFERROR($C$1-1+_xlfn.RANK.EQ(B140,$B$4:$B$166)+COUNTIF(B$4:$B140,B140)-1,"")</f>
        <v/>
      </c>
      <c r="D140" s="1" t="str">
        <f ca="1">IFERROR(VLOOKUP(C140,'Expressing opinions'!A:B,2,0),"")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IFERROR($C$1-1+_xlfn.RANK.EQ(B141,$B$4:$B$166)+COUNTIF(B$4:$B141,B141)-1,"")</f>
        <v/>
      </c>
      <c r="D141" s="1" t="str">
        <f ca="1">IFERROR(VLOOKUP(C141,'Expressing opinions'!A:B,2,0),"")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IFERROR($C$1-1+_xlfn.RANK.EQ(B142,$B$4:$B$166)+COUNTIF(B$4:$B142,B142)-1,"")</f>
        <v/>
      </c>
      <c r="D142" s="1" t="str">
        <f ca="1">IFERROR(VLOOKUP(C142,'Expressing opinions'!A:B,2,0),"")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C143" s="1" t="str">
        <f ca="1">IFERROR($C$1-1+_xlfn.RANK.EQ(B143,$B$4:$B$166)+COUNTIF(B$4:$B143,B143)-1,"")</f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C144" s="1" t="str">
        <f ca="1">IFERROR($C$1-1+_xlfn.RANK.EQ(B144,$B$4:$B$166)+COUNTIF(B$4:$B144,B144)-1,"")</f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C145" s="1" t="str">
        <f ca="1">IFERROR($C$1-1+_xlfn.RANK.EQ(B145,$B$4:$B$166)+COUNTIF(B$4:$B145,B145)-1,"")</f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C146" s="1" t="str">
        <f ca="1">IFERROR($C$1-1+_xlfn.RANK.EQ(B146,$B$4:$B$166)+COUNTIF(B$4:$B146,B146)-1,"")</f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C147" s="1" t="str">
        <f ca="1">IFERROR($C$1-1+_xlfn.RANK.EQ(B147,$B$4:$B$166)+COUNTIF(B$4:$B147,B147)-1,"")</f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C148" s="1" t="str">
        <f ca="1">IFERROR($C$1-1+_xlfn.RANK.EQ(B148,$B$4:$B$166)+COUNTIF(B$4:$B148,B148)-1,"")</f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C149" s="1" t="str">
        <f ca="1">IFERROR($C$1-1+_xlfn.RANK.EQ(B149,$B$4:$B$166)+COUNTIF(B$4:$B149,B149)-1,"")</f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C150" s="1" t="str">
        <f ca="1">IFERROR($C$1-1+_xlfn.RANK.EQ(B150,$B$4:$B$166)+COUNTIF(B$4:$B150,B150)-1,"")</f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C151" s="1" t="str">
        <f ca="1">IFERROR($C$1-1+_xlfn.RANK.EQ(B151,$B$4:$B$166)+COUNTIF(B$4:$B151,B151)-1,"")</f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C152" s="1" t="str">
        <f ca="1">IFERROR($C$1-1+_xlfn.RANK.EQ(B152,$B$4:$B$166)+COUNTIF(B$4:$B152,B152)-1,"")</f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C153" s="1" t="str">
        <f ca="1">IFERROR($C$1-1+_xlfn.RANK.EQ(B153,$B$4:$B$166)+COUNTIF(B$4:$B153,B153)-1,"")</f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C154" s="1" t="str">
        <f ca="1">IFERROR($C$1-1+_xlfn.RANK.EQ(B154,$B$4:$B$166)+COUNTIF(B$4:$B154,B154)-1,"")</f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C155" s="1" t="str">
        <f ca="1">IFERROR($C$1-1+_xlfn.RANK.EQ(B155,$B$4:$B$166)+COUNTIF(B$4:$B155,B155)-1,"")</f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C156" s="1" t="str">
        <f ca="1">IFERROR($C$1-1+_xlfn.RANK.EQ(B156,$B$4:$B$166)+COUNTIF(B$4:$B156,B156)-1,"")</f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C157" s="1" t="str">
        <f ca="1">IFERROR($C$1-1+_xlfn.RANK.EQ(B157,$B$4:$B$166)+COUNTIF(B$4:$B157,B157)-1,"")</f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C158" s="1" t="str">
        <f ca="1">IFERROR($C$1-1+_xlfn.RANK.EQ(B158,$B$4:$B$166)+COUNTIF(B$4:$B158,B158)-1,"")</f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C159" s="1" t="str">
        <f ca="1">IFERROR($C$1-1+_xlfn.RANK.EQ(B159,$B$4:$B$166)+COUNTIF(B$4:$B159,B159)-1,"")</f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C160" s="1" t="str">
        <f ca="1">IFERROR($C$1-1+_xlfn.RANK.EQ(B160,$B$4:$B$166)+COUNTIF(B$4:$B160,B160)-1,"")</f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C161" s="1" t="str">
        <f ca="1">IFERROR($C$1-1+_xlfn.RANK.EQ(B161,$B$4:$B$166)+COUNTIF(B$4:$B161,B161)-1,"")</f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C162" s="1" t="str">
        <f ca="1">IFERROR($C$1-1+_xlfn.RANK.EQ(B162,$B$4:$B$166)+COUNTIF(B$4:$B162,B162)-1,"")</f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C163" s="1" t="str">
        <f ca="1">IFERROR($C$1-1+_xlfn.RANK.EQ(B163,$B$4:$B$166)+COUNTIF(B$4:$B163,B163)-1,"")</f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C164" s="1" t="str">
        <f ca="1">IFERROR($C$1-1+_xlfn.RANK.EQ(B164,$B$4:$B$166)+COUNTIF(B$4:$B164,B164)-1,"")</f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C165" s="1" t="str">
        <f ca="1">IFERROR($C$1-1+_xlfn.RANK.EQ(B165,$B$4:$B$166)+COUNTIF(B$4:$B165,B165)-1,"")</f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C166" s="1" t="str">
        <f ca="1">IFERROR($C$1-1+_xlfn.RANK.EQ(B166,$B$4:$B$166)+COUNTIF(B$4:$B166,B166)-1,"")</f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C167" s="1" t="str">
        <f ca="1">IFERROR($C$1-1+_xlfn.RANK.EQ(B167,$B$4:$B$166)+COUNTIF(B$4:$B167,B167)-1,"")</f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C168" s="1" t="str">
        <f ca="1">IFERROR($C$1-1+_xlfn.RANK.EQ(B168,$B$4:$B$166)+COUNTIF(B$4:$B168,B168)-1,"")</f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C169" s="1" t="str">
        <f ca="1">IFERROR($C$1-1+_xlfn.RANK.EQ(B169,$B$4:$B$166)+COUNTIF(B$4:$B169,B169)-1,"")</f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C170" s="1" t="str">
        <f ca="1">IFERROR($C$1-1+_xlfn.RANK.EQ(B170,$B$4:$B$166)+COUNTIF(B$4:$B170,B170)-1,"")</f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C171" s="1" t="str">
        <f ca="1">IFERROR($C$1-1+_xlfn.RANK.EQ(B171,$B$4:$B$166)+COUNTIF(B$4:$B171,B171)-1,"")</f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C172" s="1" t="str">
        <f ca="1">IFERROR($C$1-1+_xlfn.RANK.EQ(B172,$B$4:$B$166)+COUNTIF(B$4:$B172,B172)-1,"")</f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C173" s="1" t="str">
        <f ca="1">IFERROR($C$1-1+_xlfn.RANK.EQ(B173,$B$4:$B$166)+COUNTIF(B$4:$B173,B173)-1,"")</f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C174" s="1" t="str">
        <f ca="1">IFERROR($C$1-1+_xlfn.RANK.EQ(B174,$B$4:$B$166)+COUNTIF(B$4:$B174,B174)-1,"")</f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C175" s="1" t="str">
        <f ca="1">IFERROR($C$1-1+_xlfn.RANK.EQ(B175,$B$4:$B$166)+COUNTIF(B$4:$B175,B175)-1,"")</f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C176" s="1" t="str">
        <f ca="1">IFERROR($C$1-1+_xlfn.RANK.EQ(B176,$B$4:$B$166)+COUNTIF(B$4:$B176,B176)-1,"")</f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C177" s="1" t="str">
        <f ca="1">IFERROR($C$1-1+_xlfn.RANK.EQ(B177,$B$4:$B$166)+COUNTIF(B$4:$B177,B177)-1,"")</f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C178" s="1" t="str">
        <f ca="1">IFERROR($C$1-1+_xlfn.RANK.EQ(B178,$B$4:$B$166)+COUNTIF(B$4:$B178,B178)-1,"")</f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C179" s="1" t="str">
        <f ca="1">IFERROR($C$1-1+_xlfn.RANK.EQ(B179,$B$4:$B$166)+COUNTIF(B$4:$B179,B179)-1,"")</f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C180" s="1" t="str">
        <f ca="1">IFERROR($C$1-1+_xlfn.RANK.EQ(B180,$B$4:$B$166)+COUNTIF(B$4:$B180,B180)-1,"")</f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C181" s="1" t="str">
        <f ca="1">IFERROR($C$1-1+_xlfn.RANK.EQ(B181,$B$4:$B$166)+COUNTIF(B$4:$B181,B181)-1,"")</f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C182" s="1" t="str">
        <f ca="1">IFERROR($C$1-1+_xlfn.RANK.EQ(B182,$B$4:$B$166)+COUNTIF(B$4:$B182,B182)-1,"")</f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C183" s="1" t="str">
        <f ca="1">IFERROR($C$1-1+_xlfn.RANK.EQ(B183,$B$4:$B$166)+COUNTIF(B$4:$B183,B183)-1,"")</f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C184" s="1" t="str">
        <f ca="1">IFERROR($C$1-1+_xlfn.RANK.EQ(B184,$B$4:$B$166)+COUNTIF(B$4:$B184,B184)-1,"")</f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C185" s="1" t="str">
        <f ca="1">IFERROR($C$1-1+_xlfn.RANK.EQ(B185,$B$4:$B$166)+COUNTIF(B$4:$B185,B185)-1,"")</f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C186" s="1" t="str">
        <f ca="1">IFERROR($C$1-1+_xlfn.RANK.EQ(B186,$B$4:$B$166)+COUNTIF(B$4:$B186,B186)-1,"")</f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C187" s="1" t="str">
        <f ca="1">IFERROR($C$1-1+_xlfn.RANK.EQ(B187,$B$4:$B$166)+COUNTIF(B$4:$B187,B187)-1,"")</f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C188" s="1" t="str">
        <f ca="1">IFERROR($C$1-1+_xlfn.RANK.EQ(B188,$B$4:$B$166)+COUNTIF(B$4:$B188,B188)-1,"")</f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C189" s="1" t="str">
        <f ca="1">IFERROR($C$1-1+_xlfn.RANK.EQ(B189,$B$4:$B$166)+COUNTIF(B$4:$B189,B189)-1,"")</f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C190" s="1" t="str">
        <f ca="1">IFERROR($C$1-1+_xlfn.RANK.EQ(B190,$B$4:$B$166)+COUNTIF(B$4:$B190,B190)-1,"")</f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C191" s="1" t="str">
        <f ca="1">IFERROR($C$1-1+_xlfn.RANK.EQ(B191,$B$4:$B$166)+COUNTIF(B$4:$B191,B191)-1,"")</f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C192" s="1" t="str">
        <f ca="1">IFERROR($C$1-1+_xlfn.RANK.EQ(B192,$B$4:$B$166)+COUNTIF(B$4:$B192,B192)-1,"")</f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C193" s="1" t="str">
        <f ca="1">IFERROR($C$1-1+_xlfn.RANK.EQ(B193,$B$4:$B$166)+COUNTIF(B$4:$B193,B193)-1,"")</f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C194" s="1" t="str">
        <f ca="1">IFERROR($C$1-1+_xlfn.RANK.EQ(B194,$B$4:$B$166)+COUNTIF(B$4:$B194,B194)-1,"")</f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C195" s="1" t="str">
        <f ca="1">IFERROR($C$1-1+_xlfn.RANK.EQ(B195,$B$4:$B$166)+COUNTIF(B$4:$B195,B195)-1,"")</f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C196" s="1" t="str">
        <f ca="1">IFERROR($C$1-1+_xlfn.RANK.EQ(B196,$B$4:$B$166)+COUNTIF(B$4:$B196,B196)-1,"")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C197" s="1" t="str">
        <f ca="1">IFERROR($C$1-1+_xlfn.RANK.EQ(B197,$B$4:$B$166)+COUNTIF(B$4:$B197,B197)-1,"")</f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C198" s="1" t="str">
        <f ca="1">IFERROR($C$1-1+_xlfn.RANK.EQ(B198,$B$4:$B$166)+COUNTIF(B$4:$B198,B198)-1,"")</f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C199" s="1" t="str">
        <f ca="1">IFERROR($C$1-1+_xlfn.RANK.EQ(B199,$B$4:$B$166)+COUNTIF(B$4:$B199,B199)-1,"")</f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C200" s="1" t="str">
        <f ca="1">IFERROR($C$1-1+_xlfn.RANK.EQ(B200,$B$4:$B$166)+COUNTIF(B$4:$B200,B200)-1,"")</f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C201" s="1" t="str">
        <f ca="1">IFERROR($C$1-1+_xlfn.RANK.EQ(B201,$B$4:$B$166)+COUNTIF(B$4:$B201,B201)-1,"")</f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C202" s="1" t="str">
        <f ca="1">IFERROR($C$1-1+_xlfn.RANK.EQ(B202,$B$4:$B$166)+COUNTIF(B$4:$B202,B202)-1,"")</f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C203" s="1" t="str">
        <f ca="1">IFERROR($C$1-1+_xlfn.RANK.EQ(B203,$B$4:$B$166)+COUNTIF(B$4:$B203,B203)-1,"")</f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C204" s="1" t="str">
        <f ca="1">IFERROR($C$1-1+_xlfn.RANK.EQ(B204,$B$4:$B$166)+COUNTIF(B$4:$B204,B204)-1,"")</f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C205" s="1" t="str">
        <f ca="1">IFERROR($C$1-1+_xlfn.RANK.EQ(B205,$B$4:$B$166)+COUNTIF(B$4:$B205,B205)-1,"")</f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C206" s="1" t="str">
        <f ca="1">IFERROR($C$1-1+_xlfn.RANK.EQ(B206,$B$4:$B$166)+COUNTIF(B$4:$B206,B206)-1,"")</f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C207" s="1" t="str">
        <f ca="1">IFERROR($C$1-1+_xlfn.RANK.EQ(B207,$B$4:$B$166)+COUNTIF(B$4:$B207,B207)-1,"")</f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C208" s="1" t="str">
        <f ca="1">IFERROR($C$1-1+_xlfn.RANK.EQ(B208,$B$4:$B$166)+COUNTIF(B$4:$B208,B208)-1,"")</f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C209" s="1" t="str">
        <f ca="1">IFERROR($C$1-1+_xlfn.RANK.EQ(B209,$B$4:$B$166)+COUNTIF(B$4:$B209,B209)-1,"")</f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C210" s="1" t="str">
        <f ca="1">IFERROR($C$1-1+_xlfn.RANK.EQ(B210,$B$4:$B$166)+COUNTIF(B$4:$B210,B210)-1,"")</f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C211" s="1" t="str">
        <f ca="1">IFERROR($C$1-1+_xlfn.RANK.EQ(B211,$B$4:$B$166)+COUNTIF(B$4:$B211,B211)-1,"")</f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C212" s="1" t="str">
        <f ca="1">IFERROR($C$1-1+_xlfn.RANK.EQ(B212,$B$4:$B$166)+COUNTIF(B$4:$B212,B212)-1,"")</f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C213" s="1" t="str">
        <f ca="1">IFERROR($C$1-1+_xlfn.RANK.EQ(B213,$B$4:$B$166)+COUNTIF(B$4:$B213,B213)-1,"")</f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C214" s="1" t="str">
        <f ca="1">IFERROR($C$1-1+_xlfn.RANK.EQ(B214,$B$4:$B$166)+COUNTIF(B$4:$B214,B214)-1,"")</f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C215" s="1" t="str">
        <f ca="1">IFERROR($C$1-1+_xlfn.RANK.EQ(B215,$B$4:$B$166)+COUNTIF(B$4:$B215,B215)-1,"")</f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C216" s="1" t="str">
        <f ca="1">IFERROR($C$1-1+_xlfn.RANK.EQ(B216,$B$4:$B$166)+COUNTIF(B$4:$B216,B216)-1,"")</f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C217" s="1" t="str">
        <f ca="1">IFERROR($C$1-1+_xlfn.RANK.EQ(B217,$B$4:$B$166)+COUNTIF(B$4:$B217,B217)-1,"")</f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C218" s="1" t="str">
        <f ca="1">IFERROR($C$1-1+_xlfn.RANK.EQ(B218,$B$4:$B$166)+COUNTIF(B$4:$B218,B218)-1,"")</f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C219" s="1" t="str">
        <f ca="1">IFERROR($C$1-1+_xlfn.RANK.EQ(B219,$B$4:$B$166)+COUNTIF(B$4:$B219,B219)-1,"")</f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C220" s="1" t="str">
        <f ca="1">IFERROR($C$1-1+_xlfn.RANK.EQ(B220,$B$4:$B$166)+COUNTIF(B$4:$B220,B220)-1,"")</f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C221" s="1" t="str">
        <f ca="1">IFERROR($C$1-1+_xlfn.RANK.EQ(B221,$B$4:$B$166)+COUNTIF(B$4:$B221,B221)-1,"")</f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C222" s="1" t="str">
        <f ca="1">IFERROR($C$1-1+_xlfn.RANK.EQ(B222,$B$4:$B$166)+COUNTIF(B$4:$B222,B222)-1,"")</f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C223" s="1" t="str">
        <f ca="1">IFERROR($C$1-1+_xlfn.RANK.EQ(B223,$B$4:$B$166)+COUNTIF(B$4:$B223,B223)-1,"")</f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C224" s="1" t="str">
        <f ca="1">IFERROR($C$1-1+_xlfn.RANK.EQ(B224,$B$4:$B$166)+COUNTIF(B$4:$B224,B224)-1,"")</f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C225" s="1" t="str">
        <f ca="1">IFERROR($C$1-1+_xlfn.RANK.EQ(B225,$B$4:$B$166)+COUNTIF(B$4:$B225,B225)-1,"")</f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C226" s="1" t="str">
        <f ca="1">IFERROR($C$1-1+_xlfn.RANK.EQ(B226,$B$4:$B$166)+COUNTIF(B$4:$B226,B226)-1,"")</f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C227" s="1" t="str">
        <f ca="1">IFERROR($C$1-1+_xlfn.RANK.EQ(B227,$B$4:$B$166)+COUNTIF(B$4:$B227,B227)-1,"")</f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C228" s="1" t="str">
        <f ca="1">IFERROR($C$1-1+_xlfn.RANK.EQ(B228,$B$4:$B$166)+COUNTIF(B$4:$B228,B228)-1,"")</f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C229" s="1" t="str">
        <f ca="1">IFERROR($C$1-1+_xlfn.RANK.EQ(B229,$B$4:$B$166)+COUNTIF(B$4:$B229,B229)-1,"")</f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C230" s="1" t="str">
        <f ca="1">IFERROR($C$1-1+_xlfn.RANK.EQ(B230,$B$4:$B$166)+COUNTIF(B$4:$B230,B230)-1,"")</f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C231" s="1" t="str">
        <f ca="1">IFERROR($C$1-1+_xlfn.RANK.EQ(B231,$B$4:$B$166)+COUNTIF(B$4:$B231,B231)-1,"")</f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C232" s="1" t="str">
        <f ca="1">IFERROR($C$1-1+_xlfn.RANK.EQ(B232,$B$4:$B$166)+COUNTIF(B$4:$B232,B232)-1,"")</f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C233" s="1" t="str">
        <f ca="1">IFERROR($C$1-1+_xlfn.RANK.EQ(B233,$B$4:$B$166)+COUNTIF(B$4:$B233,B233)-1,"")</f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C234" s="1" t="str">
        <f ca="1">IFERROR($C$1-1+_xlfn.RANK.EQ(B234,$B$4:$B$166)+COUNTIF(B$4:$B234,B234)-1,"")</f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C235" s="1" t="str">
        <f ca="1">IFERROR($C$1-1+_xlfn.RANK.EQ(B235,$B$4:$B$166)+COUNTIF(B$4:$B235,B235)-1,"")</f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C236" s="1" t="str">
        <f ca="1">IFERROR($C$1-1+_xlfn.RANK.EQ(B236,$B$4:$B$166)+COUNTIF(B$4:$B236,B236)-1,"")</f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C237" s="1" t="str">
        <f ca="1">IFERROR($C$1-1+_xlfn.RANK.EQ(B237,$B$4:$B$166)+COUNTIF(B$4:$B237,B237)-1,"")</f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C238" s="1" t="str">
        <f ca="1">IFERROR($C$1-1+_xlfn.RANK.EQ(B238,$B$4:$B$166)+COUNTIF(B$4:$B238,B238)-1,"")</f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C239" s="1" t="str">
        <f ca="1">IFERROR($C$1-1+_xlfn.RANK.EQ(B239,$B$4:$B$166)+COUNTIF(B$4:$B239,B239)-1,"")</f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C240" s="1" t="str">
        <f ca="1">IFERROR($C$1-1+_xlfn.RANK.EQ(B240,$B$4:$B$166)+COUNTIF(B$4:$B240,B240)-1,"")</f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C241" s="1" t="str">
        <f ca="1">IFERROR($C$1-1+_xlfn.RANK.EQ(B241,$B$4:$B$166)+COUNTIF(B$4:$B241,B241)-1,"")</f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C242" s="1" t="str">
        <f ca="1">IFERROR($C$1-1+_xlfn.RANK.EQ(B242,$B$4:$B$166)+COUNTIF(B$4:$B242,B242)-1,"")</f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C243" s="1" t="str">
        <f ca="1">IFERROR($C$1-1+_xlfn.RANK.EQ(B243,$B$4:$B$166)+COUNTIF(B$4:$B243,B243)-1,"")</f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C244" s="1" t="str">
        <f ca="1">IFERROR($C$1-1+_xlfn.RANK.EQ(B244,$B$4:$B$166)+COUNTIF(B$4:$B244,B244)-1,"")</f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C245" s="1" t="str">
        <f ca="1">IFERROR($C$1-1+_xlfn.RANK.EQ(B245,$B$4:$B$166)+COUNTIF(B$4:$B245,B245)-1,"")</f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C246" s="1" t="str">
        <f ca="1">IFERROR($C$1-1+_xlfn.RANK.EQ(B246,$B$4:$B$166)+COUNTIF(B$4:$B246,B246)-1,"")</f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C247" s="1" t="str">
        <f ca="1">IFERROR($C$1-1+_xlfn.RANK.EQ(B247,$B$4:$B$166)+COUNTIF(B$4:$B247,B247)-1,"")</f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C248" s="1" t="str">
        <f ca="1">IFERROR($C$1-1+_xlfn.RANK.EQ(B248,$B$4:$B$166)+COUNTIF(B$4:$B248,B248)-1,"")</f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C249" s="1" t="str">
        <f ca="1">IFERROR($C$1-1+_xlfn.RANK.EQ(B249,$B$4:$B$166)+COUNTIF(B$4:$B249,B249)-1,"")</f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C250" s="1" t="str">
        <f ca="1">IFERROR($C$1-1+_xlfn.RANK.EQ(B250,$B$4:$B$166)+COUNTIF(B$4:$B250,B250)-1,"")</f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C251" s="1" t="str">
        <f ca="1">IFERROR($C$1-1+_xlfn.RANK.EQ(B251,$B$4:$B$166)+COUNTIF(B$4:$B251,B251)-1,"")</f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C252" s="1" t="str">
        <f ca="1">IFERROR($C$1-1+_xlfn.RANK.EQ(B252,$B$4:$B$166)+COUNTIF(B$4:$B252,B252)-1,"")</f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C253" s="1" t="str">
        <f ca="1">IFERROR($C$1-1+_xlfn.RANK.EQ(B253,$B$4:$B$166)+COUNTIF(B$4:$B253,B253)-1,"")</f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C254" s="1" t="str">
        <f ca="1">IFERROR($C$1-1+_xlfn.RANK.EQ(B254,$B$4:$B$166)+COUNTIF(B$4:$B254,B254)-1,"")</f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C255" s="1" t="str">
        <f ca="1">IFERROR($C$1-1+_xlfn.RANK.EQ(B255,$B$4:$B$166)+COUNTIF(B$4:$B255,B255)-1,"")</f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C256" s="1" t="str">
        <f ca="1">IFERROR($C$1-1+_xlfn.RANK.EQ(B256,$B$4:$B$166)+COUNTIF(B$4:$B256,B256)-1,"")</f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C257" s="1" t="str">
        <f ca="1">IFERROR($C$1-1+_xlfn.RANK.EQ(B257,$B$4:$B$166)+COUNTIF(B$4:$B257,B257)-1,"")</f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C258" s="1" t="str">
        <f ca="1">IFERROR($C$1-1+_xlfn.RANK.EQ(B258,$B$4:$B$166)+COUNTIF(B$4:$B258,B258)-1,"")</f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C259" s="1" t="str">
        <f ca="1">IFERROR($C$1-1+_xlfn.RANK.EQ(B259,$B$4:$B$166)+COUNTIF(B$4:$B259,B259)-1,"")</f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C260" s="1" t="str">
        <f ca="1">IFERROR($C$1-1+_xlfn.RANK.EQ(B260,$B$4:$B$166)+COUNTIF(B$4:$B260,B260)-1,"")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C261" s="1" t="str">
        <f ca="1">IFERROR($C$1-1+_xlfn.RANK.EQ(B261,$B$4:$B$166)+COUNTIF(B$4:$B261,B261)-1,"")</f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C262" s="1" t="str">
        <f ca="1">IFERROR($C$1-1+_xlfn.RANK.EQ(B262,$B$4:$B$166)+COUNTIF(B$4:$B262,B262)-1,"")</f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C263" s="1" t="str">
        <f ca="1">IFERROR($C$1-1+_xlfn.RANK.EQ(B263,$B$4:$B$166)+COUNTIF(B$4:$B263,B263)-1,"")</f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C264" s="1" t="str">
        <f ca="1">IFERROR($C$1-1+_xlfn.RANK.EQ(B264,$B$4:$B$166)+COUNTIF(B$4:$B264,B264)-1,"")</f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C265" s="1" t="str">
        <f ca="1">IFERROR($C$1-1+_xlfn.RANK.EQ(B265,$B$4:$B$166)+COUNTIF(B$4:$B265,B265)-1,"")</f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C266" s="1" t="str">
        <f ca="1">IFERROR($C$1-1+_xlfn.RANK.EQ(B266,$B$4:$B$166)+COUNTIF(B$4:$B266,B266)-1,"")</f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C267" s="1" t="str">
        <f ca="1">IFERROR($C$1-1+_xlfn.RANK.EQ(B267,$B$4:$B$166)+COUNTIF(B$4:$B267,B267)-1,"")</f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C268" s="1" t="str">
        <f ca="1">IFERROR($C$1-1+_xlfn.RANK.EQ(B268,$B$4:$B$166)+COUNTIF(B$4:$B268,B268)-1,"")</f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C269" s="1" t="str">
        <f ca="1">IFERROR($C$1-1+_xlfn.RANK.EQ(B269,$B$4:$B$166)+COUNTIF(B$4:$B269,B269)-1,"")</f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C270" s="1" t="str">
        <f ca="1">IFERROR($C$1-1+_xlfn.RANK.EQ(B270,$B$4:$B$166)+COUNTIF(B$4:$B270,B270)-1,"")</f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C271" s="1" t="str">
        <f ca="1">IFERROR($C$1-1+_xlfn.RANK.EQ(B271,$B$4:$B$166)+COUNTIF(B$4:$B271,B271)-1,"")</f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C272" s="1" t="str">
        <f ca="1">IFERROR($C$1-1+_xlfn.RANK.EQ(B272,$B$4:$B$166)+COUNTIF(B$4:$B272,B272)-1,"")</f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C273" s="1" t="str">
        <f ca="1">IFERROR($C$1-1+_xlfn.RANK.EQ(B273,$B$4:$B$166)+COUNTIF(B$4:$B273,B273)-1,"")</f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C274" s="1" t="str">
        <f ca="1">IFERROR($C$1-1+_xlfn.RANK.EQ(B274,$B$4:$B$166)+COUNTIF(B$4:$B274,B274)-1,"")</f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C275" s="1" t="str">
        <f ca="1">IFERROR($C$1-1+_xlfn.RANK.EQ(B275,$B$4:$B$166)+COUNTIF(B$4:$B275,B275)-1,"")</f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C276" s="1" t="str">
        <f ca="1">IFERROR($C$1-1+_xlfn.RANK.EQ(B276,$B$4:$B$166)+COUNTIF(B$4:$B276,B276)-1,"")</f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C277" s="1" t="str">
        <f ca="1">IFERROR($C$1-1+_xlfn.RANK.EQ(B277,$B$4:$B$166)+COUNTIF(B$4:$B277,B277)-1,"")</f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C278" s="1" t="str">
        <f ca="1">IFERROR($C$1-1+_xlfn.RANK.EQ(B278,$B$4:$B$166)+COUNTIF(B$4:$B278,B278)-1,"")</f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C279" s="1" t="str">
        <f ca="1">IFERROR($C$1-1+_xlfn.RANK.EQ(B279,$B$4:$B$166)+COUNTIF(B$4:$B279,B279)-1,"")</f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C280" s="1" t="str">
        <f ca="1">IFERROR($C$1-1+_xlfn.RANK.EQ(B280,$B$4:$B$166)+COUNTIF(B$4:$B280,B280)-1,"")</f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C281" s="1" t="str">
        <f ca="1">IFERROR($C$1-1+_xlfn.RANK.EQ(B281,$B$4:$B$166)+COUNTIF(B$4:$B281,B281)-1,"")</f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C282" s="1" t="str">
        <f ca="1">IFERROR($C$1-1+_xlfn.RANK.EQ(B282,$B$4:$B$166)+COUNTIF(B$4:$B282,B282)-1,"")</f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C283" s="1" t="str">
        <f ca="1">IFERROR($C$1-1+_xlfn.RANK.EQ(B283,$B$4:$B$166)+COUNTIF(B$4:$B283,B283)-1,"")</f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C284" s="1" t="str">
        <f ca="1">IFERROR($C$1-1+_xlfn.RANK.EQ(B284,$B$4:$B$166)+COUNTIF(B$4:$B284,B284)-1,"")</f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C285" s="1" t="str">
        <f ca="1">IFERROR($C$1-1+_xlfn.RANK.EQ(B285,$B$4:$B$166)+COUNTIF(B$4:$B285,B285)-1,"")</f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C286" s="1" t="str">
        <f ca="1">IFERROR($C$1-1+_xlfn.RANK.EQ(B286,$B$4:$B$166)+COUNTIF(B$4:$B286,B286)-1,"")</f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C287" s="1" t="str">
        <f ca="1">IFERROR($C$1-1+_xlfn.RANK.EQ(B287,$B$4:$B$166)+COUNTIF(B$4:$B287,B287)-1,"")</f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C288" s="1" t="str">
        <f ca="1">IFERROR($C$1-1+_xlfn.RANK.EQ(B288,$B$4:$B$166)+COUNTIF(B$4:$B288,B288)-1,"")</f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C289" s="1" t="str">
        <f ca="1">IFERROR($C$1-1+_xlfn.RANK.EQ(B289,$B$4:$B$166)+COUNTIF(B$4:$B289,B289)-1,"")</f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C290" s="1" t="str">
        <f ca="1">IFERROR($C$1-1+_xlfn.RANK.EQ(B290,$B$4:$B$166)+COUNTIF(B$4:$B290,B290)-1,"")</f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C291" s="1" t="str">
        <f ca="1">IFERROR($C$1-1+_xlfn.RANK.EQ(B291,$B$4:$B$166)+COUNTIF(B$4:$B291,B291)-1,"")</f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C292" s="1" t="str">
        <f ca="1">IFERROR($C$1-1+_xlfn.RANK.EQ(B292,$B$4:$B$166)+COUNTIF(B$4:$B292,B292)-1,"")</f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C293" s="1" t="str">
        <f ca="1">IFERROR($C$1-1+_xlfn.RANK.EQ(B293,$B$4:$B$166)+COUNTIF(B$4:$B293,B293)-1,"")</f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C294" s="1" t="str">
        <f ca="1">IFERROR($C$1-1+_xlfn.RANK.EQ(B294,$B$4:$B$166)+COUNTIF(B$4:$B294,B294)-1,"")</f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C295" s="1" t="str">
        <f ca="1">IFERROR($C$1-1+_xlfn.RANK.EQ(B295,$B$4:$B$166)+COUNTIF(B$4:$B295,B295)-1,"")</f>
        <v/>
      </c>
      <c r="D295" s="1"/>
    </row>
    <row r="296" spans="1:4" x14ac:dyDescent="0.25">
      <c r="C296" s="1" t="str">
        <f ca="1">IFERROR($C$1-1+_xlfn.RANK.EQ(B296,$B$4:$B$166)+COUNTIF(B$4:$B296,B296)-1,"")</f>
        <v/>
      </c>
    </row>
    <row r="297" spans="1:4" x14ac:dyDescent="0.25">
      <c r="C297" s="1" t="str">
        <f ca="1">IFERROR($C$1-1+_xlfn.RANK.EQ(B297,$B$4:$B$166)+COUNTIF(B$4:$B297,B297)-1,"")</f>
        <v/>
      </c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8:D1048576 D296:D29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:D1"/>
  <sheetViews>
    <sheetView zoomScale="96" zoomScaleNormal="96" workbookViewId="0">
      <selection activeCell="I7" sqref="I7"/>
    </sheetView>
  </sheetViews>
  <sheetFormatPr defaultRowHeight="13.8" x14ac:dyDescent="0.25"/>
  <cols>
    <col min="1" max="3" width="8.796875" style="1"/>
    <col min="4" max="4" width="8.796875" style="26"/>
  </cols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6718-A9E9-438B-B207-C9ED05A276B1}">
  <dimension ref="A1"/>
  <sheetViews>
    <sheetView workbookViewId="0">
      <selection activeCell="D20" sqref="D20"/>
    </sheetView>
  </sheetViews>
  <sheetFormatPr defaultRowHeight="13.8" x14ac:dyDescent="0.25"/>
  <cols>
    <col min="1" max="1" width="8.796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Expressing opinions</vt:lpstr>
      <vt:lpstr>Viet</vt:lpstr>
      <vt:lpstr>Sum</vt:lpstr>
      <vt:lpstr>Ramdom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2023-07-08T13:12:32Z</dcterms:modified>
</cp:coreProperties>
</file>