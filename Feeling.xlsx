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Feeling\"/>
    </mc:Choice>
  </mc:AlternateContent>
  <xr:revisionPtr revIDLastSave="0" documentId="13_ncr:1_{71FAE3DF-6D1D-4AA5-AAEA-7556A4D1347D}" xr6:coauthVersionLast="47" xr6:coauthVersionMax="47" xr10:uidLastSave="{00000000-0000-0000-0000-000000000000}"/>
  <bookViews>
    <workbookView xWindow="-108" yWindow="-108" windowWidth="23256" windowHeight="12456" tabRatio="894" activeTab="1" xr2:uid="{719E5D2F-C632-4960-9266-638D7C9B24E2}"/>
  </bookViews>
  <sheets>
    <sheet name="Feeling" sheetId="1" r:id="rId1"/>
    <sheet name="Viet" sheetId="5" r:id="rId2"/>
    <sheet name="Sum" sheetId="6" r:id="rId3"/>
    <sheet name="Ramdom" sheetId="2" r:id="rId4"/>
    <sheet name="Sheet1" sheetId="7" r:id="rId5"/>
    <sheet name="1-7" sheetId="8" r:id="rId6"/>
    <sheet name="17-21" sheetId="9" r:id="rId7"/>
    <sheet name="Sheet2" sheetId="10" r:id="rId8"/>
  </sheets>
  <definedNames>
    <definedName name="_xlnm._FilterDatabase" localSheetId="6" hidden="1">'17-21'!$A$1:$C$1</definedName>
    <definedName name="_xlnm._FilterDatabase" localSheetId="0" hidden="1">Feeling!$A$3:$H$393</definedName>
    <definedName name="_xlnm._FilterDatabase" localSheetId="3" hidden="1">Ramdom!$B$3:$F$295</definedName>
    <definedName name="_xlnm._FilterDatabase" localSheetId="4" hidden="1">Sheet1!$A$1:$D$247</definedName>
    <definedName name="_xlnm._FilterDatabase" localSheetId="7" hidden="1">Sheet2!$A$1:$A$1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C7" i="5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4" i="1"/>
  <c r="D5" i="5"/>
  <c r="C5" i="5" s="1"/>
  <c r="D6" i="5"/>
  <c r="C6" i="5" s="1"/>
  <c r="G5" i="1"/>
  <c r="F5" i="1" s="1"/>
  <c r="G6" i="1"/>
  <c r="F6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G120" i="1"/>
  <c r="F120" i="1" s="1"/>
  <c r="G121" i="1"/>
  <c r="F121" i="1" s="1"/>
  <c r="G122" i="1"/>
  <c r="F122" i="1" s="1"/>
  <c r="G123" i="1"/>
  <c r="F123" i="1" s="1"/>
  <c r="G124" i="1"/>
  <c r="F124" i="1" s="1"/>
  <c r="G125" i="1"/>
  <c r="F125" i="1" s="1"/>
  <c r="G126" i="1"/>
  <c r="F126" i="1" s="1"/>
  <c r="G127" i="1"/>
  <c r="F127" i="1" s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F137" i="1" s="1"/>
  <c r="G138" i="1"/>
  <c r="F138" i="1" s="1"/>
  <c r="G139" i="1"/>
  <c r="F139" i="1" s="1"/>
  <c r="G140" i="1"/>
  <c r="F140" i="1" s="1"/>
  <c r="G141" i="1"/>
  <c r="F141" i="1" s="1"/>
  <c r="G142" i="1"/>
  <c r="F142" i="1" s="1"/>
  <c r="G143" i="1"/>
  <c r="F143" i="1" s="1"/>
  <c r="G144" i="1"/>
  <c r="F144" i="1" s="1"/>
  <c r="G145" i="1"/>
  <c r="F145" i="1" s="1"/>
  <c r="G146" i="1"/>
  <c r="F146" i="1" s="1"/>
  <c r="G147" i="1"/>
  <c r="F147" i="1" s="1"/>
  <c r="G148" i="1"/>
  <c r="F148" i="1" s="1"/>
  <c r="G149" i="1"/>
  <c r="F149" i="1" s="1"/>
  <c r="G150" i="1"/>
  <c r="F150" i="1" s="1"/>
  <c r="G151" i="1"/>
  <c r="F151" i="1" s="1"/>
  <c r="G152" i="1"/>
  <c r="F152" i="1" s="1"/>
  <c r="G153" i="1"/>
  <c r="F153" i="1" s="1"/>
  <c r="G154" i="1"/>
  <c r="F154" i="1" s="1"/>
  <c r="G155" i="1"/>
  <c r="F155" i="1" s="1"/>
  <c r="G156" i="1"/>
  <c r="F156" i="1" s="1"/>
  <c r="G157" i="1"/>
  <c r="F157" i="1" s="1"/>
  <c r="G158" i="1"/>
  <c r="F158" i="1" s="1"/>
  <c r="G159" i="1"/>
  <c r="F159" i="1" s="1"/>
  <c r="G160" i="1"/>
  <c r="F160" i="1" s="1"/>
  <c r="G161" i="1"/>
  <c r="F161" i="1" s="1"/>
  <c r="G162" i="1"/>
  <c r="F162" i="1" s="1"/>
  <c r="G163" i="1"/>
  <c r="F163" i="1" s="1"/>
  <c r="G164" i="1"/>
  <c r="F164" i="1" s="1"/>
  <c r="G165" i="1"/>
  <c r="F165" i="1" s="1"/>
  <c r="G166" i="1"/>
  <c r="F166" i="1" s="1"/>
  <c r="G167" i="1"/>
  <c r="F167" i="1" s="1"/>
  <c r="G168" i="1"/>
  <c r="F168" i="1" s="1"/>
  <c r="G169" i="1"/>
  <c r="F169" i="1" s="1"/>
  <c r="G170" i="1"/>
  <c r="F170" i="1" s="1"/>
  <c r="G171" i="1"/>
  <c r="F171" i="1" s="1"/>
  <c r="G172" i="1"/>
  <c r="F172" i="1" s="1"/>
  <c r="G173" i="1"/>
  <c r="F173" i="1" s="1"/>
  <c r="G174" i="1"/>
  <c r="F174" i="1" s="1"/>
  <c r="G175" i="1"/>
  <c r="F175" i="1" s="1"/>
  <c r="G176" i="1"/>
  <c r="F176" i="1" s="1"/>
  <c r="G177" i="1"/>
  <c r="F177" i="1" s="1"/>
  <c r="G178" i="1"/>
  <c r="F178" i="1" s="1"/>
  <c r="G179" i="1"/>
  <c r="F179" i="1" s="1"/>
  <c r="G180" i="1"/>
  <c r="F180" i="1" s="1"/>
  <c r="G181" i="1"/>
  <c r="F181" i="1" s="1"/>
  <c r="G182" i="1"/>
  <c r="F182" i="1" s="1"/>
  <c r="G183" i="1"/>
  <c r="F183" i="1" s="1"/>
  <c r="G184" i="1"/>
  <c r="F184" i="1" s="1"/>
  <c r="G185" i="1"/>
  <c r="F185" i="1" s="1"/>
  <c r="G186" i="1"/>
  <c r="F186" i="1" s="1"/>
  <c r="G187" i="1"/>
  <c r="F187" i="1" s="1"/>
  <c r="G188" i="1"/>
  <c r="F188" i="1" s="1"/>
  <c r="G189" i="1"/>
  <c r="F189" i="1" s="1"/>
  <c r="G190" i="1"/>
  <c r="F190" i="1" s="1"/>
  <c r="G191" i="1"/>
  <c r="F191" i="1" s="1"/>
  <c r="G192" i="1"/>
  <c r="F192" i="1" s="1"/>
  <c r="G193" i="1"/>
  <c r="F193" i="1" s="1"/>
  <c r="G194" i="1"/>
  <c r="F194" i="1" s="1"/>
  <c r="G195" i="1"/>
  <c r="F195" i="1" s="1"/>
  <c r="G196" i="1"/>
  <c r="F196" i="1" s="1"/>
  <c r="G197" i="1"/>
  <c r="F197" i="1" s="1"/>
  <c r="G198" i="1"/>
  <c r="F198" i="1" s="1"/>
  <c r="G199" i="1"/>
  <c r="F199" i="1" s="1"/>
  <c r="G200" i="1"/>
  <c r="F200" i="1" s="1"/>
  <c r="G201" i="1"/>
  <c r="F201" i="1" s="1"/>
  <c r="G202" i="1"/>
  <c r="F202" i="1" s="1"/>
  <c r="G203" i="1"/>
  <c r="F203" i="1" s="1"/>
  <c r="G204" i="1"/>
  <c r="F204" i="1" s="1"/>
  <c r="G205" i="1"/>
  <c r="F205" i="1" s="1"/>
  <c r="G206" i="1"/>
  <c r="F206" i="1" s="1"/>
  <c r="G207" i="1"/>
  <c r="F207" i="1" s="1"/>
  <c r="G208" i="1"/>
  <c r="F208" i="1" s="1"/>
  <c r="G209" i="1"/>
  <c r="F209" i="1" s="1"/>
  <c r="G210" i="1"/>
  <c r="F210" i="1" s="1"/>
  <c r="G211" i="1"/>
  <c r="F211" i="1" s="1"/>
  <c r="G212" i="1"/>
  <c r="F212" i="1" s="1"/>
  <c r="G213" i="1"/>
  <c r="F213" i="1" s="1"/>
  <c r="G214" i="1"/>
  <c r="F214" i="1" s="1"/>
  <c r="G215" i="1"/>
  <c r="F215" i="1" s="1"/>
  <c r="G216" i="1"/>
  <c r="F216" i="1" s="1"/>
  <c r="G217" i="1"/>
  <c r="F217" i="1" s="1"/>
  <c r="G218" i="1"/>
  <c r="F218" i="1" s="1"/>
  <c r="G219" i="1"/>
  <c r="F219" i="1" s="1"/>
  <c r="G220" i="1"/>
  <c r="F220" i="1" s="1"/>
  <c r="G221" i="1"/>
  <c r="F221" i="1" s="1"/>
  <c r="G222" i="1"/>
  <c r="F222" i="1" s="1"/>
  <c r="G223" i="1"/>
  <c r="F223" i="1" s="1"/>
  <c r="G224" i="1"/>
  <c r="F224" i="1" s="1"/>
  <c r="G225" i="1"/>
  <c r="F225" i="1" s="1"/>
  <c r="G226" i="1"/>
  <c r="F226" i="1" s="1"/>
  <c r="G227" i="1"/>
  <c r="F227" i="1" s="1"/>
  <c r="G228" i="1"/>
  <c r="F228" i="1" s="1"/>
  <c r="G229" i="1"/>
  <c r="F229" i="1" s="1"/>
  <c r="G230" i="1"/>
  <c r="F230" i="1" s="1"/>
  <c r="G231" i="1"/>
  <c r="F231" i="1" s="1"/>
  <c r="G232" i="1"/>
  <c r="F232" i="1" s="1"/>
  <c r="G233" i="1"/>
  <c r="F233" i="1" s="1"/>
  <c r="G234" i="1"/>
  <c r="F234" i="1" s="1"/>
  <c r="G235" i="1"/>
  <c r="F235" i="1" s="1"/>
  <c r="G236" i="1"/>
  <c r="F236" i="1" s="1"/>
  <c r="G237" i="1"/>
  <c r="F237" i="1" s="1"/>
  <c r="G238" i="1"/>
  <c r="F238" i="1" s="1"/>
  <c r="G239" i="1"/>
  <c r="F239" i="1" s="1"/>
  <c r="G240" i="1"/>
  <c r="F240" i="1" s="1"/>
  <c r="G241" i="1"/>
  <c r="F241" i="1" s="1"/>
  <c r="G242" i="1"/>
  <c r="F242" i="1" s="1"/>
  <c r="G243" i="1"/>
  <c r="F243" i="1" s="1"/>
  <c r="G244" i="1"/>
  <c r="F244" i="1" s="1"/>
  <c r="G245" i="1"/>
  <c r="F245" i="1" s="1"/>
  <c r="G246" i="1"/>
  <c r="F246" i="1" s="1"/>
  <c r="G247" i="1"/>
  <c r="F247" i="1" s="1"/>
  <c r="G248" i="1"/>
  <c r="F248" i="1" s="1"/>
  <c r="G249" i="1"/>
  <c r="F249" i="1" s="1"/>
  <c r="G250" i="1"/>
  <c r="F250" i="1" s="1"/>
  <c r="G251" i="1"/>
  <c r="F251" i="1" s="1"/>
  <c r="G252" i="1"/>
  <c r="F252" i="1" s="1"/>
  <c r="G253" i="1"/>
  <c r="F253" i="1" s="1"/>
  <c r="G254" i="1"/>
  <c r="F254" i="1" s="1"/>
  <c r="G255" i="1"/>
  <c r="F255" i="1" s="1"/>
  <c r="G256" i="1"/>
  <c r="F256" i="1" s="1"/>
  <c r="G257" i="1"/>
  <c r="F257" i="1" s="1"/>
  <c r="G258" i="1"/>
  <c r="F258" i="1" s="1"/>
  <c r="G259" i="1"/>
  <c r="F259" i="1" s="1"/>
  <c r="G260" i="1"/>
  <c r="F260" i="1" s="1"/>
  <c r="G261" i="1"/>
  <c r="F261" i="1" s="1"/>
  <c r="G262" i="1"/>
  <c r="F262" i="1" s="1"/>
  <c r="G263" i="1"/>
  <c r="F263" i="1" s="1"/>
  <c r="G264" i="1"/>
  <c r="F264" i="1" s="1"/>
  <c r="G265" i="1"/>
  <c r="F265" i="1" s="1"/>
  <c r="G266" i="1"/>
  <c r="F266" i="1" s="1"/>
  <c r="G267" i="1"/>
  <c r="F267" i="1" s="1"/>
  <c r="G268" i="1"/>
  <c r="F268" i="1" s="1"/>
  <c r="G269" i="1"/>
  <c r="F269" i="1" s="1"/>
  <c r="G270" i="1"/>
  <c r="F270" i="1" s="1"/>
  <c r="G271" i="1"/>
  <c r="F271" i="1" s="1"/>
  <c r="G272" i="1"/>
  <c r="F272" i="1" s="1"/>
  <c r="G273" i="1"/>
  <c r="F273" i="1" s="1"/>
  <c r="G274" i="1"/>
  <c r="F274" i="1" s="1"/>
  <c r="G275" i="1"/>
  <c r="F275" i="1" s="1"/>
  <c r="G276" i="1"/>
  <c r="F276" i="1" s="1"/>
  <c r="G277" i="1"/>
  <c r="F277" i="1" s="1"/>
  <c r="G278" i="1"/>
  <c r="F278" i="1" s="1"/>
  <c r="G279" i="1"/>
  <c r="F279" i="1" s="1"/>
  <c r="G280" i="1"/>
  <c r="F280" i="1" s="1"/>
  <c r="G281" i="1"/>
  <c r="F281" i="1" s="1"/>
  <c r="G282" i="1"/>
  <c r="F282" i="1" s="1"/>
  <c r="G283" i="1"/>
  <c r="F283" i="1" s="1"/>
  <c r="G284" i="1"/>
  <c r="F284" i="1" s="1"/>
  <c r="G285" i="1"/>
  <c r="F285" i="1" s="1"/>
  <c r="G286" i="1"/>
  <c r="F286" i="1" s="1"/>
  <c r="G287" i="1"/>
  <c r="F287" i="1" s="1"/>
  <c r="G288" i="1"/>
  <c r="F288" i="1" s="1"/>
  <c r="G289" i="1"/>
  <c r="F289" i="1" s="1"/>
  <c r="G290" i="1"/>
  <c r="F290" i="1" s="1"/>
  <c r="G291" i="1"/>
  <c r="F291" i="1" s="1"/>
  <c r="G292" i="1"/>
  <c r="F292" i="1" s="1"/>
  <c r="G293" i="1"/>
  <c r="F293" i="1" s="1"/>
  <c r="G294" i="1"/>
  <c r="F294" i="1" s="1"/>
  <c r="G295" i="1"/>
  <c r="F295" i="1" s="1"/>
  <c r="G296" i="1"/>
  <c r="F296" i="1" s="1"/>
  <c r="G297" i="1"/>
  <c r="F297" i="1" s="1"/>
  <c r="G298" i="1"/>
  <c r="F298" i="1" s="1"/>
  <c r="G299" i="1"/>
  <c r="F299" i="1" s="1"/>
  <c r="G300" i="1"/>
  <c r="F300" i="1" s="1"/>
  <c r="G301" i="1"/>
  <c r="F301" i="1" s="1"/>
  <c r="G302" i="1"/>
  <c r="F302" i="1" s="1"/>
  <c r="G303" i="1"/>
  <c r="F303" i="1" s="1"/>
  <c r="G304" i="1"/>
  <c r="F304" i="1" s="1"/>
  <c r="G305" i="1"/>
  <c r="F305" i="1" s="1"/>
  <c r="G306" i="1"/>
  <c r="F306" i="1" s="1"/>
  <c r="G307" i="1"/>
  <c r="F307" i="1" s="1"/>
  <c r="G308" i="1"/>
  <c r="F308" i="1" s="1"/>
  <c r="G309" i="1"/>
  <c r="F309" i="1" s="1"/>
  <c r="G310" i="1"/>
  <c r="F310" i="1" s="1"/>
  <c r="G311" i="1"/>
  <c r="F311" i="1" s="1"/>
  <c r="G312" i="1"/>
  <c r="F312" i="1" s="1"/>
  <c r="G313" i="1"/>
  <c r="F313" i="1" s="1"/>
  <c r="G314" i="1"/>
  <c r="F314" i="1" s="1"/>
  <c r="G315" i="1"/>
  <c r="F315" i="1" s="1"/>
  <c r="G316" i="1"/>
  <c r="F316" i="1" s="1"/>
  <c r="G317" i="1"/>
  <c r="F317" i="1" s="1"/>
  <c r="G318" i="1"/>
  <c r="F318" i="1" s="1"/>
  <c r="G319" i="1"/>
  <c r="F319" i="1" s="1"/>
  <c r="G320" i="1"/>
  <c r="F320" i="1" s="1"/>
  <c r="G321" i="1"/>
  <c r="F321" i="1" s="1"/>
  <c r="G322" i="1"/>
  <c r="F322" i="1" s="1"/>
  <c r="G323" i="1"/>
  <c r="F323" i="1" s="1"/>
  <c r="G324" i="1"/>
  <c r="F324" i="1" s="1"/>
  <c r="G325" i="1"/>
  <c r="F325" i="1" s="1"/>
  <c r="G326" i="1"/>
  <c r="F326" i="1" s="1"/>
  <c r="G327" i="1"/>
  <c r="F327" i="1" s="1"/>
  <c r="G328" i="1"/>
  <c r="F328" i="1" s="1"/>
  <c r="G329" i="1"/>
  <c r="F329" i="1" s="1"/>
  <c r="G330" i="1"/>
  <c r="F330" i="1" s="1"/>
  <c r="G331" i="1"/>
  <c r="F331" i="1" s="1"/>
  <c r="G332" i="1"/>
  <c r="F332" i="1" s="1"/>
  <c r="G333" i="1"/>
  <c r="F333" i="1" s="1"/>
  <c r="G334" i="1"/>
  <c r="F334" i="1" s="1"/>
  <c r="G335" i="1"/>
  <c r="F335" i="1" s="1"/>
  <c r="G336" i="1"/>
  <c r="F336" i="1" s="1"/>
  <c r="G337" i="1"/>
  <c r="F337" i="1" s="1"/>
  <c r="G338" i="1"/>
  <c r="F338" i="1" s="1"/>
  <c r="G339" i="1"/>
  <c r="F339" i="1" s="1"/>
  <c r="G340" i="1"/>
  <c r="F340" i="1" s="1"/>
  <c r="G341" i="1"/>
  <c r="F341" i="1" s="1"/>
  <c r="G342" i="1"/>
  <c r="F342" i="1" s="1"/>
  <c r="G343" i="1"/>
  <c r="F343" i="1" s="1"/>
  <c r="G344" i="1"/>
  <c r="F344" i="1" s="1"/>
  <c r="G345" i="1"/>
  <c r="F345" i="1" s="1"/>
  <c r="G346" i="1"/>
  <c r="F346" i="1" s="1"/>
  <c r="G347" i="1"/>
  <c r="F347" i="1" s="1"/>
  <c r="G348" i="1"/>
  <c r="F348" i="1" s="1"/>
  <c r="G349" i="1"/>
  <c r="F349" i="1" s="1"/>
  <c r="G350" i="1"/>
  <c r="F350" i="1" s="1"/>
  <c r="G351" i="1"/>
  <c r="F351" i="1" s="1"/>
  <c r="G352" i="1"/>
  <c r="F352" i="1" s="1"/>
  <c r="G353" i="1"/>
  <c r="F353" i="1" s="1"/>
  <c r="G354" i="1"/>
  <c r="F354" i="1" s="1"/>
  <c r="G355" i="1"/>
  <c r="F355" i="1" s="1"/>
  <c r="G356" i="1"/>
  <c r="F356" i="1" s="1"/>
  <c r="G357" i="1"/>
  <c r="F357" i="1" s="1"/>
  <c r="G358" i="1"/>
  <c r="F358" i="1" s="1"/>
  <c r="G359" i="1"/>
  <c r="F359" i="1" s="1"/>
  <c r="G360" i="1"/>
  <c r="F360" i="1" s="1"/>
  <c r="G361" i="1"/>
  <c r="F361" i="1" s="1"/>
  <c r="G362" i="1"/>
  <c r="F362" i="1" s="1"/>
  <c r="G363" i="1"/>
  <c r="F363" i="1" s="1"/>
  <c r="G364" i="1"/>
  <c r="F364" i="1" s="1"/>
  <c r="G365" i="1"/>
  <c r="F365" i="1" s="1"/>
  <c r="G366" i="1"/>
  <c r="F366" i="1" s="1"/>
  <c r="G367" i="1"/>
  <c r="F367" i="1" s="1"/>
  <c r="G368" i="1"/>
  <c r="F368" i="1" s="1"/>
  <c r="G369" i="1"/>
  <c r="F369" i="1" s="1"/>
  <c r="G370" i="1"/>
  <c r="F370" i="1" s="1"/>
  <c r="G371" i="1"/>
  <c r="F371" i="1" s="1"/>
  <c r="G372" i="1"/>
  <c r="F372" i="1" s="1"/>
  <c r="G373" i="1"/>
  <c r="F373" i="1" s="1"/>
  <c r="G374" i="1"/>
  <c r="F374" i="1" s="1"/>
  <c r="G375" i="1"/>
  <c r="F375" i="1" s="1"/>
  <c r="G376" i="1"/>
  <c r="F376" i="1" s="1"/>
  <c r="G377" i="1"/>
  <c r="F377" i="1" s="1"/>
  <c r="G378" i="1"/>
  <c r="F378" i="1" s="1"/>
  <c r="G379" i="1"/>
  <c r="F379" i="1" s="1"/>
  <c r="G380" i="1"/>
  <c r="F380" i="1" s="1"/>
  <c r="G381" i="1"/>
  <c r="F381" i="1" s="1"/>
  <c r="G382" i="1"/>
  <c r="F382" i="1" s="1"/>
  <c r="G383" i="1"/>
  <c r="F383" i="1" s="1"/>
  <c r="G384" i="1"/>
  <c r="F384" i="1" s="1"/>
  <c r="G385" i="1"/>
  <c r="F385" i="1" s="1"/>
  <c r="G386" i="1"/>
  <c r="F386" i="1" s="1"/>
  <c r="G387" i="1"/>
  <c r="F387" i="1" s="1"/>
  <c r="G388" i="1"/>
  <c r="F388" i="1" s="1"/>
  <c r="G389" i="1"/>
  <c r="F389" i="1" s="1"/>
  <c r="G390" i="1"/>
  <c r="F390" i="1" s="1"/>
  <c r="G391" i="1"/>
  <c r="F391" i="1" s="1"/>
  <c r="G392" i="1"/>
  <c r="F392" i="1" s="1"/>
  <c r="G393" i="1"/>
  <c r="F393" i="1" s="1"/>
  <c r="G4" i="1"/>
  <c r="F4" i="1" s="1"/>
  <c r="D4" i="6" l="1"/>
  <c r="C4" i="6" s="1"/>
  <c r="D3" i="6" l="1"/>
  <c r="C3" i="6" s="1"/>
  <c r="D4" i="5"/>
  <c r="C4" i="5" s="1"/>
  <c r="D3" i="5"/>
  <c r="C3" i="5" s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C36" i="2" s="1"/>
  <c r="A38" i="2" l="1"/>
  <c r="B37" i="2"/>
  <c r="C37" i="2" s="1"/>
  <c r="A39" i="2" l="1"/>
  <c r="B38" i="2"/>
  <c r="C38" i="2" s="1"/>
  <c r="A40" i="2" l="1"/>
  <c r="B39" i="2"/>
  <c r="C39" i="2" s="1"/>
  <c r="A41" i="2" l="1"/>
  <c r="B40" i="2"/>
  <c r="C40" i="2" s="1"/>
  <c r="A42" i="2" l="1"/>
  <c r="B41" i="2"/>
  <c r="C41" i="2" s="1"/>
  <c r="A43" i="2" l="1"/>
  <c r="B42" i="2"/>
  <c r="C42" i="2" s="1"/>
  <c r="A44" i="2" l="1"/>
  <c r="B43" i="2"/>
  <c r="C43" i="2" s="1"/>
  <c r="A45" i="2" l="1"/>
  <c r="B44" i="2"/>
  <c r="C44" i="2" s="1"/>
  <c r="A46" i="2" l="1"/>
  <c r="B45" i="2"/>
  <c r="C45" i="2" s="1"/>
  <c r="A47" i="2" l="1"/>
  <c r="B46" i="2"/>
  <c r="C46" i="2" s="1"/>
  <c r="A48" i="2" l="1"/>
  <c r="B47" i="2"/>
  <c r="C47" i="2" s="1"/>
  <c r="A49" i="2" l="1"/>
  <c r="B48" i="2"/>
  <c r="C48" i="2" s="1"/>
  <c r="A50" i="2" l="1"/>
  <c r="B49" i="2"/>
  <c r="C49" i="2" s="1"/>
  <c r="A51" i="2" l="1"/>
  <c r="B50" i="2"/>
  <c r="C50" i="2" s="1"/>
  <c r="A52" i="2" l="1"/>
  <c r="B51" i="2"/>
  <c r="C51" i="2" s="1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A58" i="2" l="1"/>
  <c r="B57" i="2"/>
  <c r="C57" i="2" s="1"/>
  <c r="A59" i="2" l="1"/>
  <c r="B58" i="2"/>
  <c r="C58" i="2" s="1"/>
  <c r="A60" i="2" l="1"/>
  <c r="B59" i="2"/>
  <c r="C59" i="2" s="1"/>
  <c r="A61" i="2" l="1"/>
  <c r="B60" i="2"/>
  <c r="C60" i="2" s="1"/>
  <c r="A62" i="2" l="1"/>
  <c r="B61" i="2"/>
  <c r="C61" i="2" s="1"/>
  <c r="A63" i="2" l="1"/>
  <c r="B62" i="2"/>
  <c r="C62" i="2" s="1"/>
  <c r="A64" i="2" l="1"/>
  <c r="B63" i="2"/>
  <c r="C63" i="2" s="1"/>
  <c r="A65" i="2" l="1"/>
  <c r="B64" i="2"/>
  <c r="C64" i="2" s="1"/>
  <c r="A66" i="2" l="1"/>
  <c r="B65" i="2"/>
  <c r="C65" i="2" s="1"/>
  <c r="A67" i="2" l="1"/>
  <c r="B66" i="2"/>
  <c r="C66" i="2" s="1"/>
  <c r="A68" i="2" l="1"/>
  <c r="B67" i="2"/>
  <c r="C67" i="2" s="1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72" i="2" s="1"/>
  <c r="A74" i="2" l="1"/>
  <c r="B73" i="2"/>
  <c r="C73" i="2" s="1"/>
  <c r="A75" i="2" l="1"/>
  <c r="B74" i="2"/>
  <c r="C74" i="2" s="1"/>
  <c r="A76" i="2" l="1"/>
  <c r="B75" i="2"/>
  <c r="C75" i="2" s="1"/>
  <c r="A77" i="2" l="1"/>
  <c r="B76" i="2"/>
  <c r="C76" i="2" s="1"/>
  <c r="A78" i="2" l="1"/>
  <c r="B77" i="2"/>
  <c r="C77" i="2" s="1"/>
  <c r="A79" i="2" l="1"/>
  <c r="B78" i="2"/>
  <c r="C78" i="2" s="1"/>
  <c r="A80" i="2" l="1"/>
  <c r="B79" i="2"/>
  <c r="C79" i="2" s="1"/>
  <c r="A81" i="2" l="1"/>
  <c r="B80" i="2"/>
  <c r="C80" i="2" s="1"/>
  <c r="A82" i="2" l="1"/>
  <c r="B81" i="2"/>
  <c r="C81" i="2" s="1"/>
  <c r="A83" i="2" l="1"/>
  <c r="B82" i="2"/>
  <c r="C82" i="2" s="1"/>
  <c r="A84" i="2" l="1"/>
  <c r="B83" i="2"/>
  <c r="C83" i="2" s="1"/>
  <c r="A85" i="2" l="1"/>
  <c r="B84" i="2"/>
  <c r="C84" i="2" s="1"/>
  <c r="A86" i="2" l="1"/>
  <c r="B85" i="2"/>
  <c r="C85" i="2" s="1"/>
  <c r="A87" i="2" l="1"/>
  <c r="B86" i="2"/>
  <c r="C86" i="2" s="1"/>
  <c r="A88" i="2" l="1"/>
  <c r="B87" i="2"/>
  <c r="C87" i="2" s="1"/>
  <c r="A89" i="2" l="1"/>
  <c r="B88" i="2"/>
  <c r="C88" i="2" s="1"/>
  <c r="A90" i="2" l="1"/>
  <c r="B89" i="2"/>
  <c r="C89" i="2" s="1"/>
  <c r="A91" i="2" l="1"/>
  <c r="B90" i="2"/>
  <c r="C90" i="2" s="1"/>
  <c r="A92" i="2" l="1"/>
  <c r="B91" i="2"/>
  <c r="C91" i="2" s="1"/>
  <c r="A93" i="2" l="1"/>
  <c r="B92" i="2"/>
  <c r="C92" i="2" s="1"/>
  <c r="A94" i="2" l="1"/>
  <c r="B93" i="2"/>
  <c r="C93" i="2" s="1"/>
  <c r="A95" i="2" l="1"/>
  <c r="B94" i="2"/>
  <c r="C94" i="2" s="1"/>
  <c r="A96" i="2" l="1"/>
  <c r="B95" i="2"/>
  <c r="C95" i="2" s="1"/>
  <c r="A97" i="2" l="1"/>
  <c r="B96" i="2"/>
  <c r="C96" i="2" s="1"/>
  <c r="A98" i="2" l="1"/>
  <c r="B97" i="2"/>
  <c r="C97" i="2" s="1"/>
  <c r="A99" i="2" l="1"/>
  <c r="B98" i="2"/>
  <c r="C98" i="2" s="1"/>
  <c r="A100" i="2" l="1"/>
  <c r="B99" i="2"/>
  <c r="C99" i="2" s="1"/>
  <c r="A101" i="2" l="1"/>
  <c r="B100" i="2"/>
  <c r="C100" i="2" s="1"/>
  <c r="A102" i="2" l="1"/>
  <c r="B101" i="2"/>
  <c r="C101" i="2" s="1"/>
  <c r="A103" i="2" l="1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117" i="2" s="1"/>
  <c r="A119" i="2" l="1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4" i="2" l="1"/>
  <c r="C15" i="2"/>
  <c r="C16" i="2"/>
  <c r="C17" i="2"/>
  <c r="C18" i="2"/>
  <c r="C19" i="2"/>
  <c r="C20" i="2"/>
  <c r="C21" i="2"/>
  <c r="C23" i="2"/>
  <c r="C22" i="2"/>
  <c r="C24" i="2"/>
  <c r="C26" i="2"/>
  <c r="C25" i="2"/>
  <c r="C27" i="2"/>
  <c r="C28" i="2"/>
  <c r="C30" i="2"/>
  <c r="C29" i="2"/>
  <c r="C32" i="2"/>
  <c r="C31" i="2"/>
  <c r="C33" i="2"/>
  <c r="C35" i="2"/>
  <c r="C34" i="2"/>
  <c r="C126" i="2"/>
  <c r="C6" i="2"/>
  <c r="C7" i="2"/>
  <c r="C8" i="2"/>
  <c r="C9" i="2"/>
  <c r="C10" i="2"/>
  <c r="C12" i="2"/>
  <c r="C5" i="2"/>
  <c r="C11" i="2"/>
  <c r="C13" i="2"/>
  <c r="C4" i="2"/>
  <c r="A128" i="2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s="1"/>
  <c r="A136" i="2" l="1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<sst xmlns="http://schemas.openxmlformats.org/spreadsheetml/2006/main" count="2271" uniqueCount="687">
  <si>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</si>
  <si>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</si>
  <si>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</si>
  <si>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</si>
  <si>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</si>
  <si>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</si>
  <si>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</si>
  <si>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</si>
  <si>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</si>
  <si>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</si>
  <si>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</si>
  <si>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</si>
  <si>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</si>
  <si>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</si>
  <si>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</si>
  <si>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2.1</t>
  </si>
  <si>
    <t>2.3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</si>
  <si>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</si>
  <si>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</si>
  <si>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</si>
  <si>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</si>
  <si>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</si>
  <si>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</si>
  <si>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</si>
  <si>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</si>
  <si>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</si>
  <si>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</si>
  <si>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</si>
  <si>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</si>
  <si>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</si>
  <si>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</si>
  <si>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</si>
  <si>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</si>
  <si>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</si>
  <si>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</si>
  <si>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</si>
  <si>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</si>
  <si>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</si>
  <si>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</si>
  <si>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01-05</t>
  </si>
  <si>
    <t>Man</t>
  </si>
  <si>
    <t>Woman</t>
  </si>
  <si>
    <t>4.4</t>
  </si>
  <si>
    <t>5.4</t>
  </si>
  <si>
    <t>7.4</t>
  </si>
  <si>
    <t>8.4</t>
  </si>
  <si>
    <t>p</t>
  </si>
  <si>
    <t>1.4</t>
  </si>
  <si>
    <t>1.5</t>
  </si>
  <si>
    <t>2.4</t>
  </si>
  <si>
    <t>2.5</t>
  </si>
  <si>
    <t>6.4</t>
  </si>
  <si>
    <t>06-09</t>
  </si>
  <si>
    <t>Tôi thấy thoải mái.</t>
  </si>
  <si>
    <t>I feel comfortable.</t>
  </si>
  <si>
    <t>Tôi thấy sảng khoái.</t>
  </si>
  <si>
    <t>I feel refreshed.</t>
  </si>
  <si>
    <t>Tôi thấy khá hơn rồi.</t>
  </si>
  <si>
    <t>I feel better.</t>
  </si>
  <si>
    <t>Tôi thấy căng thẳng.</t>
  </si>
  <si>
    <t>I feel stressed.</t>
  </si>
  <si>
    <t>Tôi thấy lo lắng.</t>
  </si>
  <si>
    <t>I feel nervous.</t>
  </si>
  <si>
    <t>Tôi thấy mệt mỏi.</t>
  </si>
  <si>
    <t>I feel tired.</t>
  </si>
  <si>
    <t>Tôi thấy như tôi đang nằm mơ vậy.</t>
  </si>
  <si>
    <t>I feel like I’m in a dream.</t>
  </si>
  <si>
    <t>Tôi thấy xấu hổ.</t>
  </si>
  <si>
    <t>I feel embarrassed.</t>
  </si>
  <si>
    <t>Tôi thấy mình có vẻ đã thua cuộc rồi.</t>
  </si>
  <si>
    <t>I feel like I lost the game.</t>
  </si>
  <si>
    <t>Tôi cảm thấy như đang ở nhà vậy.</t>
  </si>
  <si>
    <t>I feel like I am home.</t>
  </si>
  <si>
    <t>Khi cảm thấy chán nản, tôi đi xem ca nhạc.</t>
  </si>
  <si>
    <t>When I am depressed, I go to concerts.</t>
  </si>
  <si>
    <t>Khi gặp gỡ bạn bè, tôi thường đi xem phim cùng họ.</t>
  </si>
  <si>
    <t>When I meet my friends, I often go to see movies with them.</t>
  </si>
  <si>
    <t>Khi thấy buồn chán,tôi xem video trên điện thoại.</t>
  </si>
  <si>
    <t>When I’m bored, I watch videos on my phone.</t>
  </si>
  <si>
    <t>Khi tôi buồn, tôi thường đi bộ trong công viên.</t>
  </si>
  <si>
    <t>When I’m down, I often walk in the park.</t>
  </si>
  <si>
    <t>Khi có tiền , tôi tiêu rất nhiều vào việc mua quần áo.</t>
  </si>
  <si>
    <t>When I have money, I spend a lot shopping for clothes.</t>
  </si>
  <si>
    <t>Khi có thời gian, tôi đến phòng gym.</t>
  </si>
  <si>
    <t>When I have time, I go to the gym.</t>
  </si>
  <si>
    <t>Khi tôi thấy mệt mỏi, tôi nghe nhạc trên điện thoại.</t>
  </si>
  <si>
    <t>When I am tired, I listen to music on my phone.</t>
  </si>
  <si>
    <t>Khi tôi muốn ra ngoài ăn, tôi nhắn tin cho anh ấy.</t>
  </si>
  <si>
    <t>When I want to eat out, I send a text message to him.</t>
  </si>
  <si>
    <t>Tôi hài lòng với chính mình.</t>
  </si>
  <si>
    <t>I’m happy with myself.</t>
  </si>
  <si>
    <t>Tôi hài lòng với công việc của mình.</t>
  </si>
  <si>
    <t>I’m happy with my job.</t>
  </si>
  <si>
    <t>Tôi vui với cách của mình.</t>
  </si>
  <si>
    <t>I’m happy with my way.</t>
  </si>
  <si>
    <t>Tôi hạnh phúc với gia đình mình.</t>
  </si>
  <si>
    <t>I’m happy with my family.</t>
  </si>
  <si>
    <t>Tôi hài lòng với chiếc xe hơi của mình.</t>
  </si>
  <si>
    <t>I’m happy with my car.</t>
  </si>
  <si>
    <t>Tôi hài lòng với kết quả của mình.</t>
  </si>
  <si>
    <t>I’m satisfied with my result.</t>
  </si>
  <si>
    <t>Tôi hài lòng với hiện tại.</t>
  </si>
  <si>
    <t>I’m satisfied with my present.</t>
  </si>
  <si>
    <t>Tôi hài lòng với điểm số của mình.</t>
  </si>
  <si>
    <t>I’m satisfied with my score.</t>
  </si>
  <si>
    <t>Tôi hài lòng với bề ngoài của mình.</t>
  </si>
  <si>
    <t>I’m satisfied with my appearance</t>
  </si>
  <si>
    <t>Tôi lo lắng về điều đó.</t>
  </si>
  <si>
    <t>I worry about it.</t>
  </si>
  <si>
    <t>Tôi lo bị mất tiền.</t>
  </si>
  <si>
    <t>I worry about losing money.</t>
  </si>
  <si>
    <t>Tôi lo bị thi trượt.</t>
  </si>
  <si>
    <t>I worry about failing the exam.</t>
  </si>
  <si>
    <t>Tôi lo là bị trễ.</t>
  </si>
  <si>
    <t>I worry about being late.</t>
  </si>
  <si>
    <t>Tôi lo bị tăng cân.</t>
  </si>
  <si>
    <t>I worry about gaining weight.</t>
  </si>
  <si>
    <t>Tôi muốn đi xem phim.</t>
  </si>
  <si>
    <t>I want to go to see a movie.</t>
  </si>
  <si>
    <t>Tôi muốn ngắm cảnh.</t>
  </si>
  <si>
    <t>I want to enjoy the view.</t>
  </si>
  <si>
    <t>Tôi muốn nói chuyện.</t>
  </si>
  <si>
    <t>I want to have a talk.</t>
  </si>
  <si>
    <t>Tôi muốn giảm cân.</t>
  </si>
  <si>
    <t>I want to lose weight.</t>
  </si>
  <si>
    <t>Tôi muốn đi ngủ.</t>
  </si>
  <si>
    <t>I want to sleep.</t>
  </si>
  <si>
    <t>Tôi muốn làm bạn vui.</t>
  </si>
  <si>
    <t>I want to make you happy.</t>
  </si>
  <si>
    <t>Tôi muốn đi dạo.</t>
  </si>
  <si>
    <t>I want to take a walk.</t>
  </si>
  <si>
    <t>Tôi muốn có một công việc.</t>
  </si>
  <si>
    <t>I want to get a job.</t>
  </si>
  <si>
    <t>Thật ý nghĩa khi giúp những người khuyết tật.</t>
  </si>
  <si>
    <t>It’s meaningful to help people with disabilities.</t>
  </si>
  <si>
    <t>Thật vui khi đi đến công viên giải trí.</t>
  </si>
  <si>
    <t>It’s fun to go to an amusement park.</t>
  </si>
  <si>
    <t>Thật phức tạp khi giải quyết các vấn đề.</t>
  </si>
  <si>
    <t>It’s complicated to solve problems.</t>
  </si>
  <si>
    <t>Thật hữu ích khi đọc sách.</t>
  </si>
  <si>
    <t>it’s helpful to read books.</t>
  </si>
  <si>
    <t>Thật khó chịu khi phải xếp hàng dài.</t>
  </si>
  <si>
    <t>It’s frustrating to wait in a long line.</t>
  </si>
  <si>
    <t>Thật thú vị khi chơi điện tử.</t>
  </si>
  <si>
    <t>It’s enjoyable to play games.</t>
  </si>
  <si>
    <t>Thật chân thật khi xem phim 3d.</t>
  </si>
  <si>
    <t>It’s realistic to watch 3D movie.</t>
  </si>
  <si>
    <t>Thật thư giãn khi xem TV.</t>
  </si>
  <si>
    <t>It’s relaxing to watch TV.</t>
  </si>
  <si>
    <t>Tôi thích xem phim hơn.</t>
  </si>
  <si>
    <t>I prefer seeing a movie.</t>
  </si>
  <si>
    <t>Tôi thích ăn ngoài hơn.</t>
  </si>
  <si>
    <t>I prefer eating out.</t>
  </si>
  <si>
    <t>Tôi thích đọc sách hơn.</t>
  </si>
  <si>
    <t>I prefer reading.</t>
  </si>
  <si>
    <t>Tôi thich nghỉ ngơi ở nhà hơn..</t>
  </si>
  <si>
    <t>I prefer resting at home</t>
  </si>
  <si>
    <t>Tôi mong sớm đươc đi xem ca nhạc.</t>
  </si>
  <si>
    <t>I can’t wait to go to the concert.</t>
  </si>
  <si>
    <t>Tôi mong sớm được đọc cuốn sách đó.</t>
  </si>
  <si>
    <t>I can’t wait to read that book.</t>
  </si>
  <si>
    <t>Tôi mong sớm được đi nghỉ mát.</t>
  </si>
  <si>
    <t>I can’t wait to go on a vacation.</t>
  </si>
  <si>
    <t>Tôi mong sớm được gặp cô ấy.</t>
  </si>
  <si>
    <t>I can’t wait to see her.</t>
  </si>
  <si>
    <t>Tôi không đủ tiền để sống ở Hà Nội.</t>
  </si>
  <si>
    <t>I can’t afford to live in Ha Noi.</t>
  </si>
  <si>
    <t>Tôi không đủ tiền để ở khách sạn.</t>
  </si>
  <si>
    <t>I can’t afford to live at the hotel.</t>
  </si>
  <si>
    <t>Tôi không đủ tiền để mua xe hơi mới.</t>
  </si>
  <si>
    <t>I can’t afford to buy a new car.</t>
  </si>
  <si>
    <t>Tôi không đủ tiền để học khoá học đó.</t>
  </si>
  <si>
    <t>I can’t afford to study this course.</t>
  </si>
  <si>
    <t>Tôi không đủ tiền để đi Canada.</t>
  </si>
  <si>
    <t>I can’t afford to go to Canada.</t>
  </si>
  <si>
    <t>Tôi không thể ngừng chơi điện tử được.</t>
  </si>
  <si>
    <t>I can’t stop playing games.</t>
  </si>
  <si>
    <t>Tôi không thể ngừng ăn đêm được.</t>
  </si>
  <si>
    <t>I can’t stop eating at night.</t>
  </si>
  <si>
    <t>Tôi không thể ngừng nghĩ về em.</t>
  </si>
  <si>
    <t>I can’t stop thinking about you .</t>
  </si>
  <si>
    <t>Tôi không thể ngừng nói về cô ấy.</t>
  </si>
  <si>
    <t>I can’t stop talking about her.</t>
  </si>
  <si>
    <t>Tôi thậm chí còn không đi xe đạp được.</t>
  </si>
  <si>
    <t>I can’t even ride a bike.</t>
  </si>
  <si>
    <t>Tôi thậm chí còn không ăn một mình được.</t>
  </si>
  <si>
    <t>I can’t even eat alone.</t>
  </si>
  <si>
    <t>Tôi thậm chí còn chả nói chuyện với cổ được.</t>
  </si>
  <si>
    <t>I can’t even talk to her.</t>
  </si>
  <si>
    <t>Tôi thậm chí còn chẳng nấu ăn được.</t>
  </si>
  <si>
    <t>I can’t even cook.</t>
  </si>
  <si>
    <t>Tôi thậm chí còn chẳng biết hát.</t>
  </si>
  <si>
    <t>I can’t even sing.</t>
  </si>
  <si>
    <t>Tôi rất giỏi việc nhắn tin điện thoại.</t>
  </si>
  <si>
    <t>I am good at texting.</t>
  </si>
  <si>
    <t>Tôi rất giỏi chụp ảnh.</t>
  </si>
  <si>
    <t>I am good at taking photos.</t>
  </si>
  <si>
    <t>Tôi rất giỏi tiếng Anh.</t>
  </si>
  <si>
    <t>I am good at English.</t>
  </si>
  <si>
    <t>Tôi rất thành thạo việc vẽ tranh.</t>
  </si>
  <si>
    <t>I am good at drawing pictures.</t>
  </si>
  <si>
    <t>Tôi thành thạo việc nhảy múa.</t>
  </si>
  <si>
    <t>I am good at dancing.</t>
  </si>
  <si>
    <t>Tôi thành thạo kĩ năng viết.</t>
  </si>
  <si>
    <t>I am good at writing.</t>
  </si>
  <si>
    <t>Tôi thành thạo đánh máy.</t>
  </si>
  <si>
    <t>I am good at typing.</t>
  </si>
  <si>
    <t>Tôi giỏi đánh cờ.</t>
  </si>
  <si>
    <t>I am good at playing chess.</t>
  </si>
  <si>
    <t>Tôi đã từng xem TV rất nhiều.</t>
  </si>
  <si>
    <t>I used to watch TV a lot.</t>
  </si>
  <si>
    <t>Tôi đã từng chơi games rất giỏi.</t>
  </si>
  <si>
    <t>I used to play games well.</t>
  </si>
  <si>
    <t>Tôi đã từng chạy bộ mỗi ngày.</t>
  </si>
  <si>
    <t>I used to run everyday.</t>
  </si>
  <si>
    <t>Tôi đã từng về nhà muộn.</t>
  </si>
  <si>
    <t>I used to come home late.</t>
  </si>
  <si>
    <t>Tôi đã từng đi làm muộn.</t>
  </si>
  <si>
    <t>I used to be late for work.</t>
  </si>
  <si>
    <t>Tôi đã từng ngủ dậy trễ.</t>
  </si>
  <si>
    <t>I used to sleep in.</t>
  </si>
  <si>
    <t>Tôi đã từng là thành viên.</t>
  </si>
  <si>
    <t>I used to be a member.</t>
  </si>
  <si>
    <t>Tôi đã từng tham gia lớp của cô ấy.</t>
  </si>
  <si>
    <t>I used to attend her class.</t>
  </si>
  <si>
    <t>Để giảm cân thì cần phải có thời gian.</t>
  </si>
  <si>
    <t>It takes time to lose weight.</t>
  </si>
  <si>
    <t>Để đọc hết một cuốn sách thì cần có thời gian.</t>
  </si>
  <si>
    <t>It takes time to read a book.</t>
  </si>
  <si>
    <t>Để hình thành một thói quen tốt thì cần có thời gian.</t>
  </si>
  <si>
    <t>It takes time to develop a good habit.</t>
  </si>
  <si>
    <t>Để xây dựng một công trình thì cần có thời gian.</t>
  </si>
  <si>
    <t>It takes time to construct a building.</t>
  </si>
  <si>
    <t>Để học tiếng Anh thì cần thời gian.</t>
  </si>
  <si>
    <t>It takes time to learn English.</t>
  </si>
  <si>
    <t>Tôi nghĩ về việc đó.</t>
  </si>
  <si>
    <t>I think about it.</t>
  </si>
  <si>
    <t>Tôi nghĩ về tương lai của mình.</t>
  </si>
  <si>
    <t>I think about my future.</t>
  </si>
  <si>
    <t>Tôi nghĩ về vấn đề ấy.</t>
  </si>
  <si>
    <t>I think about the problem.</t>
  </si>
  <si>
    <t>Tôi nghĩ về lời đề nghị ấy.</t>
  </si>
  <si>
    <t>I think about the offer.</t>
  </si>
  <si>
    <t>Tôi đăng cân nhắc về chuyện thay đổi công việc.</t>
  </si>
  <si>
    <t>I am considering changing my job.</t>
  </si>
  <si>
    <t>Tôi đang cân nhắc về việc tham gia câu lạc bộ.</t>
  </si>
  <si>
    <t>I am considering joining the club.</t>
  </si>
  <si>
    <t>Tôi đang cân nhắc về việc đi du lịch.</t>
  </si>
  <si>
    <t>I am considering going on a trip.</t>
  </si>
  <si>
    <t>Tôi đang cân nhắc chuyện mua chiếc xe hơi mới.</t>
  </si>
  <si>
    <t>I am considering buying a new car.</t>
  </si>
  <si>
    <t>Tôi đang cân nhắc chuyện chuyển tới nơi khác .</t>
  </si>
  <si>
    <t>I am considering moving to another place.</t>
  </si>
  <si>
    <t>Tôi không biết phải bắt đầu từ khi nào.</t>
  </si>
  <si>
    <t>I don’t know when to start.</t>
  </si>
  <si>
    <t>Tôi không biết gì về anh ta cả.</t>
  </si>
  <si>
    <t>I don’t know anything about him.</t>
  </si>
  <si>
    <t>Tôi không biết làm thế nào để giải quyết vấn đề này nữa.</t>
  </si>
  <si>
    <t>I don’t know how to solve this problem.</t>
  </si>
  <si>
    <t>Tôi không biết phải đi đâu nữa.</t>
  </si>
  <si>
    <t>I don’t know where to go.</t>
  </si>
  <si>
    <t>Tôi không biết gì về việc mua sắm cả.</t>
  </si>
  <si>
    <t>I don’t know anything about shopping.</t>
  </si>
  <si>
    <t>Tôi không biết bạn có thích nó hay không.</t>
  </si>
  <si>
    <t>I don’t know if you will like it.</t>
  </si>
  <si>
    <t>Tôi không biết mình có làm được hay không.</t>
  </si>
  <si>
    <t>I don’t know if I can do it.</t>
  </si>
  <si>
    <t>Còn tuỳ vào tâm trạng nữa.</t>
  </si>
  <si>
    <t>It depends on the mood.</t>
  </si>
  <si>
    <t>Còn tuỳ vào lịch trình nữa.</t>
  </si>
  <si>
    <t>It depends on the schedule.</t>
  </si>
  <si>
    <t>Còn tuỳ vào tình huống nữa.</t>
  </si>
  <si>
    <t>It depends on the situation.</t>
  </si>
  <si>
    <t>Còn tuỳ thuộc vào giá cả nữa.</t>
  </si>
  <si>
    <t>It depends on the price.</t>
  </si>
  <si>
    <t>Còn tuỳ vào cái đó trông thế nào.</t>
  </si>
  <si>
    <t>It depends on what it looks like.</t>
  </si>
  <si>
    <t>Còn tuỳ thuộc vào bao nhiêu người tham gia nữa.</t>
  </si>
  <si>
    <t>It depends on how many people will attend.</t>
  </si>
  <si>
    <t>Còn tuỳ vào cậu muốn gì nữa.</t>
  </si>
  <si>
    <t>It depends on what you want.</t>
  </si>
  <si>
    <t>Tôi thích xem Tivi vì nó giúp tôi giải toả căng thẳng.</t>
  </si>
  <si>
    <t>I like watching TV because it releases stress.</t>
  </si>
  <si>
    <t>Tôi thích điều đó vì tôi có thể quên đi mọi thứ.</t>
  </si>
  <si>
    <t>I like it because I can forget things.</t>
  </si>
  <si>
    <t>Tôi thích điều đó vì nó rất thư giãn.</t>
  </si>
  <si>
    <t>I like it because it’s relaxing.</t>
  </si>
  <si>
    <t>Tôi thích điều đó vì nó khiến tôi buồn cười.</t>
  </si>
  <si>
    <t>I like it because it makes me laugh.</t>
  </si>
  <si>
    <t>Không cần phải mua chiếc máy tính cá nhân khác đâu.</t>
  </si>
  <si>
    <t>There is no need to buy another laptop.</t>
  </si>
  <si>
    <t>Không cần phải mua café cho anh ta đâu.</t>
  </si>
  <si>
    <t>There is no need to buy him coffee.</t>
  </si>
  <si>
    <t>Không cần phải xem chương trình đó đâu.</t>
  </si>
  <si>
    <t>There is no need to watch that show.</t>
  </si>
  <si>
    <t>Không cần phải lo lắng về việc đó đâu.</t>
  </si>
  <si>
    <t>There is no need to worry about it.</t>
  </si>
  <si>
    <t>Không cần phải gọi lại cho tôi đâu.</t>
  </si>
  <si>
    <t>There is no need to call me back .</t>
  </si>
  <si>
    <t>aɪ fil ˈkʌmfərtəbəl.</t>
  </si>
  <si>
    <t>aɪ fil riˈfrɛʃt.</t>
  </si>
  <si>
    <t>aɪ fil ˈbɛtər.</t>
  </si>
  <si>
    <t>aɪ fil strɛst.</t>
  </si>
  <si>
    <t>aɪ fil ˈnɜrvəs.</t>
  </si>
  <si>
    <t>aɪ fil ˈtaɪərd.</t>
  </si>
  <si>
    <t>aɪ fil laɪk aɪm ɪn ə drim.</t>
  </si>
  <si>
    <t>aɪ fil ɪmˈbɛrəst.</t>
  </si>
  <si>
    <t>aɪ fil laɪk aɪ lɔst ðə ɡeɪm.</t>
  </si>
  <si>
    <t>aɪ fil laɪk aɪ əm hoʊm.</t>
  </si>
  <si>
    <t>wɛn aɪ əm dɪˈprɛst, aɪ ɡoʊ tə ˈkɑnsərts.</t>
  </si>
  <si>
    <t>wɛn aɪ mit maɪ frɛndz, aɪ ˈɔfən ɡoʊ tə si ˈmuviz wɪð ðɛm.</t>
  </si>
  <si>
    <t>wɛn aɪm bɔrd, aɪ wɑʧ ˈvɪdioʊz ɑn maɪ foʊn.</t>
  </si>
  <si>
    <t>wɛn aɪm daʊn, aɪ ˈɔfən wɔk ɪn ðə pɑrk.</t>
  </si>
  <si>
    <t>wɛn aɪ həv ˈmʌni, aɪ spɛnd ə lɑt ˈʃɑpɪŋ fər kloʊðz.</t>
  </si>
  <si>
    <t>wɛn aɪ həv taɪm, aɪ ɡoʊ tə ðə ʤɪm.</t>
  </si>
  <si>
    <t>wɛn aɪ əm ˈtaɪərd, aɪ ˈlɪsən tə ˈmjuzɪk ɑn maɪ foʊn.</t>
  </si>
  <si>
    <t>wɛn aɪ wɑnt tʊ it aʊt, aɪ sɛnd ə tɛkst ˈmɛsəʤ tə hɪm.</t>
  </si>
  <si>
    <t>aɪm ˈhæpi wɪð ˌmaɪˈsɛlf.</t>
  </si>
  <si>
    <t>aɪm ˈhæpi wɪð maɪ ʤɑb.</t>
  </si>
  <si>
    <t>aɪm ˈhæpi wɪð maɪ weɪ.</t>
  </si>
  <si>
    <t>aɪm ˈhæpi wɪð maɪ ˈfæməli.</t>
  </si>
  <si>
    <t>aɪm ˈhæpi wɪð maɪ kɑr.</t>
  </si>
  <si>
    <t>aɪm ˈsætəˌsfaɪd wɪð maɪ rɪˈzʌlt.</t>
  </si>
  <si>
    <t>aɪm ˈsætəˌsfaɪd wɪð maɪ ˈprɛzənt.</t>
  </si>
  <si>
    <t>aɪm ˈsætəˌsfaɪd wɪð maɪ skɔr.</t>
  </si>
  <si>
    <t>aɪm ˈsætəˌsfaɪd wɪð maɪ əˈpɪrəns</t>
  </si>
  <si>
    <t>aɪ ˈwɜri əˈbaʊt ɪt.</t>
  </si>
  <si>
    <t>aɪ ˈwɜri əˈbaʊt ˈluzɪŋ ˈmʌni.</t>
  </si>
  <si>
    <t>aɪ ˈwɜri əˈbaʊt ˈfeɪlɪŋ ði ɪɡˈzæm.</t>
  </si>
  <si>
    <t>aɪ ˈwɜri əˈbaʊt ˈbiɪŋ leɪt.</t>
  </si>
  <si>
    <t>aɪ ˈwɜri əˈbaʊt ˈɡeɪnɪŋ weɪt.</t>
  </si>
  <si>
    <t>aɪ wɑnt tə ɡoʊ tə si ə ˈmuvi.</t>
  </si>
  <si>
    <t>aɪ wɑnt tʊ ɛnˈʤɔɪ ðə vju.</t>
  </si>
  <si>
    <t>aɪ wɑnt tə həv ə tɔk.</t>
  </si>
  <si>
    <t>aɪ wɑnt tə luz weɪt.</t>
  </si>
  <si>
    <t>aɪ wɑnt tə slip.</t>
  </si>
  <si>
    <t>aɪ wɑnt tə meɪk jʊ ˈhæpi.</t>
  </si>
  <si>
    <t>aɪ wɑnt tə teɪk ə wɔk.</t>
  </si>
  <si>
    <t>aɪ wɑnt tə ɡɛt ə ʤɑb.</t>
  </si>
  <si>
    <t>ɪts ˈminɪŋfəl tə hɛlp ˈpipəl wɪð dɪsəˈbɪlətiz.</t>
  </si>
  <si>
    <t>ɪts fʌn tə ɡoʊ tʊ ən əmˈjuzmənt pɑrk.</t>
  </si>
  <si>
    <t>ɪts ˈkɑmpləˌkeɪtəd tə sɑlv ˈprɑbləmz.</t>
  </si>
  <si>
    <t>ɪts ˈhɛlpfəl tə rid bʊks.</t>
  </si>
  <si>
    <t>ɪts ˈfrʌˌstreɪtɪŋ tə weɪt ɪn ə lɔŋ laɪn.</t>
  </si>
  <si>
    <t>ɪts ɛnˈʤɔɪəbəl tə pleɪ ɡeɪmz.</t>
  </si>
  <si>
    <t>ɪts ˌriəˈlɪstɪk tə wɑʧ 3di ˈmuvi.</t>
  </si>
  <si>
    <t>ɪts rɪˈlæksɪŋ tə wɑʧ ˈtiˈvi.</t>
  </si>
  <si>
    <t>aɪ prəˈfɜr ˈsiɪŋ ə ˈmuvi.</t>
  </si>
  <si>
    <t>aɪ prəˈfɜr ˈitɪŋ aʊt.</t>
  </si>
  <si>
    <t>aɪ prəˈfɜr ˈrɛdɪŋ.</t>
  </si>
  <si>
    <t>aɪ prəˈfɜr ˈrɛstɪŋ ət hoʊm</t>
  </si>
  <si>
    <t>aɪ kænt weɪt tə ɡoʊ tə ðə ˈkɑnsɜrt.</t>
  </si>
  <si>
    <t>aɪ kænt weɪt tə rid ðət bʊk.</t>
  </si>
  <si>
    <t>aɪ kænt weɪt tə ɡoʊ ɑn ə veɪˈkeɪʃən.</t>
  </si>
  <si>
    <t>aɪ kænt weɪt tə si hɜr.</t>
  </si>
  <si>
    <t>aɪ kænt əˈfɔrd tə lɪv ɪn hɑ Noi.</t>
  </si>
  <si>
    <t>aɪ kænt əˈfɔrd tə lɪv ət ðə hoʊˈtɛl.</t>
  </si>
  <si>
    <t>aɪ kænt əˈfɔrd tə baɪ ə nu kɑr.</t>
  </si>
  <si>
    <t>aɪ kænt əˈfɔrd tə ˈstʌdi ðɪs kɔrs.</t>
  </si>
  <si>
    <t>aɪ kænt əˈfɔrd tə ɡoʊ tə ˈkænədə.</t>
  </si>
  <si>
    <t>aɪ kænt stɑp ˈpleɪɪŋ ɡeɪmz.</t>
  </si>
  <si>
    <t>aɪ kænt stɑp ˈitɪŋ ət naɪt.</t>
  </si>
  <si>
    <t>aɪ kænt stɑp ˈθɪŋkɪŋ əˈbaʊt ju .</t>
  </si>
  <si>
    <t>aɪ kænt stɑp ˈtɔkɪŋ əˈbaʊt hɜr.</t>
  </si>
  <si>
    <t>aɪ kænt ˈivɪn raɪd ə baɪk.</t>
  </si>
  <si>
    <t>aɪ kænt ˈivɪn it əˈloʊn.</t>
  </si>
  <si>
    <t>aɪ kænt ˈivɪn tɔk tə hɜr.</t>
  </si>
  <si>
    <t>aɪ kænt ˈivɪn kʊk.</t>
  </si>
  <si>
    <t>aɪ kænt ˈivɪn sɪŋ.</t>
  </si>
  <si>
    <t>aɪ əm ɡʊd ət ˈtɛkˌstɪŋ.</t>
  </si>
  <si>
    <t>aɪ əm ɡʊd ət ˈteɪkɪŋ ˈfoʊˌtoʊz.</t>
  </si>
  <si>
    <t>aɪ əm ɡʊd ət ˈɪŋɡlɪʃ.</t>
  </si>
  <si>
    <t>aɪ əm ɡʊd ət ˈdrɔɪŋ ˈpɪkʧərz.</t>
  </si>
  <si>
    <t>aɪ əm ɡʊd ət ˈdænsɪŋ.</t>
  </si>
  <si>
    <t>aɪ əm ɡʊd ət ˈraɪtɪŋ.</t>
  </si>
  <si>
    <t>aɪ əm ɡʊd ət ˈtaɪpɪŋ.</t>
  </si>
  <si>
    <t>aɪ əm ɡʊd ət ˈpleɪɪŋ ʧɛs.</t>
  </si>
  <si>
    <t>aɪ juzd tə wɑʧ ˈtiˈvi ə lɑt.</t>
  </si>
  <si>
    <t>aɪ juzd tə pleɪ ɡeɪmz wɛl.</t>
  </si>
  <si>
    <t>aɪ juzd tə rʌn ˈɛvriˈdeɪ.</t>
  </si>
  <si>
    <t>aɪ juzd tə kʌm hoʊm leɪt.</t>
  </si>
  <si>
    <t>aɪ juzd tə bi leɪt fər wɜrk.</t>
  </si>
  <si>
    <t>aɪ juzd tə slip ɪn.</t>
  </si>
  <si>
    <t>aɪ juzd tə bi ə ˈmɛmbər.</t>
  </si>
  <si>
    <t>aɪ juzd tʊ əˈtɛnd hər klæs.</t>
  </si>
  <si>
    <t>ɪt teɪks taɪm tə luz weɪt.</t>
  </si>
  <si>
    <t>ɪt teɪks taɪm tə rid ə bʊk.</t>
  </si>
  <si>
    <t>ɪt teɪks taɪm tə dɪˈvɛləp ə ɡʊd ˈhæbət.</t>
  </si>
  <si>
    <t>ɪt teɪks taɪm tə kənˈstrʌkt ə ˈbɪldɪŋ.</t>
  </si>
  <si>
    <t>ɪt teɪks taɪm tə lɜrn ˈɪŋɡlɪʃ.</t>
  </si>
  <si>
    <t>aɪ θɪŋk əˈbaʊt ɪt.</t>
  </si>
  <si>
    <t>aɪ θɪŋk əˈbaʊt maɪ ˈfjuʧər.</t>
  </si>
  <si>
    <t>aɪ θɪŋk əˈbaʊt ðə ˈprɑbləm.</t>
  </si>
  <si>
    <t>aɪ θɪŋk əˈbaʊt ði ˈɔfər.</t>
  </si>
  <si>
    <t>aɪ əm kənˈsɪdərɪŋ ˈʧeɪnʤɪŋ maɪ ʤɑb.</t>
  </si>
  <si>
    <t>aɪ əm kənˈsɪdərɪŋ ˈʤɔɪnɪŋ ðə klʌb.</t>
  </si>
  <si>
    <t>aɪ əm kənˈsɪdərɪŋ ˈɡoʊɪŋ ɑn ə trɪp.</t>
  </si>
  <si>
    <t>aɪ əm kənˈsɪdərɪŋ ˈbaɪɪŋ ə nu kɑr.</t>
  </si>
  <si>
    <t>aɪ əm kənˈsɪdərɪŋ ˈmuvɪŋ tʊ əˈnʌðər pleɪs.</t>
  </si>
  <si>
    <t>aɪ doʊnt noʊ wɛn tə stɑrt.</t>
  </si>
  <si>
    <t>aɪ doʊnt noʊ ˈɛniˌθɪŋ əˈbaʊt hɪm.</t>
  </si>
  <si>
    <t>aɪ doʊnt noʊ haʊ tə sɑlv ðɪs ˈprɑbləm.</t>
  </si>
  <si>
    <t>aɪ doʊnt noʊ wɛr tə ɡoʊ.</t>
  </si>
  <si>
    <t>aɪ doʊnt noʊ ˈɛniˌθɪŋ əˈbaʊt ˈʃɑpɪŋ.</t>
  </si>
  <si>
    <t>aɪ doʊnt noʊ ɪf jʊ wɪl laɪk ɪt.</t>
  </si>
  <si>
    <t>aɪ doʊnt noʊ ɪf aɪ kən dʊ ɪt.</t>
  </si>
  <si>
    <t>ɪt dɪˈpɛndz ɑn ðə mud.</t>
  </si>
  <si>
    <t>ɪt dɪˈpɛndz ɑn ðə ˈskɛʤʊl.</t>
  </si>
  <si>
    <t>ɪt dɪˈpɛndz ɑn ðə ˌsɪʧuˈeɪʃən.</t>
  </si>
  <si>
    <t>ɪt dɪˈpɛndz ɑn ðə praɪs.</t>
  </si>
  <si>
    <t>ɪt dɪˈpɛndz ɑn wɑt ɪt lʊks laɪk.</t>
  </si>
  <si>
    <t>ɪt dɪˈpɛndz ɑn haʊ ˈmɛni ˈpipəl wɪl əˈtɛnd.</t>
  </si>
  <si>
    <t>ɪt dɪˈpɛndz ɑn wɑt jʊ wɑnt.</t>
  </si>
  <si>
    <t>aɪ laɪk ˈwɑʧɪŋ ˈtiˈvi bɪˈkəz ɪt rɪˈlisɪz strɛs.</t>
  </si>
  <si>
    <t>aɪ laɪk ɪt bɪˈkəz aɪ kən fərˈɡɛt θɪŋz.</t>
  </si>
  <si>
    <t>aɪ laɪk ɪt bɪˈkəz ɪts rɪˈlæksɪŋ.</t>
  </si>
  <si>
    <t>aɪ laɪk ɪt bɪˈkəz ɪt meɪks mi læf.</t>
  </si>
  <si>
    <t>ðər ɪz noʊ nid tə baɪ əˈnʌðər ˈlæpˌtɑp.</t>
  </si>
  <si>
    <t>ðər ɪz noʊ nid tə baɪ ɪm ˈkɑfi.</t>
  </si>
  <si>
    <t>ðər ɪz noʊ nid tə wɑʧ ðət ʃoʊ.</t>
  </si>
  <si>
    <t>ðər ɪz noʊ nid tə ˈwɜri əˈbaʊt ɪt.</t>
  </si>
  <si>
    <t>ðər ɪz noʊ nid tə kɔl mi bæk .</t>
  </si>
  <si>
    <t>I FEEL … /tôi cảm thấy/</t>
  </si>
  <si>
    <t>WHEN I …, I… /khi…, tôi…/</t>
  </si>
  <si>
    <t>I’M HAPPY WITH… /Tôi hài lòng/ hạnh phúc với…/</t>
  </si>
  <si>
    <t>I’M SATISFIED WITH… /Tôi hài lòng với…/</t>
  </si>
  <si>
    <t>I WORRY ABOUT… /Tôi lo lắng vì …/</t>
  </si>
  <si>
    <t>I WANT TO … /tôi muốn.../</t>
  </si>
  <si>
    <t>IT’S + TÍNH TỪ  TO + VERB /thật….khi…/</t>
  </si>
  <si>
    <t>I PREFER + V-ING /thích cái gì đó hơn/</t>
  </si>
  <si>
    <t>I CAN’T WAIT TO… /tôi mong sớm được…/</t>
  </si>
  <si>
    <t xml:space="preserve"> I CAN’T AFFORD TO … /tôi không đủ tiền để …/</t>
  </si>
  <si>
    <t xml:space="preserve"> I CAN’T STOP /tôi không thể ngừng …/</t>
  </si>
  <si>
    <t xml:space="preserve"> I CAN’T EVEN… /tôi thậm chí còn …/</t>
  </si>
  <si>
    <t xml:space="preserve"> I AM GOOD AT… /tôi giỏi/thành thạo…/</t>
  </si>
  <si>
    <t xml:space="preserve"> I USED TO… /tôi đã từng…/</t>
  </si>
  <si>
    <t xml:space="preserve"> IT TAKES TIME + TO INF /Cần có thời gian/</t>
  </si>
  <si>
    <t xml:space="preserve"> I THINK ABOUT… /tôi nghĩ về …/</t>
  </si>
  <si>
    <t xml:space="preserve"> I AM CONSIDERING + VING /Tôi đang cân nhắc/</t>
  </si>
  <si>
    <t xml:space="preserve"> I DON’T KNOW… /tôi không biết…/ </t>
  </si>
  <si>
    <t xml:space="preserve"> IT DEPENDS … /phụ thuộc vào …/</t>
  </si>
  <si>
    <t xml:space="preserve"> I LIKE IT…BECAUSE /Tôi thích xem… vì…/</t>
  </si>
  <si>
    <t xml:space="preserve"> THERE IS NO NEED TO… /không cần phải …/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</si>
  <si>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</si>
  <si>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</si>
  <si>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</si>
  <si>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</si>
  <si>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</si>
  <si>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</si>
  <si>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</si>
  <si>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</si>
  <si>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</si>
  <si>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</si>
  <si>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</si>
  <si>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</si>
  <si>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</si>
  <si>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</si>
  <si>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</si>
  <si>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</si>
  <si>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</si>
  <si>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</si>
  <si>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</si>
  <si>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</si>
  <si>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</si>
  <si>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1.6</t>
  </si>
  <si>
    <t>1.7</t>
  </si>
  <si>
    <t>1.8</t>
  </si>
  <si>
    <t>1.9</t>
  </si>
  <si>
    <t>1.10</t>
  </si>
  <si>
    <t>2.6</t>
  </si>
  <si>
    <t>2.7</t>
  </si>
  <si>
    <t>2.8</t>
  </si>
  <si>
    <t>3.4</t>
  </si>
  <si>
    <t>3.5</t>
  </si>
  <si>
    <t>5.5</t>
  </si>
  <si>
    <t>6.5</t>
  </si>
  <si>
    <t>6.6</t>
  </si>
  <si>
    <t>6.7</t>
  </si>
  <si>
    <t>6.8</t>
  </si>
  <si>
    <t>7.5</t>
  </si>
  <si>
    <t>7.6</t>
  </si>
  <si>
    <t>7.7</t>
  </si>
  <si>
    <t>7.8</t>
  </si>
  <si>
    <t>9.4</t>
  </si>
  <si>
    <t>10.1</t>
  </si>
  <si>
    <t>10.2</t>
  </si>
  <si>
    <t>10.3</t>
  </si>
  <si>
    <t>10.4</t>
  </si>
  <si>
    <t>10.5</t>
  </si>
  <si>
    <t>11.1</t>
  </si>
  <si>
    <t>11.2</t>
  </si>
  <si>
    <t>11.3</t>
  </si>
  <si>
    <t>11.4</t>
  </si>
  <si>
    <t>12.1</t>
  </si>
  <si>
    <t>12.2</t>
  </si>
  <si>
    <t>12.3</t>
  </si>
  <si>
    <t>12.4</t>
  </si>
  <si>
    <t>12.5</t>
  </si>
  <si>
    <t>13.1</t>
  </si>
  <si>
    <t>13.2</t>
  </si>
  <si>
    <t>13.3</t>
  </si>
  <si>
    <t>13.4</t>
  </si>
  <si>
    <t>13.5</t>
  </si>
  <si>
    <t>13.6</t>
  </si>
  <si>
    <t>13.7</t>
  </si>
  <si>
    <t>13.8</t>
  </si>
  <si>
    <t>14.1</t>
  </si>
  <si>
    <t>14.2</t>
  </si>
  <si>
    <t>14.3</t>
  </si>
  <si>
    <t>14.4</t>
  </si>
  <si>
    <t>14.5</t>
  </si>
  <si>
    <t>14.6</t>
  </si>
  <si>
    <t>14.7</t>
  </si>
  <si>
    <t>14.8</t>
  </si>
  <si>
    <t>15.1</t>
  </si>
  <si>
    <t>15.2</t>
  </si>
  <si>
    <t>15.3</t>
  </si>
  <si>
    <t>15.4</t>
  </si>
  <si>
    <t>15.5</t>
  </si>
  <si>
    <t>16.1</t>
  </si>
  <si>
    <t>16.2</t>
  </si>
  <si>
    <t>16.3</t>
  </si>
  <si>
    <t>16.4</t>
  </si>
  <si>
    <t>17.1</t>
  </si>
  <si>
    <t>17.2</t>
  </si>
  <si>
    <t>17.3</t>
  </si>
  <si>
    <t>17.4</t>
  </si>
  <si>
    <t>17.5</t>
  </si>
  <si>
    <t>18.1</t>
  </si>
  <si>
    <t>18.2</t>
  </si>
  <si>
    <t>18.3</t>
  </si>
  <si>
    <t>18.4</t>
  </si>
  <si>
    <t>18.5</t>
  </si>
  <si>
    <t>18.6</t>
  </si>
  <si>
    <t>18.7</t>
  </si>
  <si>
    <t>19.1</t>
  </si>
  <si>
    <t>19.2</t>
  </si>
  <si>
    <t>19.3</t>
  </si>
  <si>
    <t>19.4</t>
  </si>
  <si>
    <t>19.5</t>
  </si>
  <si>
    <t>19.6</t>
  </si>
  <si>
    <t>19.7</t>
  </si>
  <si>
    <t>20.1</t>
  </si>
  <si>
    <t>20.2</t>
  </si>
  <si>
    <t>20.3</t>
  </si>
  <si>
    <t>20.4</t>
  </si>
  <si>
    <t>21.1</t>
  </si>
  <si>
    <t>21.2</t>
  </si>
  <si>
    <t>21.3</t>
  </si>
  <si>
    <t>21.4</t>
  </si>
  <si>
    <t>21.5</t>
  </si>
  <si>
    <t>10-15</t>
  </si>
  <si>
    <t>16-21</t>
  </si>
  <si>
    <t>TOPIC: FEELING</t>
  </si>
  <si>
    <t>https://drive.google.com/file/d/1mxLQYIr-tiS1nbHo5twOoje77OqnWmP_/view?usp=sharing</t>
  </si>
  <si>
    <t>https://drive.google.com/file/d/1Aj0KIwUmaxBnWv7uFYF-KIwgB6Xq5k16/view?usp=sharing</t>
  </si>
  <si>
    <t>https://drive.google.com/file/d/1RBiFUBsSV4LgrGy3DdbMy1jZpwsiyfw8/view?usp=sharing</t>
  </si>
  <si>
    <t>https://drive.google.com/file/d/1Wmy8zAD64rZN7IpgkgbDdup0dvvz1bhI/view?usp=sharing</t>
  </si>
  <si>
    <t>https://drive.google.com/file/d/1W3QjRPpslSjmddSTTTu4R7k3skQyYrka/view?usp=sharing</t>
  </si>
  <si>
    <t>https://drive.google.com/file/d/1T9C3mQJpMMTGGUc1Pa6-z6SkTpMjQ9Ov/view?usp=sharing</t>
  </si>
  <si>
    <t>https://drive.google.com/file/d/1ibpzWN7H0Ha2-Gz1vjTv6MKK8r9-3CKV/view?usp=sharing</t>
  </si>
  <si>
    <t>https://drive.google.com/file/d/1tuJQu6Dek4OVsFDRUJrFHmViHuQ73SX8/view?usp=sharing</t>
  </si>
  <si>
    <t>https://drive.google.com/file/d/1EyeXtM1F2MDnlHgJHdajf_sHiMQWN9xI/view?usp=sharing</t>
  </si>
  <si>
    <t>https://drive.google.com/file/d/1SJ5gTOJYbZZbV7JzR1PRuumdsksd2max/view?usp=sharing</t>
  </si>
  <si>
    <t>https://drive.google.com/file/d/1zWSx63P4LowVT119ZmcY4L2y9ZoiXmIz/view?usp=sharing</t>
  </si>
  <si>
    <t>https://drive.google.com/file/d/1m6HOUuzTTShXRiP8KeqWKVVXZIDEgZlf/view?usp=sharing</t>
  </si>
  <si>
    <t>https://drive.google.com/file/d/17UA-SJugtufGLLEGkMZ8HbX9DPKdkEAy/view?usp=sharing</t>
  </si>
  <si>
    <t>https://drive.google.com/file/d/1tBXegk1Mnc2FXbGfSEj49vAY7OrThV9m/view?usp=sharing</t>
  </si>
  <si>
    <t>https://drive.google.com/file/d/1-iPPApiSMkCVg2OUlOLRHmUiTt9ULcXS/view?usp=sharing</t>
  </si>
  <si>
    <t>https://drive.google.com/file/d/16L6PbE1wIbWoOs9aMdq91baYG9NQDYee/view?usp=sharing</t>
  </si>
  <si>
    <t>https://drive.google.com/file/d/1tO21PLkOOxi7TdI64LXaXbMKQgTNgBR2/view?usp=sharing</t>
  </si>
  <si>
    <t>https://drive.google.com/file/d/1_Peqbi5aiF4ZhiBTaU2nrRGdMZvm5beJ/view?usp=sharing</t>
  </si>
  <si>
    <t>https://drive.google.com/file/d/1Ao0RCPwUMYBwmH1XMN2Be7s8HCyQwAMT/view?usp=sharing</t>
  </si>
  <si>
    <t>https://drive.google.com/file/d/1R39E9UWQDi16y0dm8kpanQatobOVu-KU/view?usp=sharing</t>
  </si>
  <si>
    <t>https://drive.google.com/file/d/1RLR4CL4DPX9NvDZv8mgiMDcMYXMsKgY_/view?usp=sharing</t>
  </si>
  <si>
    <t>https://drive.google.com/file/d/1UrgQrrKDO023FJZHffRBTmrBfS0KsrUI/view?usp=sharing</t>
  </si>
  <si>
    <t>https://drive.google.com/file/d/1BvQeXlerp0BsI7on7bsrG-HEZBUVrkgE/view?usp=sharing</t>
  </si>
  <si>
    <t>https://drive.google.com/file/d/1bc1cTTAhsFj1cEkHAWzaet4BS122D0hi/view?usp=sharing</t>
  </si>
  <si>
    <t>https://drive.google.com/file/d/1BSql97uTqV3p7J4iB9XSgnBjyP1ALrFR/view?usp=sharing</t>
  </si>
  <si>
    <t>https://drive.google.com/file/d/1Vqzs41hbUmhwZRK3SoEokhhaTc29M3BO/view?usp=sharing</t>
  </si>
  <si>
    <t>https://drive.google.com/file/d/1KfHDLZITYCDpYrOq6ZXdnQSwELj-d_rr/view?usp=sharing</t>
  </si>
  <si>
    <t>https://drive.google.com/file/d/1TmxJk9JdhKy_URoVHxhJ7u3ajl2bEKnD/view?usp=sharing</t>
  </si>
  <si>
    <t>https://drive.google.com/file/d/1q3zOzCJztjx15N2HNZIgH77uqvMEEoAO/view?usp=sharing</t>
  </si>
  <si>
    <t>https://drive.google.com/file/d/1dhvRVUtQmZx3wK2Y67rPMoVD3C-_jduU/view?usp=sharing</t>
  </si>
  <si>
    <t>https://drive.google.com/file/d/1J4TD95XDArIZLNzU074xWWXvS44qHngl/view?usp=sharing</t>
  </si>
  <si>
    <t>https://drive.google.com/file/d/1BurylwnhoIbYm5NxuWbnLwCX0NKv9TnA/view?usp=sharing</t>
  </si>
  <si>
    <t>https://drive.google.com/file/d/1Z6D_iNx-BRG8oY2ijWnOnyhhJ9Bz1LdR/view?usp=sharing</t>
  </si>
  <si>
    <t>https://drive.google.com/file/d/1KZm0wPSNvGM30DQMp3EySQwB1P6LXvrr/view?usp=sharing</t>
  </si>
  <si>
    <t>https://drive.google.com/file/d/1XbzWWzDH2ixyvT9Wgs3JqaLRYuZq1Dpn/view?usp=sharing</t>
  </si>
  <si>
    <t>https://drive.google.com/file/d/1xEaOEigc-uAxT1z4JPbN_iUp_VORpSvs/view?usp=sharing</t>
  </si>
  <si>
    <t>https://drive.google.com/file/d/1U2S0TNAgtRYFaPsj6pEY1X94t0cCWBMZ/view?usp=sharing</t>
  </si>
  <si>
    <t>https://drive.google.com/file/d/1e6FF0TjFo1SostwYmhhIGriTdjdk27JJ/view?usp=sharing</t>
  </si>
  <si>
    <t>https://drive.google.com/file/d/1zOwSZkh26F92ej6hRMvjfKFfMoGyvC0j/view?usp=sharing</t>
  </si>
  <si>
    <t>https://drive.google.com/file/d/1-XqzBdys_pPINDHzknTreUiPeJV7u--N/view?usp=sharing</t>
  </si>
  <si>
    <t>https://drive.google.com/file/d/1LNMShXK1dVEr7zzRMbESA6QqADUODQEj/view?usp=sharing</t>
  </si>
  <si>
    <t>https://drive.google.com/file/d/1WPbtBy-Yi-TybmOf45Ydg5R6AY9IoOzW/view?usp=sharing</t>
  </si>
  <si>
    <t>https://drive.google.com/file/d/1vvL0dy2iUaK4TbQc9zsHJ2Yg4kIYpGXK/view?usp=sharing</t>
  </si>
  <si>
    <t>https://drive.google.com/file/d/1Ma64plOtOibMi6B1pc5K3vG2dOR8kzjV/view?usp=sharing</t>
  </si>
  <si>
    <t>https://drive.google.com/file/d/1uLLz6Ih-d_TfvEerBg7Mo9zk9nfGgCrt/view?usp=sharing</t>
  </si>
  <si>
    <t>https://drive.google.com/file/d/1QO1AajWOa07G0X_1Oiz0FnisBK_pXIF3/view?usp=sharing</t>
  </si>
  <si>
    <t>https://drive.google.com/file/d/14BvlmeqX1IjAmuGojPG3eBki-Z363Mmy/view?usp=sharing</t>
  </si>
  <si>
    <t>https://drive.google.com/file/d/1UOKLSJiUkJmWbkloH8AIcYSMK7FOm50G/view?usp=sharing</t>
  </si>
  <si>
    <t>https://drive.google.com/file/d/1HrCMOfN2F8RU_OaFZxLtgY4bAYucakS_/view?usp=sharing</t>
  </si>
  <si>
    <t>https://drive.google.com/file/d/1PT6vGOK5UGsToHMlaw0n9Gz9ZMijXZki/view?usp=sharing</t>
  </si>
  <si>
    <t>https://drive.google.com/file/d/1D02rZfoN7CkL8YRViI6hQHDKT-8tGiLh/view?usp=sharing</t>
  </si>
  <si>
    <t>https://drive.google.com/file/d/154kI4IbJCNTS_8X1QaUI3-1xrfSVmcwt/view?usp=sharing</t>
  </si>
  <si>
    <t>https://drive.google.com/file/d/1XBwLaspEMaQ4pKG2nIX1pD30mhRSa_om/view?usp=sharing</t>
  </si>
  <si>
    <t>https://drive.google.com/file/d/1f1DSmGcM2kOnrT7LnDDaQyexmEUtLjoB/view?usp=sharing</t>
  </si>
  <si>
    <t>https://drive.google.com/file/d/1UlMxP_0TFV6jIvmzNxu8DqADFRhchbHo/view?usp=sharing</t>
  </si>
  <si>
    <t>https://drive.google.com/file/d/1M8Z8L__lnhwFaBvmz5rH8UySBAMshNhv/view?usp=sharing</t>
  </si>
  <si>
    <t>https://drive.google.com/file/d/1Izg8Kto0lWiTMb6D3TjJf7gPRgEQeRXr/view?usp=sharing</t>
  </si>
  <si>
    <t>https://drive.google.com/file/d/1HtSeub_WPVWhpo8FNBbaAjcKnEepOjba/view?usp=sharing</t>
  </si>
  <si>
    <t>https://drive.google.com/file/d/1NyzDKzNzD0lp0o7LBECyX7POnlcvz4oK/view?usp=sharing</t>
  </si>
  <si>
    <t>https://drive.google.com/file/d/1U-OjgLeSmRlkgmtV-BcTyq9onIBU7Ji4/view?usp=sharing</t>
  </si>
  <si>
    <t>https://drive.google.com/file/d/1EHJxxmHlV06E5QMj8lSAdzWY1DYWzpxJ/view?usp=sharing</t>
  </si>
  <si>
    <t>https://drive.google.com/file/d/1jNn23lInR1nzU5yu61J51c9qdPvAFTKM/view?usp=sharing</t>
  </si>
  <si>
    <t>https://drive.google.com/file/d/1rU66KzOJmpMhGNlCKzYKz4OqhI0YX8GD/view?usp=sharing</t>
  </si>
  <si>
    <t>https://drive.google.com/file/d/16UChL6scbbTg8DewDp_mWObgt01DfO4j/view?usp=sharing</t>
  </si>
  <si>
    <t>https://drive.google.com/file/d/1LSlAs60paWZuutTqjez6_0Z0sS4yXylW/view?usp=sharing</t>
  </si>
  <si>
    <t>https://drive.google.com/file/d/1Zip9ByiLW2V0t9GmFO0JvYObIjuQnv3V/view?usp=sharing</t>
  </si>
  <si>
    <t>https://drive.google.com/file/d/1mC6cJCqIJwOLQCJMcB36u_TX_IFGCrb2/view?usp=sharing</t>
  </si>
  <si>
    <t>https://drive.google.com/file/d/1u4sEdN8ugM6mPBMcFCSThawLfosnWdVi/view?usp=sharing</t>
  </si>
  <si>
    <t>https://drive.google.com/file/d/1IGylxT9IaFn-MGbpJ3ymemxcXylTemOz/view?usp=sharing</t>
  </si>
  <si>
    <t>https://drive.google.com/file/d/17E4jFdc4PHauK6G9jSbAFNzXh8ge4YC8/view?usp=sharing</t>
  </si>
  <si>
    <t>https://drive.google.com/file/d/1pV3KLRSxOlThG9NS_5oK2CxQZwjFFsyk/view?usp=sharing</t>
  </si>
  <si>
    <t>https://drive.google.com/file/d/16Q02u7FxiBikG2dRbPeL1UB_PfAoLYNU/view?usp=sharing</t>
  </si>
  <si>
    <t>https://drive.google.com/file/d/1ErqE1i7eUm4vHNXGb0BXCrQuUUbS2Z9e/view?usp=sharing</t>
  </si>
  <si>
    <t>https://drive.google.com/file/d/1ONRsXmY795Yn5k7SsccDQzXJwNhNj0NF/view?usp=sharing</t>
  </si>
  <si>
    <t>https://drive.google.com/file/d/16UBe5uaSvnnn3qmJ-J7HR6ADyNrvcABV/view?usp=sharing</t>
  </si>
  <si>
    <t>https://drive.google.com/file/d/1InBvkpCQB9LBy0UnI3irmJqlnaeWAskH/view?usp=sharing</t>
  </si>
  <si>
    <t>https://drive.google.com/file/d/1irQAPaR7T2utSpiUoUN8QSK_MOA37g-5/view?usp=sharing</t>
  </si>
  <si>
    <t>https://drive.google.com/file/d/1IPpZgyte719W6OM7tQMbV3cEhA24Tdgl/view?usp=sharing</t>
  </si>
  <si>
    <t>https://drive.google.com/file/d/1Hvj7-5BY8zfu1dwJXr26lzlx37weHhMB/view?usp=sharing</t>
  </si>
  <si>
    <t>https://drive.google.com/file/d/1neKUproD_j0kcDpU-FEtBcyN3L9HE5W-/view?usp=sharing</t>
  </si>
  <si>
    <t>https://drive.google.com/file/d/1ItkhO4xFy0KWIxj60lwVbzBo5VizlHzC/view?usp=sharing</t>
  </si>
  <si>
    <t>https://drive.google.com/file/d/1YW8qMrrIR2t77tSc7K_4csKNp2mTl-VR/view?usp=sharing</t>
  </si>
  <si>
    <t>https://drive.google.com/file/d/1xuiRBoo9X0MTxdbIRAnu8qaN445aOlhj/view?usp=sharing</t>
  </si>
  <si>
    <t>https://drive.google.com/file/d/1qCaJDOZD5egkYAbTk8XzFRmsu2YIzEM2/view?usp=sharing</t>
  </si>
  <si>
    <t>https://drive.google.com/file/d/1R3qyC03mH5-GQhgo5Nskr-bA2yu_Mb5O/view?usp=sharing</t>
  </si>
  <si>
    <t>https://drive.google.com/file/d/1l2o_Wbq6qHcKoLMhDNQKZa899IkbeDry/view?usp=sharing</t>
  </si>
  <si>
    <t>https://drive.google.com/file/d/1v5DZVQNIEgTFd2d7EFLLoTBzTgsbslKv/view?usp=sharing</t>
  </si>
  <si>
    <t>https://drive.google.com/file/d/19eUqIBc-kqHemdKsrhP20afoCogbDJ_6/view?usp=sharing</t>
  </si>
  <si>
    <t>https://drive.google.com/file/d/1d20b_CDTDEd8MMSEPrgm_VqrkehXxyME/view?usp=sharing</t>
  </si>
  <si>
    <t>https://drive.google.com/file/d/1cEHH563J4oXRE3c6nRHObKy64hNTmSYT/view?usp=sharing</t>
  </si>
  <si>
    <t>https://drive.google.com/file/d/1BJHAspLcZiqOs-Mbr9uPHigdC5APeTAX/view?usp=sharing</t>
  </si>
  <si>
    <t>https://drive.google.com/file/d/1C5k2WGcsjFtEnEOElRa4lPYPmPBdEU84/view?usp=sharing</t>
  </si>
  <si>
    <t>https://drive.google.com/file/d/1pHGp6TfplsURXFqyNtwE4-5_yP2KNokN/view?usp=sharing</t>
  </si>
  <si>
    <t>https://drive.google.com/file/d/1hJLxVzUli0EO_LTHNX8lL7RrgOn0EHE8/view?usp=sharing</t>
  </si>
  <si>
    <t>https://drive.google.com/file/d/1XypAQxu2-ODWlEYlvn8UusNj5aJjV41G/view?usp=sharing</t>
  </si>
  <si>
    <t>https://drive.google.com/file/d/1-k8a3VL9-hrURAao4BMExu46mcpR6Feg/view?usp=sharing</t>
  </si>
  <si>
    <t>https://drive.google.com/file/d/1rXGH_Fy2d2_Ejz87wnW-A5fAMP4h8Zd8/view?usp=sharing</t>
  </si>
  <si>
    <t>https://drive.google.com/file/d/1PAr9Lwif7NLQCx-mgPbXC5X7MwNBkVlP/view?usp=sharing</t>
  </si>
  <si>
    <t>https://drive.google.com/file/d/1eVqDh5xowlZK6nbtklt5AKhJaMfERi6Q/view?usp=sharing</t>
  </si>
  <si>
    <t>https://drive.google.com/file/d/1bTlQrFq0_aVJCieakWi4l5Qj9o8ifjr5/view?usp=sharing</t>
  </si>
  <si>
    <t>https://drive.google.com/file/d/1Dp3o-u_3e3BIYPxGQ_9T4-105M6G245W/view?usp=sharing</t>
  </si>
  <si>
    <t>https://drive.google.com/file/d/1sei89vlHR8jdY7Q4mbkupkPXtrSQYe2T/view?usp=sharing</t>
  </si>
  <si>
    <t>https://drive.google.com/file/d/1OMbfceeX9XtddjZ-DbSVtlwJrY3y6Oyc/view?usp=sharing</t>
  </si>
  <si>
    <t>https://drive.google.com/file/d/18IxnxJaqOB_AYwSRUEr51QWcYRcIWabD/view?usp=sharing</t>
  </si>
  <si>
    <t>https://drive.google.com/file/d/1-01Cqx74W7mDUIur-UH5Z3JjrzB9ZLpL/view?usp=sharing</t>
  </si>
  <si>
    <t>https://drive.google.com/file/d/1wWEMLPRLmzAbndKtzmm0NVHJZRbVxEXJ/view?usp=sharing</t>
  </si>
  <si>
    <t>https://drive.google.com/file/d/1NzdnD8soscz2AKkER9SUhhE_-OS2a5ku/view?usp=sharing</t>
  </si>
  <si>
    <t>https://drive.google.com/file/d/1R8PSV9q5LAMCMFaWA0Pz02DSFnlyuyVr/view?usp=sharing</t>
  </si>
  <si>
    <t>https://drive.google.com/file/d/1o8xwvfy9VzAaSIkZxlmOZ5V6FgXXrFGU/view?usp=sharing</t>
  </si>
  <si>
    <t>https://drive.google.com/file/d/1t4k8BwIB0EVXsIWuvGNWYdju1beKshVd/view?usp=sharing</t>
  </si>
  <si>
    <t>https://drive.google.com/file/d/1h7MLkOLHnRgMfNhKHRwsr-52h_3NRqv6/view?usp=sharing</t>
  </si>
  <si>
    <t>https://drive.google.com/file/d/17CXvIZ4hInwFZ972EqCQoFwyIhpixCps/view?usp=sharing</t>
  </si>
  <si>
    <t>https://drive.google.com/file/d/1zsAjQv3jIJl9M2GkMH0nzYbVfda4mBeH/view?usp=sharing</t>
  </si>
  <si>
    <t>https://drive.google.com/file/d/1-e2Eb-qFdiH7cXqBXy58KI8x82ujz1Wv/view?usp=sharing</t>
  </si>
  <si>
    <t>https://drive.google.com/file/d/1ngXMe79YfvIB_R9aIqMDwjT5o7rJxA84/view?usp=sharing</t>
  </si>
  <si>
    <t>https://drive.google.com/file/d/1EsNPMWhMEjHsIh3ajpPVdXn-Wp3_UPn_/view?usp=sharing</t>
  </si>
  <si>
    <t>https://drive.google.com/file/d/1F9rKtn-WQQu0L_AL3dPMiijmnWNYS6ob/view?usp=sharing</t>
  </si>
  <si>
    <t>https://drive.google.com/file/d/14iC3ArKqvo_JHmI7OhWyu69IQI7taBSn/view?usp=sharing</t>
  </si>
  <si>
    <t>https://drive.google.com/file/d/1Wp46fkMyObRr_LTPSgeUJJSQEf6h6tXQ/view?usp=sharing</t>
  </si>
  <si>
    <t>https://drive.google.com/file/d/1AVlAk-aktZQF9g1quBmO0DuCIJEjrQPS/view?usp=sharing</t>
  </si>
  <si>
    <t>https://drive.google.com/file/d/1VUE9h1MRmiZNi47LObaYFic7RIhEu2xn/view?usp=sharing</t>
  </si>
  <si>
    <t>https://drive.google.com/file/d/1yNsNuzAzO7q09npn_0elbAb0BlfgZtKx/view?usp=sharing</t>
  </si>
  <si>
    <t>https://drive.google.com/file/d/1iRfp1DyNuJvEjV4l03OVjMJWka_Ub43J/view?usp=sharing</t>
  </si>
  <si>
    <t>nv sk cv</t>
  </si>
  <si>
    <t>hrtt</t>
  </si>
  <si>
    <t>trrr</t>
  </si>
  <si>
    <t>rert</t>
  </si>
  <si>
    <t>https://drive.google.com/file/d/1ALixiBPK9ec0uEC5V4_ExR5f4MRwnZ5b/view?usp=sharing</t>
  </si>
  <si>
    <t>https://drive.google.com/file/d/18kG4N6mnuvuAZ4e1XDSpcxVR036f7ind/view?usp=sharing</t>
  </si>
  <si>
    <t>https://drive.google.com/file/d/1sLwwIUTUmYJBLUtsUnnlQdbs_xPjlL_C/view?usp=sharing</t>
  </si>
  <si>
    <t>https://drive.google.com/file/d/1nOtnBWWSo5qmTNs0eQ-H4R_xmqlwhffx/view?usp=sharing</t>
  </si>
  <si>
    <t>01-21</t>
  </si>
  <si>
    <t>https://drive.google.com/file/d/1uW-jdd7Ed3DxBLuEVvzxIHA1DHA7fQnX/view?usp=sharing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</si>
</sst>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0" fillId="0" borderId="0" xfId="0" applyFill="1"/>
    <xf numFmtId="0" fontId="4" fillId="0" borderId="0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sheetPr filterMode="1"/>
  <dimension ref="A2:H393"/>
  <sheetViews>
    <sheetView showGridLines="0" topLeftCell="A284" zoomScale="81" zoomScaleNormal="81" workbookViewId="0">
      <selection activeCell="C290" sqref="A290:C290"/>
    </sheetView>
  </sheetViews>
  <sheetFormatPr defaultRowHeight="13.8" x14ac:dyDescent="0.25"/>
  <cols>
    <col min="1" max="1" width="5.296875" style="14" customWidth="1"/>
    <col min="2" max="2" width="7.3984375" style="14" customWidth="1"/>
    <col min="3" max="3" width="8.8984375" style="14" customWidth="1"/>
    <col min="4" max="4" width="44.796875" style="10" customWidth="1"/>
    <col min="5" max="5" width="8.8984375" style="14" customWidth="1"/>
    <col min="6" max="6" width="49.19921875" style="10" customWidth="1"/>
    <col min="7" max="7" width="7.296875" style="20" customWidth="1"/>
    <col min="8" max="8" width="79.5" style="20" bestFit="1" customWidth="1"/>
    <col min="9" max="16384" width="8.796875" style="20"/>
  </cols>
  <sheetData>
    <row r="2" spans="1:8" x14ac:dyDescent="0.25">
      <c r="B2" s="10" t="s">
        <v>553</v>
      </c>
      <c r="E2" s="10"/>
    </row>
    <row r="3" spans="1:8" x14ac:dyDescent="0.25">
      <c r="B3" s="11" t="s">
        <v>1</v>
      </c>
      <c r="C3" s="11" t="s">
        <v>8</v>
      </c>
      <c r="D3" s="18" t="s">
        <v>0</v>
      </c>
      <c r="E3" s="11" t="s">
        <v>2</v>
      </c>
      <c r="F3" s="18" t="s">
        <v>9</v>
      </c>
      <c r="G3" s="14" t="s">
        <v>8</v>
      </c>
      <c r="H3" s="21" t="s">
        <v>10</v>
      </c>
    </row>
    <row r="4" spans="1:8" s="9" customFormat="1" hidden="1" x14ac:dyDescent="0.25">
      <c r="A4" s="14"/>
      <c r="B4" s="12" t="s">
        <v>443</v>
      </c>
      <c r="C4" s="13" t="str">
        <f>B4&amp;E4</f>
        <v>1Struc</v>
      </c>
      <c r="D4" s="19" t="s">
        <v>422</v>
      </c>
      <c r="E4" s="13" t="s">
        <v>11</v>
      </c>
      <c r="F4" s="19" t="str">
        <f>IF(G4="","","https://docs.google.com/uc?export=download&amp;id="&amp;G4)</f>
        <v/>
      </c>
      <c r="G4" s="22" t="str">
        <f>IFERROR(LEFT(RIGHT(H4,LEN(H4)-32),LEN(RIGHT(H4,LEN(H4)-32))-17),"")</f>
        <v/>
      </c>
      <c r="H4" s="20"/>
    </row>
    <row r="5" spans="1:8" hidden="1" x14ac:dyDescent="0.25">
      <c r="B5" s="23" t="s">
        <v>13</v>
      </c>
      <c r="C5" s="13" t="str">
        <f t="shared" ref="C5:C68" si="0">B5&amp;E5</f>
        <v>1.1Viet</v>
      </c>
      <c r="D5" s="24" t="s">
        <v>53</v>
      </c>
      <c r="E5" s="23" t="s">
        <v>3</v>
      </c>
      <c r="F5" s="19" t="str">
        <f t="shared" ref="F5:F68" si="1">IF(G5="","","https://docs.google.com/uc?export=download&amp;id="&amp;G5)</f>
        <v/>
      </c>
      <c r="G5" s="22" t="str">
        <f t="shared" ref="G5:G68" si="2">IFERROR(LEFT(RIGHT(H5,LEN(H5)-32),LEN(RIGHT(H5,LEN(H5)-32))-17),"")</f>
        <v/>
      </c>
    </row>
    <row r="6" spans="1:8" x14ac:dyDescent="0.25">
      <c r="A6" s="14">
        <v>1</v>
      </c>
      <c r="B6" s="23" t="s">
        <v>13</v>
      </c>
      <c r="C6" s="13" t="str">
        <f t="shared" si="0"/>
        <v>1.1Eng</v>
      </c>
      <c r="D6" s="24" t="s">
        <v>54</v>
      </c>
      <c r="E6" s="23" t="s">
        <v>4</v>
      </c>
      <c r="F6" s="19" t="str">
        <f t="shared" si="1"/>
        <v>https://docs.google.com/uc?export=download&amp;id=1mxLQYIr-tiS1nbHo5twOoje77OqnWmP_</v>
      </c>
      <c r="G6" s="22" t="str">
        <f t="shared" si="2"/>
        <v>1mxLQYIr-tiS1nbHo5twOoje77OqnWmP_</v>
      </c>
      <c r="H6" s="20" t="s">
        <v>554</v>
      </c>
    </row>
    <row r="7" spans="1:8" hidden="1" x14ac:dyDescent="0.25">
      <c r="B7" s="23" t="s">
        <v>13</v>
      </c>
      <c r="C7" s="13" t="str">
        <f t="shared" si="0"/>
        <v>1.1Phon</v>
      </c>
      <c r="D7" s="24" t="s">
        <v>299</v>
      </c>
      <c r="E7" s="23" t="s">
        <v>5</v>
      </c>
      <c r="F7" s="19" t="str">
        <f t="shared" si="1"/>
        <v/>
      </c>
      <c r="G7" s="22" t="str">
        <f t="shared" si="2"/>
        <v/>
      </c>
    </row>
    <row r="8" spans="1:8" hidden="1" x14ac:dyDescent="0.25">
      <c r="B8" s="23" t="s">
        <v>14</v>
      </c>
      <c r="C8" s="13" t="str">
        <f t="shared" si="0"/>
        <v>1.2Viet</v>
      </c>
      <c r="D8" s="24" t="s">
        <v>55</v>
      </c>
      <c r="E8" s="23" t="s">
        <v>3</v>
      </c>
      <c r="F8" s="19" t="str">
        <f t="shared" si="1"/>
        <v/>
      </c>
      <c r="G8" s="22" t="str">
        <f t="shared" si="2"/>
        <v/>
      </c>
    </row>
    <row r="9" spans="1:8" x14ac:dyDescent="0.25">
      <c r="A9" s="14">
        <v>2</v>
      </c>
      <c r="B9" s="23" t="s">
        <v>14</v>
      </c>
      <c r="C9" s="13" t="str">
        <f t="shared" si="0"/>
        <v>1.2Eng</v>
      </c>
      <c r="D9" s="24" t="s">
        <v>56</v>
      </c>
      <c r="E9" s="23" t="s">
        <v>4</v>
      </c>
      <c r="F9" s="19" t="str">
        <f t="shared" si="1"/>
        <v>https://docs.google.com/uc?export=download&amp;id=1Aj0KIwUmaxBnWv7uFYF-KIwgB6Xq5k16</v>
      </c>
      <c r="G9" s="22" t="str">
        <f t="shared" si="2"/>
        <v>1Aj0KIwUmaxBnWv7uFYF-KIwgB6Xq5k16</v>
      </c>
      <c r="H9" s="20" t="s">
        <v>555</v>
      </c>
    </row>
    <row r="10" spans="1:8" hidden="1" x14ac:dyDescent="0.25">
      <c r="B10" s="23" t="s">
        <v>14</v>
      </c>
      <c r="C10" s="13" t="str">
        <f t="shared" si="0"/>
        <v>1.2Phon</v>
      </c>
      <c r="D10" s="24" t="s">
        <v>300</v>
      </c>
      <c r="E10" s="23" t="s">
        <v>5</v>
      </c>
      <c r="F10" s="19" t="str">
        <f t="shared" si="1"/>
        <v/>
      </c>
      <c r="G10" s="22" t="str">
        <f t="shared" si="2"/>
        <v/>
      </c>
    </row>
    <row r="11" spans="1:8" hidden="1" x14ac:dyDescent="0.25">
      <c r="B11" s="23" t="s">
        <v>12</v>
      </c>
      <c r="C11" s="13" t="str">
        <f t="shared" si="0"/>
        <v>1.3Viet</v>
      </c>
      <c r="D11" s="24" t="s">
        <v>57</v>
      </c>
      <c r="E11" s="23" t="s">
        <v>3</v>
      </c>
      <c r="F11" s="19" t="str">
        <f t="shared" si="1"/>
        <v/>
      </c>
      <c r="G11" s="22" t="str">
        <f t="shared" si="2"/>
        <v/>
      </c>
    </row>
    <row r="12" spans="1:8" x14ac:dyDescent="0.25">
      <c r="A12" s="14">
        <v>3</v>
      </c>
      <c r="B12" s="23" t="s">
        <v>12</v>
      </c>
      <c r="C12" s="13" t="str">
        <f t="shared" si="0"/>
        <v>1.3Eng</v>
      </c>
      <c r="D12" s="24" t="s">
        <v>58</v>
      </c>
      <c r="E12" s="23" t="s">
        <v>4</v>
      </c>
      <c r="F12" s="19" t="str">
        <f t="shared" si="1"/>
        <v>https://docs.google.com/uc?export=download&amp;id=1RBiFUBsSV4LgrGy3DdbMy1jZpwsiyfw8</v>
      </c>
      <c r="G12" s="22" t="str">
        <f t="shared" si="2"/>
        <v>1RBiFUBsSV4LgrGy3DdbMy1jZpwsiyfw8</v>
      </c>
      <c r="H12" s="20" t="s">
        <v>556</v>
      </c>
    </row>
    <row r="13" spans="1:8" hidden="1" x14ac:dyDescent="0.25">
      <c r="B13" s="23" t="s">
        <v>12</v>
      </c>
      <c r="C13" s="13" t="str">
        <f t="shared" si="0"/>
        <v>1.3Phon</v>
      </c>
      <c r="D13" s="24" t="s">
        <v>301</v>
      </c>
      <c r="E13" s="23" t="s">
        <v>5</v>
      </c>
      <c r="F13" s="19" t="str">
        <f t="shared" si="1"/>
        <v/>
      </c>
      <c r="G13" s="22" t="str">
        <f t="shared" si="2"/>
        <v/>
      </c>
    </row>
    <row r="14" spans="1:8" hidden="1" x14ac:dyDescent="0.25">
      <c r="B14" s="23" t="s">
        <v>47</v>
      </c>
      <c r="C14" s="13" t="str">
        <f t="shared" si="0"/>
        <v>1.4Viet</v>
      </c>
      <c r="D14" s="24" t="s">
        <v>59</v>
      </c>
      <c r="E14" s="23" t="s">
        <v>3</v>
      </c>
      <c r="F14" s="19" t="str">
        <f t="shared" si="1"/>
        <v/>
      </c>
      <c r="G14" s="22" t="str">
        <f t="shared" si="2"/>
        <v/>
      </c>
    </row>
    <row r="15" spans="1:8" x14ac:dyDescent="0.25">
      <c r="A15" s="14">
        <v>4</v>
      </c>
      <c r="B15" s="23" t="s">
        <v>47</v>
      </c>
      <c r="C15" s="13" t="str">
        <f t="shared" si="0"/>
        <v>1.4Eng</v>
      </c>
      <c r="D15" s="24" t="s">
        <v>60</v>
      </c>
      <c r="E15" s="23" t="s">
        <v>4</v>
      </c>
      <c r="F15" s="19" t="str">
        <f t="shared" si="1"/>
        <v>https://docs.google.com/uc?export=download&amp;id=1Wmy8zAD64rZN7IpgkgbDdup0dvvz1bhI</v>
      </c>
      <c r="G15" s="22" t="str">
        <f t="shared" si="2"/>
        <v>1Wmy8zAD64rZN7IpgkgbDdup0dvvz1bhI</v>
      </c>
      <c r="H15" s="20" t="s">
        <v>557</v>
      </c>
    </row>
    <row r="16" spans="1:8" hidden="1" x14ac:dyDescent="0.25">
      <c r="B16" s="23" t="s">
        <v>47</v>
      </c>
      <c r="C16" s="13" t="str">
        <f t="shared" si="0"/>
        <v>1.4Phon</v>
      </c>
      <c r="D16" s="24" t="s">
        <v>302</v>
      </c>
      <c r="E16" s="23" t="s">
        <v>5</v>
      </c>
      <c r="F16" s="19" t="str">
        <f t="shared" si="1"/>
        <v/>
      </c>
      <c r="G16" s="22" t="str">
        <f t="shared" si="2"/>
        <v/>
      </c>
    </row>
    <row r="17" spans="1:8" s="9" customFormat="1" hidden="1" x14ac:dyDescent="0.25">
      <c r="A17" s="14"/>
      <c r="B17" s="23" t="s">
        <v>48</v>
      </c>
      <c r="C17" s="13" t="str">
        <f t="shared" si="0"/>
        <v>1.5Viet</v>
      </c>
      <c r="D17" s="24" t="s">
        <v>61</v>
      </c>
      <c r="E17" s="23" t="s">
        <v>3</v>
      </c>
      <c r="F17" s="19" t="str">
        <f t="shared" si="1"/>
        <v/>
      </c>
      <c r="G17" s="22" t="str">
        <f t="shared" si="2"/>
        <v/>
      </c>
      <c r="H17" s="20"/>
    </row>
    <row r="18" spans="1:8" x14ac:dyDescent="0.25">
      <c r="A18" s="14">
        <v>5</v>
      </c>
      <c r="B18" s="23" t="s">
        <v>48</v>
      </c>
      <c r="C18" s="13" t="str">
        <f t="shared" si="0"/>
        <v>1.5Eng</v>
      </c>
      <c r="D18" s="24" t="s">
        <v>62</v>
      </c>
      <c r="E18" s="23" t="s">
        <v>4</v>
      </c>
      <c r="F18" s="19" t="str">
        <f t="shared" si="1"/>
        <v>https://docs.google.com/uc?export=download&amp;id=1W3QjRPpslSjmddSTTTu4R7k3skQyYrka</v>
      </c>
      <c r="G18" s="22" t="str">
        <f t="shared" si="2"/>
        <v>1W3QjRPpslSjmddSTTTu4R7k3skQyYrka</v>
      </c>
      <c r="H18" s="20" t="s">
        <v>558</v>
      </c>
    </row>
    <row r="19" spans="1:8" hidden="1" x14ac:dyDescent="0.25">
      <c r="B19" s="23" t="s">
        <v>48</v>
      </c>
      <c r="C19" s="13" t="str">
        <f t="shared" si="0"/>
        <v>1.5Phon</v>
      </c>
      <c r="D19" s="24" t="s">
        <v>303</v>
      </c>
      <c r="E19" s="23" t="s">
        <v>5</v>
      </c>
      <c r="F19" s="19" t="str">
        <f t="shared" si="1"/>
        <v/>
      </c>
      <c r="G19" s="22" t="str">
        <f t="shared" si="2"/>
        <v/>
      </c>
    </row>
    <row r="20" spans="1:8" hidden="1" x14ac:dyDescent="0.25">
      <c r="B20" s="23" t="s">
        <v>464</v>
      </c>
      <c r="C20" s="13" t="str">
        <f t="shared" si="0"/>
        <v>1.6Viet</v>
      </c>
      <c r="D20" s="24" t="s">
        <v>63</v>
      </c>
      <c r="E20" s="23" t="s">
        <v>3</v>
      </c>
      <c r="F20" s="19" t="str">
        <f t="shared" si="1"/>
        <v/>
      </c>
      <c r="G20" s="22" t="str">
        <f t="shared" si="2"/>
        <v/>
      </c>
    </row>
    <row r="21" spans="1:8" x14ac:dyDescent="0.25">
      <c r="A21" s="14">
        <v>6</v>
      </c>
      <c r="B21" s="23" t="s">
        <v>464</v>
      </c>
      <c r="C21" s="13" t="str">
        <f t="shared" si="0"/>
        <v>1.6Eng</v>
      </c>
      <c r="D21" s="24" t="s">
        <v>64</v>
      </c>
      <c r="E21" s="23" t="s">
        <v>4</v>
      </c>
      <c r="F21" s="19" t="str">
        <f t="shared" si="1"/>
        <v>https://docs.google.com/uc?export=download&amp;id=1T9C3mQJpMMTGGUc1Pa6-z6SkTpMjQ9Ov</v>
      </c>
      <c r="G21" s="22" t="str">
        <f t="shared" si="2"/>
        <v>1T9C3mQJpMMTGGUc1Pa6-z6SkTpMjQ9Ov</v>
      </c>
      <c r="H21" s="20" t="s">
        <v>559</v>
      </c>
    </row>
    <row r="22" spans="1:8" hidden="1" x14ac:dyDescent="0.25">
      <c r="B22" s="23" t="s">
        <v>464</v>
      </c>
      <c r="C22" s="13" t="str">
        <f t="shared" si="0"/>
        <v>1.6Phon</v>
      </c>
      <c r="D22" s="24" t="s">
        <v>304</v>
      </c>
      <c r="E22" s="23" t="s">
        <v>5</v>
      </c>
      <c r="F22" s="19" t="str">
        <f t="shared" si="1"/>
        <v/>
      </c>
      <c r="G22" s="22" t="str">
        <f t="shared" si="2"/>
        <v/>
      </c>
    </row>
    <row r="23" spans="1:8" hidden="1" x14ac:dyDescent="0.25">
      <c r="B23" s="23" t="s">
        <v>465</v>
      </c>
      <c r="C23" s="13" t="str">
        <f t="shared" si="0"/>
        <v>1.7Viet</v>
      </c>
      <c r="D23" s="24" t="s">
        <v>65</v>
      </c>
      <c r="E23" s="23" t="s">
        <v>3</v>
      </c>
      <c r="F23" s="19" t="str">
        <f t="shared" si="1"/>
        <v/>
      </c>
      <c r="G23" s="22" t="str">
        <f t="shared" si="2"/>
        <v/>
      </c>
    </row>
    <row r="24" spans="1:8" x14ac:dyDescent="0.25">
      <c r="A24" s="14">
        <v>7</v>
      </c>
      <c r="B24" s="23" t="s">
        <v>465</v>
      </c>
      <c r="C24" s="13" t="str">
        <f t="shared" si="0"/>
        <v>1.7Eng</v>
      </c>
      <c r="D24" s="24" t="s">
        <v>66</v>
      </c>
      <c r="E24" s="23" t="s">
        <v>4</v>
      </c>
      <c r="F24" s="19" t="str">
        <f t="shared" si="1"/>
        <v>https://docs.google.com/uc?export=download&amp;id=1ibpzWN7H0Ha2-Gz1vjTv6MKK8r9-3CKV</v>
      </c>
      <c r="G24" s="22" t="str">
        <f t="shared" si="2"/>
        <v>1ibpzWN7H0Ha2-Gz1vjTv6MKK8r9-3CKV</v>
      </c>
      <c r="H24" s="20" t="s">
        <v>560</v>
      </c>
    </row>
    <row r="25" spans="1:8" hidden="1" x14ac:dyDescent="0.25">
      <c r="B25" s="23" t="s">
        <v>465</v>
      </c>
      <c r="C25" s="13" t="str">
        <f t="shared" si="0"/>
        <v>1.7Phon</v>
      </c>
      <c r="D25" s="24" t="s">
        <v>305</v>
      </c>
      <c r="E25" s="23" t="s">
        <v>5</v>
      </c>
      <c r="F25" s="19" t="str">
        <f t="shared" si="1"/>
        <v/>
      </c>
      <c r="G25" s="22" t="str">
        <f t="shared" si="2"/>
        <v/>
      </c>
    </row>
    <row r="26" spans="1:8" hidden="1" x14ac:dyDescent="0.25">
      <c r="B26" s="23" t="s">
        <v>466</v>
      </c>
      <c r="C26" s="13" t="str">
        <f t="shared" si="0"/>
        <v>1.8Viet</v>
      </c>
      <c r="D26" s="24" t="s">
        <v>67</v>
      </c>
      <c r="E26" s="23" t="s">
        <v>3</v>
      </c>
      <c r="F26" s="19" t="str">
        <f t="shared" si="1"/>
        <v/>
      </c>
      <c r="G26" s="22" t="str">
        <f t="shared" si="2"/>
        <v/>
      </c>
    </row>
    <row r="27" spans="1:8" x14ac:dyDescent="0.25">
      <c r="A27" s="14">
        <v>8</v>
      </c>
      <c r="B27" s="23" t="s">
        <v>466</v>
      </c>
      <c r="C27" s="13" t="str">
        <f t="shared" si="0"/>
        <v>1.8Eng</v>
      </c>
      <c r="D27" s="24" t="s">
        <v>68</v>
      </c>
      <c r="E27" s="23" t="s">
        <v>4</v>
      </c>
      <c r="F27" s="19" t="str">
        <f t="shared" si="1"/>
        <v>https://docs.google.com/uc?export=download&amp;id=1tuJQu6Dek4OVsFDRUJrFHmViHuQ73SX8</v>
      </c>
      <c r="G27" s="22" t="str">
        <f t="shared" si="2"/>
        <v>1tuJQu6Dek4OVsFDRUJrFHmViHuQ73SX8</v>
      </c>
      <c r="H27" s="20" t="s">
        <v>561</v>
      </c>
    </row>
    <row r="28" spans="1:8" hidden="1" x14ac:dyDescent="0.25">
      <c r="B28" s="23" t="s">
        <v>466</v>
      </c>
      <c r="C28" s="13" t="str">
        <f t="shared" si="0"/>
        <v>1.8Phon</v>
      </c>
      <c r="D28" s="24" t="s">
        <v>306</v>
      </c>
      <c r="E28" s="23" t="s">
        <v>5</v>
      </c>
      <c r="F28" s="19" t="str">
        <f t="shared" si="1"/>
        <v/>
      </c>
      <c r="G28" s="22" t="str">
        <f t="shared" si="2"/>
        <v/>
      </c>
    </row>
    <row r="29" spans="1:8" hidden="1" x14ac:dyDescent="0.25">
      <c r="B29" s="23" t="s">
        <v>467</v>
      </c>
      <c r="C29" s="13" t="str">
        <f t="shared" si="0"/>
        <v>1.9Viet</v>
      </c>
      <c r="D29" s="24" t="s">
        <v>69</v>
      </c>
      <c r="E29" s="23" t="s">
        <v>3</v>
      </c>
      <c r="F29" s="19" t="str">
        <f t="shared" si="1"/>
        <v/>
      </c>
      <c r="G29" s="22" t="str">
        <f t="shared" si="2"/>
        <v/>
      </c>
    </row>
    <row r="30" spans="1:8" s="9" customFormat="1" x14ac:dyDescent="0.25">
      <c r="A30" s="14">
        <v>9</v>
      </c>
      <c r="B30" s="23" t="s">
        <v>467</v>
      </c>
      <c r="C30" s="13" t="str">
        <f t="shared" si="0"/>
        <v>1.9Eng</v>
      </c>
      <c r="D30" s="24" t="s">
        <v>70</v>
      </c>
      <c r="E30" s="23" t="s">
        <v>4</v>
      </c>
      <c r="F30" s="19" t="str">
        <f t="shared" si="1"/>
        <v>https://docs.google.com/uc?export=download&amp;id=1EyeXtM1F2MDnlHgJHdajf_sHiMQWN9xI</v>
      </c>
      <c r="G30" s="22" t="str">
        <f t="shared" si="2"/>
        <v>1EyeXtM1F2MDnlHgJHdajf_sHiMQWN9xI</v>
      </c>
      <c r="H30" s="20" t="s">
        <v>562</v>
      </c>
    </row>
    <row r="31" spans="1:8" hidden="1" x14ac:dyDescent="0.25">
      <c r="B31" s="23" t="s">
        <v>467</v>
      </c>
      <c r="C31" s="13" t="str">
        <f t="shared" si="0"/>
        <v>1.9Phon</v>
      </c>
      <c r="D31" s="24" t="s">
        <v>307</v>
      </c>
      <c r="E31" s="23" t="s">
        <v>5</v>
      </c>
      <c r="F31" s="19" t="str">
        <f t="shared" si="1"/>
        <v/>
      </c>
      <c r="G31" s="22" t="str">
        <f t="shared" si="2"/>
        <v/>
      </c>
    </row>
    <row r="32" spans="1:8" hidden="1" x14ac:dyDescent="0.25">
      <c r="B32" s="23" t="s">
        <v>468</v>
      </c>
      <c r="C32" s="13" t="str">
        <f t="shared" si="0"/>
        <v>1.10Viet</v>
      </c>
      <c r="D32" s="24" t="s">
        <v>71</v>
      </c>
      <c r="E32" s="23" t="s">
        <v>3</v>
      </c>
      <c r="F32" s="19" t="str">
        <f t="shared" si="1"/>
        <v/>
      </c>
      <c r="G32" s="22" t="str">
        <f t="shared" si="2"/>
        <v/>
      </c>
    </row>
    <row r="33" spans="1:8" x14ac:dyDescent="0.25">
      <c r="A33" s="14">
        <v>10</v>
      </c>
      <c r="B33" s="23" t="s">
        <v>468</v>
      </c>
      <c r="C33" s="13" t="str">
        <f t="shared" si="0"/>
        <v>1.10Eng</v>
      </c>
      <c r="D33" s="24" t="s">
        <v>72</v>
      </c>
      <c r="E33" s="23" t="s">
        <v>4</v>
      </c>
      <c r="F33" s="19" t="str">
        <f t="shared" si="1"/>
        <v>https://docs.google.com/uc?export=download&amp;id=1SJ5gTOJYbZZbV7JzR1PRuumdsksd2max</v>
      </c>
      <c r="G33" s="22" t="str">
        <f t="shared" si="2"/>
        <v>1SJ5gTOJYbZZbV7JzR1PRuumdsksd2max</v>
      </c>
      <c r="H33" s="20" t="s">
        <v>563</v>
      </c>
    </row>
    <row r="34" spans="1:8" hidden="1" x14ac:dyDescent="0.25">
      <c r="B34" s="23" t="s">
        <v>468</v>
      </c>
      <c r="C34" s="13" t="str">
        <f t="shared" si="0"/>
        <v>1.10Phon</v>
      </c>
      <c r="D34" s="24" t="s">
        <v>308</v>
      </c>
      <c r="E34" s="23" t="s">
        <v>5</v>
      </c>
      <c r="F34" s="19" t="str">
        <f t="shared" si="1"/>
        <v/>
      </c>
      <c r="G34" s="22" t="str">
        <f t="shared" si="2"/>
        <v/>
      </c>
    </row>
    <row r="35" spans="1:8" hidden="1" x14ac:dyDescent="0.25">
      <c r="B35" s="23" t="s">
        <v>444</v>
      </c>
      <c r="C35" s="13" t="str">
        <f t="shared" si="0"/>
        <v>2Struc</v>
      </c>
      <c r="D35" s="24" t="s">
        <v>423</v>
      </c>
      <c r="E35" s="23" t="s">
        <v>11</v>
      </c>
      <c r="F35" s="19" t="str">
        <f t="shared" si="1"/>
        <v/>
      </c>
      <c r="G35" s="22" t="str">
        <f t="shared" si="2"/>
        <v/>
      </c>
    </row>
    <row r="36" spans="1:8" hidden="1" x14ac:dyDescent="0.25">
      <c r="B36" s="23" t="s">
        <v>15</v>
      </c>
      <c r="C36" s="13" t="str">
        <f t="shared" si="0"/>
        <v>2.1Viet</v>
      </c>
      <c r="D36" s="24" t="s">
        <v>73</v>
      </c>
      <c r="E36" s="23" t="s">
        <v>3</v>
      </c>
      <c r="F36" s="19" t="str">
        <f t="shared" si="1"/>
        <v/>
      </c>
      <c r="G36" s="22" t="str">
        <f t="shared" si="2"/>
        <v/>
      </c>
    </row>
    <row r="37" spans="1:8" x14ac:dyDescent="0.25">
      <c r="A37" s="14">
        <v>11</v>
      </c>
      <c r="B37" s="23" t="s">
        <v>15</v>
      </c>
      <c r="C37" s="13" t="str">
        <f t="shared" si="0"/>
        <v>2.1Eng</v>
      </c>
      <c r="D37" s="24" t="s">
        <v>74</v>
      </c>
      <c r="E37" s="23" t="s">
        <v>4</v>
      </c>
      <c r="F37" s="19" t="str">
        <f t="shared" si="1"/>
        <v>https://docs.google.com/uc?export=download&amp;id=1zWSx63P4LowVT119ZmcY4L2y9ZoiXmIz</v>
      </c>
      <c r="G37" s="22" t="str">
        <f t="shared" si="2"/>
        <v>1zWSx63P4LowVT119ZmcY4L2y9ZoiXmIz</v>
      </c>
      <c r="H37" s="20" t="s">
        <v>564</v>
      </c>
    </row>
    <row r="38" spans="1:8" hidden="1" x14ac:dyDescent="0.25">
      <c r="B38" s="23" t="s">
        <v>15</v>
      </c>
      <c r="C38" s="13" t="str">
        <f t="shared" si="0"/>
        <v>2.1Phon</v>
      </c>
      <c r="D38" s="24" t="s">
        <v>309</v>
      </c>
      <c r="E38" s="23" t="s">
        <v>5</v>
      </c>
      <c r="F38" s="19" t="str">
        <f t="shared" si="1"/>
        <v/>
      </c>
      <c r="G38" s="22" t="str">
        <f t="shared" si="2"/>
        <v/>
      </c>
    </row>
    <row r="39" spans="1:8" hidden="1" x14ac:dyDescent="0.25">
      <c r="B39" s="23" t="s">
        <v>17</v>
      </c>
      <c r="C39" s="13" t="str">
        <f t="shared" si="0"/>
        <v>2.2Viet</v>
      </c>
      <c r="D39" s="24" t="s">
        <v>75</v>
      </c>
      <c r="E39" s="23" t="s">
        <v>3</v>
      </c>
      <c r="F39" s="19" t="str">
        <f t="shared" si="1"/>
        <v/>
      </c>
      <c r="G39" s="22" t="str">
        <f t="shared" si="2"/>
        <v/>
      </c>
    </row>
    <row r="40" spans="1:8" x14ac:dyDescent="0.25">
      <c r="A40" s="14">
        <v>12</v>
      </c>
      <c r="B40" s="23" t="s">
        <v>17</v>
      </c>
      <c r="C40" s="13" t="str">
        <f t="shared" si="0"/>
        <v>2.2Eng</v>
      </c>
      <c r="D40" s="24" t="s">
        <v>76</v>
      </c>
      <c r="E40" s="23" t="s">
        <v>4</v>
      </c>
      <c r="F40" s="19" t="str">
        <f t="shared" si="1"/>
        <v>https://docs.google.com/uc?export=download&amp;id=1m6HOUuzTTShXRiP8KeqWKVVXZIDEgZlf</v>
      </c>
      <c r="G40" s="22" t="str">
        <f t="shared" si="2"/>
        <v>1m6HOUuzTTShXRiP8KeqWKVVXZIDEgZlf</v>
      </c>
      <c r="H40" s="20" t="s">
        <v>565</v>
      </c>
    </row>
    <row r="41" spans="1:8" hidden="1" x14ac:dyDescent="0.25">
      <c r="B41" s="23" t="s">
        <v>17</v>
      </c>
      <c r="C41" s="13" t="str">
        <f t="shared" si="0"/>
        <v>2.2Phon</v>
      </c>
      <c r="D41" s="24" t="s">
        <v>310</v>
      </c>
      <c r="E41" s="23" t="s">
        <v>5</v>
      </c>
      <c r="F41" s="19" t="str">
        <f t="shared" si="1"/>
        <v/>
      </c>
      <c r="G41" s="22" t="str">
        <f t="shared" si="2"/>
        <v/>
      </c>
    </row>
    <row r="42" spans="1:8" hidden="1" x14ac:dyDescent="0.25">
      <c r="B42" s="23" t="s">
        <v>16</v>
      </c>
      <c r="C42" s="13" t="str">
        <f t="shared" si="0"/>
        <v>2.3Viet</v>
      </c>
      <c r="D42" s="24" t="s">
        <v>77</v>
      </c>
      <c r="E42" s="23" t="s">
        <v>3</v>
      </c>
      <c r="F42" s="19" t="str">
        <f t="shared" si="1"/>
        <v/>
      </c>
      <c r="G42" s="22" t="str">
        <f t="shared" si="2"/>
        <v/>
      </c>
    </row>
    <row r="43" spans="1:8" x14ac:dyDescent="0.25">
      <c r="A43" s="14">
        <v>13</v>
      </c>
      <c r="B43" s="23" t="s">
        <v>16</v>
      </c>
      <c r="C43" s="13" t="str">
        <f t="shared" si="0"/>
        <v>2.3Eng</v>
      </c>
      <c r="D43" s="24" t="s">
        <v>78</v>
      </c>
      <c r="E43" s="23" t="s">
        <v>4</v>
      </c>
      <c r="F43" s="19" t="str">
        <f t="shared" si="1"/>
        <v>https://docs.google.com/uc?export=download&amp;id=17UA-SJugtufGLLEGkMZ8HbX9DPKdkEAy</v>
      </c>
      <c r="G43" s="22" t="str">
        <f t="shared" si="2"/>
        <v>17UA-SJugtufGLLEGkMZ8HbX9DPKdkEAy</v>
      </c>
      <c r="H43" s="20" t="s">
        <v>566</v>
      </c>
    </row>
    <row r="44" spans="1:8" hidden="1" x14ac:dyDescent="0.25">
      <c r="B44" s="23" t="s">
        <v>16</v>
      </c>
      <c r="C44" s="13" t="str">
        <f t="shared" si="0"/>
        <v>2.3Phon</v>
      </c>
      <c r="D44" s="24" t="s">
        <v>311</v>
      </c>
      <c r="E44" s="23" t="s">
        <v>5</v>
      </c>
      <c r="F44" s="19" t="str">
        <f t="shared" si="1"/>
        <v/>
      </c>
      <c r="G44" s="22" t="str">
        <f t="shared" si="2"/>
        <v/>
      </c>
    </row>
    <row r="45" spans="1:8" hidden="1" x14ac:dyDescent="0.25">
      <c r="B45" s="23" t="s">
        <v>49</v>
      </c>
      <c r="C45" s="13" t="str">
        <f t="shared" si="0"/>
        <v>2.4Viet</v>
      </c>
      <c r="D45" s="24" t="s">
        <v>79</v>
      </c>
      <c r="E45" s="23" t="s">
        <v>3</v>
      </c>
      <c r="F45" s="19" t="str">
        <f t="shared" si="1"/>
        <v/>
      </c>
      <c r="G45" s="22" t="str">
        <f t="shared" si="2"/>
        <v/>
      </c>
    </row>
    <row r="46" spans="1:8" x14ac:dyDescent="0.25">
      <c r="A46" s="14">
        <v>14</v>
      </c>
      <c r="B46" s="23" t="s">
        <v>49</v>
      </c>
      <c r="C46" s="13" t="str">
        <f t="shared" si="0"/>
        <v>2.4Eng</v>
      </c>
      <c r="D46" s="24" t="s">
        <v>80</v>
      </c>
      <c r="E46" s="23" t="s">
        <v>4</v>
      </c>
      <c r="F46" s="19" t="str">
        <f t="shared" si="1"/>
        <v>https://docs.google.com/uc?export=download&amp;id=1tBXegk1Mnc2FXbGfSEj49vAY7OrThV9m</v>
      </c>
      <c r="G46" s="22" t="str">
        <f t="shared" si="2"/>
        <v>1tBXegk1Mnc2FXbGfSEj49vAY7OrThV9m</v>
      </c>
      <c r="H46" s="20" t="s">
        <v>567</v>
      </c>
    </row>
    <row r="47" spans="1:8" hidden="1" x14ac:dyDescent="0.25">
      <c r="B47" s="23" t="s">
        <v>49</v>
      </c>
      <c r="C47" s="13" t="str">
        <f t="shared" si="0"/>
        <v>2.4Phon</v>
      </c>
      <c r="D47" s="24" t="s">
        <v>312</v>
      </c>
      <c r="E47" s="23" t="s">
        <v>5</v>
      </c>
      <c r="F47" s="19" t="str">
        <f t="shared" si="1"/>
        <v/>
      </c>
      <c r="G47" s="22" t="str">
        <f t="shared" si="2"/>
        <v/>
      </c>
    </row>
    <row r="48" spans="1:8" hidden="1" x14ac:dyDescent="0.25">
      <c r="B48" s="23" t="s">
        <v>50</v>
      </c>
      <c r="C48" s="13" t="str">
        <f t="shared" si="0"/>
        <v>2.5Viet</v>
      </c>
      <c r="D48" s="24" t="s">
        <v>81</v>
      </c>
      <c r="E48" s="23" t="s">
        <v>3</v>
      </c>
      <c r="F48" s="19" t="str">
        <f t="shared" si="1"/>
        <v/>
      </c>
      <c r="G48" s="22" t="str">
        <f t="shared" si="2"/>
        <v/>
      </c>
    </row>
    <row r="49" spans="1:8" x14ac:dyDescent="0.25">
      <c r="A49" s="14">
        <v>15</v>
      </c>
      <c r="B49" s="23" t="s">
        <v>50</v>
      </c>
      <c r="C49" s="13" t="str">
        <f t="shared" si="0"/>
        <v>2.5Eng</v>
      </c>
      <c r="D49" s="24" t="s">
        <v>82</v>
      </c>
      <c r="E49" s="23" t="s">
        <v>4</v>
      </c>
      <c r="F49" s="19" t="str">
        <f t="shared" si="1"/>
        <v>https://docs.google.com/uc?export=download&amp;id=1-iPPApiSMkCVg2OUlOLRHmUiTt9ULcXS</v>
      </c>
      <c r="G49" s="22" t="str">
        <f t="shared" si="2"/>
        <v>1-iPPApiSMkCVg2OUlOLRHmUiTt9ULcXS</v>
      </c>
      <c r="H49" s="20" t="s">
        <v>568</v>
      </c>
    </row>
    <row r="50" spans="1:8" hidden="1" x14ac:dyDescent="0.25">
      <c r="B50" s="23" t="s">
        <v>50</v>
      </c>
      <c r="C50" s="13" t="str">
        <f t="shared" si="0"/>
        <v>2.5Phon</v>
      </c>
      <c r="D50" s="24" t="s">
        <v>313</v>
      </c>
      <c r="E50" s="23" t="s">
        <v>5</v>
      </c>
      <c r="F50" s="19" t="str">
        <f t="shared" si="1"/>
        <v/>
      </c>
      <c r="G50" s="22" t="str">
        <f t="shared" si="2"/>
        <v/>
      </c>
    </row>
    <row r="51" spans="1:8" hidden="1" x14ac:dyDescent="0.25">
      <c r="B51" s="23" t="s">
        <v>469</v>
      </c>
      <c r="C51" s="13" t="str">
        <f t="shared" si="0"/>
        <v>2.6Viet</v>
      </c>
      <c r="D51" s="24" t="s">
        <v>83</v>
      </c>
      <c r="E51" s="23" t="s">
        <v>3</v>
      </c>
      <c r="F51" s="19" t="str">
        <f t="shared" si="1"/>
        <v/>
      </c>
      <c r="G51" s="22" t="str">
        <f t="shared" si="2"/>
        <v/>
      </c>
    </row>
    <row r="52" spans="1:8" x14ac:dyDescent="0.25">
      <c r="A52" s="14">
        <v>16</v>
      </c>
      <c r="B52" s="23" t="s">
        <v>469</v>
      </c>
      <c r="C52" s="13" t="str">
        <f t="shared" si="0"/>
        <v>2.6Eng</v>
      </c>
      <c r="D52" s="24" t="s">
        <v>84</v>
      </c>
      <c r="E52" s="23" t="s">
        <v>4</v>
      </c>
      <c r="F52" s="19" t="str">
        <f t="shared" si="1"/>
        <v>https://docs.google.com/uc?export=download&amp;id=16L6PbE1wIbWoOs9aMdq91baYG9NQDYee</v>
      </c>
      <c r="G52" s="22" t="str">
        <f t="shared" si="2"/>
        <v>16L6PbE1wIbWoOs9aMdq91baYG9NQDYee</v>
      </c>
      <c r="H52" s="20" t="s">
        <v>569</v>
      </c>
    </row>
    <row r="53" spans="1:8" hidden="1" x14ac:dyDescent="0.25">
      <c r="B53" s="23" t="s">
        <v>469</v>
      </c>
      <c r="C53" s="13" t="str">
        <f t="shared" si="0"/>
        <v>2.6Phon</v>
      </c>
      <c r="D53" s="24" t="s">
        <v>314</v>
      </c>
      <c r="E53" s="23" t="s">
        <v>5</v>
      </c>
      <c r="F53" s="19" t="str">
        <f t="shared" si="1"/>
        <v/>
      </c>
      <c r="G53" s="22" t="str">
        <f t="shared" si="2"/>
        <v/>
      </c>
    </row>
    <row r="54" spans="1:8" hidden="1" x14ac:dyDescent="0.25">
      <c r="B54" s="23" t="s">
        <v>470</v>
      </c>
      <c r="C54" s="13" t="str">
        <f t="shared" si="0"/>
        <v>2.7Viet</v>
      </c>
      <c r="D54" s="24" t="s">
        <v>85</v>
      </c>
      <c r="E54" s="23" t="s">
        <v>3</v>
      </c>
      <c r="F54" s="19" t="str">
        <f t="shared" si="1"/>
        <v/>
      </c>
      <c r="G54" s="22" t="str">
        <f t="shared" si="2"/>
        <v/>
      </c>
    </row>
    <row r="55" spans="1:8" x14ac:dyDescent="0.25">
      <c r="A55" s="14">
        <v>17</v>
      </c>
      <c r="B55" s="23" t="s">
        <v>470</v>
      </c>
      <c r="C55" s="13" t="str">
        <f t="shared" si="0"/>
        <v>2.7Eng</v>
      </c>
      <c r="D55" s="24" t="s">
        <v>86</v>
      </c>
      <c r="E55" s="23" t="s">
        <v>4</v>
      </c>
      <c r="F55" s="19" t="str">
        <f t="shared" si="1"/>
        <v>https://docs.google.com/uc?export=download&amp;id=1tO21PLkOOxi7TdI64LXaXbMKQgTNgBR2</v>
      </c>
      <c r="G55" s="22" t="str">
        <f t="shared" si="2"/>
        <v>1tO21PLkOOxi7TdI64LXaXbMKQgTNgBR2</v>
      </c>
      <c r="H55" s="20" t="s">
        <v>570</v>
      </c>
    </row>
    <row r="56" spans="1:8" hidden="1" x14ac:dyDescent="0.25">
      <c r="B56" s="23" t="s">
        <v>470</v>
      </c>
      <c r="C56" s="13" t="str">
        <f t="shared" si="0"/>
        <v>2.7Phon</v>
      </c>
      <c r="D56" s="24" t="s">
        <v>315</v>
      </c>
      <c r="E56" s="23" t="s">
        <v>5</v>
      </c>
      <c r="F56" s="19" t="str">
        <f t="shared" si="1"/>
        <v/>
      </c>
      <c r="G56" s="22" t="str">
        <f t="shared" si="2"/>
        <v/>
      </c>
    </row>
    <row r="57" spans="1:8" hidden="1" x14ac:dyDescent="0.25">
      <c r="B57" s="23" t="s">
        <v>471</v>
      </c>
      <c r="C57" s="13" t="str">
        <f t="shared" si="0"/>
        <v>2.8Viet</v>
      </c>
      <c r="D57" s="24" t="s">
        <v>87</v>
      </c>
      <c r="E57" s="23" t="s">
        <v>3</v>
      </c>
      <c r="F57" s="19" t="str">
        <f t="shared" si="1"/>
        <v/>
      </c>
      <c r="G57" s="22" t="str">
        <f t="shared" si="2"/>
        <v/>
      </c>
    </row>
    <row r="58" spans="1:8" x14ac:dyDescent="0.25">
      <c r="A58" s="14">
        <v>18</v>
      </c>
      <c r="B58" s="23" t="s">
        <v>471</v>
      </c>
      <c r="C58" s="13" t="str">
        <f t="shared" si="0"/>
        <v>2.8Eng</v>
      </c>
      <c r="D58" s="24" t="s">
        <v>88</v>
      </c>
      <c r="E58" s="23" t="s">
        <v>4</v>
      </c>
      <c r="F58" s="19" t="str">
        <f t="shared" si="1"/>
        <v>https://docs.google.com/uc?export=download&amp;id=1_Peqbi5aiF4ZhiBTaU2nrRGdMZvm5beJ</v>
      </c>
      <c r="G58" s="22" t="str">
        <f t="shared" si="2"/>
        <v>1_Peqbi5aiF4ZhiBTaU2nrRGdMZvm5beJ</v>
      </c>
      <c r="H58" s="20" t="s">
        <v>571</v>
      </c>
    </row>
    <row r="59" spans="1:8" s="9" customFormat="1" hidden="1" x14ac:dyDescent="0.25">
      <c r="A59" s="14"/>
      <c r="B59" s="23" t="s">
        <v>471</v>
      </c>
      <c r="C59" s="13" t="str">
        <f t="shared" si="0"/>
        <v>2.8Phon</v>
      </c>
      <c r="D59" s="24" t="s">
        <v>316</v>
      </c>
      <c r="E59" s="23" t="s">
        <v>5</v>
      </c>
      <c r="F59" s="19" t="str">
        <f t="shared" si="1"/>
        <v/>
      </c>
      <c r="G59" s="22" t="str">
        <f t="shared" si="2"/>
        <v/>
      </c>
      <c r="H59" s="20"/>
    </row>
    <row r="60" spans="1:8" hidden="1" x14ac:dyDescent="0.25">
      <c r="B60" s="23" t="s">
        <v>445</v>
      </c>
      <c r="C60" s="13" t="str">
        <f t="shared" si="0"/>
        <v>3Struc</v>
      </c>
      <c r="D60" s="24" t="s">
        <v>424</v>
      </c>
      <c r="E60" s="23" t="s">
        <v>11</v>
      </c>
      <c r="F60" s="19" t="str">
        <f t="shared" si="1"/>
        <v/>
      </c>
      <c r="G60" s="22" t="str">
        <f t="shared" si="2"/>
        <v/>
      </c>
    </row>
    <row r="61" spans="1:8" hidden="1" x14ac:dyDescent="0.25">
      <c r="B61" s="23" t="s">
        <v>18</v>
      </c>
      <c r="C61" s="13" t="str">
        <f t="shared" si="0"/>
        <v>3.1Viet</v>
      </c>
      <c r="D61" s="24" t="s">
        <v>89</v>
      </c>
      <c r="E61" s="23" t="s">
        <v>3</v>
      </c>
      <c r="F61" s="19" t="str">
        <f t="shared" si="1"/>
        <v/>
      </c>
      <c r="G61" s="22" t="str">
        <f t="shared" si="2"/>
        <v/>
      </c>
    </row>
    <row r="62" spans="1:8" x14ac:dyDescent="0.25">
      <c r="A62" s="14">
        <v>19</v>
      </c>
      <c r="B62" s="23" t="s">
        <v>18</v>
      </c>
      <c r="C62" s="13" t="str">
        <f t="shared" si="0"/>
        <v>3.1Eng</v>
      </c>
      <c r="D62" s="24" t="s">
        <v>90</v>
      </c>
      <c r="E62" s="23" t="s">
        <v>4</v>
      </c>
      <c r="F62" s="19" t="str">
        <f t="shared" si="1"/>
        <v>https://docs.google.com/uc?export=download&amp;id=1Ao0RCPwUMYBwmH1XMN2Be7s8HCyQwAMT</v>
      </c>
      <c r="G62" s="22" t="str">
        <f t="shared" si="2"/>
        <v>1Ao0RCPwUMYBwmH1XMN2Be7s8HCyQwAMT</v>
      </c>
      <c r="H62" s="20" t="s">
        <v>572</v>
      </c>
    </row>
    <row r="63" spans="1:8" hidden="1" x14ac:dyDescent="0.25">
      <c r="B63" s="23" t="s">
        <v>18</v>
      </c>
      <c r="C63" s="13" t="str">
        <f t="shared" si="0"/>
        <v>3.1Phon</v>
      </c>
      <c r="D63" s="24" t="s">
        <v>317</v>
      </c>
      <c r="E63" s="23" t="s">
        <v>5</v>
      </c>
      <c r="F63" s="19" t="str">
        <f t="shared" si="1"/>
        <v/>
      </c>
      <c r="G63" s="22" t="str">
        <f t="shared" si="2"/>
        <v/>
      </c>
    </row>
    <row r="64" spans="1:8" hidden="1" x14ac:dyDescent="0.25">
      <c r="B64" s="23" t="s">
        <v>19</v>
      </c>
      <c r="C64" s="13" t="str">
        <f t="shared" si="0"/>
        <v>3.2Viet</v>
      </c>
      <c r="D64" s="24" t="s">
        <v>91</v>
      </c>
      <c r="E64" s="23" t="s">
        <v>3</v>
      </c>
      <c r="F64" s="19" t="str">
        <f t="shared" si="1"/>
        <v/>
      </c>
      <c r="G64" s="22" t="str">
        <f t="shared" si="2"/>
        <v/>
      </c>
    </row>
    <row r="65" spans="1:8" x14ac:dyDescent="0.25">
      <c r="A65" s="14">
        <v>20</v>
      </c>
      <c r="B65" s="23" t="s">
        <v>19</v>
      </c>
      <c r="C65" s="13" t="str">
        <f t="shared" si="0"/>
        <v>3.2Eng</v>
      </c>
      <c r="D65" s="24" t="s">
        <v>92</v>
      </c>
      <c r="E65" s="23" t="s">
        <v>4</v>
      </c>
      <c r="F65" s="19" t="str">
        <f t="shared" si="1"/>
        <v>https://docs.google.com/uc?export=download&amp;id=1R39E9UWQDi16y0dm8kpanQatobOVu-KU</v>
      </c>
      <c r="G65" s="22" t="str">
        <f t="shared" si="2"/>
        <v>1R39E9UWQDi16y0dm8kpanQatobOVu-KU</v>
      </c>
      <c r="H65" s="20" t="s">
        <v>573</v>
      </c>
    </row>
    <row r="66" spans="1:8" hidden="1" x14ac:dyDescent="0.25">
      <c r="B66" s="23" t="s">
        <v>19</v>
      </c>
      <c r="C66" s="13" t="str">
        <f t="shared" si="0"/>
        <v>3.2Phon</v>
      </c>
      <c r="D66" s="24" t="s">
        <v>318</v>
      </c>
      <c r="E66" s="23" t="s">
        <v>5</v>
      </c>
      <c r="F66" s="19" t="str">
        <f t="shared" si="1"/>
        <v/>
      </c>
      <c r="G66" s="22" t="str">
        <f t="shared" si="2"/>
        <v/>
      </c>
    </row>
    <row r="67" spans="1:8" hidden="1" x14ac:dyDescent="0.25">
      <c r="B67" s="23" t="s">
        <v>20</v>
      </c>
      <c r="C67" s="13" t="str">
        <f t="shared" si="0"/>
        <v>3.3Viet</v>
      </c>
      <c r="D67" s="24" t="s">
        <v>93</v>
      </c>
      <c r="E67" s="23" t="s">
        <v>3</v>
      </c>
      <c r="F67" s="19" t="str">
        <f t="shared" si="1"/>
        <v/>
      </c>
      <c r="G67" s="22" t="str">
        <f t="shared" si="2"/>
        <v/>
      </c>
    </row>
    <row r="68" spans="1:8" x14ac:dyDescent="0.25">
      <c r="A68" s="14">
        <v>21</v>
      </c>
      <c r="B68" s="23" t="s">
        <v>20</v>
      </c>
      <c r="C68" s="13" t="str">
        <f t="shared" si="0"/>
        <v>3.3Eng</v>
      </c>
      <c r="D68" s="24" t="s">
        <v>94</v>
      </c>
      <c r="E68" s="23" t="s">
        <v>4</v>
      </c>
      <c r="F68" s="19" t="str">
        <f t="shared" si="1"/>
        <v>https://docs.google.com/uc?export=download&amp;id=1RLR4CL4DPX9NvDZv8mgiMDcMYXMsKgY_</v>
      </c>
      <c r="G68" s="22" t="str">
        <f t="shared" si="2"/>
        <v>1RLR4CL4DPX9NvDZv8mgiMDcMYXMsKgY_</v>
      </c>
      <c r="H68" s="20" t="s">
        <v>574</v>
      </c>
    </row>
    <row r="69" spans="1:8" hidden="1" x14ac:dyDescent="0.25">
      <c r="B69" s="23" t="s">
        <v>20</v>
      </c>
      <c r="C69" s="13" t="str">
        <f t="shared" ref="C69:C132" si="3">B69&amp;E69</f>
        <v>3.3Phon</v>
      </c>
      <c r="D69" s="24" t="s">
        <v>319</v>
      </c>
      <c r="E69" s="23" t="s">
        <v>5</v>
      </c>
      <c r="F69" s="19" t="str">
        <f t="shared" ref="F69:F132" si="4">IF(G69="","","https://docs.google.com/uc?export=download&amp;id="&amp;G69)</f>
        <v/>
      </c>
      <c r="G69" s="22" t="str">
        <f t="shared" ref="G69:G132" si="5">IFERROR(LEFT(RIGHT(H69,LEN(H69)-32),LEN(RIGHT(H69,LEN(H69)-32))-17),"")</f>
        <v/>
      </c>
    </row>
    <row r="70" spans="1:8" hidden="1" x14ac:dyDescent="0.25">
      <c r="B70" s="23" t="s">
        <v>472</v>
      </c>
      <c r="C70" s="13" t="str">
        <f t="shared" si="3"/>
        <v>3.4Viet</v>
      </c>
      <c r="D70" s="24" t="s">
        <v>95</v>
      </c>
      <c r="E70" s="23" t="s">
        <v>3</v>
      </c>
      <c r="F70" s="19" t="str">
        <f t="shared" si="4"/>
        <v/>
      </c>
      <c r="G70" s="22" t="str">
        <f t="shared" si="5"/>
        <v/>
      </c>
    </row>
    <row r="71" spans="1:8" x14ac:dyDescent="0.25">
      <c r="A71" s="14">
        <v>22</v>
      </c>
      <c r="B71" s="23" t="s">
        <v>472</v>
      </c>
      <c r="C71" s="13" t="str">
        <f t="shared" si="3"/>
        <v>3.4Eng</v>
      </c>
      <c r="D71" s="24" t="s">
        <v>96</v>
      </c>
      <c r="E71" s="23" t="s">
        <v>4</v>
      </c>
      <c r="F71" s="19" t="str">
        <f t="shared" si="4"/>
        <v>https://docs.google.com/uc?export=download&amp;id=1UrgQrrKDO023FJZHffRBTmrBfS0KsrUI</v>
      </c>
      <c r="G71" s="22" t="str">
        <f t="shared" si="5"/>
        <v>1UrgQrrKDO023FJZHffRBTmrBfS0KsrUI</v>
      </c>
      <c r="H71" s="20" t="s">
        <v>575</v>
      </c>
    </row>
    <row r="72" spans="1:8" s="9" customFormat="1" hidden="1" x14ac:dyDescent="0.25">
      <c r="A72" s="14"/>
      <c r="B72" s="23" t="s">
        <v>472</v>
      </c>
      <c r="C72" s="13" t="str">
        <f t="shared" si="3"/>
        <v>3.4Phon</v>
      </c>
      <c r="D72" s="24" t="s">
        <v>320</v>
      </c>
      <c r="E72" s="23" t="s">
        <v>5</v>
      </c>
      <c r="F72" s="19" t="str">
        <f t="shared" si="4"/>
        <v/>
      </c>
      <c r="G72" s="22" t="str">
        <f t="shared" si="5"/>
        <v/>
      </c>
      <c r="H72" s="20"/>
    </row>
    <row r="73" spans="1:8" hidden="1" x14ac:dyDescent="0.25">
      <c r="B73" s="23" t="s">
        <v>473</v>
      </c>
      <c r="C73" s="13" t="str">
        <f t="shared" si="3"/>
        <v>3.5Viet</v>
      </c>
      <c r="D73" s="24" t="s">
        <v>97</v>
      </c>
      <c r="E73" s="23" t="s">
        <v>3</v>
      </c>
      <c r="F73" s="19" t="str">
        <f t="shared" si="4"/>
        <v/>
      </c>
      <c r="G73" s="22" t="str">
        <f t="shared" si="5"/>
        <v/>
      </c>
    </row>
    <row r="74" spans="1:8" x14ac:dyDescent="0.25">
      <c r="A74" s="14">
        <v>23</v>
      </c>
      <c r="B74" s="23" t="s">
        <v>473</v>
      </c>
      <c r="C74" s="13" t="str">
        <f t="shared" si="3"/>
        <v>3.5Eng</v>
      </c>
      <c r="D74" s="24" t="s">
        <v>98</v>
      </c>
      <c r="E74" s="23" t="s">
        <v>4</v>
      </c>
      <c r="F74" s="19" t="str">
        <f t="shared" si="4"/>
        <v>https://docs.google.com/uc?export=download&amp;id=1BvQeXlerp0BsI7on7bsrG-HEZBUVrkgE</v>
      </c>
      <c r="G74" s="22" t="str">
        <f t="shared" si="5"/>
        <v>1BvQeXlerp0BsI7on7bsrG-HEZBUVrkgE</v>
      </c>
      <c r="H74" s="20" t="s">
        <v>576</v>
      </c>
    </row>
    <row r="75" spans="1:8" hidden="1" x14ac:dyDescent="0.25">
      <c r="B75" s="23" t="s">
        <v>473</v>
      </c>
      <c r="C75" s="13" t="str">
        <f t="shared" si="3"/>
        <v>3.5Phon</v>
      </c>
      <c r="D75" s="24" t="s">
        <v>321</v>
      </c>
      <c r="E75" s="23" t="s">
        <v>5</v>
      </c>
      <c r="F75" s="19" t="str">
        <f t="shared" si="4"/>
        <v/>
      </c>
      <c r="G75" s="22" t="str">
        <f t="shared" si="5"/>
        <v/>
      </c>
    </row>
    <row r="76" spans="1:8" hidden="1" x14ac:dyDescent="0.25">
      <c r="B76" s="23" t="s">
        <v>446</v>
      </c>
      <c r="C76" s="13" t="str">
        <f t="shared" si="3"/>
        <v>4Struc</v>
      </c>
      <c r="D76" s="24" t="s">
        <v>425</v>
      </c>
      <c r="E76" s="23" t="s">
        <v>11</v>
      </c>
      <c r="F76" s="19" t="str">
        <f t="shared" si="4"/>
        <v/>
      </c>
      <c r="G76" s="22" t="str">
        <f t="shared" si="5"/>
        <v/>
      </c>
    </row>
    <row r="77" spans="1:8" hidden="1" x14ac:dyDescent="0.25">
      <c r="B77" s="23" t="s">
        <v>21</v>
      </c>
      <c r="C77" s="13" t="str">
        <f t="shared" si="3"/>
        <v>4.1Viet</v>
      </c>
      <c r="D77" s="24" t="s">
        <v>99</v>
      </c>
      <c r="E77" s="23" t="s">
        <v>3</v>
      </c>
      <c r="F77" s="19" t="str">
        <f t="shared" si="4"/>
        <v/>
      </c>
      <c r="G77" s="22" t="str">
        <f t="shared" si="5"/>
        <v/>
      </c>
    </row>
    <row r="78" spans="1:8" x14ac:dyDescent="0.25">
      <c r="A78" s="14">
        <v>24</v>
      </c>
      <c r="B78" s="23" t="s">
        <v>21</v>
      </c>
      <c r="C78" s="13" t="str">
        <f t="shared" si="3"/>
        <v>4.1Eng</v>
      </c>
      <c r="D78" s="24" t="s">
        <v>100</v>
      </c>
      <c r="E78" s="23" t="s">
        <v>4</v>
      </c>
      <c r="F78" s="19" t="str">
        <f t="shared" si="4"/>
        <v>https://docs.google.com/uc?export=download&amp;id=1bc1cTTAhsFj1cEkHAWzaet4BS122D0hi</v>
      </c>
      <c r="G78" s="22" t="str">
        <f t="shared" si="5"/>
        <v>1bc1cTTAhsFj1cEkHAWzaet4BS122D0hi</v>
      </c>
      <c r="H78" s="20" t="s">
        <v>577</v>
      </c>
    </row>
    <row r="79" spans="1:8" hidden="1" x14ac:dyDescent="0.25">
      <c r="B79" s="23" t="s">
        <v>21</v>
      </c>
      <c r="C79" s="13" t="str">
        <f t="shared" si="3"/>
        <v>4.1Phon</v>
      </c>
      <c r="D79" s="24" t="s">
        <v>322</v>
      </c>
      <c r="E79" s="23" t="s">
        <v>5</v>
      </c>
      <c r="F79" s="19" t="str">
        <f t="shared" si="4"/>
        <v/>
      </c>
      <c r="G79" s="22" t="str">
        <f t="shared" si="5"/>
        <v/>
      </c>
    </row>
    <row r="80" spans="1:8" hidden="1" x14ac:dyDescent="0.25">
      <c r="B80" s="23" t="s">
        <v>22</v>
      </c>
      <c r="C80" s="13" t="str">
        <f t="shared" si="3"/>
        <v>4.2Viet</v>
      </c>
      <c r="D80" s="24" t="s">
        <v>101</v>
      </c>
      <c r="E80" s="23" t="s">
        <v>3</v>
      </c>
      <c r="F80" s="19" t="str">
        <f t="shared" si="4"/>
        <v/>
      </c>
      <c r="G80" s="22" t="str">
        <f t="shared" si="5"/>
        <v/>
      </c>
    </row>
    <row r="81" spans="1:8" x14ac:dyDescent="0.25">
      <c r="A81" s="14">
        <v>25</v>
      </c>
      <c r="B81" s="23" t="s">
        <v>22</v>
      </c>
      <c r="C81" s="13" t="str">
        <f t="shared" si="3"/>
        <v>4.2Eng</v>
      </c>
      <c r="D81" s="24" t="s">
        <v>102</v>
      </c>
      <c r="E81" s="23" t="s">
        <v>4</v>
      </c>
      <c r="F81" s="19" t="str">
        <f t="shared" si="4"/>
        <v>https://docs.google.com/uc?export=download&amp;id=1BSql97uTqV3p7J4iB9XSgnBjyP1ALrFR</v>
      </c>
      <c r="G81" s="22" t="str">
        <f t="shared" si="5"/>
        <v>1BSql97uTqV3p7J4iB9XSgnBjyP1ALrFR</v>
      </c>
      <c r="H81" s="20" t="s">
        <v>578</v>
      </c>
    </row>
    <row r="82" spans="1:8" hidden="1" x14ac:dyDescent="0.25">
      <c r="B82" s="23" t="s">
        <v>22</v>
      </c>
      <c r="C82" s="13" t="str">
        <f t="shared" si="3"/>
        <v>4.2Phon</v>
      </c>
      <c r="D82" s="24" t="s">
        <v>323</v>
      </c>
      <c r="E82" s="23" t="s">
        <v>5</v>
      </c>
      <c r="F82" s="19" t="str">
        <f t="shared" si="4"/>
        <v/>
      </c>
      <c r="G82" s="22" t="str">
        <f t="shared" si="5"/>
        <v/>
      </c>
    </row>
    <row r="83" spans="1:8" hidden="1" x14ac:dyDescent="0.25">
      <c r="B83" s="23" t="s">
        <v>23</v>
      </c>
      <c r="C83" s="13" t="str">
        <f t="shared" si="3"/>
        <v>4.3Viet</v>
      </c>
      <c r="D83" s="24" t="s">
        <v>103</v>
      </c>
      <c r="E83" s="23" t="s">
        <v>3</v>
      </c>
      <c r="F83" s="19" t="str">
        <f t="shared" si="4"/>
        <v/>
      </c>
      <c r="G83" s="22" t="str">
        <f t="shared" si="5"/>
        <v/>
      </c>
    </row>
    <row r="84" spans="1:8" x14ac:dyDescent="0.25">
      <c r="A84" s="14">
        <v>26</v>
      </c>
      <c r="B84" s="23" t="s">
        <v>23</v>
      </c>
      <c r="C84" s="13" t="str">
        <f t="shared" si="3"/>
        <v>4.3Eng</v>
      </c>
      <c r="D84" s="24" t="s">
        <v>104</v>
      </c>
      <c r="E84" s="23" t="s">
        <v>4</v>
      </c>
      <c r="F84" s="19" t="str">
        <f t="shared" si="4"/>
        <v>https://docs.google.com/uc?export=download&amp;id=1Vqzs41hbUmhwZRK3SoEokhhaTc29M3BO</v>
      </c>
      <c r="G84" s="22" t="str">
        <f t="shared" si="5"/>
        <v>1Vqzs41hbUmhwZRK3SoEokhhaTc29M3BO</v>
      </c>
      <c r="H84" s="20" t="s">
        <v>579</v>
      </c>
    </row>
    <row r="85" spans="1:8" s="9" customFormat="1" hidden="1" x14ac:dyDescent="0.25">
      <c r="A85" s="14"/>
      <c r="B85" s="23" t="s">
        <v>23</v>
      </c>
      <c r="C85" s="13" t="str">
        <f t="shared" si="3"/>
        <v>4.3Phon</v>
      </c>
      <c r="D85" s="24" t="s">
        <v>324</v>
      </c>
      <c r="E85" s="23" t="s">
        <v>5</v>
      </c>
      <c r="F85" s="19" t="str">
        <f t="shared" si="4"/>
        <v/>
      </c>
      <c r="G85" s="22" t="str">
        <f t="shared" si="5"/>
        <v/>
      </c>
      <c r="H85" s="20"/>
    </row>
    <row r="86" spans="1:8" hidden="1" x14ac:dyDescent="0.25">
      <c r="B86" s="23" t="s">
        <v>42</v>
      </c>
      <c r="C86" s="13" t="str">
        <f t="shared" si="3"/>
        <v>4.4Viet</v>
      </c>
      <c r="D86" s="24" t="s">
        <v>105</v>
      </c>
      <c r="E86" s="23" t="s">
        <v>3</v>
      </c>
      <c r="F86" s="19" t="str">
        <f t="shared" si="4"/>
        <v/>
      </c>
      <c r="G86" s="22" t="str">
        <f t="shared" si="5"/>
        <v/>
      </c>
    </row>
    <row r="87" spans="1:8" x14ac:dyDescent="0.25">
      <c r="A87" s="14">
        <v>27</v>
      </c>
      <c r="B87" s="23" t="s">
        <v>42</v>
      </c>
      <c r="C87" s="13" t="str">
        <f t="shared" si="3"/>
        <v>4.4Eng</v>
      </c>
      <c r="D87" s="24" t="s">
        <v>106</v>
      </c>
      <c r="E87" s="23" t="s">
        <v>4</v>
      </c>
      <c r="F87" s="19" t="str">
        <f t="shared" si="4"/>
        <v>https://docs.google.com/uc?export=download&amp;id=1KfHDLZITYCDpYrOq6ZXdnQSwELj-d_rr</v>
      </c>
      <c r="G87" s="22" t="str">
        <f t="shared" si="5"/>
        <v>1KfHDLZITYCDpYrOq6ZXdnQSwELj-d_rr</v>
      </c>
      <c r="H87" s="20" t="s">
        <v>580</v>
      </c>
    </row>
    <row r="88" spans="1:8" hidden="1" x14ac:dyDescent="0.25">
      <c r="B88" s="23" t="s">
        <v>42</v>
      </c>
      <c r="C88" s="13" t="str">
        <f t="shared" si="3"/>
        <v>4.4Phon</v>
      </c>
      <c r="D88" s="24" t="s">
        <v>325</v>
      </c>
      <c r="E88" s="23" t="s">
        <v>5</v>
      </c>
      <c r="F88" s="19" t="str">
        <f t="shared" si="4"/>
        <v/>
      </c>
      <c r="G88" s="22" t="str">
        <f t="shared" si="5"/>
        <v/>
      </c>
    </row>
    <row r="89" spans="1:8" hidden="1" x14ac:dyDescent="0.25">
      <c r="B89" s="23" t="s">
        <v>447</v>
      </c>
      <c r="C89" s="13" t="str">
        <f t="shared" si="3"/>
        <v>5Struc</v>
      </c>
      <c r="D89" s="24" t="s">
        <v>426</v>
      </c>
      <c r="E89" s="23" t="s">
        <v>11</v>
      </c>
      <c r="F89" s="19" t="str">
        <f t="shared" si="4"/>
        <v/>
      </c>
      <c r="G89" s="22" t="str">
        <f t="shared" si="5"/>
        <v/>
      </c>
    </row>
    <row r="90" spans="1:8" hidden="1" x14ac:dyDescent="0.25">
      <c r="B90" s="23" t="s">
        <v>24</v>
      </c>
      <c r="C90" s="13" t="str">
        <f t="shared" si="3"/>
        <v>5.1Viet</v>
      </c>
      <c r="D90" s="24" t="s">
        <v>107</v>
      </c>
      <c r="E90" s="23" t="s">
        <v>3</v>
      </c>
      <c r="F90" s="19" t="str">
        <f t="shared" si="4"/>
        <v/>
      </c>
      <c r="G90" s="22" t="str">
        <f t="shared" si="5"/>
        <v/>
      </c>
    </row>
    <row r="91" spans="1:8" x14ac:dyDescent="0.25">
      <c r="A91" s="14">
        <v>28</v>
      </c>
      <c r="B91" s="23" t="s">
        <v>24</v>
      </c>
      <c r="C91" s="13" t="str">
        <f t="shared" si="3"/>
        <v>5.1Eng</v>
      </c>
      <c r="D91" s="24" t="s">
        <v>108</v>
      </c>
      <c r="E91" s="23" t="s">
        <v>4</v>
      </c>
      <c r="F91" s="19" t="str">
        <f t="shared" si="4"/>
        <v>https://docs.google.com/uc?export=download&amp;id=1TmxJk9JdhKy_URoVHxhJ7u3ajl2bEKnD</v>
      </c>
      <c r="G91" s="22" t="str">
        <f t="shared" si="5"/>
        <v>1TmxJk9JdhKy_URoVHxhJ7u3ajl2bEKnD</v>
      </c>
      <c r="H91" s="20" t="s">
        <v>581</v>
      </c>
    </row>
    <row r="92" spans="1:8" hidden="1" x14ac:dyDescent="0.25">
      <c r="B92" s="23" t="s">
        <v>24</v>
      </c>
      <c r="C92" s="13" t="str">
        <f t="shared" si="3"/>
        <v>5.1Phon</v>
      </c>
      <c r="D92" s="24" t="s">
        <v>326</v>
      </c>
      <c r="E92" s="23" t="s">
        <v>5</v>
      </c>
      <c r="F92" s="19" t="str">
        <f t="shared" si="4"/>
        <v/>
      </c>
      <c r="G92" s="22" t="str">
        <f t="shared" si="5"/>
        <v/>
      </c>
    </row>
    <row r="93" spans="1:8" hidden="1" x14ac:dyDescent="0.25">
      <c r="B93" s="23" t="s">
        <v>25</v>
      </c>
      <c r="C93" s="13" t="str">
        <f t="shared" si="3"/>
        <v>5.2Viet</v>
      </c>
      <c r="D93" s="24" t="s">
        <v>109</v>
      </c>
      <c r="E93" s="23" t="s">
        <v>3</v>
      </c>
      <c r="F93" s="19" t="str">
        <f t="shared" si="4"/>
        <v/>
      </c>
      <c r="G93" s="22" t="str">
        <f t="shared" si="5"/>
        <v/>
      </c>
    </row>
    <row r="94" spans="1:8" x14ac:dyDescent="0.25">
      <c r="A94" s="14">
        <v>29</v>
      </c>
      <c r="B94" s="23" t="s">
        <v>25</v>
      </c>
      <c r="C94" s="13" t="str">
        <f t="shared" si="3"/>
        <v>5.2Eng</v>
      </c>
      <c r="D94" s="24" t="s">
        <v>110</v>
      </c>
      <c r="E94" s="23" t="s">
        <v>4</v>
      </c>
      <c r="F94" s="19" t="str">
        <f t="shared" si="4"/>
        <v>https://docs.google.com/uc?export=download&amp;id=1q3zOzCJztjx15N2HNZIgH77uqvMEEoAO</v>
      </c>
      <c r="G94" s="22" t="str">
        <f t="shared" si="5"/>
        <v>1q3zOzCJztjx15N2HNZIgH77uqvMEEoAO</v>
      </c>
      <c r="H94" s="20" t="s">
        <v>582</v>
      </c>
    </row>
    <row r="95" spans="1:8" hidden="1" x14ac:dyDescent="0.25">
      <c r="B95" s="23" t="s">
        <v>25</v>
      </c>
      <c r="C95" s="13" t="str">
        <f t="shared" si="3"/>
        <v>5.2Phon</v>
      </c>
      <c r="D95" s="24" t="s">
        <v>327</v>
      </c>
      <c r="E95" s="23" t="s">
        <v>5</v>
      </c>
      <c r="F95" s="19" t="str">
        <f t="shared" si="4"/>
        <v/>
      </c>
      <c r="G95" s="22" t="str">
        <f t="shared" si="5"/>
        <v/>
      </c>
    </row>
    <row r="96" spans="1:8" hidden="1" x14ac:dyDescent="0.25">
      <c r="B96" s="23" t="s">
        <v>26</v>
      </c>
      <c r="C96" s="13" t="str">
        <f t="shared" si="3"/>
        <v>5.3Viet</v>
      </c>
      <c r="D96" s="24" t="s">
        <v>111</v>
      </c>
      <c r="E96" s="23" t="s">
        <v>3</v>
      </c>
      <c r="F96" s="19" t="str">
        <f t="shared" si="4"/>
        <v/>
      </c>
      <c r="G96" s="22" t="str">
        <f t="shared" si="5"/>
        <v/>
      </c>
    </row>
    <row r="97" spans="1:8" x14ac:dyDescent="0.25">
      <c r="A97" s="14">
        <v>30</v>
      </c>
      <c r="B97" s="23" t="s">
        <v>26</v>
      </c>
      <c r="C97" s="13" t="str">
        <f t="shared" si="3"/>
        <v>5.3Eng</v>
      </c>
      <c r="D97" s="24" t="s">
        <v>112</v>
      </c>
      <c r="E97" s="23" t="s">
        <v>4</v>
      </c>
      <c r="F97" s="19" t="str">
        <f t="shared" si="4"/>
        <v>https://docs.google.com/uc?export=download&amp;id=1dhvRVUtQmZx3wK2Y67rPMoVD3C-_jduU</v>
      </c>
      <c r="G97" s="22" t="str">
        <f t="shared" si="5"/>
        <v>1dhvRVUtQmZx3wK2Y67rPMoVD3C-_jduU</v>
      </c>
      <c r="H97" s="20" t="s">
        <v>583</v>
      </c>
    </row>
    <row r="98" spans="1:8" hidden="1" x14ac:dyDescent="0.25">
      <c r="B98" s="23" t="s">
        <v>26</v>
      </c>
      <c r="C98" s="13" t="str">
        <f t="shared" si="3"/>
        <v>5.3Phon</v>
      </c>
      <c r="D98" s="24" t="s">
        <v>328</v>
      </c>
      <c r="E98" s="23" t="s">
        <v>5</v>
      </c>
      <c r="F98" s="19" t="str">
        <f t="shared" si="4"/>
        <v/>
      </c>
      <c r="G98" s="22" t="str">
        <f t="shared" si="5"/>
        <v/>
      </c>
    </row>
    <row r="99" spans="1:8" hidden="1" x14ac:dyDescent="0.25">
      <c r="B99" s="23" t="s">
        <v>43</v>
      </c>
      <c r="C99" s="13" t="str">
        <f t="shared" si="3"/>
        <v>5.4Viet</v>
      </c>
      <c r="D99" s="24" t="s">
        <v>113</v>
      </c>
      <c r="E99" s="23" t="s">
        <v>3</v>
      </c>
      <c r="F99" s="19" t="str">
        <f t="shared" si="4"/>
        <v/>
      </c>
      <c r="G99" s="22" t="str">
        <f t="shared" si="5"/>
        <v/>
      </c>
    </row>
    <row r="100" spans="1:8" x14ac:dyDescent="0.25">
      <c r="A100" s="14">
        <v>31</v>
      </c>
      <c r="B100" s="23" t="s">
        <v>43</v>
      </c>
      <c r="C100" s="13" t="str">
        <f t="shared" si="3"/>
        <v>5.4Eng</v>
      </c>
      <c r="D100" s="24" t="s">
        <v>114</v>
      </c>
      <c r="E100" s="23" t="s">
        <v>4</v>
      </c>
      <c r="F100" s="19" t="str">
        <f t="shared" si="4"/>
        <v>https://docs.google.com/uc?export=download&amp;id=1J4TD95XDArIZLNzU074xWWXvS44qHngl</v>
      </c>
      <c r="G100" s="22" t="str">
        <f t="shared" si="5"/>
        <v>1J4TD95XDArIZLNzU074xWWXvS44qHngl</v>
      </c>
      <c r="H100" s="20" t="s">
        <v>584</v>
      </c>
    </row>
    <row r="101" spans="1:8" hidden="1" x14ac:dyDescent="0.25">
      <c r="B101" s="23" t="s">
        <v>43</v>
      </c>
      <c r="C101" s="13" t="str">
        <f t="shared" si="3"/>
        <v>5.4Phon</v>
      </c>
      <c r="D101" s="24" t="s">
        <v>329</v>
      </c>
      <c r="E101" s="23" t="s">
        <v>5</v>
      </c>
      <c r="F101" s="19" t="str">
        <f t="shared" si="4"/>
        <v/>
      </c>
      <c r="G101" s="22" t="str">
        <f t="shared" si="5"/>
        <v/>
      </c>
    </row>
    <row r="102" spans="1:8" hidden="1" x14ac:dyDescent="0.25">
      <c r="B102" s="23" t="s">
        <v>474</v>
      </c>
      <c r="C102" s="13" t="str">
        <f t="shared" si="3"/>
        <v>5.5Viet</v>
      </c>
      <c r="D102" s="24" t="s">
        <v>115</v>
      </c>
      <c r="E102" s="23" t="s">
        <v>3</v>
      </c>
      <c r="F102" s="19" t="str">
        <f t="shared" si="4"/>
        <v/>
      </c>
      <c r="G102" s="22" t="str">
        <f t="shared" si="5"/>
        <v/>
      </c>
    </row>
    <row r="103" spans="1:8" x14ac:dyDescent="0.25">
      <c r="A103" s="14">
        <v>32</v>
      </c>
      <c r="B103" s="23" t="s">
        <v>474</v>
      </c>
      <c r="C103" s="13" t="str">
        <f t="shared" si="3"/>
        <v>5.5Eng</v>
      </c>
      <c r="D103" s="24" t="s">
        <v>116</v>
      </c>
      <c r="E103" s="23" t="s">
        <v>4</v>
      </c>
      <c r="F103" s="19" t="str">
        <f t="shared" si="4"/>
        <v>https://docs.google.com/uc?export=download&amp;id=1BurylwnhoIbYm5NxuWbnLwCX0NKv9TnA</v>
      </c>
      <c r="G103" s="22" t="str">
        <f t="shared" si="5"/>
        <v>1BurylwnhoIbYm5NxuWbnLwCX0NKv9TnA</v>
      </c>
      <c r="H103" s="20" t="s">
        <v>585</v>
      </c>
    </row>
    <row r="104" spans="1:8" hidden="1" x14ac:dyDescent="0.25">
      <c r="B104" s="23" t="s">
        <v>474</v>
      </c>
      <c r="C104" s="13" t="str">
        <f t="shared" si="3"/>
        <v>5.5Phon</v>
      </c>
      <c r="D104" s="24" t="s">
        <v>330</v>
      </c>
      <c r="E104" s="23" t="s">
        <v>5</v>
      </c>
      <c r="F104" s="19" t="str">
        <f t="shared" si="4"/>
        <v/>
      </c>
      <c r="G104" s="22" t="str">
        <f t="shared" si="5"/>
        <v/>
      </c>
    </row>
    <row r="105" spans="1:8" hidden="1" x14ac:dyDescent="0.25">
      <c r="B105" s="23" t="s">
        <v>448</v>
      </c>
      <c r="C105" s="13" t="str">
        <f t="shared" si="3"/>
        <v>6Struc</v>
      </c>
      <c r="D105" s="24" t="s">
        <v>427</v>
      </c>
      <c r="E105" s="23" t="s">
        <v>11</v>
      </c>
      <c r="F105" s="19" t="str">
        <f t="shared" si="4"/>
        <v/>
      </c>
      <c r="G105" s="22" t="str">
        <f t="shared" si="5"/>
        <v/>
      </c>
    </row>
    <row r="106" spans="1:8" hidden="1" x14ac:dyDescent="0.25">
      <c r="B106" s="23" t="s">
        <v>27</v>
      </c>
      <c r="C106" s="13" t="str">
        <f t="shared" si="3"/>
        <v>6.1Viet</v>
      </c>
      <c r="D106" s="24" t="s">
        <v>117</v>
      </c>
      <c r="E106" s="23" t="s">
        <v>3</v>
      </c>
      <c r="F106" s="19" t="str">
        <f t="shared" si="4"/>
        <v/>
      </c>
      <c r="G106" s="22" t="str">
        <f t="shared" si="5"/>
        <v/>
      </c>
    </row>
    <row r="107" spans="1:8" x14ac:dyDescent="0.25">
      <c r="A107" s="14">
        <v>33</v>
      </c>
      <c r="B107" s="23" t="s">
        <v>27</v>
      </c>
      <c r="C107" s="13" t="str">
        <f t="shared" si="3"/>
        <v>6.1Eng</v>
      </c>
      <c r="D107" s="24" t="s">
        <v>118</v>
      </c>
      <c r="E107" s="23" t="s">
        <v>4</v>
      </c>
      <c r="F107" s="19" t="str">
        <f t="shared" si="4"/>
        <v>https://docs.google.com/uc?export=download&amp;id=1Z6D_iNx-BRG8oY2ijWnOnyhhJ9Bz1LdR</v>
      </c>
      <c r="G107" s="22" t="str">
        <f t="shared" si="5"/>
        <v>1Z6D_iNx-BRG8oY2ijWnOnyhhJ9Bz1LdR</v>
      </c>
      <c r="H107" s="20" t="s">
        <v>586</v>
      </c>
    </row>
    <row r="108" spans="1:8" hidden="1" x14ac:dyDescent="0.25">
      <c r="B108" s="23" t="s">
        <v>27</v>
      </c>
      <c r="C108" s="13" t="str">
        <f t="shared" si="3"/>
        <v>6.1Phon</v>
      </c>
      <c r="D108" s="24" t="s">
        <v>331</v>
      </c>
      <c r="E108" s="23" t="s">
        <v>5</v>
      </c>
      <c r="F108" s="19" t="str">
        <f t="shared" si="4"/>
        <v/>
      </c>
      <c r="G108" s="22" t="str">
        <f t="shared" si="5"/>
        <v/>
      </c>
    </row>
    <row r="109" spans="1:8" hidden="1" x14ac:dyDescent="0.25">
      <c r="B109" s="23" t="s">
        <v>28</v>
      </c>
      <c r="C109" s="13" t="str">
        <f t="shared" si="3"/>
        <v>6.2Viet</v>
      </c>
      <c r="D109" s="24" t="s">
        <v>119</v>
      </c>
      <c r="E109" s="23" t="s">
        <v>3</v>
      </c>
      <c r="F109" s="19" t="str">
        <f t="shared" si="4"/>
        <v/>
      </c>
      <c r="G109" s="22" t="str">
        <f t="shared" si="5"/>
        <v/>
      </c>
    </row>
    <row r="110" spans="1:8" x14ac:dyDescent="0.25">
      <c r="A110" s="14">
        <v>34</v>
      </c>
      <c r="B110" s="23" t="s">
        <v>28</v>
      </c>
      <c r="C110" s="13" t="str">
        <f t="shared" si="3"/>
        <v>6.2Eng</v>
      </c>
      <c r="D110" s="24" t="s">
        <v>120</v>
      </c>
      <c r="E110" s="23" t="s">
        <v>4</v>
      </c>
      <c r="F110" s="19" t="str">
        <f t="shared" si="4"/>
        <v>https://docs.google.com/uc?export=download&amp;id=1KZm0wPSNvGM30DQMp3EySQwB1P6LXvrr</v>
      </c>
      <c r="G110" s="22" t="str">
        <f t="shared" si="5"/>
        <v>1KZm0wPSNvGM30DQMp3EySQwB1P6LXvrr</v>
      </c>
      <c r="H110" s="20" t="s">
        <v>587</v>
      </c>
    </row>
    <row r="111" spans="1:8" hidden="1" x14ac:dyDescent="0.25">
      <c r="B111" s="23" t="s">
        <v>28</v>
      </c>
      <c r="C111" s="13" t="str">
        <f t="shared" si="3"/>
        <v>6.2Phon</v>
      </c>
      <c r="D111" s="24" t="s">
        <v>332</v>
      </c>
      <c r="E111" s="23" t="s">
        <v>5</v>
      </c>
      <c r="F111" s="19" t="str">
        <f t="shared" si="4"/>
        <v/>
      </c>
      <c r="G111" s="22" t="str">
        <f t="shared" si="5"/>
        <v/>
      </c>
    </row>
    <row r="112" spans="1:8" hidden="1" x14ac:dyDescent="0.25">
      <c r="B112" s="23" t="s">
        <v>29</v>
      </c>
      <c r="C112" s="13" t="str">
        <f t="shared" si="3"/>
        <v>6.3Viet</v>
      </c>
      <c r="D112" s="24" t="s">
        <v>121</v>
      </c>
      <c r="E112" s="23" t="s">
        <v>3</v>
      </c>
      <c r="F112" s="19" t="str">
        <f t="shared" si="4"/>
        <v/>
      </c>
      <c r="G112" s="22" t="str">
        <f t="shared" si="5"/>
        <v/>
      </c>
    </row>
    <row r="113" spans="1:8" x14ac:dyDescent="0.25">
      <c r="A113" s="14">
        <v>35</v>
      </c>
      <c r="B113" s="23" t="s">
        <v>29</v>
      </c>
      <c r="C113" s="13" t="str">
        <f t="shared" si="3"/>
        <v>6.3Eng</v>
      </c>
      <c r="D113" s="24" t="s">
        <v>122</v>
      </c>
      <c r="E113" s="23" t="s">
        <v>4</v>
      </c>
      <c r="F113" s="19" t="str">
        <f t="shared" si="4"/>
        <v>https://docs.google.com/uc?export=download&amp;id=1XbzWWzDH2ixyvT9Wgs3JqaLRYuZq1Dpn</v>
      </c>
      <c r="G113" s="22" t="str">
        <f t="shared" si="5"/>
        <v>1XbzWWzDH2ixyvT9Wgs3JqaLRYuZq1Dpn</v>
      </c>
      <c r="H113" s="20" t="s">
        <v>588</v>
      </c>
    </row>
    <row r="114" spans="1:8" hidden="1" x14ac:dyDescent="0.25">
      <c r="B114" s="23" t="s">
        <v>29</v>
      </c>
      <c r="C114" s="13" t="str">
        <f t="shared" si="3"/>
        <v>6.3Phon</v>
      </c>
      <c r="D114" s="24" t="s">
        <v>333</v>
      </c>
      <c r="E114" s="23" t="s">
        <v>5</v>
      </c>
      <c r="F114" s="19" t="str">
        <f t="shared" si="4"/>
        <v/>
      </c>
      <c r="G114" s="22" t="str">
        <f t="shared" si="5"/>
        <v/>
      </c>
    </row>
    <row r="115" spans="1:8" hidden="1" x14ac:dyDescent="0.25">
      <c r="B115" s="23" t="s">
        <v>51</v>
      </c>
      <c r="C115" s="13" t="str">
        <f t="shared" si="3"/>
        <v>6.4Viet</v>
      </c>
      <c r="D115" s="24" t="s">
        <v>123</v>
      </c>
      <c r="E115" s="23" t="s">
        <v>3</v>
      </c>
      <c r="F115" s="19" t="str">
        <f t="shared" si="4"/>
        <v/>
      </c>
      <c r="G115" s="22" t="str">
        <f t="shared" si="5"/>
        <v/>
      </c>
    </row>
    <row r="116" spans="1:8" x14ac:dyDescent="0.25">
      <c r="A116" s="14">
        <v>36</v>
      </c>
      <c r="B116" s="23" t="s">
        <v>51</v>
      </c>
      <c r="C116" s="13" t="str">
        <f t="shared" si="3"/>
        <v>6.4Eng</v>
      </c>
      <c r="D116" s="24" t="s">
        <v>124</v>
      </c>
      <c r="E116" s="23" t="s">
        <v>4</v>
      </c>
      <c r="F116" s="19" t="str">
        <f t="shared" si="4"/>
        <v>https://docs.google.com/uc?export=download&amp;id=1xEaOEigc-uAxT1z4JPbN_iUp_VORpSvs</v>
      </c>
      <c r="G116" s="22" t="str">
        <f t="shared" si="5"/>
        <v>1xEaOEigc-uAxT1z4JPbN_iUp_VORpSvs</v>
      </c>
      <c r="H116" s="20" t="s">
        <v>589</v>
      </c>
    </row>
    <row r="117" spans="1:8" hidden="1" x14ac:dyDescent="0.25">
      <c r="B117" s="23" t="s">
        <v>51</v>
      </c>
      <c r="C117" s="13" t="str">
        <f t="shared" si="3"/>
        <v>6.4Phon</v>
      </c>
      <c r="D117" s="24" t="s">
        <v>334</v>
      </c>
      <c r="E117" s="23" t="s">
        <v>5</v>
      </c>
      <c r="F117" s="19" t="str">
        <f t="shared" si="4"/>
        <v/>
      </c>
      <c r="G117" s="22" t="str">
        <f t="shared" si="5"/>
        <v/>
      </c>
    </row>
    <row r="118" spans="1:8" hidden="1" x14ac:dyDescent="0.25">
      <c r="B118" s="23" t="s">
        <v>475</v>
      </c>
      <c r="C118" s="13" t="str">
        <f t="shared" si="3"/>
        <v>6.5Viet</v>
      </c>
      <c r="D118" s="24" t="s">
        <v>125</v>
      </c>
      <c r="E118" s="23" t="s">
        <v>3</v>
      </c>
      <c r="F118" s="19" t="str">
        <f t="shared" si="4"/>
        <v/>
      </c>
      <c r="G118" s="22" t="str">
        <f t="shared" si="5"/>
        <v/>
      </c>
    </row>
    <row r="119" spans="1:8" x14ac:dyDescent="0.25">
      <c r="A119" s="14">
        <v>37</v>
      </c>
      <c r="B119" s="23" t="s">
        <v>475</v>
      </c>
      <c r="C119" s="13" t="str">
        <f t="shared" si="3"/>
        <v>6.5Eng</v>
      </c>
      <c r="D119" s="24" t="s">
        <v>126</v>
      </c>
      <c r="E119" s="23" t="s">
        <v>4</v>
      </c>
      <c r="F119" s="19" t="str">
        <f t="shared" si="4"/>
        <v>https://docs.google.com/uc?export=download&amp;id=1U2S0TNAgtRYFaPsj6pEY1X94t0cCWBMZ</v>
      </c>
      <c r="G119" s="22" t="str">
        <f t="shared" si="5"/>
        <v>1U2S0TNAgtRYFaPsj6pEY1X94t0cCWBMZ</v>
      </c>
      <c r="H119" s="20" t="s">
        <v>590</v>
      </c>
    </row>
    <row r="120" spans="1:8" hidden="1" x14ac:dyDescent="0.25">
      <c r="B120" s="23" t="s">
        <v>475</v>
      </c>
      <c r="C120" s="13" t="str">
        <f t="shared" si="3"/>
        <v>6.5Phon</v>
      </c>
      <c r="D120" s="24" t="s">
        <v>335</v>
      </c>
      <c r="E120" s="23" t="s">
        <v>5</v>
      </c>
      <c r="F120" s="19" t="str">
        <f t="shared" si="4"/>
        <v/>
      </c>
      <c r="G120" s="22" t="str">
        <f t="shared" si="5"/>
        <v/>
      </c>
    </row>
    <row r="121" spans="1:8" hidden="1" x14ac:dyDescent="0.25">
      <c r="B121" s="23" t="s">
        <v>476</v>
      </c>
      <c r="C121" s="13" t="str">
        <f t="shared" si="3"/>
        <v>6.6Viet</v>
      </c>
      <c r="D121" s="24" t="s">
        <v>127</v>
      </c>
      <c r="E121" s="23" t="s">
        <v>3</v>
      </c>
      <c r="F121" s="19" t="str">
        <f t="shared" si="4"/>
        <v/>
      </c>
      <c r="G121" s="22" t="str">
        <f t="shared" si="5"/>
        <v/>
      </c>
    </row>
    <row r="122" spans="1:8" x14ac:dyDescent="0.25">
      <c r="A122" s="14">
        <v>38</v>
      </c>
      <c r="B122" s="23" t="s">
        <v>476</v>
      </c>
      <c r="C122" s="13" t="str">
        <f t="shared" si="3"/>
        <v>6.6Eng</v>
      </c>
      <c r="D122" s="24" t="s">
        <v>128</v>
      </c>
      <c r="E122" s="23" t="s">
        <v>4</v>
      </c>
      <c r="F122" s="19" t="str">
        <f t="shared" si="4"/>
        <v>https://docs.google.com/uc?export=download&amp;id=1e6FF0TjFo1SostwYmhhIGriTdjdk27JJ</v>
      </c>
      <c r="G122" s="22" t="str">
        <f t="shared" si="5"/>
        <v>1e6FF0TjFo1SostwYmhhIGriTdjdk27JJ</v>
      </c>
      <c r="H122" s="20" t="s">
        <v>591</v>
      </c>
    </row>
    <row r="123" spans="1:8" hidden="1" x14ac:dyDescent="0.25">
      <c r="B123" s="23" t="s">
        <v>476</v>
      </c>
      <c r="C123" s="13" t="str">
        <f t="shared" si="3"/>
        <v>6.6Phon</v>
      </c>
      <c r="D123" s="24" t="s">
        <v>336</v>
      </c>
      <c r="E123" s="23" t="s">
        <v>5</v>
      </c>
      <c r="F123" s="19" t="str">
        <f t="shared" si="4"/>
        <v/>
      </c>
      <c r="G123" s="22" t="str">
        <f t="shared" si="5"/>
        <v/>
      </c>
    </row>
    <row r="124" spans="1:8" hidden="1" x14ac:dyDescent="0.25">
      <c r="B124" s="14" t="s">
        <v>477</v>
      </c>
      <c r="C124" s="13" t="str">
        <f t="shared" si="3"/>
        <v>6.7Viet</v>
      </c>
      <c r="D124" s="10" t="s">
        <v>129</v>
      </c>
      <c r="E124" s="14" t="s">
        <v>3</v>
      </c>
      <c r="F124" s="19" t="str">
        <f t="shared" si="4"/>
        <v/>
      </c>
      <c r="G124" s="22" t="str">
        <f t="shared" si="5"/>
        <v/>
      </c>
    </row>
    <row r="125" spans="1:8" x14ac:dyDescent="0.25">
      <c r="A125" s="14">
        <v>39</v>
      </c>
      <c r="B125" s="14" t="s">
        <v>477</v>
      </c>
      <c r="C125" s="13" t="str">
        <f t="shared" si="3"/>
        <v>6.7Eng</v>
      </c>
      <c r="D125" s="10" t="s">
        <v>130</v>
      </c>
      <c r="E125" s="14" t="s">
        <v>4</v>
      </c>
      <c r="F125" s="19" t="str">
        <f t="shared" si="4"/>
        <v>https://docs.google.com/uc?export=download&amp;id=1zOwSZkh26F92ej6hRMvjfKFfMoGyvC0j</v>
      </c>
      <c r="G125" s="22" t="str">
        <f t="shared" si="5"/>
        <v>1zOwSZkh26F92ej6hRMvjfKFfMoGyvC0j</v>
      </c>
      <c r="H125" s="20" t="s">
        <v>592</v>
      </c>
    </row>
    <row r="126" spans="1:8" hidden="1" x14ac:dyDescent="0.25">
      <c r="B126" s="14" t="s">
        <v>477</v>
      </c>
      <c r="C126" s="13" t="str">
        <f t="shared" si="3"/>
        <v>6.7Phon</v>
      </c>
      <c r="D126" s="10" t="s">
        <v>337</v>
      </c>
      <c r="E126" s="14" t="s">
        <v>5</v>
      </c>
      <c r="F126" s="19" t="str">
        <f t="shared" si="4"/>
        <v/>
      </c>
      <c r="G126" s="22" t="str">
        <f t="shared" si="5"/>
        <v/>
      </c>
    </row>
    <row r="127" spans="1:8" hidden="1" x14ac:dyDescent="0.25">
      <c r="B127" s="14" t="s">
        <v>478</v>
      </c>
      <c r="C127" s="13" t="str">
        <f t="shared" si="3"/>
        <v>6.8Viet</v>
      </c>
      <c r="D127" s="10" t="s">
        <v>131</v>
      </c>
      <c r="E127" s="14" t="s">
        <v>3</v>
      </c>
      <c r="F127" s="19" t="str">
        <f t="shared" si="4"/>
        <v/>
      </c>
      <c r="G127" s="22" t="str">
        <f t="shared" si="5"/>
        <v/>
      </c>
    </row>
    <row r="128" spans="1:8" x14ac:dyDescent="0.25">
      <c r="A128" s="14">
        <v>40</v>
      </c>
      <c r="B128" s="14" t="s">
        <v>478</v>
      </c>
      <c r="C128" s="13" t="str">
        <f t="shared" si="3"/>
        <v>6.8Eng</v>
      </c>
      <c r="D128" s="10" t="s">
        <v>132</v>
      </c>
      <c r="E128" s="14" t="s">
        <v>4</v>
      </c>
      <c r="F128" s="19" t="str">
        <f t="shared" si="4"/>
        <v>https://docs.google.com/uc?export=download&amp;id=1-XqzBdys_pPINDHzknTreUiPeJV7u--N</v>
      </c>
      <c r="G128" s="22" t="str">
        <f t="shared" si="5"/>
        <v>1-XqzBdys_pPINDHzknTreUiPeJV7u--N</v>
      </c>
      <c r="H128" s="20" t="s">
        <v>593</v>
      </c>
    </row>
    <row r="129" spans="1:8" hidden="1" x14ac:dyDescent="0.25">
      <c r="B129" s="14" t="s">
        <v>478</v>
      </c>
      <c r="C129" s="13" t="str">
        <f t="shared" si="3"/>
        <v>6.8Phon</v>
      </c>
      <c r="D129" s="10" t="s">
        <v>338</v>
      </c>
      <c r="E129" s="14" t="s">
        <v>5</v>
      </c>
      <c r="F129" s="19" t="str">
        <f t="shared" si="4"/>
        <v/>
      </c>
      <c r="G129" s="22" t="str">
        <f t="shared" si="5"/>
        <v/>
      </c>
    </row>
    <row r="130" spans="1:8" hidden="1" x14ac:dyDescent="0.25">
      <c r="B130" s="14" t="s">
        <v>449</v>
      </c>
      <c r="C130" s="13" t="str">
        <f t="shared" si="3"/>
        <v>7Struc</v>
      </c>
      <c r="D130" s="10" t="s">
        <v>428</v>
      </c>
      <c r="E130" s="14" t="s">
        <v>11</v>
      </c>
      <c r="F130" s="19" t="str">
        <f t="shared" si="4"/>
        <v/>
      </c>
      <c r="G130" s="22" t="str">
        <f t="shared" si="5"/>
        <v/>
      </c>
    </row>
    <row r="131" spans="1:8" hidden="1" x14ac:dyDescent="0.25">
      <c r="B131" s="14" t="s">
        <v>30</v>
      </c>
      <c r="C131" s="13" t="str">
        <f t="shared" si="3"/>
        <v>7.1Viet</v>
      </c>
      <c r="D131" s="10" t="s">
        <v>133</v>
      </c>
      <c r="E131" s="14" t="s">
        <v>3</v>
      </c>
      <c r="F131" s="19" t="str">
        <f t="shared" si="4"/>
        <v/>
      </c>
      <c r="G131" s="22" t="str">
        <f t="shared" si="5"/>
        <v/>
      </c>
    </row>
    <row r="132" spans="1:8" x14ac:dyDescent="0.25">
      <c r="A132" s="14">
        <v>41</v>
      </c>
      <c r="B132" s="14" t="s">
        <v>30</v>
      </c>
      <c r="C132" s="13" t="str">
        <f t="shared" si="3"/>
        <v>7.1Eng</v>
      </c>
      <c r="D132" s="10" t="s">
        <v>134</v>
      </c>
      <c r="E132" s="14" t="s">
        <v>4</v>
      </c>
      <c r="F132" s="19" t="str">
        <f t="shared" si="4"/>
        <v>https://docs.google.com/uc?export=download&amp;id=1LNMShXK1dVEr7zzRMbESA6QqADUODQEj</v>
      </c>
      <c r="G132" s="22" t="str">
        <f t="shared" si="5"/>
        <v>1LNMShXK1dVEr7zzRMbESA6QqADUODQEj</v>
      </c>
      <c r="H132" s="20" t="s">
        <v>594</v>
      </c>
    </row>
    <row r="133" spans="1:8" hidden="1" x14ac:dyDescent="0.25">
      <c r="B133" s="14" t="s">
        <v>30</v>
      </c>
      <c r="C133" s="13" t="str">
        <f t="shared" ref="C133:C196" si="6">B133&amp;E133</f>
        <v>7.1Phon</v>
      </c>
      <c r="D133" s="10" t="s">
        <v>339</v>
      </c>
      <c r="E133" s="14" t="s">
        <v>5</v>
      </c>
      <c r="F133" s="19" t="str">
        <f t="shared" ref="F133:F196" si="7">IF(G133="","","https://docs.google.com/uc?export=download&amp;id="&amp;G133)</f>
        <v/>
      </c>
      <c r="G133" s="22" t="str">
        <f t="shared" ref="G133:G196" si="8">IFERROR(LEFT(RIGHT(H133,LEN(H133)-32),LEN(RIGHT(H133,LEN(H133)-32))-17),"")</f>
        <v/>
      </c>
    </row>
    <row r="134" spans="1:8" hidden="1" x14ac:dyDescent="0.25">
      <c r="B134" s="14" t="s">
        <v>31</v>
      </c>
      <c r="C134" s="13" t="str">
        <f t="shared" si="6"/>
        <v>7.2Viet</v>
      </c>
      <c r="D134" s="10" t="s">
        <v>135</v>
      </c>
      <c r="E134" s="14" t="s">
        <v>3</v>
      </c>
      <c r="F134" s="19" t="str">
        <f t="shared" si="7"/>
        <v/>
      </c>
      <c r="G134" s="22" t="str">
        <f t="shared" si="8"/>
        <v/>
      </c>
    </row>
    <row r="135" spans="1:8" x14ac:dyDescent="0.25">
      <c r="A135" s="14">
        <v>42</v>
      </c>
      <c r="B135" s="14" t="s">
        <v>31</v>
      </c>
      <c r="C135" s="13" t="str">
        <f t="shared" si="6"/>
        <v>7.2Eng</v>
      </c>
      <c r="D135" s="10" t="s">
        <v>136</v>
      </c>
      <c r="E135" s="14" t="s">
        <v>4</v>
      </c>
      <c r="F135" s="19" t="str">
        <f t="shared" si="7"/>
        <v>https://docs.google.com/uc?export=download&amp;id=1WPbtBy-Yi-TybmOf45Ydg5R6AY9IoOzW</v>
      </c>
      <c r="G135" s="22" t="str">
        <f t="shared" si="8"/>
        <v>1WPbtBy-Yi-TybmOf45Ydg5R6AY9IoOzW</v>
      </c>
      <c r="H135" s="20" t="s">
        <v>595</v>
      </c>
    </row>
    <row r="136" spans="1:8" hidden="1" x14ac:dyDescent="0.25">
      <c r="B136" s="14" t="s">
        <v>31</v>
      </c>
      <c r="C136" s="13" t="str">
        <f t="shared" si="6"/>
        <v>7.2Phon</v>
      </c>
      <c r="D136" s="10" t="s">
        <v>340</v>
      </c>
      <c r="E136" s="14" t="s">
        <v>5</v>
      </c>
      <c r="F136" s="19" t="str">
        <f t="shared" si="7"/>
        <v/>
      </c>
      <c r="G136" s="22" t="str">
        <f t="shared" si="8"/>
        <v/>
      </c>
    </row>
    <row r="137" spans="1:8" hidden="1" x14ac:dyDescent="0.25">
      <c r="B137" s="14" t="s">
        <v>32</v>
      </c>
      <c r="C137" s="13" t="str">
        <f t="shared" si="6"/>
        <v>7.3Viet</v>
      </c>
      <c r="D137" s="10" t="s">
        <v>137</v>
      </c>
      <c r="E137" s="14" t="s">
        <v>3</v>
      </c>
      <c r="F137" s="19" t="str">
        <f t="shared" si="7"/>
        <v/>
      </c>
      <c r="G137" s="22" t="str">
        <f t="shared" si="8"/>
        <v/>
      </c>
    </row>
    <row r="138" spans="1:8" x14ac:dyDescent="0.25">
      <c r="A138" s="14">
        <v>43</v>
      </c>
      <c r="B138" s="14" t="s">
        <v>32</v>
      </c>
      <c r="C138" s="13" t="str">
        <f t="shared" si="6"/>
        <v>7.3Eng</v>
      </c>
      <c r="D138" s="10" t="s">
        <v>138</v>
      </c>
      <c r="E138" s="14" t="s">
        <v>4</v>
      </c>
      <c r="F138" s="19" t="str">
        <f t="shared" si="7"/>
        <v>https://docs.google.com/uc?export=download&amp;id=1vvL0dy2iUaK4TbQc9zsHJ2Yg4kIYpGXK</v>
      </c>
      <c r="G138" s="22" t="str">
        <f t="shared" si="8"/>
        <v>1vvL0dy2iUaK4TbQc9zsHJ2Yg4kIYpGXK</v>
      </c>
      <c r="H138" s="20" t="s">
        <v>596</v>
      </c>
    </row>
    <row r="139" spans="1:8" hidden="1" x14ac:dyDescent="0.25">
      <c r="B139" s="14" t="s">
        <v>32</v>
      </c>
      <c r="C139" s="13" t="str">
        <f t="shared" si="6"/>
        <v>7.3Phon</v>
      </c>
      <c r="D139" s="10" t="s">
        <v>341</v>
      </c>
      <c r="E139" s="14" t="s">
        <v>5</v>
      </c>
      <c r="F139" s="19" t="str">
        <f t="shared" si="7"/>
        <v/>
      </c>
      <c r="G139" s="22" t="str">
        <f t="shared" si="8"/>
        <v/>
      </c>
    </row>
    <row r="140" spans="1:8" hidden="1" x14ac:dyDescent="0.25">
      <c r="B140" s="14" t="s">
        <v>44</v>
      </c>
      <c r="C140" s="13" t="str">
        <f t="shared" si="6"/>
        <v>7.4Viet</v>
      </c>
      <c r="D140" s="10" t="s">
        <v>139</v>
      </c>
      <c r="E140" s="14" t="s">
        <v>3</v>
      </c>
      <c r="F140" s="19" t="str">
        <f t="shared" si="7"/>
        <v/>
      </c>
      <c r="G140" s="22" t="str">
        <f t="shared" si="8"/>
        <v/>
      </c>
    </row>
    <row r="141" spans="1:8" x14ac:dyDescent="0.25">
      <c r="A141" s="14">
        <v>44</v>
      </c>
      <c r="B141" s="14" t="s">
        <v>44</v>
      </c>
      <c r="C141" s="13" t="str">
        <f t="shared" si="6"/>
        <v>7.4Eng</v>
      </c>
      <c r="D141" s="10" t="s">
        <v>140</v>
      </c>
      <c r="E141" s="14" t="s">
        <v>4</v>
      </c>
      <c r="F141" s="19" t="str">
        <f t="shared" si="7"/>
        <v>https://docs.google.com/uc?export=download&amp;id=1Ma64plOtOibMi6B1pc5K3vG2dOR8kzjV</v>
      </c>
      <c r="G141" s="22" t="str">
        <f t="shared" si="8"/>
        <v>1Ma64plOtOibMi6B1pc5K3vG2dOR8kzjV</v>
      </c>
      <c r="H141" s="20" t="s">
        <v>597</v>
      </c>
    </row>
    <row r="142" spans="1:8" hidden="1" x14ac:dyDescent="0.25">
      <c r="B142" s="14" t="s">
        <v>44</v>
      </c>
      <c r="C142" s="13" t="str">
        <f t="shared" si="6"/>
        <v>7.4Phon</v>
      </c>
      <c r="D142" s="10" t="s">
        <v>342</v>
      </c>
      <c r="E142" s="14" t="s">
        <v>5</v>
      </c>
      <c r="F142" s="19" t="str">
        <f t="shared" si="7"/>
        <v/>
      </c>
      <c r="G142" s="22" t="str">
        <f t="shared" si="8"/>
        <v/>
      </c>
    </row>
    <row r="143" spans="1:8" hidden="1" x14ac:dyDescent="0.25">
      <c r="B143" s="14" t="s">
        <v>479</v>
      </c>
      <c r="C143" s="13" t="str">
        <f t="shared" si="6"/>
        <v>7.5Viet</v>
      </c>
      <c r="D143" s="10" t="s">
        <v>141</v>
      </c>
      <c r="E143" s="14" t="s">
        <v>3</v>
      </c>
      <c r="F143" s="19" t="str">
        <f t="shared" si="7"/>
        <v/>
      </c>
      <c r="G143" s="22" t="str">
        <f t="shared" si="8"/>
        <v/>
      </c>
    </row>
    <row r="144" spans="1:8" x14ac:dyDescent="0.25">
      <c r="A144" s="14">
        <v>45</v>
      </c>
      <c r="B144" s="14" t="s">
        <v>479</v>
      </c>
      <c r="C144" s="13" t="str">
        <f t="shared" si="6"/>
        <v>7.5Eng</v>
      </c>
      <c r="D144" s="10" t="s">
        <v>142</v>
      </c>
      <c r="E144" s="14" t="s">
        <v>4</v>
      </c>
      <c r="F144" s="19" t="str">
        <f t="shared" si="7"/>
        <v>https://docs.google.com/uc?export=download&amp;id=1uLLz6Ih-d_TfvEerBg7Mo9zk9nfGgCrt</v>
      </c>
      <c r="G144" s="22" t="str">
        <f t="shared" si="8"/>
        <v>1uLLz6Ih-d_TfvEerBg7Mo9zk9nfGgCrt</v>
      </c>
      <c r="H144" s="20" t="s">
        <v>598</v>
      </c>
    </row>
    <row r="145" spans="1:8" hidden="1" x14ac:dyDescent="0.25">
      <c r="B145" s="14" t="s">
        <v>479</v>
      </c>
      <c r="C145" s="13" t="str">
        <f t="shared" si="6"/>
        <v>7.5Phon</v>
      </c>
      <c r="D145" s="10" t="s">
        <v>343</v>
      </c>
      <c r="E145" s="14" t="s">
        <v>5</v>
      </c>
      <c r="F145" s="19" t="str">
        <f t="shared" si="7"/>
        <v/>
      </c>
      <c r="G145" s="22" t="str">
        <f t="shared" si="8"/>
        <v/>
      </c>
    </row>
    <row r="146" spans="1:8" hidden="1" x14ac:dyDescent="0.25">
      <c r="B146" s="14" t="s">
        <v>480</v>
      </c>
      <c r="C146" s="13" t="str">
        <f t="shared" si="6"/>
        <v>7.6Viet</v>
      </c>
      <c r="D146" s="10" t="s">
        <v>143</v>
      </c>
      <c r="E146" s="14" t="s">
        <v>3</v>
      </c>
      <c r="F146" s="19" t="str">
        <f t="shared" si="7"/>
        <v/>
      </c>
      <c r="G146" s="22" t="str">
        <f t="shared" si="8"/>
        <v/>
      </c>
    </row>
    <row r="147" spans="1:8" x14ac:dyDescent="0.25">
      <c r="A147" s="14">
        <v>46</v>
      </c>
      <c r="B147" s="14" t="s">
        <v>480</v>
      </c>
      <c r="C147" s="13" t="str">
        <f t="shared" si="6"/>
        <v>7.6Eng</v>
      </c>
      <c r="D147" s="10" t="s">
        <v>144</v>
      </c>
      <c r="E147" s="14" t="s">
        <v>4</v>
      </c>
      <c r="F147" s="19" t="str">
        <f t="shared" si="7"/>
        <v>https://docs.google.com/uc?export=download&amp;id=1QO1AajWOa07G0X_1Oiz0FnisBK_pXIF3</v>
      </c>
      <c r="G147" s="22" t="str">
        <f t="shared" si="8"/>
        <v>1QO1AajWOa07G0X_1Oiz0FnisBK_pXIF3</v>
      </c>
      <c r="H147" s="20" t="s">
        <v>599</v>
      </c>
    </row>
    <row r="148" spans="1:8" hidden="1" x14ac:dyDescent="0.25">
      <c r="B148" s="14" t="s">
        <v>480</v>
      </c>
      <c r="C148" s="13" t="str">
        <f t="shared" si="6"/>
        <v>7.6Phon</v>
      </c>
      <c r="D148" s="10" t="s">
        <v>344</v>
      </c>
      <c r="E148" s="14" t="s">
        <v>5</v>
      </c>
      <c r="F148" s="19" t="str">
        <f t="shared" si="7"/>
        <v/>
      </c>
      <c r="G148" s="22" t="str">
        <f t="shared" si="8"/>
        <v/>
      </c>
    </row>
    <row r="149" spans="1:8" hidden="1" x14ac:dyDescent="0.25">
      <c r="B149" s="14" t="s">
        <v>481</v>
      </c>
      <c r="C149" s="13" t="str">
        <f t="shared" si="6"/>
        <v>7.7Viet</v>
      </c>
      <c r="D149" s="10" t="s">
        <v>145</v>
      </c>
      <c r="E149" s="14" t="s">
        <v>3</v>
      </c>
      <c r="F149" s="19" t="str">
        <f t="shared" si="7"/>
        <v/>
      </c>
      <c r="G149" s="22" t="str">
        <f t="shared" si="8"/>
        <v/>
      </c>
    </row>
    <row r="150" spans="1:8" x14ac:dyDescent="0.25">
      <c r="A150" s="14">
        <v>47</v>
      </c>
      <c r="B150" s="14" t="s">
        <v>481</v>
      </c>
      <c r="C150" s="13" t="str">
        <f t="shared" si="6"/>
        <v>7.7Eng</v>
      </c>
      <c r="D150" s="10" t="s">
        <v>146</v>
      </c>
      <c r="E150" s="14" t="s">
        <v>4</v>
      </c>
      <c r="F150" s="19" t="str">
        <f t="shared" si="7"/>
        <v>https://docs.google.com/uc?export=download&amp;id=14BvlmeqX1IjAmuGojPG3eBki-Z363Mmy</v>
      </c>
      <c r="G150" s="22" t="str">
        <f t="shared" si="8"/>
        <v>14BvlmeqX1IjAmuGojPG3eBki-Z363Mmy</v>
      </c>
      <c r="H150" s="20" t="s">
        <v>600</v>
      </c>
    </row>
    <row r="151" spans="1:8" hidden="1" x14ac:dyDescent="0.25">
      <c r="B151" s="14" t="s">
        <v>481</v>
      </c>
      <c r="C151" s="13" t="str">
        <f t="shared" si="6"/>
        <v>7.7Phon</v>
      </c>
      <c r="D151" s="10" t="s">
        <v>345</v>
      </c>
      <c r="E151" s="14" t="s">
        <v>5</v>
      </c>
      <c r="F151" s="19" t="str">
        <f t="shared" si="7"/>
        <v/>
      </c>
      <c r="G151" s="22" t="str">
        <f t="shared" si="8"/>
        <v/>
      </c>
    </row>
    <row r="152" spans="1:8" hidden="1" x14ac:dyDescent="0.25">
      <c r="B152" s="14" t="s">
        <v>482</v>
      </c>
      <c r="C152" s="13" t="str">
        <f t="shared" si="6"/>
        <v>7.8Viet</v>
      </c>
      <c r="D152" s="10" t="s">
        <v>147</v>
      </c>
      <c r="E152" s="14" t="s">
        <v>3</v>
      </c>
      <c r="F152" s="19" t="str">
        <f t="shared" si="7"/>
        <v/>
      </c>
      <c r="G152" s="22" t="str">
        <f t="shared" si="8"/>
        <v/>
      </c>
    </row>
    <row r="153" spans="1:8" x14ac:dyDescent="0.25">
      <c r="A153" s="14">
        <v>48</v>
      </c>
      <c r="B153" s="14" t="s">
        <v>482</v>
      </c>
      <c r="C153" s="13" t="str">
        <f t="shared" si="6"/>
        <v>7.8Eng</v>
      </c>
      <c r="D153" s="10" t="s">
        <v>148</v>
      </c>
      <c r="E153" s="14" t="s">
        <v>4</v>
      </c>
      <c r="F153" s="19" t="str">
        <f t="shared" si="7"/>
        <v>https://docs.google.com/uc?export=download&amp;id=1UOKLSJiUkJmWbkloH8AIcYSMK7FOm50G</v>
      </c>
      <c r="G153" s="22" t="str">
        <f t="shared" si="8"/>
        <v>1UOKLSJiUkJmWbkloH8AIcYSMK7FOm50G</v>
      </c>
      <c r="H153" s="20" t="s">
        <v>601</v>
      </c>
    </row>
    <row r="154" spans="1:8" hidden="1" x14ac:dyDescent="0.25">
      <c r="B154" s="14" t="s">
        <v>482</v>
      </c>
      <c r="C154" s="13" t="str">
        <f t="shared" si="6"/>
        <v>7.8Phon</v>
      </c>
      <c r="D154" s="10" t="s">
        <v>346</v>
      </c>
      <c r="E154" s="14" t="s">
        <v>5</v>
      </c>
      <c r="F154" s="19" t="str">
        <f t="shared" si="7"/>
        <v/>
      </c>
      <c r="G154" s="22" t="str">
        <f t="shared" si="8"/>
        <v/>
      </c>
    </row>
    <row r="155" spans="1:8" hidden="1" x14ac:dyDescent="0.25">
      <c r="B155" s="14" t="s">
        <v>450</v>
      </c>
      <c r="C155" s="13" t="str">
        <f t="shared" si="6"/>
        <v>8Struc</v>
      </c>
      <c r="D155" s="10" t="s">
        <v>429</v>
      </c>
      <c r="E155" s="14" t="s">
        <v>11</v>
      </c>
      <c r="F155" s="19" t="str">
        <f t="shared" si="7"/>
        <v/>
      </c>
      <c r="G155" s="22" t="str">
        <f t="shared" si="8"/>
        <v/>
      </c>
    </row>
    <row r="156" spans="1:8" hidden="1" x14ac:dyDescent="0.25">
      <c r="B156" s="14" t="s">
        <v>33</v>
      </c>
      <c r="C156" s="13" t="str">
        <f t="shared" si="6"/>
        <v>8.1Viet</v>
      </c>
      <c r="D156" s="10" t="s">
        <v>149</v>
      </c>
      <c r="E156" s="14" t="s">
        <v>3</v>
      </c>
      <c r="F156" s="19" t="str">
        <f t="shared" si="7"/>
        <v/>
      </c>
      <c r="G156" s="22" t="str">
        <f t="shared" si="8"/>
        <v/>
      </c>
    </row>
    <row r="157" spans="1:8" x14ac:dyDescent="0.25">
      <c r="A157" s="14">
        <v>49</v>
      </c>
      <c r="B157" s="14" t="s">
        <v>33</v>
      </c>
      <c r="C157" s="13" t="str">
        <f t="shared" si="6"/>
        <v>8.1Eng</v>
      </c>
      <c r="D157" s="10" t="s">
        <v>150</v>
      </c>
      <c r="E157" s="14" t="s">
        <v>4</v>
      </c>
      <c r="F157" s="19" t="str">
        <f t="shared" si="7"/>
        <v>https://docs.google.com/uc?export=download&amp;id=1HrCMOfN2F8RU_OaFZxLtgY4bAYucakS_</v>
      </c>
      <c r="G157" s="22" t="str">
        <f t="shared" si="8"/>
        <v>1HrCMOfN2F8RU_OaFZxLtgY4bAYucakS_</v>
      </c>
      <c r="H157" s="20" t="s">
        <v>602</v>
      </c>
    </row>
    <row r="158" spans="1:8" hidden="1" x14ac:dyDescent="0.25">
      <c r="B158" s="14" t="s">
        <v>33</v>
      </c>
      <c r="C158" s="13" t="str">
        <f t="shared" si="6"/>
        <v>8.1Phon</v>
      </c>
      <c r="D158" s="10" t="s">
        <v>347</v>
      </c>
      <c r="E158" s="14" t="s">
        <v>5</v>
      </c>
      <c r="F158" s="19" t="str">
        <f t="shared" si="7"/>
        <v/>
      </c>
      <c r="G158" s="22" t="str">
        <f t="shared" si="8"/>
        <v/>
      </c>
    </row>
    <row r="159" spans="1:8" hidden="1" x14ac:dyDescent="0.25">
      <c r="B159" s="14" t="s">
        <v>34</v>
      </c>
      <c r="C159" s="13" t="str">
        <f t="shared" si="6"/>
        <v>8.2Viet</v>
      </c>
      <c r="D159" s="10" t="s">
        <v>151</v>
      </c>
      <c r="E159" s="14" t="s">
        <v>3</v>
      </c>
      <c r="F159" s="19" t="str">
        <f t="shared" si="7"/>
        <v/>
      </c>
      <c r="G159" s="22" t="str">
        <f t="shared" si="8"/>
        <v/>
      </c>
    </row>
    <row r="160" spans="1:8" x14ac:dyDescent="0.25">
      <c r="A160" s="14">
        <v>50</v>
      </c>
      <c r="B160" s="14" t="s">
        <v>34</v>
      </c>
      <c r="C160" s="13" t="str">
        <f t="shared" si="6"/>
        <v>8.2Eng</v>
      </c>
      <c r="D160" s="10" t="s">
        <v>152</v>
      </c>
      <c r="E160" s="14" t="s">
        <v>4</v>
      </c>
      <c r="F160" s="19" t="str">
        <f t="shared" si="7"/>
        <v>https://docs.google.com/uc?export=download&amp;id=1PT6vGOK5UGsToHMlaw0n9Gz9ZMijXZki</v>
      </c>
      <c r="G160" s="22" t="str">
        <f t="shared" si="8"/>
        <v>1PT6vGOK5UGsToHMlaw0n9Gz9ZMijXZki</v>
      </c>
      <c r="H160" s="20" t="s">
        <v>603</v>
      </c>
    </row>
    <row r="161" spans="1:8" hidden="1" x14ac:dyDescent="0.25">
      <c r="B161" s="14" t="s">
        <v>34</v>
      </c>
      <c r="C161" s="13" t="str">
        <f t="shared" si="6"/>
        <v>8.2Phon</v>
      </c>
      <c r="D161" s="10" t="s">
        <v>348</v>
      </c>
      <c r="E161" s="14" t="s">
        <v>5</v>
      </c>
      <c r="F161" s="19" t="str">
        <f t="shared" si="7"/>
        <v/>
      </c>
      <c r="G161" s="22" t="str">
        <f t="shared" si="8"/>
        <v/>
      </c>
    </row>
    <row r="162" spans="1:8" hidden="1" x14ac:dyDescent="0.25">
      <c r="B162" s="14" t="s">
        <v>35</v>
      </c>
      <c r="C162" s="13" t="str">
        <f t="shared" si="6"/>
        <v>8.3Viet</v>
      </c>
      <c r="D162" s="10" t="s">
        <v>153</v>
      </c>
      <c r="E162" s="14" t="s">
        <v>3</v>
      </c>
      <c r="F162" s="19" t="str">
        <f t="shared" si="7"/>
        <v/>
      </c>
      <c r="G162" s="22" t="str">
        <f t="shared" si="8"/>
        <v/>
      </c>
    </row>
    <row r="163" spans="1:8" x14ac:dyDescent="0.25">
      <c r="A163" s="14">
        <v>51</v>
      </c>
      <c r="B163" s="14" t="s">
        <v>35</v>
      </c>
      <c r="C163" s="13" t="str">
        <f t="shared" si="6"/>
        <v>8.3Eng</v>
      </c>
      <c r="D163" s="10" t="s">
        <v>154</v>
      </c>
      <c r="E163" s="14" t="s">
        <v>4</v>
      </c>
      <c r="F163" s="19" t="str">
        <f t="shared" si="7"/>
        <v>https://docs.google.com/uc?export=download&amp;id=1D02rZfoN7CkL8YRViI6hQHDKT-8tGiLh</v>
      </c>
      <c r="G163" s="22" t="str">
        <f t="shared" si="8"/>
        <v>1D02rZfoN7CkL8YRViI6hQHDKT-8tGiLh</v>
      </c>
      <c r="H163" s="20" t="s">
        <v>604</v>
      </c>
    </row>
    <row r="164" spans="1:8" hidden="1" x14ac:dyDescent="0.25">
      <c r="B164" s="14" t="s">
        <v>35</v>
      </c>
      <c r="C164" s="13" t="str">
        <f t="shared" si="6"/>
        <v>8.3Phon</v>
      </c>
      <c r="D164" s="10" t="s">
        <v>349</v>
      </c>
      <c r="E164" s="14" t="s">
        <v>5</v>
      </c>
      <c r="F164" s="19" t="str">
        <f t="shared" si="7"/>
        <v/>
      </c>
      <c r="G164" s="22" t="str">
        <f t="shared" si="8"/>
        <v/>
      </c>
    </row>
    <row r="165" spans="1:8" hidden="1" x14ac:dyDescent="0.25">
      <c r="B165" s="14" t="s">
        <v>45</v>
      </c>
      <c r="C165" s="13" t="str">
        <f t="shared" si="6"/>
        <v>8.4Viet</v>
      </c>
      <c r="D165" s="10" t="s">
        <v>155</v>
      </c>
      <c r="E165" s="14" t="s">
        <v>3</v>
      </c>
      <c r="F165" s="19" t="str">
        <f t="shared" si="7"/>
        <v/>
      </c>
      <c r="G165" s="22" t="str">
        <f t="shared" si="8"/>
        <v/>
      </c>
    </row>
    <row r="166" spans="1:8" x14ac:dyDescent="0.25">
      <c r="A166" s="14">
        <v>52</v>
      </c>
      <c r="B166" s="14" t="s">
        <v>45</v>
      </c>
      <c r="C166" s="13" t="str">
        <f t="shared" si="6"/>
        <v>8.4Eng</v>
      </c>
      <c r="D166" s="10" t="s">
        <v>156</v>
      </c>
      <c r="E166" s="14" t="s">
        <v>4</v>
      </c>
      <c r="F166" s="19" t="str">
        <f t="shared" si="7"/>
        <v>https://docs.google.com/uc?export=download&amp;id=154kI4IbJCNTS_8X1QaUI3-1xrfSVmcwt</v>
      </c>
      <c r="G166" s="22" t="str">
        <f t="shared" si="8"/>
        <v>154kI4IbJCNTS_8X1QaUI3-1xrfSVmcwt</v>
      </c>
      <c r="H166" s="20" t="s">
        <v>605</v>
      </c>
    </row>
    <row r="167" spans="1:8" hidden="1" x14ac:dyDescent="0.25">
      <c r="B167" s="14" t="s">
        <v>45</v>
      </c>
      <c r="C167" s="13" t="str">
        <f t="shared" si="6"/>
        <v>8.4Phon</v>
      </c>
      <c r="D167" s="10" t="s">
        <v>350</v>
      </c>
      <c r="E167" s="14" t="s">
        <v>5</v>
      </c>
      <c r="F167" s="19" t="str">
        <f t="shared" si="7"/>
        <v/>
      </c>
      <c r="G167" s="22" t="str">
        <f t="shared" si="8"/>
        <v/>
      </c>
    </row>
    <row r="168" spans="1:8" hidden="1" x14ac:dyDescent="0.25">
      <c r="B168" s="14" t="s">
        <v>451</v>
      </c>
      <c r="C168" s="13" t="str">
        <f t="shared" si="6"/>
        <v>9Struc</v>
      </c>
      <c r="D168" s="10" t="s">
        <v>430</v>
      </c>
      <c r="E168" s="14" t="s">
        <v>11</v>
      </c>
      <c r="F168" s="19" t="str">
        <f t="shared" si="7"/>
        <v/>
      </c>
      <c r="G168" s="22" t="str">
        <f t="shared" si="8"/>
        <v/>
      </c>
    </row>
    <row r="169" spans="1:8" hidden="1" x14ac:dyDescent="0.25">
      <c r="B169" s="14" t="s">
        <v>36</v>
      </c>
      <c r="C169" s="13" t="str">
        <f t="shared" si="6"/>
        <v>9.1Viet</v>
      </c>
      <c r="D169" s="10" t="s">
        <v>157</v>
      </c>
      <c r="E169" s="14" t="s">
        <v>3</v>
      </c>
      <c r="F169" s="19" t="str">
        <f t="shared" si="7"/>
        <v/>
      </c>
      <c r="G169" s="22" t="str">
        <f t="shared" si="8"/>
        <v/>
      </c>
    </row>
    <row r="170" spans="1:8" x14ac:dyDescent="0.25">
      <c r="A170" s="14">
        <v>53</v>
      </c>
      <c r="B170" s="14" t="s">
        <v>36</v>
      </c>
      <c r="C170" s="13" t="str">
        <f t="shared" si="6"/>
        <v>9.1Eng</v>
      </c>
      <c r="D170" s="10" t="s">
        <v>158</v>
      </c>
      <c r="E170" s="14" t="s">
        <v>4</v>
      </c>
      <c r="F170" s="19" t="str">
        <f t="shared" si="7"/>
        <v>https://docs.google.com/uc?export=download&amp;id=1XBwLaspEMaQ4pKG2nIX1pD30mhRSa_om</v>
      </c>
      <c r="G170" s="22" t="str">
        <f t="shared" si="8"/>
        <v>1XBwLaspEMaQ4pKG2nIX1pD30mhRSa_om</v>
      </c>
      <c r="H170" s="20" t="s">
        <v>606</v>
      </c>
    </row>
    <row r="171" spans="1:8" hidden="1" x14ac:dyDescent="0.25">
      <c r="B171" s="14" t="s">
        <v>36</v>
      </c>
      <c r="C171" s="13" t="str">
        <f t="shared" si="6"/>
        <v>9.1Phon</v>
      </c>
      <c r="D171" s="10" t="s">
        <v>351</v>
      </c>
      <c r="E171" s="14" t="s">
        <v>5</v>
      </c>
      <c r="F171" s="19" t="str">
        <f t="shared" si="7"/>
        <v/>
      </c>
      <c r="G171" s="22" t="str">
        <f t="shared" si="8"/>
        <v/>
      </c>
    </row>
    <row r="172" spans="1:8" hidden="1" x14ac:dyDescent="0.25">
      <c r="B172" s="14" t="s">
        <v>37</v>
      </c>
      <c r="C172" s="13" t="str">
        <f t="shared" si="6"/>
        <v>9.2Viet</v>
      </c>
      <c r="D172" s="10" t="s">
        <v>159</v>
      </c>
      <c r="E172" s="14" t="s">
        <v>3</v>
      </c>
      <c r="F172" s="19" t="str">
        <f t="shared" si="7"/>
        <v/>
      </c>
      <c r="G172" s="22" t="str">
        <f t="shared" si="8"/>
        <v/>
      </c>
    </row>
    <row r="173" spans="1:8" x14ac:dyDescent="0.25">
      <c r="A173" s="14">
        <v>54</v>
      </c>
      <c r="B173" s="14" t="s">
        <v>37</v>
      </c>
      <c r="C173" s="13" t="str">
        <f t="shared" si="6"/>
        <v>9.2Eng</v>
      </c>
      <c r="D173" s="10" t="s">
        <v>160</v>
      </c>
      <c r="E173" s="14" t="s">
        <v>4</v>
      </c>
      <c r="F173" s="19" t="str">
        <f t="shared" si="7"/>
        <v>https://docs.google.com/uc?export=download&amp;id=1f1DSmGcM2kOnrT7LnDDaQyexmEUtLjoB</v>
      </c>
      <c r="G173" s="22" t="str">
        <f t="shared" si="8"/>
        <v>1f1DSmGcM2kOnrT7LnDDaQyexmEUtLjoB</v>
      </c>
      <c r="H173" s="20" t="s">
        <v>607</v>
      </c>
    </row>
    <row r="174" spans="1:8" hidden="1" x14ac:dyDescent="0.25">
      <c r="B174" s="14" t="s">
        <v>37</v>
      </c>
      <c r="C174" s="13" t="str">
        <f t="shared" si="6"/>
        <v>9.2Phon</v>
      </c>
      <c r="D174" s="10" t="s">
        <v>352</v>
      </c>
      <c r="E174" s="14" t="s">
        <v>5</v>
      </c>
      <c r="F174" s="19" t="str">
        <f t="shared" si="7"/>
        <v/>
      </c>
      <c r="G174" s="22" t="str">
        <f t="shared" si="8"/>
        <v/>
      </c>
    </row>
    <row r="175" spans="1:8" hidden="1" x14ac:dyDescent="0.25">
      <c r="B175" s="14" t="s">
        <v>38</v>
      </c>
      <c r="C175" s="13" t="str">
        <f t="shared" si="6"/>
        <v>9.3Viet</v>
      </c>
      <c r="D175" s="10" t="s">
        <v>161</v>
      </c>
      <c r="E175" s="14" t="s">
        <v>3</v>
      </c>
      <c r="F175" s="19" t="str">
        <f t="shared" si="7"/>
        <v/>
      </c>
      <c r="G175" s="22" t="str">
        <f t="shared" si="8"/>
        <v/>
      </c>
    </row>
    <row r="176" spans="1:8" x14ac:dyDescent="0.25">
      <c r="A176" s="14">
        <v>55</v>
      </c>
      <c r="B176" s="14" t="s">
        <v>38</v>
      </c>
      <c r="C176" s="13" t="str">
        <f t="shared" si="6"/>
        <v>9.3Eng</v>
      </c>
      <c r="D176" s="10" t="s">
        <v>162</v>
      </c>
      <c r="E176" s="14" t="s">
        <v>4</v>
      </c>
      <c r="F176" s="19" t="str">
        <f t="shared" si="7"/>
        <v>https://docs.google.com/uc?export=download&amp;id=1UlMxP_0TFV6jIvmzNxu8DqADFRhchbHo</v>
      </c>
      <c r="G176" s="22" t="str">
        <f t="shared" si="8"/>
        <v>1UlMxP_0TFV6jIvmzNxu8DqADFRhchbHo</v>
      </c>
      <c r="H176" s="20" t="s">
        <v>608</v>
      </c>
    </row>
    <row r="177" spans="1:8" hidden="1" x14ac:dyDescent="0.25">
      <c r="B177" s="14" t="s">
        <v>38</v>
      </c>
      <c r="C177" s="13" t="str">
        <f t="shared" si="6"/>
        <v>9.3Phon</v>
      </c>
      <c r="D177" s="10" t="s">
        <v>353</v>
      </c>
      <c r="E177" s="14" t="s">
        <v>5</v>
      </c>
      <c r="F177" s="19" t="str">
        <f t="shared" si="7"/>
        <v/>
      </c>
      <c r="G177" s="22" t="str">
        <f t="shared" si="8"/>
        <v/>
      </c>
    </row>
    <row r="178" spans="1:8" hidden="1" x14ac:dyDescent="0.25">
      <c r="B178" s="14" t="s">
        <v>483</v>
      </c>
      <c r="C178" s="13" t="str">
        <f t="shared" si="6"/>
        <v>9.4Viet</v>
      </c>
      <c r="D178" s="10" t="s">
        <v>163</v>
      </c>
      <c r="E178" s="14" t="s">
        <v>3</v>
      </c>
      <c r="F178" s="19" t="str">
        <f t="shared" si="7"/>
        <v/>
      </c>
      <c r="G178" s="22" t="str">
        <f t="shared" si="8"/>
        <v/>
      </c>
    </row>
    <row r="179" spans="1:8" x14ac:dyDescent="0.25">
      <c r="A179" s="14">
        <v>56</v>
      </c>
      <c r="B179" s="14" t="s">
        <v>483</v>
      </c>
      <c r="C179" s="13" t="str">
        <f t="shared" si="6"/>
        <v>9.4Eng</v>
      </c>
      <c r="D179" s="10" t="s">
        <v>164</v>
      </c>
      <c r="E179" s="14" t="s">
        <v>4</v>
      </c>
      <c r="F179" s="19" t="str">
        <f t="shared" si="7"/>
        <v>https://docs.google.com/uc?export=download&amp;id=1M8Z8L__lnhwFaBvmz5rH8UySBAMshNhv</v>
      </c>
      <c r="G179" s="22" t="str">
        <f t="shared" si="8"/>
        <v>1M8Z8L__lnhwFaBvmz5rH8UySBAMshNhv</v>
      </c>
      <c r="H179" s="20" t="s">
        <v>609</v>
      </c>
    </row>
    <row r="180" spans="1:8" hidden="1" x14ac:dyDescent="0.25">
      <c r="B180" s="14" t="s">
        <v>483</v>
      </c>
      <c r="C180" s="13" t="str">
        <f t="shared" si="6"/>
        <v>9.4Phon</v>
      </c>
      <c r="D180" s="10" t="s">
        <v>354</v>
      </c>
      <c r="E180" s="14" t="s">
        <v>5</v>
      </c>
      <c r="F180" s="19" t="str">
        <f t="shared" si="7"/>
        <v/>
      </c>
      <c r="G180" s="22" t="str">
        <f t="shared" si="8"/>
        <v/>
      </c>
    </row>
    <row r="181" spans="1:8" hidden="1" x14ac:dyDescent="0.25">
      <c r="B181" s="14" t="s">
        <v>452</v>
      </c>
      <c r="C181" s="13" t="str">
        <f t="shared" si="6"/>
        <v>10Struc</v>
      </c>
      <c r="D181" s="10" t="s">
        <v>431</v>
      </c>
      <c r="E181" s="14" t="s">
        <v>11</v>
      </c>
      <c r="F181" s="19" t="str">
        <f t="shared" si="7"/>
        <v/>
      </c>
      <c r="G181" s="22" t="str">
        <f t="shared" si="8"/>
        <v/>
      </c>
    </row>
    <row r="182" spans="1:8" hidden="1" x14ac:dyDescent="0.25">
      <c r="B182" s="14" t="s">
        <v>484</v>
      </c>
      <c r="C182" s="13" t="str">
        <f t="shared" si="6"/>
        <v>10.1Viet</v>
      </c>
      <c r="D182" s="10" t="s">
        <v>165</v>
      </c>
      <c r="E182" s="14" t="s">
        <v>3</v>
      </c>
      <c r="F182" s="19" t="str">
        <f t="shared" si="7"/>
        <v/>
      </c>
      <c r="G182" s="22" t="str">
        <f t="shared" si="8"/>
        <v/>
      </c>
    </row>
    <row r="183" spans="1:8" x14ac:dyDescent="0.25">
      <c r="A183" s="14">
        <v>57</v>
      </c>
      <c r="B183" s="14" t="s">
        <v>484</v>
      </c>
      <c r="C183" s="13" t="str">
        <f t="shared" si="6"/>
        <v>10.1Eng</v>
      </c>
      <c r="D183" s="10" t="s">
        <v>166</v>
      </c>
      <c r="E183" s="14" t="s">
        <v>4</v>
      </c>
      <c r="F183" s="19" t="str">
        <f t="shared" si="7"/>
        <v>https://docs.google.com/uc?export=download&amp;id=1Izg8Kto0lWiTMb6D3TjJf7gPRgEQeRXr</v>
      </c>
      <c r="G183" s="22" t="str">
        <f t="shared" si="8"/>
        <v>1Izg8Kto0lWiTMb6D3TjJf7gPRgEQeRXr</v>
      </c>
      <c r="H183" s="20" t="s">
        <v>610</v>
      </c>
    </row>
    <row r="184" spans="1:8" hidden="1" x14ac:dyDescent="0.25">
      <c r="B184" s="14" t="s">
        <v>484</v>
      </c>
      <c r="C184" s="13" t="str">
        <f t="shared" si="6"/>
        <v>10.1Phon</v>
      </c>
      <c r="D184" s="10" t="s">
        <v>355</v>
      </c>
      <c r="E184" s="14" t="s">
        <v>5</v>
      </c>
      <c r="F184" s="19" t="str">
        <f t="shared" si="7"/>
        <v/>
      </c>
      <c r="G184" s="22" t="str">
        <f t="shared" si="8"/>
        <v/>
      </c>
    </row>
    <row r="185" spans="1:8" hidden="1" x14ac:dyDescent="0.25">
      <c r="B185" s="14" t="s">
        <v>485</v>
      </c>
      <c r="C185" s="13" t="str">
        <f t="shared" si="6"/>
        <v>10.2Viet</v>
      </c>
      <c r="D185" s="10" t="s">
        <v>167</v>
      </c>
      <c r="E185" s="14" t="s">
        <v>3</v>
      </c>
      <c r="F185" s="19" t="str">
        <f t="shared" si="7"/>
        <v/>
      </c>
      <c r="G185" s="22" t="str">
        <f t="shared" si="8"/>
        <v/>
      </c>
    </row>
    <row r="186" spans="1:8" x14ac:dyDescent="0.25">
      <c r="A186" s="14">
        <v>58</v>
      </c>
      <c r="B186" s="14" t="s">
        <v>485</v>
      </c>
      <c r="C186" s="13" t="str">
        <f t="shared" si="6"/>
        <v>10.2Eng</v>
      </c>
      <c r="D186" s="10" t="s">
        <v>168</v>
      </c>
      <c r="E186" s="14" t="s">
        <v>4</v>
      </c>
      <c r="F186" s="19" t="str">
        <f t="shared" si="7"/>
        <v>https://docs.google.com/uc?export=download&amp;id=1HtSeub_WPVWhpo8FNBbaAjcKnEepOjba</v>
      </c>
      <c r="G186" s="22" t="str">
        <f t="shared" si="8"/>
        <v>1HtSeub_WPVWhpo8FNBbaAjcKnEepOjba</v>
      </c>
      <c r="H186" s="20" t="s">
        <v>611</v>
      </c>
    </row>
    <row r="187" spans="1:8" hidden="1" x14ac:dyDescent="0.25">
      <c r="B187" s="14" t="s">
        <v>485</v>
      </c>
      <c r="C187" s="13" t="str">
        <f t="shared" si="6"/>
        <v>10.2Phon</v>
      </c>
      <c r="D187" s="10" t="s">
        <v>356</v>
      </c>
      <c r="E187" s="14" t="s">
        <v>5</v>
      </c>
      <c r="F187" s="19" t="str">
        <f t="shared" si="7"/>
        <v/>
      </c>
      <c r="G187" s="22" t="str">
        <f t="shared" si="8"/>
        <v/>
      </c>
    </row>
    <row r="188" spans="1:8" hidden="1" x14ac:dyDescent="0.25">
      <c r="B188" s="14" t="s">
        <v>486</v>
      </c>
      <c r="C188" s="13" t="str">
        <f t="shared" si="6"/>
        <v>10.3Viet</v>
      </c>
      <c r="D188" s="10" t="s">
        <v>169</v>
      </c>
      <c r="E188" s="14" t="s">
        <v>3</v>
      </c>
      <c r="F188" s="19" t="str">
        <f t="shared" si="7"/>
        <v/>
      </c>
      <c r="G188" s="22" t="str">
        <f t="shared" si="8"/>
        <v/>
      </c>
    </row>
    <row r="189" spans="1:8" x14ac:dyDescent="0.25">
      <c r="A189" s="14">
        <v>59</v>
      </c>
      <c r="B189" s="14" t="s">
        <v>486</v>
      </c>
      <c r="C189" s="13" t="str">
        <f t="shared" si="6"/>
        <v>10.3Eng</v>
      </c>
      <c r="D189" s="10" t="s">
        <v>170</v>
      </c>
      <c r="E189" s="14" t="s">
        <v>4</v>
      </c>
      <c r="F189" s="19" t="str">
        <f t="shared" si="7"/>
        <v>https://docs.google.com/uc?export=download&amp;id=1NyzDKzNzD0lp0o7LBECyX7POnlcvz4oK</v>
      </c>
      <c r="G189" s="22" t="str">
        <f t="shared" si="8"/>
        <v>1NyzDKzNzD0lp0o7LBECyX7POnlcvz4oK</v>
      </c>
      <c r="H189" s="20" t="s">
        <v>612</v>
      </c>
    </row>
    <row r="190" spans="1:8" hidden="1" x14ac:dyDescent="0.25">
      <c r="B190" s="14" t="s">
        <v>486</v>
      </c>
      <c r="C190" s="13" t="str">
        <f t="shared" si="6"/>
        <v>10.3Phon</v>
      </c>
      <c r="D190" s="10" t="s">
        <v>357</v>
      </c>
      <c r="E190" s="14" t="s">
        <v>5</v>
      </c>
      <c r="F190" s="19" t="str">
        <f t="shared" si="7"/>
        <v/>
      </c>
      <c r="G190" s="22" t="str">
        <f t="shared" si="8"/>
        <v/>
      </c>
    </row>
    <row r="191" spans="1:8" hidden="1" x14ac:dyDescent="0.25">
      <c r="B191" s="14" t="s">
        <v>487</v>
      </c>
      <c r="C191" s="13" t="str">
        <f t="shared" si="6"/>
        <v>10.4Viet</v>
      </c>
      <c r="D191" s="10" t="s">
        <v>171</v>
      </c>
      <c r="E191" s="14" t="s">
        <v>3</v>
      </c>
      <c r="F191" s="19" t="str">
        <f t="shared" si="7"/>
        <v/>
      </c>
      <c r="G191" s="22" t="str">
        <f t="shared" si="8"/>
        <v/>
      </c>
    </row>
    <row r="192" spans="1:8" x14ac:dyDescent="0.25">
      <c r="A192" s="14">
        <v>60</v>
      </c>
      <c r="B192" s="14" t="s">
        <v>487</v>
      </c>
      <c r="C192" s="13" t="str">
        <f t="shared" si="6"/>
        <v>10.4Eng</v>
      </c>
      <c r="D192" s="10" t="s">
        <v>172</v>
      </c>
      <c r="E192" s="14" t="s">
        <v>4</v>
      </c>
      <c r="F192" s="19" t="str">
        <f t="shared" si="7"/>
        <v>https://docs.google.com/uc?export=download&amp;id=1U-OjgLeSmRlkgmtV-BcTyq9onIBU7Ji4</v>
      </c>
      <c r="G192" s="22" t="str">
        <f t="shared" si="8"/>
        <v>1U-OjgLeSmRlkgmtV-BcTyq9onIBU7Ji4</v>
      </c>
      <c r="H192" s="20" t="s">
        <v>613</v>
      </c>
    </row>
    <row r="193" spans="1:8" hidden="1" x14ac:dyDescent="0.25">
      <c r="B193" s="14" t="s">
        <v>487</v>
      </c>
      <c r="C193" s="13" t="str">
        <f t="shared" si="6"/>
        <v>10.4Phon</v>
      </c>
      <c r="D193" s="10" t="s">
        <v>358</v>
      </c>
      <c r="E193" s="14" t="s">
        <v>5</v>
      </c>
      <c r="F193" s="19" t="str">
        <f t="shared" si="7"/>
        <v/>
      </c>
      <c r="G193" s="22" t="str">
        <f t="shared" si="8"/>
        <v/>
      </c>
    </row>
    <row r="194" spans="1:8" hidden="1" x14ac:dyDescent="0.25">
      <c r="B194" s="14" t="s">
        <v>488</v>
      </c>
      <c r="C194" s="13" t="str">
        <f t="shared" si="6"/>
        <v>10.5Viet</v>
      </c>
      <c r="D194" s="10" t="s">
        <v>173</v>
      </c>
      <c r="E194" s="14" t="s">
        <v>3</v>
      </c>
      <c r="F194" s="19" t="str">
        <f t="shared" si="7"/>
        <v/>
      </c>
      <c r="G194" s="22" t="str">
        <f t="shared" si="8"/>
        <v/>
      </c>
    </row>
    <row r="195" spans="1:8" x14ac:dyDescent="0.25">
      <c r="A195" s="14">
        <v>61</v>
      </c>
      <c r="B195" s="14" t="s">
        <v>488</v>
      </c>
      <c r="C195" s="13" t="str">
        <f t="shared" si="6"/>
        <v>10.5Eng</v>
      </c>
      <c r="D195" s="10" t="s">
        <v>174</v>
      </c>
      <c r="E195" s="14" t="s">
        <v>4</v>
      </c>
      <c r="F195" s="19" t="str">
        <f t="shared" si="7"/>
        <v>https://docs.google.com/uc?export=download&amp;id=1EHJxxmHlV06E5QMj8lSAdzWY1DYWzpxJ</v>
      </c>
      <c r="G195" s="22" t="str">
        <f t="shared" si="8"/>
        <v>1EHJxxmHlV06E5QMj8lSAdzWY1DYWzpxJ</v>
      </c>
      <c r="H195" s="20" t="s">
        <v>614</v>
      </c>
    </row>
    <row r="196" spans="1:8" hidden="1" x14ac:dyDescent="0.25">
      <c r="B196" s="14" t="s">
        <v>488</v>
      </c>
      <c r="C196" s="13" t="str">
        <f t="shared" si="6"/>
        <v>10.5Phon</v>
      </c>
      <c r="D196" s="10" t="s">
        <v>359</v>
      </c>
      <c r="E196" s="14" t="s">
        <v>5</v>
      </c>
      <c r="F196" s="19" t="str">
        <f t="shared" si="7"/>
        <v/>
      </c>
      <c r="G196" s="22" t="str">
        <f t="shared" si="8"/>
        <v/>
      </c>
    </row>
    <row r="197" spans="1:8" hidden="1" x14ac:dyDescent="0.25">
      <c r="B197" s="14" t="s">
        <v>453</v>
      </c>
      <c r="C197" s="13" t="str">
        <f t="shared" ref="C197:C260" si="9">B197&amp;E197</f>
        <v>11Struc</v>
      </c>
      <c r="D197" s="10" t="s">
        <v>432</v>
      </c>
      <c r="E197" s="14" t="s">
        <v>11</v>
      </c>
      <c r="F197" s="19" t="str">
        <f t="shared" ref="F197:F260" si="10">IF(G197="","","https://docs.google.com/uc?export=download&amp;id="&amp;G197)</f>
        <v/>
      </c>
      <c r="G197" s="22" t="str">
        <f t="shared" ref="G197:G260" si="11">IFERROR(LEFT(RIGHT(H197,LEN(H197)-32),LEN(RIGHT(H197,LEN(H197)-32))-17),"")</f>
        <v/>
      </c>
    </row>
    <row r="198" spans="1:8" hidden="1" x14ac:dyDescent="0.25">
      <c r="B198" s="14" t="s">
        <v>489</v>
      </c>
      <c r="C198" s="13" t="str">
        <f t="shared" si="9"/>
        <v>11.1Viet</v>
      </c>
      <c r="D198" s="10" t="s">
        <v>175</v>
      </c>
      <c r="E198" s="14" t="s">
        <v>3</v>
      </c>
      <c r="F198" s="19" t="str">
        <f t="shared" si="10"/>
        <v/>
      </c>
      <c r="G198" s="22" t="str">
        <f t="shared" si="11"/>
        <v/>
      </c>
    </row>
    <row r="199" spans="1:8" x14ac:dyDescent="0.25">
      <c r="A199" s="14">
        <v>62</v>
      </c>
      <c r="B199" s="14" t="s">
        <v>489</v>
      </c>
      <c r="C199" s="13" t="str">
        <f t="shared" si="9"/>
        <v>11.1Eng</v>
      </c>
      <c r="D199" s="10" t="s">
        <v>176</v>
      </c>
      <c r="E199" s="14" t="s">
        <v>4</v>
      </c>
      <c r="F199" s="19" t="str">
        <f t="shared" si="10"/>
        <v>https://docs.google.com/uc?export=download&amp;id=1jNn23lInR1nzU5yu61J51c9qdPvAFTKM</v>
      </c>
      <c r="G199" s="22" t="str">
        <f t="shared" si="11"/>
        <v>1jNn23lInR1nzU5yu61J51c9qdPvAFTKM</v>
      </c>
      <c r="H199" s="20" t="s">
        <v>615</v>
      </c>
    </row>
    <row r="200" spans="1:8" hidden="1" x14ac:dyDescent="0.25">
      <c r="B200" s="14" t="s">
        <v>489</v>
      </c>
      <c r="C200" s="13" t="str">
        <f t="shared" si="9"/>
        <v>11.1Phon</v>
      </c>
      <c r="D200" s="10" t="s">
        <v>360</v>
      </c>
      <c r="E200" s="14" t="s">
        <v>5</v>
      </c>
      <c r="F200" s="19" t="str">
        <f t="shared" si="10"/>
        <v/>
      </c>
      <c r="G200" s="22" t="str">
        <f t="shared" si="11"/>
        <v/>
      </c>
    </row>
    <row r="201" spans="1:8" hidden="1" x14ac:dyDescent="0.25">
      <c r="B201" s="14" t="s">
        <v>490</v>
      </c>
      <c r="C201" s="13" t="str">
        <f t="shared" si="9"/>
        <v>11.2Viet</v>
      </c>
      <c r="D201" s="10" t="s">
        <v>177</v>
      </c>
      <c r="E201" s="14" t="s">
        <v>3</v>
      </c>
      <c r="F201" s="19" t="str">
        <f t="shared" si="10"/>
        <v/>
      </c>
      <c r="G201" s="22" t="str">
        <f t="shared" si="11"/>
        <v/>
      </c>
    </row>
    <row r="202" spans="1:8" x14ac:dyDescent="0.25">
      <c r="A202" s="14">
        <v>63</v>
      </c>
      <c r="B202" s="14" t="s">
        <v>490</v>
      </c>
      <c r="C202" s="13" t="str">
        <f t="shared" si="9"/>
        <v>11.2Eng</v>
      </c>
      <c r="D202" s="10" t="s">
        <v>178</v>
      </c>
      <c r="E202" s="14" t="s">
        <v>4</v>
      </c>
      <c r="F202" s="19" t="str">
        <f t="shared" si="10"/>
        <v>https://docs.google.com/uc?export=download&amp;id=1rU66KzOJmpMhGNlCKzYKz4OqhI0YX8GD</v>
      </c>
      <c r="G202" s="22" t="str">
        <f t="shared" si="11"/>
        <v>1rU66KzOJmpMhGNlCKzYKz4OqhI0YX8GD</v>
      </c>
      <c r="H202" s="20" t="s">
        <v>616</v>
      </c>
    </row>
    <row r="203" spans="1:8" hidden="1" x14ac:dyDescent="0.25">
      <c r="B203" s="14" t="s">
        <v>490</v>
      </c>
      <c r="C203" s="13" t="str">
        <f t="shared" si="9"/>
        <v>11.2Phon</v>
      </c>
      <c r="D203" s="10" t="s">
        <v>361</v>
      </c>
      <c r="E203" s="14" t="s">
        <v>5</v>
      </c>
      <c r="F203" s="19" t="str">
        <f t="shared" si="10"/>
        <v/>
      </c>
      <c r="G203" s="22" t="str">
        <f t="shared" si="11"/>
        <v/>
      </c>
    </row>
    <row r="204" spans="1:8" hidden="1" x14ac:dyDescent="0.25">
      <c r="B204" s="14" t="s">
        <v>491</v>
      </c>
      <c r="C204" s="13" t="str">
        <f t="shared" si="9"/>
        <v>11.3Viet</v>
      </c>
      <c r="D204" s="10" t="s">
        <v>179</v>
      </c>
      <c r="E204" s="14" t="s">
        <v>3</v>
      </c>
      <c r="F204" s="19" t="str">
        <f t="shared" si="10"/>
        <v/>
      </c>
      <c r="G204" s="22" t="str">
        <f t="shared" si="11"/>
        <v/>
      </c>
    </row>
    <row r="205" spans="1:8" x14ac:dyDescent="0.25">
      <c r="A205" s="14">
        <v>64</v>
      </c>
      <c r="B205" s="14" t="s">
        <v>491</v>
      </c>
      <c r="C205" s="13" t="str">
        <f t="shared" si="9"/>
        <v>11.3Eng</v>
      </c>
      <c r="D205" s="10" t="s">
        <v>180</v>
      </c>
      <c r="E205" s="14" t="s">
        <v>4</v>
      </c>
      <c r="F205" s="19" t="str">
        <f t="shared" si="10"/>
        <v>https://docs.google.com/uc?export=download&amp;id=1LSlAs60paWZuutTqjez6_0Z0sS4yXylW</v>
      </c>
      <c r="G205" s="22" t="str">
        <f t="shared" si="11"/>
        <v>1LSlAs60paWZuutTqjez6_0Z0sS4yXylW</v>
      </c>
      <c r="H205" s="20" t="s">
        <v>618</v>
      </c>
    </row>
    <row r="206" spans="1:8" hidden="1" x14ac:dyDescent="0.25">
      <c r="B206" s="14" t="s">
        <v>491</v>
      </c>
      <c r="C206" s="13" t="str">
        <f t="shared" si="9"/>
        <v>11.3Phon</v>
      </c>
      <c r="D206" s="10" t="s">
        <v>362</v>
      </c>
      <c r="E206" s="14" t="s">
        <v>5</v>
      </c>
      <c r="F206" s="19" t="str">
        <f t="shared" si="10"/>
        <v/>
      </c>
      <c r="G206" s="22" t="str">
        <f t="shared" si="11"/>
        <v/>
      </c>
    </row>
    <row r="207" spans="1:8" hidden="1" x14ac:dyDescent="0.25">
      <c r="B207" s="14" t="s">
        <v>492</v>
      </c>
      <c r="C207" s="13" t="str">
        <f t="shared" si="9"/>
        <v>11.4Viet</v>
      </c>
      <c r="D207" s="10" t="s">
        <v>181</v>
      </c>
      <c r="E207" s="14" t="s">
        <v>3</v>
      </c>
      <c r="F207" s="19" t="str">
        <f t="shared" si="10"/>
        <v/>
      </c>
      <c r="G207" s="22" t="str">
        <f t="shared" si="11"/>
        <v/>
      </c>
    </row>
    <row r="208" spans="1:8" x14ac:dyDescent="0.25">
      <c r="A208" s="14">
        <v>65</v>
      </c>
      <c r="B208" s="14" t="s">
        <v>492</v>
      </c>
      <c r="C208" s="13" t="str">
        <f t="shared" si="9"/>
        <v>11.4Eng</v>
      </c>
      <c r="D208" s="10" t="s">
        <v>182</v>
      </c>
      <c r="E208" s="14" t="s">
        <v>4</v>
      </c>
      <c r="F208" s="19" t="str">
        <f t="shared" si="10"/>
        <v>https://docs.google.com/uc?export=download&amp;id=16UChL6scbbTg8DewDp_mWObgt01DfO4j</v>
      </c>
      <c r="G208" s="22" t="str">
        <f t="shared" si="11"/>
        <v>16UChL6scbbTg8DewDp_mWObgt01DfO4j</v>
      </c>
      <c r="H208" s="20" t="s">
        <v>617</v>
      </c>
    </row>
    <row r="209" spans="1:8" hidden="1" x14ac:dyDescent="0.25">
      <c r="B209" s="14" t="s">
        <v>492</v>
      </c>
      <c r="C209" s="13" t="str">
        <f t="shared" si="9"/>
        <v>11.4Phon</v>
      </c>
      <c r="D209" s="10" t="s">
        <v>363</v>
      </c>
      <c r="E209" s="14" t="s">
        <v>5</v>
      </c>
      <c r="F209" s="19" t="str">
        <f t="shared" si="10"/>
        <v/>
      </c>
      <c r="G209" s="22" t="str">
        <f t="shared" si="11"/>
        <v/>
      </c>
    </row>
    <row r="210" spans="1:8" hidden="1" x14ac:dyDescent="0.25">
      <c r="B210" s="14" t="s">
        <v>454</v>
      </c>
      <c r="C210" s="13" t="str">
        <f t="shared" si="9"/>
        <v>12Struc</v>
      </c>
      <c r="D210" s="10" t="s">
        <v>433</v>
      </c>
      <c r="E210" s="14" t="s">
        <v>11</v>
      </c>
      <c r="F210" s="19" t="str">
        <f t="shared" si="10"/>
        <v/>
      </c>
      <c r="G210" s="22" t="str">
        <f t="shared" si="11"/>
        <v/>
      </c>
    </row>
    <row r="211" spans="1:8" hidden="1" x14ac:dyDescent="0.25">
      <c r="B211" s="14" t="s">
        <v>493</v>
      </c>
      <c r="C211" s="13" t="str">
        <f t="shared" si="9"/>
        <v>12.1Viet</v>
      </c>
      <c r="D211" s="10" t="s">
        <v>183</v>
      </c>
      <c r="E211" s="14" t="s">
        <v>3</v>
      </c>
      <c r="F211" s="19" t="str">
        <f t="shared" si="10"/>
        <v/>
      </c>
      <c r="G211" s="22" t="str">
        <f t="shared" si="11"/>
        <v/>
      </c>
    </row>
    <row r="212" spans="1:8" x14ac:dyDescent="0.25">
      <c r="A212" s="14">
        <v>66</v>
      </c>
      <c r="B212" s="14" t="s">
        <v>493</v>
      </c>
      <c r="C212" s="13" t="str">
        <f t="shared" si="9"/>
        <v>12.1Eng</v>
      </c>
      <c r="D212" s="10" t="s">
        <v>184</v>
      </c>
      <c r="E212" s="14" t="s">
        <v>4</v>
      </c>
      <c r="F212" s="19" t="str">
        <f t="shared" si="10"/>
        <v>https://docs.google.com/uc?export=download&amp;id=1Zip9ByiLW2V0t9GmFO0JvYObIjuQnv3V</v>
      </c>
      <c r="G212" s="22" t="str">
        <f t="shared" si="11"/>
        <v>1Zip9ByiLW2V0t9GmFO0JvYObIjuQnv3V</v>
      </c>
      <c r="H212" s="20" t="s">
        <v>619</v>
      </c>
    </row>
    <row r="213" spans="1:8" hidden="1" x14ac:dyDescent="0.25">
      <c r="B213" s="14" t="s">
        <v>493</v>
      </c>
      <c r="C213" s="13" t="str">
        <f t="shared" si="9"/>
        <v>12.1Phon</v>
      </c>
      <c r="D213" s="10" t="s">
        <v>364</v>
      </c>
      <c r="E213" s="14" t="s">
        <v>5</v>
      </c>
      <c r="F213" s="19" t="str">
        <f t="shared" si="10"/>
        <v/>
      </c>
      <c r="G213" s="22" t="str">
        <f t="shared" si="11"/>
        <v/>
      </c>
    </row>
    <row r="214" spans="1:8" hidden="1" x14ac:dyDescent="0.25">
      <c r="B214" s="14" t="s">
        <v>494</v>
      </c>
      <c r="C214" s="13" t="str">
        <f t="shared" si="9"/>
        <v>12.2Viet</v>
      </c>
      <c r="D214" s="10" t="s">
        <v>185</v>
      </c>
      <c r="E214" s="14" t="s">
        <v>3</v>
      </c>
      <c r="F214" s="19" t="str">
        <f t="shared" si="10"/>
        <v/>
      </c>
      <c r="G214" s="22" t="str">
        <f t="shared" si="11"/>
        <v/>
      </c>
    </row>
    <row r="215" spans="1:8" x14ac:dyDescent="0.25">
      <c r="A215" s="14">
        <v>67</v>
      </c>
      <c r="B215" s="14" t="s">
        <v>494</v>
      </c>
      <c r="C215" s="13" t="str">
        <f t="shared" si="9"/>
        <v>12.2Eng</v>
      </c>
      <c r="D215" s="10" t="s">
        <v>186</v>
      </c>
      <c r="E215" s="14" t="s">
        <v>4</v>
      </c>
      <c r="F215" s="19" t="str">
        <f t="shared" si="10"/>
        <v>https://docs.google.com/uc?export=download&amp;id=1mC6cJCqIJwOLQCJMcB36u_TX_IFGCrb2</v>
      </c>
      <c r="G215" s="22" t="str">
        <f t="shared" si="11"/>
        <v>1mC6cJCqIJwOLQCJMcB36u_TX_IFGCrb2</v>
      </c>
      <c r="H215" s="20" t="s">
        <v>620</v>
      </c>
    </row>
    <row r="216" spans="1:8" hidden="1" x14ac:dyDescent="0.25">
      <c r="B216" s="14" t="s">
        <v>494</v>
      </c>
      <c r="C216" s="13" t="str">
        <f t="shared" si="9"/>
        <v>12.2Phon</v>
      </c>
      <c r="D216" s="10" t="s">
        <v>365</v>
      </c>
      <c r="E216" s="14" t="s">
        <v>5</v>
      </c>
      <c r="F216" s="19" t="str">
        <f t="shared" si="10"/>
        <v/>
      </c>
      <c r="G216" s="22" t="str">
        <f t="shared" si="11"/>
        <v/>
      </c>
    </row>
    <row r="217" spans="1:8" hidden="1" x14ac:dyDescent="0.25">
      <c r="B217" s="14" t="s">
        <v>495</v>
      </c>
      <c r="C217" s="13" t="str">
        <f t="shared" si="9"/>
        <v>12.3Viet</v>
      </c>
      <c r="D217" s="10" t="s">
        <v>187</v>
      </c>
      <c r="E217" s="14" t="s">
        <v>3</v>
      </c>
      <c r="F217" s="19" t="str">
        <f t="shared" si="10"/>
        <v/>
      </c>
      <c r="G217" s="22" t="str">
        <f t="shared" si="11"/>
        <v/>
      </c>
    </row>
    <row r="218" spans="1:8" x14ac:dyDescent="0.25">
      <c r="A218" s="14">
        <v>68</v>
      </c>
      <c r="B218" s="14" t="s">
        <v>495</v>
      </c>
      <c r="C218" s="13" t="str">
        <f t="shared" si="9"/>
        <v>12.3Eng</v>
      </c>
      <c r="D218" s="10" t="s">
        <v>188</v>
      </c>
      <c r="E218" s="14" t="s">
        <v>4</v>
      </c>
      <c r="F218" s="19" t="str">
        <f t="shared" si="10"/>
        <v>https://docs.google.com/uc?export=download&amp;id=1u4sEdN8ugM6mPBMcFCSThawLfosnWdVi</v>
      </c>
      <c r="G218" s="22" t="str">
        <f t="shared" si="11"/>
        <v>1u4sEdN8ugM6mPBMcFCSThawLfosnWdVi</v>
      </c>
      <c r="H218" s="20" t="s">
        <v>621</v>
      </c>
    </row>
    <row r="219" spans="1:8" hidden="1" x14ac:dyDescent="0.25">
      <c r="B219" s="14" t="s">
        <v>495</v>
      </c>
      <c r="C219" s="13" t="str">
        <f t="shared" si="9"/>
        <v>12.3Phon</v>
      </c>
      <c r="D219" s="10" t="s">
        <v>366</v>
      </c>
      <c r="E219" s="14" t="s">
        <v>5</v>
      </c>
      <c r="F219" s="19" t="str">
        <f t="shared" si="10"/>
        <v/>
      </c>
      <c r="G219" s="22" t="str">
        <f t="shared" si="11"/>
        <v/>
      </c>
    </row>
    <row r="220" spans="1:8" hidden="1" x14ac:dyDescent="0.25">
      <c r="B220" s="14" t="s">
        <v>496</v>
      </c>
      <c r="C220" s="13" t="str">
        <f t="shared" si="9"/>
        <v>12.4Viet</v>
      </c>
      <c r="D220" s="10" t="s">
        <v>189</v>
      </c>
      <c r="E220" s="14" t="s">
        <v>3</v>
      </c>
      <c r="F220" s="19" t="str">
        <f t="shared" si="10"/>
        <v/>
      </c>
      <c r="G220" s="22" t="str">
        <f t="shared" si="11"/>
        <v/>
      </c>
    </row>
    <row r="221" spans="1:8" x14ac:dyDescent="0.25">
      <c r="A221" s="14">
        <v>69</v>
      </c>
      <c r="B221" s="14" t="s">
        <v>496</v>
      </c>
      <c r="C221" s="13" t="str">
        <f t="shared" si="9"/>
        <v>12.4Eng</v>
      </c>
      <c r="D221" s="10" t="s">
        <v>190</v>
      </c>
      <c r="E221" s="14" t="s">
        <v>4</v>
      </c>
      <c r="F221" s="19" t="str">
        <f t="shared" si="10"/>
        <v>https://docs.google.com/uc?export=download&amp;id=1IGylxT9IaFn-MGbpJ3ymemxcXylTemOz</v>
      </c>
      <c r="G221" s="22" t="str">
        <f t="shared" si="11"/>
        <v>1IGylxT9IaFn-MGbpJ3ymemxcXylTemOz</v>
      </c>
      <c r="H221" s="20" t="s">
        <v>622</v>
      </c>
    </row>
    <row r="222" spans="1:8" hidden="1" x14ac:dyDescent="0.25">
      <c r="B222" s="14" t="s">
        <v>496</v>
      </c>
      <c r="C222" s="13" t="str">
        <f t="shared" si="9"/>
        <v>12.4Phon</v>
      </c>
      <c r="D222" s="10" t="s">
        <v>367</v>
      </c>
      <c r="E222" s="14" t="s">
        <v>5</v>
      </c>
      <c r="F222" s="19" t="str">
        <f t="shared" si="10"/>
        <v/>
      </c>
      <c r="G222" s="22" t="str">
        <f t="shared" si="11"/>
        <v/>
      </c>
    </row>
    <row r="223" spans="1:8" hidden="1" x14ac:dyDescent="0.25">
      <c r="B223" s="14" t="s">
        <v>497</v>
      </c>
      <c r="C223" s="13" t="str">
        <f t="shared" si="9"/>
        <v>12.5Viet</v>
      </c>
      <c r="D223" s="10" t="s">
        <v>191</v>
      </c>
      <c r="E223" s="14" t="s">
        <v>3</v>
      </c>
      <c r="F223" s="19" t="str">
        <f t="shared" si="10"/>
        <v/>
      </c>
      <c r="G223" s="22" t="str">
        <f t="shared" si="11"/>
        <v/>
      </c>
    </row>
    <row r="224" spans="1:8" x14ac:dyDescent="0.25">
      <c r="A224" s="14">
        <v>70</v>
      </c>
      <c r="B224" s="14" t="s">
        <v>497</v>
      </c>
      <c r="C224" s="13" t="str">
        <f t="shared" si="9"/>
        <v>12.5Eng</v>
      </c>
      <c r="D224" s="10" t="s">
        <v>192</v>
      </c>
      <c r="E224" s="14" t="s">
        <v>4</v>
      </c>
      <c r="F224" s="19" t="str">
        <f t="shared" si="10"/>
        <v>https://docs.google.com/uc?export=download&amp;id=17E4jFdc4PHauK6G9jSbAFNzXh8ge4YC8</v>
      </c>
      <c r="G224" s="22" t="str">
        <f t="shared" si="11"/>
        <v>17E4jFdc4PHauK6G9jSbAFNzXh8ge4YC8</v>
      </c>
      <c r="H224" s="20" t="s">
        <v>623</v>
      </c>
    </row>
    <row r="225" spans="1:8" hidden="1" x14ac:dyDescent="0.25">
      <c r="B225" s="14" t="s">
        <v>497</v>
      </c>
      <c r="C225" s="13" t="str">
        <f t="shared" si="9"/>
        <v>12.5Phon</v>
      </c>
      <c r="D225" s="10" t="s">
        <v>368</v>
      </c>
      <c r="E225" s="14" t="s">
        <v>5</v>
      </c>
      <c r="F225" s="19" t="str">
        <f t="shared" si="10"/>
        <v/>
      </c>
      <c r="G225" s="22" t="str">
        <f t="shared" si="11"/>
        <v/>
      </c>
    </row>
    <row r="226" spans="1:8" hidden="1" x14ac:dyDescent="0.25">
      <c r="B226" s="14" t="s">
        <v>455</v>
      </c>
      <c r="C226" s="13" t="str">
        <f t="shared" si="9"/>
        <v>13Struc</v>
      </c>
      <c r="D226" s="10" t="s">
        <v>434</v>
      </c>
      <c r="E226" s="14" t="s">
        <v>11</v>
      </c>
      <c r="F226" s="19" t="str">
        <f t="shared" si="10"/>
        <v/>
      </c>
      <c r="G226" s="22" t="str">
        <f t="shared" si="11"/>
        <v/>
      </c>
    </row>
    <row r="227" spans="1:8" hidden="1" x14ac:dyDescent="0.25">
      <c r="B227" s="14" t="s">
        <v>498</v>
      </c>
      <c r="C227" s="13" t="str">
        <f t="shared" si="9"/>
        <v>13.1Viet</v>
      </c>
      <c r="D227" s="10" t="s">
        <v>193</v>
      </c>
      <c r="E227" s="14" t="s">
        <v>3</v>
      </c>
      <c r="F227" s="19" t="str">
        <f t="shared" si="10"/>
        <v/>
      </c>
      <c r="G227" s="22" t="str">
        <f t="shared" si="11"/>
        <v/>
      </c>
    </row>
    <row r="228" spans="1:8" x14ac:dyDescent="0.25">
      <c r="A228" s="14">
        <v>71</v>
      </c>
      <c r="B228" s="14" t="s">
        <v>498</v>
      </c>
      <c r="C228" s="13" t="str">
        <f t="shared" si="9"/>
        <v>13.1Eng</v>
      </c>
      <c r="D228" s="10" t="s">
        <v>194</v>
      </c>
      <c r="E228" s="14" t="s">
        <v>4</v>
      </c>
      <c r="F228" s="19" t="str">
        <f t="shared" si="10"/>
        <v>https://docs.google.com/uc?export=download&amp;id=1pV3KLRSxOlThG9NS_5oK2CxQZwjFFsyk</v>
      </c>
      <c r="G228" s="22" t="str">
        <f t="shared" si="11"/>
        <v>1pV3KLRSxOlThG9NS_5oK2CxQZwjFFsyk</v>
      </c>
      <c r="H228" s="20" t="s">
        <v>624</v>
      </c>
    </row>
    <row r="229" spans="1:8" hidden="1" x14ac:dyDescent="0.25">
      <c r="B229" s="14" t="s">
        <v>498</v>
      </c>
      <c r="C229" s="13" t="str">
        <f t="shared" si="9"/>
        <v>13.1Phon</v>
      </c>
      <c r="D229" s="10" t="s">
        <v>369</v>
      </c>
      <c r="E229" s="14" t="s">
        <v>5</v>
      </c>
      <c r="F229" s="19" t="str">
        <f t="shared" si="10"/>
        <v/>
      </c>
      <c r="G229" s="22" t="str">
        <f t="shared" si="11"/>
        <v/>
      </c>
    </row>
    <row r="230" spans="1:8" hidden="1" x14ac:dyDescent="0.25">
      <c r="B230" s="14" t="s">
        <v>499</v>
      </c>
      <c r="C230" s="13" t="str">
        <f t="shared" si="9"/>
        <v>13.2Viet</v>
      </c>
      <c r="D230" s="10" t="s">
        <v>195</v>
      </c>
      <c r="E230" s="14" t="s">
        <v>3</v>
      </c>
      <c r="F230" s="19" t="str">
        <f t="shared" si="10"/>
        <v/>
      </c>
      <c r="G230" s="22" t="str">
        <f t="shared" si="11"/>
        <v/>
      </c>
    </row>
    <row r="231" spans="1:8" x14ac:dyDescent="0.25">
      <c r="A231" s="14">
        <v>72</v>
      </c>
      <c r="B231" s="14" t="s">
        <v>499</v>
      </c>
      <c r="C231" s="13" t="str">
        <f t="shared" si="9"/>
        <v>13.2Eng</v>
      </c>
      <c r="D231" s="10" t="s">
        <v>196</v>
      </c>
      <c r="E231" s="14" t="s">
        <v>4</v>
      </c>
      <c r="F231" s="19" t="str">
        <f t="shared" si="10"/>
        <v>https://docs.google.com/uc?export=download&amp;id=16Q02u7FxiBikG2dRbPeL1UB_PfAoLYNU</v>
      </c>
      <c r="G231" s="22" t="str">
        <f t="shared" si="11"/>
        <v>16Q02u7FxiBikG2dRbPeL1UB_PfAoLYNU</v>
      </c>
      <c r="H231" s="20" t="s">
        <v>625</v>
      </c>
    </row>
    <row r="232" spans="1:8" hidden="1" x14ac:dyDescent="0.25">
      <c r="B232" s="14" t="s">
        <v>499</v>
      </c>
      <c r="C232" s="13" t="str">
        <f t="shared" si="9"/>
        <v>13.2Phon</v>
      </c>
      <c r="D232" s="10" t="s">
        <v>370</v>
      </c>
      <c r="E232" s="14" t="s">
        <v>5</v>
      </c>
      <c r="F232" s="19" t="str">
        <f t="shared" si="10"/>
        <v/>
      </c>
      <c r="G232" s="22" t="str">
        <f t="shared" si="11"/>
        <v/>
      </c>
    </row>
    <row r="233" spans="1:8" hidden="1" x14ac:dyDescent="0.25">
      <c r="B233" s="14" t="s">
        <v>500</v>
      </c>
      <c r="C233" s="13" t="str">
        <f t="shared" si="9"/>
        <v>13.3Viet</v>
      </c>
      <c r="D233" s="10" t="s">
        <v>197</v>
      </c>
      <c r="E233" s="14" t="s">
        <v>3</v>
      </c>
      <c r="F233" s="19" t="str">
        <f t="shared" si="10"/>
        <v/>
      </c>
      <c r="G233" s="22" t="str">
        <f t="shared" si="11"/>
        <v/>
      </c>
    </row>
    <row r="234" spans="1:8" x14ac:dyDescent="0.25">
      <c r="A234" s="14">
        <v>73</v>
      </c>
      <c r="B234" s="14" t="s">
        <v>500</v>
      </c>
      <c r="C234" s="13" t="str">
        <f t="shared" si="9"/>
        <v>13.3Eng</v>
      </c>
      <c r="D234" s="10" t="s">
        <v>198</v>
      </c>
      <c r="E234" s="14" t="s">
        <v>4</v>
      </c>
      <c r="F234" s="19" t="str">
        <f t="shared" si="10"/>
        <v>https://docs.google.com/uc?export=download&amp;id=1ErqE1i7eUm4vHNXGb0BXCrQuUUbS2Z9e</v>
      </c>
      <c r="G234" s="22" t="str">
        <f t="shared" si="11"/>
        <v>1ErqE1i7eUm4vHNXGb0BXCrQuUUbS2Z9e</v>
      </c>
      <c r="H234" s="20" t="s">
        <v>626</v>
      </c>
    </row>
    <row r="235" spans="1:8" hidden="1" x14ac:dyDescent="0.25">
      <c r="B235" s="14" t="s">
        <v>500</v>
      </c>
      <c r="C235" s="13" t="str">
        <f t="shared" si="9"/>
        <v>13.3Phon</v>
      </c>
      <c r="D235" s="10" t="s">
        <v>371</v>
      </c>
      <c r="E235" s="14" t="s">
        <v>5</v>
      </c>
      <c r="F235" s="19" t="str">
        <f t="shared" si="10"/>
        <v/>
      </c>
      <c r="G235" s="22" t="str">
        <f t="shared" si="11"/>
        <v/>
      </c>
    </row>
    <row r="236" spans="1:8" hidden="1" x14ac:dyDescent="0.25">
      <c r="B236" s="14" t="s">
        <v>501</v>
      </c>
      <c r="C236" s="13" t="str">
        <f t="shared" si="9"/>
        <v>13.4Viet</v>
      </c>
      <c r="D236" s="10" t="s">
        <v>199</v>
      </c>
      <c r="E236" s="14" t="s">
        <v>3</v>
      </c>
      <c r="F236" s="19" t="str">
        <f t="shared" si="10"/>
        <v/>
      </c>
      <c r="G236" s="22" t="str">
        <f t="shared" si="11"/>
        <v/>
      </c>
    </row>
    <row r="237" spans="1:8" x14ac:dyDescent="0.25">
      <c r="A237" s="14">
        <v>74</v>
      </c>
      <c r="B237" s="14" t="s">
        <v>501</v>
      </c>
      <c r="C237" s="13" t="str">
        <f t="shared" si="9"/>
        <v>13.4Eng</v>
      </c>
      <c r="D237" s="10" t="s">
        <v>200</v>
      </c>
      <c r="E237" s="14" t="s">
        <v>4</v>
      </c>
      <c r="F237" s="19" t="str">
        <f t="shared" si="10"/>
        <v>https://docs.google.com/uc?export=download&amp;id=1ONRsXmY795Yn5k7SsccDQzXJwNhNj0NF</v>
      </c>
      <c r="G237" s="22" t="str">
        <f t="shared" si="11"/>
        <v>1ONRsXmY795Yn5k7SsccDQzXJwNhNj0NF</v>
      </c>
      <c r="H237" s="20" t="s">
        <v>627</v>
      </c>
    </row>
    <row r="238" spans="1:8" hidden="1" x14ac:dyDescent="0.25">
      <c r="B238" s="14" t="s">
        <v>501</v>
      </c>
      <c r="C238" s="13" t="str">
        <f t="shared" si="9"/>
        <v>13.4Phon</v>
      </c>
      <c r="D238" s="10" t="s">
        <v>372</v>
      </c>
      <c r="E238" s="14" t="s">
        <v>5</v>
      </c>
      <c r="F238" s="19" t="str">
        <f t="shared" si="10"/>
        <v/>
      </c>
      <c r="G238" s="22" t="str">
        <f t="shared" si="11"/>
        <v/>
      </c>
    </row>
    <row r="239" spans="1:8" hidden="1" x14ac:dyDescent="0.25">
      <c r="B239" s="14" t="s">
        <v>502</v>
      </c>
      <c r="C239" s="13" t="str">
        <f t="shared" si="9"/>
        <v>13.5Viet</v>
      </c>
      <c r="D239" s="10" t="s">
        <v>201</v>
      </c>
      <c r="E239" s="14" t="s">
        <v>3</v>
      </c>
      <c r="F239" s="19" t="str">
        <f t="shared" si="10"/>
        <v/>
      </c>
      <c r="G239" s="22" t="str">
        <f t="shared" si="11"/>
        <v/>
      </c>
    </row>
    <row r="240" spans="1:8" x14ac:dyDescent="0.25">
      <c r="A240" s="14">
        <v>75</v>
      </c>
      <c r="B240" s="14" t="s">
        <v>502</v>
      </c>
      <c r="C240" s="13" t="str">
        <f t="shared" si="9"/>
        <v>13.5Eng</v>
      </c>
      <c r="D240" s="10" t="s">
        <v>202</v>
      </c>
      <c r="E240" s="14" t="s">
        <v>4</v>
      </c>
      <c r="F240" s="19" t="str">
        <f t="shared" si="10"/>
        <v>https://docs.google.com/uc?export=download&amp;id=16UBe5uaSvnnn3qmJ-J7HR6ADyNrvcABV</v>
      </c>
      <c r="G240" s="22" t="str">
        <f t="shared" si="11"/>
        <v>16UBe5uaSvnnn3qmJ-J7HR6ADyNrvcABV</v>
      </c>
      <c r="H240" s="20" t="s">
        <v>628</v>
      </c>
    </row>
    <row r="241" spans="1:8" hidden="1" x14ac:dyDescent="0.25">
      <c r="B241" s="14" t="s">
        <v>502</v>
      </c>
      <c r="C241" s="13" t="str">
        <f t="shared" si="9"/>
        <v>13.5Phon</v>
      </c>
      <c r="D241" s="10" t="s">
        <v>373</v>
      </c>
      <c r="E241" s="14" t="s">
        <v>5</v>
      </c>
      <c r="F241" s="19" t="str">
        <f t="shared" si="10"/>
        <v/>
      </c>
      <c r="G241" s="22" t="str">
        <f t="shared" si="11"/>
        <v/>
      </c>
    </row>
    <row r="242" spans="1:8" hidden="1" x14ac:dyDescent="0.25">
      <c r="B242" s="14" t="s">
        <v>503</v>
      </c>
      <c r="C242" s="13" t="str">
        <f t="shared" si="9"/>
        <v>13.6Viet</v>
      </c>
      <c r="D242" s="10" t="s">
        <v>203</v>
      </c>
      <c r="E242" s="14" t="s">
        <v>3</v>
      </c>
      <c r="F242" s="19" t="str">
        <f t="shared" si="10"/>
        <v/>
      </c>
      <c r="G242" s="22" t="str">
        <f t="shared" si="11"/>
        <v/>
      </c>
    </row>
    <row r="243" spans="1:8" x14ac:dyDescent="0.25">
      <c r="A243" s="14">
        <v>76</v>
      </c>
      <c r="B243" s="14" t="s">
        <v>503</v>
      </c>
      <c r="C243" s="13" t="str">
        <f t="shared" si="9"/>
        <v>13.6Eng</v>
      </c>
      <c r="D243" s="10" t="s">
        <v>204</v>
      </c>
      <c r="E243" s="14" t="s">
        <v>4</v>
      </c>
      <c r="F243" s="19" t="str">
        <f t="shared" si="10"/>
        <v>https://docs.google.com/uc?export=download&amp;id=1InBvkpCQB9LBy0UnI3irmJqlnaeWAskH</v>
      </c>
      <c r="G243" s="22" t="str">
        <f t="shared" si="11"/>
        <v>1InBvkpCQB9LBy0UnI3irmJqlnaeWAskH</v>
      </c>
      <c r="H243" s="20" t="s">
        <v>629</v>
      </c>
    </row>
    <row r="244" spans="1:8" hidden="1" x14ac:dyDescent="0.25">
      <c r="B244" s="14" t="s">
        <v>503</v>
      </c>
      <c r="C244" s="13" t="str">
        <f t="shared" si="9"/>
        <v>13.6Phon</v>
      </c>
      <c r="D244" s="10" t="s">
        <v>374</v>
      </c>
      <c r="E244" s="14" t="s">
        <v>5</v>
      </c>
      <c r="F244" s="19" t="str">
        <f t="shared" si="10"/>
        <v/>
      </c>
      <c r="G244" s="22" t="str">
        <f t="shared" si="11"/>
        <v/>
      </c>
    </row>
    <row r="245" spans="1:8" hidden="1" x14ac:dyDescent="0.25">
      <c r="B245" s="14" t="s">
        <v>504</v>
      </c>
      <c r="C245" s="13" t="str">
        <f t="shared" si="9"/>
        <v>13.7Viet</v>
      </c>
      <c r="D245" s="10" t="s">
        <v>205</v>
      </c>
      <c r="E245" s="14" t="s">
        <v>3</v>
      </c>
      <c r="F245" s="19" t="str">
        <f t="shared" si="10"/>
        <v/>
      </c>
      <c r="G245" s="22" t="str">
        <f t="shared" si="11"/>
        <v/>
      </c>
    </row>
    <row r="246" spans="1:8" x14ac:dyDescent="0.25">
      <c r="A246" s="14">
        <v>77</v>
      </c>
      <c r="B246" s="14" t="s">
        <v>504</v>
      </c>
      <c r="C246" s="13" t="str">
        <f t="shared" si="9"/>
        <v>13.7Eng</v>
      </c>
      <c r="D246" s="10" t="s">
        <v>206</v>
      </c>
      <c r="E246" s="14" t="s">
        <v>4</v>
      </c>
      <c r="F246" s="19" t="str">
        <f t="shared" si="10"/>
        <v>https://docs.google.com/uc?export=download&amp;id=1irQAPaR7T2utSpiUoUN8QSK_MOA37g-5</v>
      </c>
      <c r="G246" s="22" t="str">
        <f t="shared" si="11"/>
        <v>1irQAPaR7T2utSpiUoUN8QSK_MOA37g-5</v>
      </c>
      <c r="H246" s="20" t="s">
        <v>630</v>
      </c>
    </row>
    <row r="247" spans="1:8" hidden="1" x14ac:dyDescent="0.25">
      <c r="B247" s="14" t="s">
        <v>504</v>
      </c>
      <c r="C247" s="13" t="str">
        <f t="shared" si="9"/>
        <v>13.7Phon</v>
      </c>
      <c r="D247" s="10" t="s">
        <v>375</v>
      </c>
      <c r="E247" s="14" t="s">
        <v>5</v>
      </c>
      <c r="F247" s="19" t="str">
        <f t="shared" si="10"/>
        <v/>
      </c>
      <c r="G247" s="22" t="str">
        <f t="shared" si="11"/>
        <v/>
      </c>
    </row>
    <row r="248" spans="1:8" hidden="1" x14ac:dyDescent="0.25">
      <c r="B248" s="14" t="s">
        <v>505</v>
      </c>
      <c r="C248" s="13" t="str">
        <f t="shared" si="9"/>
        <v>13.8Viet</v>
      </c>
      <c r="D248" s="10" t="s">
        <v>207</v>
      </c>
      <c r="E248" s="14" t="s">
        <v>3</v>
      </c>
      <c r="F248" s="19" t="str">
        <f t="shared" si="10"/>
        <v/>
      </c>
      <c r="G248" s="22" t="str">
        <f t="shared" si="11"/>
        <v/>
      </c>
    </row>
    <row r="249" spans="1:8" x14ac:dyDescent="0.25">
      <c r="A249" s="14">
        <v>78</v>
      </c>
      <c r="B249" s="14" t="s">
        <v>505</v>
      </c>
      <c r="C249" s="13" t="str">
        <f t="shared" si="9"/>
        <v>13.8Eng</v>
      </c>
      <c r="D249" s="10" t="s">
        <v>208</v>
      </c>
      <c r="E249" s="14" t="s">
        <v>4</v>
      </c>
      <c r="F249" s="19" t="str">
        <f t="shared" si="10"/>
        <v>https://docs.google.com/uc?export=download&amp;id=1IPpZgyte719W6OM7tQMbV3cEhA24Tdgl</v>
      </c>
      <c r="G249" s="22" t="str">
        <f t="shared" si="11"/>
        <v>1IPpZgyte719W6OM7tQMbV3cEhA24Tdgl</v>
      </c>
      <c r="H249" s="20" t="s">
        <v>631</v>
      </c>
    </row>
    <row r="250" spans="1:8" hidden="1" x14ac:dyDescent="0.25">
      <c r="B250" s="14" t="s">
        <v>505</v>
      </c>
      <c r="C250" s="13" t="str">
        <f t="shared" si="9"/>
        <v>13.8Phon</v>
      </c>
      <c r="D250" s="10" t="s">
        <v>376</v>
      </c>
      <c r="E250" s="14" t="s">
        <v>5</v>
      </c>
      <c r="F250" s="19" t="str">
        <f t="shared" si="10"/>
        <v/>
      </c>
      <c r="G250" s="22" t="str">
        <f t="shared" si="11"/>
        <v/>
      </c>
    </row>
    <row r="251" spans="1:8" hidden="1" x14ac:dyDescent="0.25">
      <c r="B251" s="14" t="s">
        <v>456</v>
      </c>
      <c r="C251" s="13" t="str">
        <f t="shared" si="9"/>
        <v>14Struc</v>
      </c>
      <c r="D251" s="10" t="s">
        <v>435</v>
      </c>
      <c r="E251" s="14" t="s">
        <v>11</v>
      </c>
      <c r="F251" s="19" t="str">
        <f t="shared" si="10"/>
        <v/>
      </c>
      <c r="G251" s="22" t="str">
        <f t="shared" si="11"/>
        <v/>
      </c>
    </row>
    <row r="252" spans="1:8" hidden="1" x14ac:dyDescent="0.25">
      <c r="B252" s="14" t="s">
        <v>506</v>
      </c>
      <c r="C252" s="13" t="str">
        <f t="shared" si="9"/>
        <v>14.1Viet</v>
      </c>
      <c r="D252" s="10" t="s">
        <v>209</v>
      </c>
      <c r="E252" s="14" t="s">
        <v>3</v>
      </c>
      <c r="F252" s="19" t="str">
        <f t="shared" si="10"/>
        <v/>
      </c>
      <c r="G252" s="22" t="str">
        <f t="shared" si="11"/>
        <v/>
      </c>
    </row>
    <row r="253" spans="1:8" x14ac:dyDescent="0.25">
      <c r="A253" s="14">
        <v>79</v>
      </c>
      <c r="B253" s="14" t="s">
        <v>506</v>
      </c>
      <c r="C253" s="13" t="str">
        <f t="shared" si="9"/>
        <v>14.1Eng</v>
      </c>
      <c r="D253" s="10" t="s">
        <v>210</v>
      </c>
      <c r="E253" s="14" t="s">
        <v>4</v>
      </c>
      <c r="F253" s="19" t="str">
        <f t="shared" si="10"/>
        <v>https://docs.google.com/uc?export=download&amp;id=1Hvj7-5BY8zfu1dwJXr26lzlx37weHhMB</v>
      </c>
      <c r="G253" s="22" t="str">
        <f t="shared" si="11"/>
        <v>1Hvj7-5BY8zfu1dwJXr26lzlx37weHhMB</v>
      </c>
      <c r="H253" s="20" t="s">
        <v>632</v>
      </c>
    </row>
    <row r="254" spans="1:8" hidden="1" x14ac:dyDescent="0.25">
      <c r="B254" s="14" t="s">
        <v>506</v>
      </c>
      <c r="C254" s="13" t="str">
        <f t="shared" si="9"/>
        <v>14.1Phon</v>
      </c>
      <c r="D254" s="10" t="s">
        <v>377</v>
      </c>
      <c r="E254" s="14" t="s">
        <v>5</v>
      </c>
      <c r="F254" s="19" t="str">
        <f t="shared" si="10"/>
        <v/>
      </c>
      <c r="G254" s="22" t="str">
        <f t="shared" si="11"/>
        <v/>
      </c>
    </row>
    <row r="255" spans="1:8" hidden="1" x14ac:dyDescent="0.25">
      <c r="B255" s="14" t="s">
        <v>507</v>
      </c>
      <c r="C255" s="13" t="str">
        <f t="shared" si="9"/>
        <v>14.2Viet</v>
      </c>
      <c r="D255" s="10" t="s">
        <v>211</v>
      </c>
      <c r="E255" s="14" t="s">
        <v>3</v>
      </c>
      <c r="F255" s="19" t="str">
        <f t="shared" si="10"/>
        <v/>
      </c>
      <c r="G255" s="22" t="str">
        <f t="shared" si="11"/>
        <v/>
      </c>
    </row>
    <row r="256" spans="1:8" x14ac:dyDescent="0.25">
      <c r="A256" s="14">
        <v>80</v>
      </c>
      <c r="B256" s="14" t="s">
        <v>507</v>
      </c>
      <c r="C256" s="13" t="str">
        <f t="shared" si="9"/>
        <v>14.2Eng</v>
      </c>
      <c r="D256" s="10" t="s">
        <v>212</v>
      </c>
      <c r="E256" s="14" t="s">
        <v>4</v>
      </c>
      <c r="F256" s="19" t="str">
        <f t="shared" si="10"/>
        <v>https://docs.google.com/uc?export=download&amp;id=1neKUproD_j0kcDpU-FEtBcyN3L9HE5W-</v>
      </c>
      <c r="G256" s="22" t="str">
        <f t="shared" si="11"/>
        <v>1neKUproD_j0kcDpU-FEtBcyN3L9HE5W-</v>
      </c>
      <c r="H256" s="20" t="s">
        <v>633</v>
      </c>
    </row>
    <row r="257" spans="1:8" hidden="1" x14ac:dyDescent="0.25">
      <c r="B257" s="14" t="s">
        <v>507</v>
      </c>
      <c r="C257" s="13" t="str">
        <f t="shared" si="9"/>
        <v>14.2Phon</v>
      </c>
      <c r="D257" s="10" t="s">
        <v>378</v>
      </c>
      <c r="E257" s="14" t="s">
        <v>5</v>
      </c>
      <c r="F257" s="19" t="str">
        <f t="shared" si="10"/>
        <v/>
      </c>
      <c r="G257" s="22" t="str">
        <f t="shared" si="11"/>
        <v/>
      </c>
    </row>
    <row r="258" spans="1:8" hidden="1" x14ac:dyDescent="0.25">
      <c r="B258" s="14" t="s">
        <v>508</v>
      </c>
      <c r="C258" s="13" t="str">
        <f t="shared" si="9"/>
        <v>14.3Viet</v>
      </c>
      <c r="D258" s="10" t="s">
        <v>213</v>
      </c>
      <c r="E258" s="14" t="s">
        <v>3</v>
      </c>
      <c r="F258" s="19" t="str">
        <f t="shared" si="10"/>
        <v/>
      </c>
      <c r="G258" s="22" t="str">
        <f t="shared" si="11"/>
        <v/>
      </c>
    </row>
    <row r="259" spans="1:8" x14ac:dyDescent="0.25">
      <c r="A259" s="14">
        <v>81</v>
      </c>
      <c r="B259" s="14" t="s">
        <v>508</v>
      </c>
      <c r="C259" s="13" t="str">
        <f t="shared" si="9"/>
        <v>14.3Eng</v>
      </c>
      <c r="D259" s="10" t="s">
        <v>214</v>
      </c>
      <c r="E259" s="14" t="s">
        <v>4</v>
      </c>
      <c r="F259" s="19" t="str">
        <f t="shared" si="10"/>
        <v>https://docs.google.com/uc?export=download&amp;id=1ItkhO4xFy0KWIxj60lwVbzBo5VizlHzC</v>
      </c>
      <c r="G259" s="22" t="str">
        <f t="shared" si="11"/>
        <v>1ItkhO4xFy0KWIxj60lwVbzBo5VizlHzC</v>
      </c>
      <c r="H259" s="20" t="s">
        <v>634</v>
      </c>
    </row>
    <row r="260" spans="1:8" hidden="1" x14ac:dyDescent="0.25">
      <c r="B260" s="14" t="s">
        <v>508</v>
      </c>
      <c r="C260" s="13" t="str">
        <f t="shared" si="9"/>
        <v>14.3Phon</v>
      </c>
      <c r="D260" s="10" t="s">
        <v>379</v>
      </c>
      <c r="E260" s="14" t="s">
        <v>5</v>
      </c>
      <c r="F260" s="19" t="str">
        <f t="shared" si="10"/>
        <v/>
      </c>
      <c r="G260" s="22" t="str">
        <f t="shared" si="11"/>
        <v/>
      </c>
    </row>
    <row r="261" spans="1:8" hidden="1" x14ac:dyDescent="0.25">
      <c r="B261" s="14" t="s">
        <v>509</v>
      </c>
      <c r="C261" s="13" t="str">
        <f t="shared" ref="C261:C324" si="12">B261&amp;E261</f>
        <v>14.4Viet</v>
      </c>
      <c r="D261" s="10" t="s">
        <v>215</v>
      </c>
      <c r="E261" s="14" t="s">
        <v>3</v>
      </c>
      <c r="F261" s="19" t="str">
        <f t="shared" ref="F261:F324" si="13">IF(G261="","","https://docs.google.com/uc?export=download&amp;id="&amp;G261)</f>
        <v/>
      </c>
      <c r="G261" s="22" t="str">
        <f t="shared" ref="G261:G324" si="14">IFERROR(LEFT(RIGHT(H261,LEN(H261)-32),LEN(RIGHT(H261,LEN(H261)-32))-17),"")</f>
        <v/>
      </c>
    </row>
    <row r="262" spans="1:8" x14ac:dyDescent="0.25">
      <c r="A262" s="14">
        <v>82</v>
      </c>
      <c r="B262" s="14" t="s">
        <v>509</v>
      </c>
      <c r="C262" s="13" t="str">
        <f t="shared" si="12"/>
        <v>14.4Eng</v>
      </c>
      <c r="D262" s="10" t="s">
        <v>216</v>
      </c>
      <c r="E262" s="14" t="s">
        <v>4</v>
      </c>
      <c r="F262" s="19" t="str">
        <f t="shared" si="13"/>
        <v>https://docs.google.com/uc?export=download&amp;id=1YW8qMrrIR2t77tSc7K_4csKNp2mTl-VR</v>
      </c>
      <c r="G262" s="22" t="str">
        <f t="shared" si="14"/>
        <v>1YW8qMrrIR2t77tSc7K_4csKNp2mTl-VR</v>
      </c>
      <c r="H262" s="20" t="s">
        <v>635</v>
      </c>
    </row>
    <row r="263" spans="1:8" hidden="1" x14ac:dyDescent="0.25">
      <c r="B263" s="14" t="s">
        <v>509</v>
      </c>
      <c r="C263" s="13" t="str">
        <f t="shared" si="12"/>
        <v>14.4Phon</v>
      </c>
      <c r="D263" s="10" t="s">
        <v>380</v>
      </c>
      <c r="E263" s="14" t="s">
        <v>5</v>
      </c>
      <c r="F263" s="19" t="str">
        <f t="shared" si="13"/>
        <v/>
      </c>
      <c r="G263" s="22" t="str">
        <f t="shared" si="14"/>
        <v/>
      </c>
    </row>
    <row r="264" spans="1:8" hidden="1" x14ac:dyDescent="0.25">
      <c r="B264" s="14" t="s">
        <v>510</v>
      </c>
      <c r="C264" s="13" t="str">
        <f t="shared" si="12"/>
        <v>14.5Viet</v>
      </c>
      <c r="D264" s="10" t="s">
        <v>217</v>
      </c>
      <c r="E264" s="14" t="s">
        <v>3</v>
      </c>
      <c r="F264" s="19" t="str">
        <f t="shared" si="13"/>
        <v/>
      </c>
      <c r="G264" s="22" t="str">
        <f t="shared" si="14"/>
        <v/>
      </c>
    </row>
    <row r="265" spans="1:8" x14ac:dyDescent="0.25">
      <c r="A265" s="14">
        <v>83</v>
      </c>
      <c r="B265" s="14" t="s">
        <v>510</v>
      </c>
      <c r="C265" s="13" t="str">
        <f t="shared" si="12"/>
        <v>14.5Eng</v>
      </c>
      <c r="D265" s="10" t="s">
        <v>218</v>
      </c>
      <c r="E265" s="14" t="s">
        <v>4</v>
      </c>
      <c r="F265" s="19" t="str">
        <f t="shared" si="13"/>
        <v>https://docs.google.com/uc?export=download&amp;id=1xuiRBoo9X0MTxdbIRAnu8qaN445aOlhj</v>
      </c>
      <c r="G265" s="22" t="str">
        <f t="shared" si="14"/>
        <v>1xuiRBoo9X0MTxdbIRAnu8qaN445aOlhj</v>
      </c>
      <c r="H265" s="20" t="s">
        <v>636</v>
      </c>
    </row>
    <row r="266" spans="1:8" hidden="1" x14ac:dyDescent="0.25">
      <c r="B266" s="14" t="s">
        <v>510</v>
      </c>
      <c r="C266" s="13" t="str">
        <f t="shared" si="12"/>
        <v>14.5Phon</v>
      </c>
      <c r="D266" s="10" t="s">
        <v>381</v>
      </c>
      <c r="E266" s="14" t="s">
        <v>5</v>
      </c>
      <c r="F266" s="19" t="str">
        <f t="shared" si="13"/>
        <v/>
      </c>
      <c r="G266" s="22" t="str">
        <f t="shared" si="14"/>
        <v/>
      </c>
    </row>
    <row r="267" spans="1:8" hidden="1" x14ac:dyDescent="0.25">
      <c r="B267" s="14" t="s">
        <v>511</v>
      </c>
      <c r="C267" s="13" t="str">
        <f t="shared" si="12"/>
        <v>14.6Viet</v>
      </c>
      <c r="D267" s="10" t="s">
        <v>219</v>
      </c>
      <c r="E267" s="14" t="s">
        <v>3</v>
      </c>
      <c r="F267" s="19" t="str">
        <f t="shared" si="13"/>
        <v/>
      </c>
      <c r="G267" s="22" t="str">
        <f t="shared" si="14"/>
        <v/>
      </c>
    </row>
    <row r="268" spans="1:8" x14ac:dyDescent="0.25">
      <c r="A268" s="14">
        <v>84</v>
      </c>
      <c r="B268" s="14" t="s">
        <v>511</v>
      </c>
      <c r="C268" s="13" t="str">
        <f t="shared" si="12"/>
        <v>14.6Eng</v>
      </c>
      <c r="D268" s="10" t="s">
        <v>220</v>
      </c>
      <c r="E268" s="14" t="s">
        <v>4</v>
      </c>
      <c r="F268" s="19" t="str">
        <f t="shared" si="13"/>
        <v>https://docs.google.com/uc?export=download&amp;id=1qCaJDOZD5egkYAbTk8XzFRmsu2YIzEM2</v>
      </c>
      <c r="G268" s="22" t="str">
        <f t="shared" si="14"/>
        <v>1qCaJDOZD5egkYAbTk8XzFRmsu2YIzEM2</v>
      </c>
      <c r="H268" s="20" t="s">
        <v>637</v>
      </c>
    </row>
    <row r="269" spans="1:8" hidden="1" x14ac:dyDescent="0.25">
      <c r="B269" s="14" t="s">
        <v>511</v>
      </c>
      <c r="C269" s="13" t="str">
        <f t="shared" si="12"/>
        <v>14.6Phon</v>
      </c>
      <c r="D269" s="10" t="s">
        <v>382</v>
      </c>
      <c r="E269" s="14" t="s">
        <v>5</v>
      </c>
      <c r="F269" s="19" t="str">
        <f t="shared" si="13"/>
        <v/>
      </c>
      <c r="G269" s="22" t="str">
        <f t="shared" si="14"/>
        <v/>
      </c>
    </row>
    <row r="270" spans="1:8" hidden="1" x14ac:dyDescent="0.25">
      <c r="B270" s="14" t="s">
        <v>512</v>
      </c>
      <c r="C270" s="13" t="str">
        <f t="shared" si="12"/>
        <v>14.7Viet</v>
      </c>
      <c r="D270" s="10" t="s">
        <v>221</v>
      </c>
      <c r="E270" s="14" t="s">
        <v>3</v>
      </c>
      <c r="F270" s="19" t="str">
        <f t="shared" si="13"/>
        <v/>
      </c>
      <c r="G270" s="22" t="str">
        <f t="shared" si="14"/>
        <v/>
      </c>
    </row>
    <row r="271" spans="1:8" x14ac:dyDescent="0.25">
      <c r="A271" s="14">
        <v>85</v>
      </c>
      <c r="B271" s="14" t="s">
        <v>512</v>
      </c>
      <c r="C271" s="13" t="str">
        <f t="shared" si="12"/>
        <v>14.7Eng</v>
      </c>
      <c r="D271" s="10" t="s">
        <v>222</v>
      </c>
      <c r="E271" s="14" t="s">
        <v>4</v>
      </c>
      <c r="F271" s="19" t="str">
        <f t="shared" si="13"/>
        <v>https://docs.google.com/uc?export=download&amp;id=1R3qyC03mH5-GQhgo5Nskr-bA2yu_Mb5O</v>
      </c>
      <c r="G271" s="22" t="str">
        <f t="shared" si="14"/>
        <v>1R3qyC03mH5-GQhgo5Nskr-bA2yu_Mb5O</v>
      </c>
      <c r="H271" s="20" t="s">
        <v>638</v>
      </c>
    </row>
    <row r="272" spans="1:8" hidden="1" x14ac:dyDescent="0.25">
      <c r="B272" s="14" t="s">
        <v>512</v>
      </c>
      <c r="C272" s="13" t="str">
        <f t="shared" si="12"/>
        <v>14.7Phon</v>
      </c>
      <c r="D272" s="10" t="s">
        <v>383</v>
      </c>
      <c r="E272" s="14" t="s">
        <v>5</v>
      </c>
      <c r="F272" s="19" t="str">
        <f t="shared" si="13"/>
        <v/>
      </c>
      <c r="G272" s="22" t="str">
        <f t="shared" si="14"/>
        <v/>
      </c>
    </row>
    <row r="273" spans="1:8" hidden="1" x14ac:dyDescent="0.25">
      <c r="B273" s="14" t="s">
        <v>513</v>
      </c>
      <c r="C273" s="13" t="str">
        <f t="shared" si="12"/>
        <v>14.8Viet</v>
      </c>
      <c r="D273" s="10" t="s">
        <v>223</v>
      </c>
      <c r="E273" s="14" t="s">
        <v>3</v>
      </c>
      <c r="F273" s="19" t="str">
        <f t="shared" si="13"/>
        <v/>
      </c>
      <c r="G273" s="22" t="str">
        <f t="shared" si="14"/>
        <v/>
      </c>
    </row>
    <row r="274" spans="1:8" x14ac:dyDescent="0.25">
      <c r="A274" s="14">
        <v>86</v>
      </c>
      <c r="B274" s="14" t="s">
        <v>513</v>
      </c>
      <c r="C274" s="13" t="str">
        <f t="shared" si="12"/>
        <v>14.8Eng</v>
      </c>
      <c r="D274" s="10" t="s">
        <v>224</v>
      </c>
      <c r="E274" s="14" t="s">
        <v>4</v>
      </c>
      <c r="F274" s="19" t="str">
        <f t="shared" si="13"/>
        <v>https://docs.google.com/uc?export=download&amp;id=1l2o_Wbq6qHcKoLMhDNQKZa899IkbeDry</v>
      </c>
      <c r="G274" s="22" t="str">
        <f t="shared" si="14"/>
        <v>1l2o_Wbq6qHcKoLMhDNQKZa899IkbeDry</v>
      </c>
      <c r="H274" s="20" t="s">
        <v>639</v>
      </c>
    </row>
    <row r="275" spans="1:8" hidden="1" x14ac:dyDescent="0.25">
      <c r="B275" s="14" t="s">
        <v>513</v>
      </c>
      <c r="C275" s="13" t="str">
        <f t="shared" si="12"/>
        <v>14.8Phon</v>
      </c>
      <c r="D275" s="10" t="s">
        <v>384</v>
      </c>
      <c r="E275" s="14" t="s">
        <v>5</v>
      </c>
      <c r="F275" s="19" t="str">
        <f t="shared" si="13"/>
        <v/>
      </c>
      <c r="G275" s="22" t="str">
        <f t="shared" si="14"/>
        <v/>
      </c>
    </row>
    <row r="276" spans="1:8" hidden="1" x14ac:dyDescent="0.25">
      <c r="B276" s="14" t="s">
        <v>457</v>
      </c>
      <c r="C276" s="13" t="str">
        <f t="shared" si="12"/>
        <v>15Struc</v>
      </c>
      <c r="D276" s="10" t="s">
        <v>436</v>
      </c>
      <c r="E276" s="14" t="s">
        <v>11</v>
      </c>
      <c r="F276" s="19" t="str">
        <f t="shared" si="13"/>
        <v/>
      </c>
      <c r="G276" s="22" t="str">
        <f t="shared" si="14"/>
        <v/>
      </c>
    </row>
    <row r="277" spans="1:8" hidden="1" x14ac:dyDescent="0.25">
      <c r="B277" s="14" t="s">
        <v>514</v>
      </c>
      <c r="C277" s="13" t="str">
        <f t="shared" si="12"/>
        <v>15.1Viet</v>
      </c>
      <c r="D277" s="10" t="s">
        <v>225</v>
      </c>
      <c r="E277" s="14" t="s">
        <v>3</v>
      </c>
      <c r="F277" s="19" t="str">
        <f t="shared" si="13"/>
        <v/>
      </c>
      <c r="G277" s="22" t="str">
        <f t="shared" si="14"/>
        <v/>
      </c>
    </row>
    <row r="278" spans="1:8" x14ac:dyDescent="0.25">
      <c r="A278" s="14">
        <v>87</v>
      </c>
      <c r="B278" s="14" t="s">
        <v>514</v>
      </c>
      <c r="C278" s="13" t="str">
        <f t="shared" si="12"/>
        <v>15.1Eng</v>
      </c>
      <c r="D278" s="10" t="s">
        <v>226</v>
      </c>
      <c r="E278" s="14" t="s">
        <v>4</v>
      </c>
      <c r="F278" s="19" t="str">
        <f t="shared" si="13"/>
        <v>https://docs.google.com/uc?export=download&amp;id=1v5DZVQNIEgTFd2d7EFLLoTBzTgsbslKv</v>
      </c>
      <c r="G278" s="22" t="str">
        <f t="shared" si="14"/>
        <v>1v5DZVQNIEgTFd2d7EFLLoTBzTgsbslKv</v>
      </c>
      <c r="H278" s="20" t="s">
        <v>640</v>
      </c>
    </row>
    <row r="279" spans="1:8" hidden="1" x14ac:dyDescent="0.25">
      <c r="B279" s="14" t="s">
        <v>514</v>
      </c>
      <c r="C279" s="13" t="str">
        <f t="shared" si="12"/>
        <v>15.1Phon</v>
      </c>
      <c r="D279" s="10" t="s">
        <v>385</v>
      </c>
      <c r="E279" s="14" t="s">
        <v>5</v>
      </c>
      <c r="F279" s="19" t="str">
        <f t="shared" si="13"/>
        <v/>
      </c>
      <c r="G279" s="22" t="str">
        <f t="shared" si="14"/>
        <v/>
      </c>
    </row>
    <row r="280" spans="1:8" hidden="1" x14ac:dyDescent="0.25">
      <c r="B280" s="14" t="s">
        <v>515</v>
      </c>
      <c r="C280" s="13" t="str">
        <f t="shared" si="12"/>
        <v>15.2Viet</v>
      </c>
      <c r="D280" s="10" t="s">
        <v>227</v>
      </c>
      <c r="E280" s="14" t="s">
        <v>3</v>
      </c>
      <c r="F280" s="19" t="str">
        <f t="shared" si="13"/>
        <v/>
      </c>
      <c r="G280" s="22" t="str">
        <f t="shared" si="14"/>
        <v/>
      </c>
    </row>
    <row r="281" spans="1:8" x14ac:dyDescent="0.25">
      <c r="A281" s="14">
        <v>88</v>
      </c>
      <c r="B281" s="14" t="s">
        <v>515</v>
      </c>
      <c r="C281" s="13" t="str">
        <f t="shared" si="12"/>
        <v>15.2Eng</v>
      </c>
      <c r="D281" s="10" t="s">
        <v>228</v>
      </c>
      <c r="E281" s="14" t="s">
        <v>4</v>
      </c>
      <c r="F281" s="19" t="str">
        <f t="shared" si="13"/>
        <v>https://docs.google.com/uc?export=download&amp;id=19eUqIBc-kqHemdKsrhP20afoCogbDJ_6</v>
      </c>
      <c r="G281" s="22" t="str">
        <f t="shared" si="14"/>
        <v>19eUqIBc-kqHemdKsrhP20afoCogbDJ_6</v>
      </c>
      <c r="H281" s="20" t="s">
        <v>641</v>
      </c>
    </row>
    <row r="282" spans="1:8" hidden="1" x14ac:dyDescent="0.25">
      <c r="B282" s="14" t="s">
        <v>515</v>
      </c>
      <c r="C282" s="13" t="str">
        <f t="shared" si="12"/>
        <v>15.2Phon</v>
      </c>
      <c r="D282" s="10" t="s">
        <v>386</v>
      </c>
      <c r="E282" s="14" t="s">
        <v>5</v>
      </c>
      <c r="F282" s="19" t="str">
        <f t="shared" si="13"/>
        <v/>
      </c>
      <c r="G282" s="22" t="str">
        <f t="shared" si="14"/>
        <v/>
      </c>
    </row>
    <row r="283" spans="1:8" hidden="1" x14ac:dyDescent="0.25">
      <c r="B283" s="14" t="s">
        <v>516</v>
      </c>
      <c r="C283" s="13" t="str">
        <f t="shared" si="12"/>
        <v>15.3Viet</v>
      </c>
      <c r="D283" s="10" t="s">
        <v>229</v>
      </c>
      <c r="E283" s="14" t="s">
        <v>3</v>
      </c>
      <c r="F283" s="19" t="str">
        <f t="shared" si="13"/>
        <v/>
      </c>
      <c r="G283" s="22" t="str">
        <f t="shared" si="14"/>
        <v/>
      </c>
    </row>
    <row r="284" spans="1:8" x14ac:dyDescent="0.25">
      <c r="A284" s="14">
        <v>89</v>
      </c>
      <c r="B284" s="14" t="s">
        <v>516</v>
      </c>
      <c r="C284" s="13" t="str">
        <f t="shared" si="12"/>
        <v>15.3Eng</v>
      </c>
      <c r="D284" s="10" t="s">
        <v>230</v>
      </c>
      <c r="E284" s="14" t="s">
        <v>4</v>
      </c>
      <c r="F284" s="19" t="str">
        <f t="shared" si="13"/>
        <v>https://docs.google.com/uc?export=download&amp;id=1d20b_CDTDEd8MMSEPrgm_VqrkehXxyME</v>
      </c>
      <c r="G284" s="22" t="str">
        <f t="shared" si="14"/>
        <v>1d20b_CDTDEd8MMSEPrgm_VqrkehXxyME</v>
      </c>
      <c r="H284" s="20" t="s">
        <v>642</v>
      </c>
    </row>
    <row r="285" spans="1:8" hidden="1" x14ac:dyDescent="0.25">
      <c r="B285" s="14" t="s">
        <v>516</v>
      </c>
      <c r="C285" s="13" t="str">
        <f t="shared" si="12"/>
        <v>15.3Phon</v>
      </c>
      <c r="D285" s="10" t="s">
        <v>387</v>
      </c>
      <c r="E285" s="14" t="s">
        <v>5</v>
      </c>
      <c r="F285" s="19" t="str">
        <f t="shared" si="13"/>
        <v/>
      </c>
      <c r="G285" s="22" t="str">
        <f t="shared" si="14"/>
        <v/>
      </c>
    </row>
    <row r="286" spans="1:8" hidden="1" x14ac:dyDescent="0.25">
      <c r="B286" s="14" t="s">
        <v>517</v>
      </c>
      <c r="C286" s="13" t="str">
        <f t="shared" si="12"/>
        <v>15.4Viet</v>
      </c>
      <c r="D286" s="10" t="s">
        <v>231</v>
      </c>
      <c r="E286" s="14" t="s">
        <v>3</v>
      </c>
      <c r="F286" s="19" t="str">
        <f t="shared" si="13"/>
        <v/>
      </c>
      <c r="G286" s="22" t="str">
        <f t="shared" si="14"/>
        <v/>
      </c>
    </row>
    <row r="287" spans="1:8" x14ac:dyDescent="0.25">
      <c r="A287" s="14">
        <v>90</v>
      </c>
      <c r="B287" s="14" t="s">
        <v>517</v>
      </c>
      <c r="C287" s="13" t="str">
        <f t="shared" si="12"/>
        <v>15.4Eng</v>
      </c>
      <c r="D287" s="10" t="s">
        <v>232</v>
      </c>
      <c r="E287" s="14" t="s">
        <v>4</v>
      </c>
      <c r="F287" s="19" t="str">
        <f t="shared" si="13"/>
        <v>https://docs.google.com/uc?export=download&amp;id=1cEHH563J4oXRE3c6nRHObKy64hNTmSYT</v>
      </c>
      <c r="G287" s="22" t="str">
        <f t="shared" si="14"/>
        <v>1cEHH563J4oXRE3c6nRHObKy64hNTmSYT</v>
      </c>
      <c r="H287" s="20" t="s">
        <v>643</v>
      </c>
    </row>
    <row r="288" spans="1:8" hidden="1" x14ac:dyDescent="0.25">
      <c r="B288" s="14" t="s">
        <v>517</v>
      </c>
      <c r="C288" s="13" t="str">
        <f t="shared" si="12"/>
        <v>15.4Phon</v>
      </c>
      <c r="D288" s="10" t="s">
        <v>388</v>
      </c>
      <c r="E288" s="14" t="s">
        <v>5</v>
      </c>
      <c r="F288" s="19" t="str">
        <f t="shared" si="13"/>
        <v/>
      </c>
      <c r="G288" s="22" t="str">
        <f t="shared" si="14"/>
        <v/>
      </c>
    </row>
    <row r="289" spans="1:8" hidden="1" x14ac:dyDescent="0.25">
      <c r="B289" s="14" t="s">
        <v>518</v>
      </c>
      <c r="C289" s="13" t="str">
        <f t="shared" si="12"/>
        <v>15.5Viet</v>
      </c>
      <c r="D289" s="10" t="s">
        <v>233</v>
      </c>
      <c r="E289" s="14" t="s">
        <v>3</v>
      </c>
      <c r="F289" s="19" t="str">
        <f t="shared" si="13"/>
        <v/>
      </c>
      <c r="G289" s="22" t="str">
        <f t="shared" si="14"/>
        <v/>
      </c>
    </row>
    <row r="290" spans="1:8" x14ac:dyDescent="0.25">
      <c r="A290" s="14">
        <v>91</v>
      </c>
      <c r="B290" s="14" t="s">
        <v>518</v>
      </c>
      <c r="C290" s="13" t="str">
        <f t="shared" si="12"/>
        <v>15.5Eng</v>
      </c>
      <c r="D290" s="10" t="s">
        <v>234</v>
      </c>
      <c r="E290" s="14" t="s">
        <v>4</v>
      </c>
      <c r="F290" s="19" t="str">
        <f t="shared" si="13"/>
        <v>https://docs.google.com/uc?export=download&amp;id=1BJHAspLcZiqOs-Mbr9uPHigdC5APeTAX</v>
      </c>
      <c r="G290" s="22" t="str">
        <f t="shared" si="14"/>
        <v>1BJHAspLcZiqOs-Mbr9uPHigdC5APeTAX</v>
      </c>
      <c r="H290" s="20" t="s">
        <v>644</v>
      </c>
    </row>
    <row r="291" spans="1:8" hidden="1" x14ac:dyDescent="0.25">
      <c r="B291" s="14" t="s">
        <v>518</v>
      </c>
      <c r="C291" s="13" t="str">
        <f t="shared" si="12"/>
        <v>15.5Phon</v>
      </c>
      <c r="D291" s="10" t="s">
        <v>389</v>
      </c>
      <c r="E291" s="14" t="s">
        <v>5</v>
      </c>
      <c r="F291" s="19" t="str">
        <f t="shared" si="13"/>
        <v/>
      </c>
      <c r="G291" s="22" t="str">
        <f t="shared" si="14"/>
        <v/>
      </c>
    </row>
    <row r="292" spans="1:8" hidden="1" x14ac:dyDescent="0.25">
      <c r="B292" s="14" t="s">
        <v>458</v>
      </c>
      <c r="C292" s="13" t="str">
        <f t="shared" si="12"/>
        <v>16Struc</v>
      </c>
      <c r="D292" s="10" t="s">
        <v>437</v>
      </c>
      <c r="E292" s="14" t="s">
        <v>11</v>
      </c>
      <c r="F292" s="19" t="str">
        <f t="shared" si="13"/>
        <v/>
      </c>
      <c r="G292" s="22" t="str">
        <f t="shared" si="14"/>
        <v/>
      </c>
    </row>
    <row r="293" spans="1:8" hidden="1" x14ac:dyDescent="0.25">
      <c r="B293" s="14" t="s">
        <v>519</v>
      </c>
      <c r="C293" s="13" t="str">
        <f t="shared" si="12"/>
        <v>16.1Viet</v>
      </c>
      <c r="D293" s="10" t="s">
        <v>235</v>
      </c>
      <c r="E293" s="14" t="s">
        <v>3</v>
      </c>
      <c r="F293" s="19" t="str">
        <f t="shared" si="13"/>
        <v/>
      </c>
      <c r="G293" s="22" t="str">
        <f t="shared" si="14"/>
        <v/>
      </c>
    </row>
    <row r="294" spans="1:8" x14ac:dyDescent="0.25">
      <c r="A294" s="14">
        <v>92</v>
      </c>
      <c r="B294" s="14" t="s">
        <v>519</v>
      </c>
      <c r="C294" s="13" t="str">
        <f t="shared" si="12"/>
        <v>16.1Eng</v>
      </c>
      <c r="D294" s="10" t="s">
        <v>236</v>
      </c>
      <c r="E294" s="14" t="s">
        <v>4</v>
      </c>
      <c r="F294" s="19" t="str">
        <f t="shared" si="13"/>
        <v>https://docs.google.com/uc?export=download&amp;id=1C5k2WGcsjFtEnEOElRa4lPYPmPBdEU84</v>
      </c>
      <c r="G294" s="22" t="str">
        <f t="shared" si="14"/>
        <v>1C5k2WGcsjFtEnEOElRa4lPYPmPBdEU84</v>
      </c>
      <c r="H294" s="20" t="s">
        <v>645</v>
      </c>
    </row>
    <row r="295" spans="1:8" hidden="1" x14ac:dyDescent="0.25">
      <c r="B295" s="14" t="s">
        <v>519</v>
      </c>
      <c r="C295" s="13" t="str">
        <f t="shared" si="12"/>
        <v>16.1Phon</v>
      </c>
      <c r="D295" s="10" t="s">
        <v>390</v>
      </c>
      <c r="E295" s="14" t="s">
        <v>5</v>
      </c>
      <c r="F295" s="19" t="str">
        <f t="shared" si="13"/>
        <v/>
      </c>
      <c r="G295" s="22" t="str">
        <f t="shared" si="14"/>
        <v/>
      </c>
    </row>
    <row r="296" spans="1:8" hidden="1" x14ac:dyDescent="0.25">
      <c r="B296" s="14" t="s">
        <v>520</v>
      </c>
      <c r="C296" s="13" t="str">
        <f t="shared" si="12"/>
        <v>16.2Viet</v>
      </c>
      <c r="D296" s="10" t="s">
        <v>237</v>
      </c>
      <c r="E296" s="14" t="s">
        <v>3</v>
      </c>
      <c r="F296" s="19" t="str">
        <f t="shared" si="13"/>
        <v/>
      </c>
      <c r="G296" s="22" t="str">
        <f t="shared" si="14"/>
        <v/>
      </c>
    </row>
    <row r="297" spans="1:8" x14ac:dyDescent="0.25">
      <c r="A297" s="14">
        <v>93</v>
      </c>
      <c r="B297" s="14" t="s">
        <v>520</v>
      </c>
      <c r="C297" s="13" t="str">
        <f t="shared" si="12"/>
        <v>16.2Eng</v>
      </c>
      <c r="D297" s="10" t="s">
        <v>238</v>
      </c>
      <c r="E297" s="14" t="s">
        <v>4</v>
      </c>
      <c r="F297" s="19" t="str">
        <f t="shared" si="13"/>
        <v>https://docs.google.com/uc?export=download&amp;id=1pHGp6TfplsURXFqyNtwE4-5_yP2KNokN</v>
      </c>
      <c r="G297" s="22" t="str">
        <f t="shared" si="14"/>
        <v>1pHGp6TfplsURXFqyNtwE4-5_yP2KNokN</v>
      </c>
      <c r="H297" s="20" t="s">
        <v>646</v>
      </c>
    </row>
    <row r="298" spans="1:8" hidden="1" x14ac:dyDescent="0.25">
      <c r="B298" s="14" t="s">
        <v>520</v>
      </c>
      <c r="C298" s="13" t="str">
        <f t="shared" si="12"/>
        <v>16.2Phon</v>
      </c>
      <c r="D298" s="10" t="s">
        <v>391</v>
      </c>
      <c r="E298" s="14" t="s">
        <v>5</v>
      </c>
      <c r="F298" s="19" t="str">
        <f t="shared" si="13"/>
        <v/>
      </c>
      <c r="G298" s="22" t="str">
        <f t="shared" si="14"/>
        <v/>
      </c>
    </row>
    <row r="299" spans="1:8" hidden="1" x14ac:dyDescent="0.25">
      <c r="B299" s="14" t="s">
        <v>521</v>
      </c>
      <c r="C299" s="13" t="str">
        <f t="shared" si="12"/>
        <v>16.3Viet</v>
      </c>
      <c r="D299" s="10" t="s">
        <v>239</v>
      </c>
      <c r="E299" s="14" t="s">
        <v>3</v>
      </c>
      <c r="F299" s="19" t="str">
        <f t="shared" si="13"/>
        <v/>
      </c>
      <c r="G299" s="22" t="str">
        <f t="shared" si="14"/>
        <v/>
      </c>
    </row>
    <row r="300" spans="1:8" x14ac:dyDescent="0.25">
      <c r="A300" s="14">
        <v>94</v>
      </c>
      <c r="B300" s="14" t="s">
        <v>521</v>
      </c>
      <c r="C300" s="13" t="str">
        <f t="shared" si="12"/>
        <v>16.3Eng</v>
      </c>
      <c r="D300" s="10" t="s">
        <v>240</v>
      </c>
      <c r="E300" s="14" t="s">
        <v>4</v>
      </c>
      <c r="F300" s="19" t="str">
        <f t="shared" si="13"/>
        <v>https://docs.google.com/uc?export=download&amp;id=1hJLxVzUli0EO_LTHNX8lL7RrgOn0EHE8</v>
      </c>
      <c r="G300" s="22" t="str">
        <f t="shared" si="14"/>
        <v>1hJLxVzUli0EO_LTHNX8lL7RrgOn0EHE8</v>
      </c>
      <c r="H300" s="20" t="s">
        <v>647</v>
      </c>
    </row>
    <row r="301" spans="1:8" hidden="1" x14ac:dyDescent="0.25">
      <c r="B301" s="14" t="s">
        <v>521</v>
      </c>
      <c r="C301" s="13" t="str">
        <f t="shared" si="12"/>
        <v>16.3Phon</v>
      </c>
      <c r="D301" s="10" t="s">
        <v>392</v>
      </c>
      <c r="E301" s="14" t="s">
        <v>5</v>
      </c>
      <c r="F301" s="19" t="str">
        <f t="shared" si="13"/>
        <v/>
      </c>
      <c r="G301" s="22" t="str">
        <f t="shared" si="14"/>
        <v/>
      </c>
    </row>
    <row r="302" spans="1:8" hidden="1" x14ac:dyDescent="0.25">
      <c r="B302" s="14" t="s">
        <v>522</v>
      </c>
      <c r="C302" s="13" t="str">
        <f t="shared" si="12"/>
        <v>16.4Viet</v>
      </c>
      <c r="D302" s="10" t="s">
        <v>241</v>
      </c>
      <c r="E302" s="14" t="s">
        <v>3</v>
      </c>
      <c r="F302" s="19" t="str">
        <f t="shared" si="13"/>
        <v/>
      </c>
      <c r="G302" s="22" t="str">
        <f t="shared" si="14"/>
        <v/>
      </c>
    </row>
    <row r="303" spans="1:8" x14ac:dyDescent="0.25">
      <c r="A303" s="14">
        <v>95</v>
      </c>
      <c r="B303" s="14" t="s">
        <v>522</v>
      </c>
      <c r="C303" s="13" t="str">
        <f t="shared" si="12"/>
        <v>16.4Eng</v>
      </c>
      <c r="D303" s="10" t="s">
        <v>242</v>
      </c>
      <c r="E303" s="14" t="s">
        <v>4</v>
      </c>
      <c r="F303" s="19" t="str">
        <f t="shared" si="13"/>
        <v>https://docs.google.com/uc?export=download&amp;id=1XypAQxu2-ODWlEYlvn8UusNj5aJjV41G</v>
      </c>
      <c r="G303" s="22" t="str">
        <f t="shared" si="14"/>
        <v>1XypAQxu2-ODWlEYlvn8UusNj5aJjV41G</v>
      </c>
      <c r="H303" s="20" t="s">
        <v>648</v>
      </c>
    </row>
    <row r="304" spans="1:8" hidden="1" x14ac:dyDescent="0.25">
      <c r="B304" s="14" t="s">
        <v>522</v>
      </c>
      <c r="C304" s="13" t="str">
        <f t="shared" si="12"/>
        <v>16.4Phon</v>
      </c>
      <c r="D304" s="10" t="s">
        <v>393</v>
      </c>
      <c r="E304" s="14" t="s">
        <v>5</v>
      </c>
      <c r="F304" s="19" t="str">
        <f t="shared" si="13"/>
        <v/>
      </c>
      <c r="G304" s="22" t="str">
        <f t="shared" si="14"/>
        <v/>
      </c>
    </row>
    <row r="305" spans="1:8" hidden="1" x14ac:dyDescent="0.25">
      <c r="B305" s="14" t="s">
        <v>459</v>
      </c>
      <c r="C305" s="13" t="str">
        <f t="shared" si="12"/>
        <v>17Struc</v>
      </c>
      <c r="D305" s="10" t="s">
        <v>438</v>
      </c>
      <c r="E305" s="14" t="s">
        <v>11</v>
      </c>
      <c r="F305" s="19" t="str">
        <f t="shared" si="13"/>
        <v/>
      </c>
      <c r="G305" s="22" t="str">
        <f t="shared" si="14"/>
        <v/>
      </c>
    </row>
    <row r="306" spans="1:8" hidden="1" x14ac:dyDescent="0.25">
      <c r="B306" s="14" t="s">
        <v>523</v>
      </c>
      <c r="C306" s="13" t="str">
        <f t="shared" si="12"/>
        <v>17.1Viet</v>
      </c>
      <c r="D306" s="10" t="s">
        <v>243</v>
      </c>
      <c r="E306" s="14" t="s">
        <v>3</v>
      </c>
      <c r="F306" s="19" t="str">
        <f t="shared" si="13"/>
        <v/>
      </c>
      <c r="G306" s="22" t="str">
        <f t="shared" si="14"/>
        <v/>
      </c>
    </row>
    <row r="307" spans="1:8" x14ac:dyDescent="0.25">
      <c r="A307" s="14">
        <v>96</v>
      </c>
      <c r="B307" s="14" t="s">
        <v>523</v>
      </c>
      <c r="C307" s="13" t="str">
        <f t="shared" si="12"/>
        <v>17.1Eng</v>
      </c>
      <c r="D307" s="10" t="s">
        <v>244</v>
      </c>
      <c r="E307" s="14" t="s">
        <v>4</v>
      </c>
      <c r="F307" s="19" t="str">
        <f t="shared" si="13"/>
        <v>https://docs.google.com/uc?export=download&amp;id=1-k8a3VL9-hrURAao4BMExu46mcpR6Feg</v>
      </c>
      <c r="G307" s="22" t="str">
        <f t="shared" si="14"/>
        <v>1-k8a3VL9-hrURAao4BMExu46mcpR6Feg</v>
      </c>
      <c r="H307" s="20" t="s">
        <v>649</v>
      </c>
    </row>
    <row r="308" spans="1:8" hidden="1" x14ac:dyDescent="0.25">
      <c r="B308" s="14" t="s">
        <v>523</v>
      </c>
      <c r="C308" s="13" t="str">
        <f t="shared" si="12"/>
        <v>17.1Phon</v>
      </c>
      <c r="D308" s="10" t="s">
        <v>394</v>
      </c>
      <c r="E308" s="14" t="s">
        <v>5</v>
      </c>
      <c r="F308" s="19" t="str">
        <f t="shared" si="13"/>
        <v/>
      </c>
      <c r="G308" s="22" t="str">
        <f t="shared" si="14"/>
        <v/>
      </c>
    </row>
    <row r="309" spans="1:8" hidden="1" x14ac:dyDescent="0.25">
      <c r="B309" s="14" t="s">
        <v>524</v>
      </c>
      <c r="C309" s="13" t="str">
        <f t="shared" si="12"/>
        <v>17.2Viet</v>
      </c>
      <c r="D309" s="10" t="s">
        <v>245</v>
      </c>
      <c r="E309" s="14" t="s">
        <v>3</v>
      </c>
      <c r="F309" s="19" t="str">
        <f t="shared" si="13"/>
        <v/>
      </c>
      <c r="G309" s="22" t="str">
        <f t="shared" si="14"/>
        <v/>
      </c>
    </row>
    <row r="310" spans="1:8" x14ac:dyDescent="0.25">
      <c r="A310" s="14">
        <v>97</v>
      </c>
      <c r="B310" s="14" t="s">
        <v>524</v>
      </c>
      <c r="C310" s="13" t="str">
        <f t="shared" si="12"/>
        <v>17.2Eng</v>
      </c>
      <c r="D310" s="10" t="s">
        <v>246</v>
      </c>
      <c r="E310" s="14" t="s">
        <v>4</v>
      </c>
      <c r="F310" s="19" t="str">
        <f t="shared" si="13"/>
        <v>https://docs.google.com/uc?export=download&amp;id=1rXGH_Fy2d2_Ejz87wnW-A5fAMP4h8Zd8</v>
      </c>
      <c r="G310" s="22" t="str">
        <f t="shared" si="14"/>
        <v>1rXGH_Fy2d2_Ejz87wnW-A5fAMP4h8Zd8</v>
      </c>
      <c r="H310" s="20" t="s">
        <v>650</v>
      </c>
    </row>
    <row r="311" spans="1:8" hidden="1" x14ac:dyDescent="0.25">
      <c r="B311" s="14" t="s">
        <v>524</v>
      </c>
      <c r="C311" s="13" t="str">
        <f t="shared" si="12"/>
        <v>17.2Phon</v>
      </c>
      <c r="D311" s="10" t="s">
        <v>395</v>
      </c>
      <c r="E311" s="14" t="s">
        <v>5</v>
      </c>
      <c r="F311" s="19" t="str">
        <f t="shared" si="13"/>
        <v/>
      </c>
      <c r="G311" s="22" t="str">
        <f t="shared" si="14"/>
        <v/>
      </c>
    </row>
    <row r="312" spans="1:8" hidden="1" x14ac:dyDescent="0.25">
      <c r="B312" s="14" t="s">
        <v>525</v>
      </c>
      <c r="C312" s="13" t="str">
        <f t="shared" si="12"/>
        <v>17.3Viet</v>
      </c>
      <c r="D312" s="10" t="s">
        <v>247</v>
      </c>
      <c r="E312" s="14" t="s">
        <v>3</v>
      </c>
      <c r="F312" s="19" t="str">
        <f t="shared" si="13"/>
        <v/>
      </c>
      <c r="G312" s="22" t="str">
        <f t="shared" si="14"/>
        <v/>
      </c>
    </row>
    <row r="313" spans="1:8" x14ac:dyDescent="0.25">
      <c r="A313" s="14">
        <v>98</v>
      </c>
      <c r="B313" s="14" t="s">
        <v>525</v>
      </c>
      <c r="C313" s="13" t="str">
        <f t="shared" si="12"/>
        <v>17.3Eng</v>
      </c>
      <c r="D313" s="10" t="s">
        <v>248</v>
      </c>
      <c r="E313" s="14" t="s">
        <v>4</v>
      </c>
      <c r="F313" s="19" t="str">
        <f t="shared" si="13"/>
        <v>https://docs.google.com/uc?export=download&amp;id=1PAr9Lwif7NLQCx-mgPbXC5X7MwNBkVlP</v>
      </c>
      <c r="G313" s="22" t="str">
        <f t="shared" si="14"/>
        <v>1PAr9Lwif7NLQCx-mgPbXC5X7MwNBkVlP</v>
      </c>
      <c r="H313" s="20" t="s">
        <v>651</v>
      </c>
    </row>
    <row r="314" spans="1:8" hidden="1" x14ac:dyDescent="0.25">
      <c r="B314" s="14" t="s">
        <v>525</v>
      </c>
      <c r="C314" s="13" t="str">
        <f t="shared" si="12"/>
        <v>17.3Phon</v>
      </c>
      <c r="D314" s="10" t="s">
        <v>396</v>
      </c>
      <c r="E314" s="14" t="s">
        <v>5</v>
      </c>
      <c r="F314" s="19" t="str">
        <f t="shared" si="13"/>
        <v/>
      </c>
      <c r="G314" s="22" t="str">
        <f t="shared" si="14"/>
        <v/>
      </c>
    </row>
    <row r="315" spans="1:8" hidden="1" x14ac:dyDescent="0.25">
      <c r="B315" s="14" t="s">
        <v>526</v>
      </c>
      <c r="C315" s="13" t="str">
        <f t="shared" si="12"/>
        <v>17.4Viet</v>
      </c>
      <c r="D315" s="10" t="s">
        <v>249</v>
      </c>
      <c r="E315" s="14" t="s">
        <v>3</v>
      </c>
      <c r="F315" s="19" t="str">
        <f t="shared" si="13"/>
        <v/>
      </c>
      <c r="G315" s="22" t="str">
        <f t="shared" si="14"/>
        <v/>
      </c>
    </row>
    <row r="316" spans="1:8" x14ac:dyDescent="0.25">
      <c r="A316" s="14">
        <v>99</v>
      </c>
      <c r="B316" s="14" t="s">
        <v>526</v>
      </c>
      <c r="C316" s="13" t="str">
        <f t="shared" si="12"/>
        <v>17.4Eng</v>
      </c>
      <c r="D316" s="10" t="s">
        <v>250</v>
      </c>
      <c r="E316" s="14" t="s">
        <v>4</v>
      </c>
      <c r="F316" s="19" t="str">
        <f t="shared" si="13"/>
        <v>https://docs.google.com/uc?export=download&amp;id=1eVqDh5xowlZK6nbtklt5AKhJaMfERi6Q</v>
      </c>
      <c r="G316" s="22" t="str">
        <f t="shared" si="14"/>
        <v>1eVqDh5xowlZK6nbtklt5AKhJaMfERi6Q</v>
      </c>
      <c r="H316" s="20" t="s">
        <v>652</v>
      </c>
    </row>
    <row r="317" spans="1:8" hidden="1" x14ac:dyDescent="0.25">
      <c r="B317" s="14" t="s">
        <v>526</v>
      </c>
      <c r="C317" s="13" t="str">
        <f t="shared" si="12"/>
        <v>17.4Phon</v>
      </c>
      <c r="D317" s="10" t="s">
        <v>397</v>
      </c>
      <c r="E317" s="14" t="s">
        <v>5</v>
      </c>
      <c r="F317" s="19" t="str">
        <f t="shared" si="13"/>
        <v/>
      </c>
      <c r="G317" s="22" t="str">
        <f t="shared" si="14"/>
        <v/>
      </c>
    </row>
    <row r="318" spans="1:8" hidden="1" x14ac:dyDescent="0.25">
      <c r="B318" s="14" t="s">
        <v>527</v>
      </c>
      <c r="C318" s="13" t="str">
        <f t="shared" si="12"/>
        <v>17.5Viet</v>
      </c>
      <c r="D318" s="10" t="s">
        <v>251</v>
      </c>
      <c r="E318" s="14" t="s">
        <v>3</v>
      </c>
      <c r="F318" s="19" t="str">
        <f t="shared" si="13"/>
        <v/>
      </c>
      <c r="G318" s="22" t="str">
        <f t="shared" si="14"/>
        <v/>
      </c>
    </row>
    <row r="319" spans="1:8" x14ac:dyDescent="0.25">
      <c r="A319" s="14">
        <v>100</v>
      </c>
      <c r="B319" s="14" t="s">
        <v>527</v>
      </c>
      <c r="C319" s="13" t="str">
        <f t="shared" si="12"/>
        <v>17.5Eng</v>
      </c>
      <c r="D319" s="10" t="s">
        <v>252</v>
      </c>
      <c r="E319" s="14" t="s">
        <v>4</v>
      </c>
      <c r="F319" s="19" t="str">
        <f t="shared" si="13"/>
        <v>https://docs.google.com/uc?export=download&amp;id=1bTlQrFq0_aVJCieakWi4l5Qj9o8ifjr5</v>
      </c>
      <c r="G319" s="22" t="str">
        <f t="shared" si="14"/>
        <v>1bTlQrFq0_aVJCieakWi4l5Qj9o8ifjr5</v>
      </c>
      <c r="H319" s="20" t="s">
        <v>653</v>
      </c>
    </row>
    <row r="320" spans="1:8" hidden="1" x14ac:dyDescent="0.25">
      <c r="B320" s="14" t="s">
        <v>527</v>
      </c>
      <c r="C320" s="13" t="str">
        <f t="shared" si="12"/>
        <v>17.5Phon</v>
      </c>
      <c r="D320" s="10" t="s">
        <v>398</v>
      </c>
      <c r="E320" s="14" t="s">
        <v>5</v>
      </c>
      <c r="F320" s="19" t="str">
        <f t="shared" si="13"/>
        <v/>
      </c>
      <c r="G320" s="22" t="str">
        <f t="shared" si="14"/>
        <v/>
      </c>
    </row>
    <row r="321" spans="1:8" hidden="1" x14ac:dyDescent="0.25">
      <c r="B321" s="14" t="s">
        <v>460</v>
      </c>
      <c r="C321" s="13" t="str">
        <f t="shared" si="12"/>
        <v>18Struc</v>
      </c>
      <c r="D321" s="10" t="s">
        <v>439</v>
      </c>
      <c r="E321" s="14" t="s">
        <v>11</v>
      </c>
      <c r="F321" s="19" t="str">
        <f t="shared" si="13"/>
        <v/>
      </c>
      <c r="G321" s="22" t="str">
        <f t="shared" si="14"/>
        <v/>
      </c>
    </row>
    <row r="322" spans="1:8" hidden="1" x14ac:dyDescent="0.25">
      <c r="B322" s="14" t="s">
        <v>528</v>
      </c>
      <c r="C322" s="13" t="str">
        <f t="shared" si="12"/>
        <v>18.1Viet</v>
      </c>
      <c r="D322" s="10" t="s">
        <v>253</v>
      </c>
      <c r="E322" s="14" t="s">
        <v>3</v>
      </c>
      <c r="F322" s="19" t="str">
        <f t="shared" si="13"/>
        <v/>
      </c>
      <c r="G322" s="22" t="str">
        <f t="shared" si="14"/>
        <v/>
      </c>
    </row>
    <row r="323" spans="1:8" x14ac:dyDescent="0.25">
      <c r="A323" s="14">
        <v>101</v>
      </c>
      <c r="B323" s="14" t="s">
        <v>528</v>
      </c>
      <c r="C323" s="13" t="str">
        <f t="shared" si="12"/>
        <v>18.1Eng</v>
      </c>
      <c r="D323" s="10" t="s">
        <v>254</v>
      </c>
      <c r="E323" s="14" t="s">
        <v>4</v>
      </c>
      <c r="F323" s="19" t="str">
        <f t="shared" si="13"/>
        <v>https://docs.google.com/uc?export=download&amp;id=1Dp3o-u_3e3BIYPxGQ_9T4-105M6G245W</v>
      </c>
      <c r="G323" s="22" t="str">
        <f t="shared" si="14"/>
        <v>1Dp3o-u_3e3BIYPxGQ_9T4-105M6G245W</v>
      </c>
      <c r="H323" s="20" t="s">
        <v>654</v>
      </c>
    </row>
    <row r="324" spans="1:8" hidden="1" x14ac:dyDescent="0.25">
      <c r="B324" s="14" t="s">
        <v>528</v>
      </c>
      <c r="C324" s="13" t="str">
        <f t="shared" si="12"/>
        <v>18.1Phon</v>
      </c>
      <c r="D324" s="10" t="s">
        <v>399</v>
      </c>
      <c r="E324" s="14" t="s">
        <v>5</v>
      </c>
      <c r="F324" s="19" t="str">
        <f t="shared" si="13"/>
        <v/>
      </c>
      <c r="G324" s="22" t="str">
        <f t="shared" si="14"/>
        <v/>
      </c>
    </row>
    <row r="325" spans="1:8" hidden="1" x14ac:dyDescent="0.25">
      <c r="B325" s="14" t="s">
        <v>529</v>
      </c>
      <c r="C325" s="13" t="str">
        <f t="shared" ref="C325:C388" si="15">B325&amp;E325</f>
        <v>18.2Viet</v>
      </c>
      <c r="D325" s="10" t="s">
        <v>255</v>
      </c>
      <c r="E325" s="14" t="s">
        <v>3</v>
      </c>
      <c r="F325" s="19" t="str">
        <f t="shared" ref="F325:F388" si="16">IF(G325="","","https://docs.google.com/uc?export=download&amp;id="&amp;G325)</f>
        <v/>
      </c>
      <c r="G325" s="22" t="str">
        <f t="shared" ref="G325:G388" si="17">IFERROR(LEFT(RIGHT(H325,LEN(H325)-32),LEN(RIGHT(H325,LEN(H325)-32))-17),"")</f>
        <v/>
      </c>
    </row>
    <row r="326" spans="1:8" x14ac:dyDescent="0.25">
      <c r="A326" s="14">
        <v>102</v>
      </c>
      <c r="B326" s="14" t="s">
        <v>529</v>
      </c>
      <c r="C326" s="13" t="str">
        <f t="shared" si="15"/>
        <v>18.2Eng</v>
      </c>
      <c r="D326" s="10" t="s">
        <v>256</v>
      </c>
      <c r="E326" s="14" t="s">
        <v>4</v>
      </c>
      <c r="F326" s="19" t="str">
        <f t="shared" si="16"/>
        <v>https://docs.google.com/uc?export=download&amp;id=1sei89vlHR8jdY7Q4mbkupkPXtrSQYe2T</v>
      </c>
      <c r="G326" s="22" t="str">
        <f t="shared" si="17"/>
        <v>1sei89vlHR8jdY7Q4mbkupkPXtrSQYe2T</v>
      </c>
      <c r="H326" s="20" t="s">
        <v>655</v>
      </c>
    </row>
    <row r="327" spans="1:8" hidden="1" x14ac:dyDescent="0.25">
      <c r="B327" s="14" t="s">
        <v>529</v>
      </c>
      <c r="C327" s="13" t="str">
        <f t="shared" si="15"/>
        <v>18.2Phon</v>
      </c>
      <c r="D327" s="10" t="s">
        <v>400</v>
      </c>
      <c r="E327" s="14" t="s">
        <v>5</v>
      </c>
      <c r="F327" s="19" t="str">
        <f t="shared" si="16"/>
        <v/>
      </c>
      <c r="G327" s="22" t="str">
        <f t="shared" si="17"/>
        <v/>
      </c>
    </row>
    <row r="328" spans="1:8" hidden="1" x14ac:dyDescent="0.25">
      <c r="B328" s="14" t="s">
        <v>530</v>
      </c>
      <c r="C328" s="13" t="str">
        <f t="shared" si="15"/>
        <v>18.3Viet</v>
      </c>
      <c r="D328" s="10" t="s">
        <v>257</v>
      </c>
      <c r="E328" s="14" t="s">
        <v>3</v>
      </c>
      <c r="F328" s="19" t="str">
        <f t="shared" si="16"/>
        <v/>
      </c>
      <c r="G328" s="22" t="str">
        <f t="shared" si="17"/>
        <v/>
      </c>
    </row>
    <row r="329" spans="1:8" x14ac:dyDescent="0.25">
      <c r="A329" s="14">
        <v>103</v>
      </c>
      <c r="B329" s="14" t="s">
        <v>530</v>
      </c>
      <c r="C329" s="13" t="str">
        <f t="shared" si="15"/>
        <v>18.3Eng</v>
      </c>
      <c r="D329" s="10" t="s">
        <v>258</v>
      </c>
      <c r="E329" s="14" t="s">
        <v>4</v>
      </c>
      <c r="F329" s="19" t="str">
        <f t="shared" si="16"/>
        <v>https://docs.google.com/uc?export=download&amp;id=1OMbfceeX9XtddjZ-DbSVtlwJrY3y6Oyc</v>
      </c>
      <c r="G329" s="22" t="str">
        <f t="shared" si="17"/>
        <v>1OMbfceeX9XtddjZ-DbSVtlwJrY3y6Oyc</v>
      </c>
      <c r="H329" s="20" t="s">
        <v>656</v>
      </c>
    </row>
    <row r="330" spans="1:8" hidden="1" x14ac:dyDescent="0.25">
      <c r="B330" s="14" t="s">
        <v>530</v>
      </c>
      <c r="C330" s="13" t="str">
        <f t="shared" si="15"/>
        <v>18.3Phon</v>
      </c>
      <c r="D330" s="10" t="s">
        <v>401</v>
      </c>
      <c r="E330" s="14" t="s">
        <v>5</v>
      </c>
      <c r="F330" s="19" t="str">
        <f t="shared" si="16"/>
        <v/>
      </c>
      <c r="G330" s="22" t="str">
        <f t="shared" si="17"/>
        <v/>
      </c>
    </row>
    <row r="331" spans="1:8" hidden="1" x14ac:dyDescent="0.25">
      <c r="B331" s="14" t="s">
        <v>531</v>
      </c>
      <c r="C331" s="13" t="str">
        <f t="shared" si="15"/>
        <v>18.4Viet</v>
      </c>
      <c r="D331" s="10" t="s">
        <v>259</v>
      </c>
      <c r="E331" s="14" t="s">
        <v>3</v>
      </c>
      <c r="F331" s="19" t="str">
        <f t="shared" si="16"/>
        <v/>
      </c>
      <c r="G331" s="22" t="str">
        <f t="shared" si="17"/>
        <v/>
      </c>
    </row>
    <row r="332" spans="1:8" x14ac:dyDescent="0.25">
      <c r="A332" s="14">
        <v>104</v>
      </c>
      <c r="B332" s="14" t="s">
        <v>531</v>
      </c>
      <c r="C332" s="13" t="str">
        <f t="shared" si="15"/>
        <v>18.4Eng</v>
      </c>
      <c r="D332" s="10" t="s">
        <v>260</v>
      </c>
      <c r="E332" s="14" t="s">
        <v>4</v>
      </c>
      <c r="F332" s="19" t="str">
        <f t="shared" si="16"/>
        <v>https://docs.google.com/uc?export=download&amp;id=18IxnxJaqOB_AYwSRUEr51QWcYRcIWabD</v>
      </c>
      <c r="G332" s="22" t="str">
        <f t="shared" si="17"/>
        <v>18IxnxJaqOB_AYwSRUEr51QWcYRcIWabD</v>
      </c>
      <c r="H332" s="20" t="s">
        <v>657</v>
      </c>
    </row>
    <row r="333" spans="1:8" hidden="1" x14ac:dyDescent="0.25">
      <c r="B333" s="14" t="s">
        <v>531</v>
      </c>
      <c r="C333" s="13" t="str">
        <f t="shared" si="15"/>
        <v>18.4Phon</v>
      </c>
      <c r="D333" s="10" t="s">
        <v>402</v>
      </c>
      <c r="E333" s="14" t="s">
        <v>5</v>
      </c>
      <c r="F333" s="19" t="str">
        <f t="shared" si="16"/>
        <v/>
      </c>
      <c r="G333" s="22" t="str">
        <f t="shared" si="17"/>
        <v/>
      </c>
    </row>
    <row r="334" spans="1:8" hidden="1" x14ac:dyDescent="0.25">
      <c r="B334" s="14" t="s">
        <v>532</v>
      </c>
      <c r="C334" s="13" t="str">
        <f t="shared" si="15"/>
        <v>18.5Viet</v>
      </c>
      <c r="D334" s="10" t="s">
        <v>261</v>
      </c>
      <c r="E334" s="14" t="s">
        <v>3</v>
      </c>
      <c r="F334" s="19" t="str">
        <f t="shared" si="16"/>
        <v/>
      </c>
      <c r="G334" s="22" t="str">
        <f t="shared" si="17"/>
        <v/>
      </c>
    </row>
    <row r="335" spans="1:8" x14ac:dyDescent="0.25">
      <c r="A335" s="14">
        <v>105</v>
      </c>
      <c r="B335" s="14" t="s">
        <v>532</v>
      </c>
      <c r="C335" s="13" t="str">
        <f t="shared" si="15"/>
        <v>18.5Eng</v>
      </c>
      <c r="D335" s="10" t="s">
        <v>262</v>
      </c>
      <c r="E335" s="14" t="s">
        <v>4</v>
      </c>
      <c r="F335" s="19" t="str">
        <f t="shared" si="16"/>
        <v>https://docs.google.com/uc?export=download&amp;id=1-01Cqx74W7mDUIur-UH5Z3JjrzB9ZLpL</v>
      </c>
      <c r="G335" s="22" t="str">
        <f t="shared" si="17"/>
        <v>1-01Cqx74W7mDUIur-UH5Z3JjrzB9ZLpL</v>
      </c>
      <c r="H335" s="20" t="s">
        <v>658</v>
      </c>
    </row>
    <row r="336" spans="1:8" hidden="1" x14ac:dyDescent="0.25">
      <c r="B336" s="14" t="s">
        <v>532</v>
      </c>
      <c r="C336" s="13" t="str">
        <f t="shared" si="15"/>
        <v>18.5Phon</v>
      </c>
      <c r="D336" s="10" t="s">
        <v>403</v>
      </c>
      <c r="E336" s="14" t="s">
        <v>5</v>
      </c>
      <c r="F336" s="19" t="str">
        <f t="shared" si="16"/>
        <v/>
      </c>
      <c r="G336" s="22" t="str">
        <f t="shared" si="17"/>
        <v/>
      </c>
    </row>
    <row r="337" spans="1:8" hidden="1" x14ac:dyDescent="0.25">
      <c r="B337" s="14" t="s">
        <v>533</v>
      </c>
      <c r="C337" s="13" t="str">
        <f t="shared" si="15"/>
        <v>18.6Viet</v>
      </c>
      <c r="D337" s="10" t="s">
        <v>263</v>
      </c>
      <c r="E337" s="14" t="s">
        <v>3</v>
      </c>
      <c r="F337" s="19" t="str">
        <f t="shared" si="16"/>
        <v/>
      </c>
      <c r="G337" s="22" t="str">
        <f t="shared" si="17"/>
        <v/>
      </c>
    </row>
    <row r="338" spans="1:8" x14ac:dyDescent="0.25">
      <c r="A338" s="14">
        <v>106</v>
      </c>
      <c r="B338" s="14" t="s">
        <v>533</v>
      </c>
      <c r="C338" s="13" t="str">
        <f t="shared" si="15"/>
        <v>18.6Eng</v>
      </c>
      <c r="D338" s="10" t="s">
        <v>264</v>
      </c>
      <c r="E338" s="14" t="s">
        <v>4</v>
      </c>
      <c r="F338" s="19" t="str">
        <f t="shared" si="16"/>
        <v>https://docs.google.com/uc?export=download&amp;id=1wWEMLPRLmzAbndKtzmm0NVHJZRbVxEXJ</v>
      </c>
      <c r="G338" s="22" t="str">
        <f t="shared" si="17"/>
        <v>1wWEMLPRLmzAbndKtzmm0NVHJZRbVxEXJ</v>
      </c>
      <c r="H338" s="20" t="s">
        <v>659</v>
      </c>
    </row>
    <row r="339" spans="1:8" hidden="1" x14ac:dyDescent="0.25">
      <c r="B339" s="14" t="s">
        <v>533</v>
      </c>
      <c r="C339" s="13" t="str">
        <f t="shared" si="15"/>
        <v>18.6Phon</v>
      </c>
      <c r="D339" s="10" t="s">
        <v>404</v>
      </c>
      <c r="E339" s="14" t="s">
        <v>5</v>
      </c>
      <c r="F339" s="19" t="str">
        <f t="shared" si="16"/>
        <v/>
      </c>
      <c r="G339" s="22" t="str">
        <f t="shared" si="17"/>
        <v/>
      </c>
    </row>
    <row r="340" spans="1:8" hidden="1" x14ac:dyDescent="0.25">
      <c r="B340" s="14" t="s">
        <v>534</v>
      </c>
      <c r="C340" s="13" t="str">
        <f t="shared" si="15"/>
        <v>18.7Viet</v>
      </c>
      <c r="D340" s="10" t="s">
        <v>265</v>
      </c>
      <c r="E340" s="14" t="s">
        <v>3</v>
      </c>
      <c r="F340" s="19" t="str">
        <f t="shared" si="16"/>
        <v/>
      </c>
      <c r="G340" s="22" t="str">
        <f t="shared" si="17"/>
        <v/>
      </c>
    </row>
    <row r="341" spans="1:8" x14ac:dyDescent="0.25">
      <c r="A341" s="14">
        <v>107</v>
      </c>
      <c r="B341" s="14" t="s">
        <v>534</v>
      </c>
      <c r="C341" s="13" t="str">
        <f t="shared" si="15"/>
        <v>18.7Eng</v>
      </c>
      <c r="D341" s="10" t="s">
        <v>266</v>
      </c>
      <c r="E341" s="14" t="s">
        <v>4</v>
      </c>
      <c r="F341" s="19" t="str">
        <f t="shared" si="16"/>
        <v>https://docs.google.com/uc?export=download&amp;id=1NzdnD8soscz2AKkER9SUhhE_-OS2a5ku</v>
      </c>
      <c r="G341" s="22" t="str">
        <f t="shared" si="17"/>
        <v>1NzdnD8soscz2AKkER9SUhhE_-OS2a5ku</v>
      </c>
      <c r="H341" s="20" t="s">
        <v>660</v>
      </c>
    </row>
    <row r="342" spans="1:8" hidden="1" x14ac:dyDescent="0.25">
      <c r="B342" s="14" t="s">
        <v>534</v>
      </c>
      <c r="C342" s="13" t="str">
        <f t="shared" si="15"/>
        <v>18.7Phon</v>
      </c>
      <c r="D342" s="10" t="s">
        <v>405</v>
      </c>
      <c r="E342" s="14" t="s">
        <v>5</v>
      </c>
      <c r="F342" s="19" t="str">
        <f t="shared" si="16"/>
        <v/>
      </c>
      <c r="G342" s="22" t="str">
        <f t="shared" si="17"/>
        <v/>
      </c>
    </row>
    <row r="343" spans="1:8" hidden="1" x14ac:dyDescent="0.25">
      <c r="B343" s="14" t="s">
        <v>461</v>
      </c>
      <c r="C343" s="13" t="str">
        <f t="shared" si="15"/>
        <v>19Struc</v>
      </c>
      <c r="D343" s="10" t="s">
        <v>440</v>
      </c>
      <c r="E343" s="14" t="s">
        <v>11</v>
      </c>
      <c r="F343" s="19" t="str">
        <f t="shared" si="16"/>
        <v/>
      </c>
      <c r="G343" s="22" t="str">
        <f t="shared" si="17"/>
        <v/>
      </c>
    </row>
    <row r="344" spans="1:8" hidden="1" x14ac:dyDescent="0.25">
      <c r="B344" s="14" t="s">
        <v>535</v>
      </c>
      <c r="C344" s="13" t="str">
        <f t="shared" si="15"/>
        <v>19.1Viet</v>
      </c>
      <c r="D344" s="10" t="s">
        <v>267</v>
      </c>
      <c r="E344" s="14" t="s">
        <v>3</v>
      </c>
      <c r="F344" s="19" t="str">
        <f t="shared" si="16"/>
        <v/>
      </c>
      <c r="G344" s="22" t="str">
        <f t="shared" si="17"/>
        <v/>
      </c>
    </row>
    <row r="345" spans="1:8" x14ac:dyDescent="0.25">
      <c r="A345" s="14">
        <v>108</v>
      </c>
      <c r="B345" s="14" t="s">
        <v>535</v>
      </c>
      <c r="C345" s="13" t="str">
        <f t="shared" si="15"/>
        <v>19.1Eng</v>
      </c>
      <c r="D345" s="10" t="s">
        <v>268</v>
      </c>
      <c r="E345" s="14" t="s">
        <v>4</v>
      </c>
      <c r="F345" s="19" t="str">
        <f t="shared" si="16"/>
        <v>https://docs.google.com/uc?export=download&amp;id=1R8PSV9q5LAMCMFaWA0Pz02DSFnlyuyVr</v>
      </c>
      <c r="G345" s="22" t="str">
        <f t="shared" si="17"/>
        <v>1R8PSV9q5LAMCMFaWA0Pz02DSFnlyuyVr</v>
      </c>
      <c r="H345" s="20" t="s">
        <v>661</v>
      </c>
    </row>
    <row r="346" spans="1:8" hidden="1" x14ac:dyDescent="0.25">
      <c r="B346" s="14" t="s">
        <v>535</v>
      </c>
      <c r="C346" s="13" t="str">
        <f t="shared" si="15"/>
        <v>19.1Phon</v>
      </c>
      <c r="D346" s="10" t="s">
        <v>406</v>
      </c>
      <c r="E346" s="14" t="s">
        <v>5</v>
      </c>
      <c r="F346" s="19" t="str">
        <f t="shared" si="16"/>
        <v/>
      </c>
      <c r="G346" s="22" t="str">
        <f t="shared" si="17"/>
        <v/>
      </c>
    </row>
    <row r="347" spans="1:8" hidden="1" x14ac:dyDescent="0.25">
      <c r="B347" s="14" t="s">
        <v>536</v>
      </c>
      <c r="C347" s="13" t="str">
        <f t="shared" si="15"/>
        <v>19.2Viet</v>
      </c>
      <c r="D347" s="10" t="s">
        <v>269</v>
      </c>
      <c r="E347" s="14" t="s">
        <v>3</v>
      </c>
      <c r="F347" s="19" t="str">
        <f t="shared" si="16"/>
        <v/>
      </c>
      <c r="G347" s="22" t="str">
        <f t="shared" si="17"/>
        <v/>
      </c>
    </row>
    <row r="348" spans="1:8" x14ac:dyDescent="0.25">
      <c r="A348" s="14">
        <v>109</v>
      </c>
      <c r="B348" s="14" t="s">
        <v>536</v>
      </c>
      <c r="C348" s="13" t="str">
        <f t="shared" si="15"/>
        <v>19.2Eng</v>
      </c>
      <c r="D348" s="10" t="s">
        <v>270</v>
      </c>
      <c r="E348" s="14" t="s">
        <v>4</v>
      </c>
      <c r="F348" s="19" t="str">
        <f t="shared" si="16"/>
        <v>https://docs.google.com/uc?export=download&amp;id=1o8xwvfy9VzAaSIkZxlmOZ5V6FgXXrFGU</v>
      </c>
      <c r="G348" s="22" t="str">
        <f t="shared" si="17"/>
        <v>1o8xwvfy9VzAaSIkZxlmOZ5V6FgXXrFGU</v>
      </c>
      <c r="H348" s="20" t="s">
        <v>662</v>
      </c>
    </row>
    <row r="349" spans="1:8" hidden="1" x14ac:dyDescent="0.25">
      <c r="B349" s="14" t="s">
        <v>536</v>
      </c>
      <c r="C349" s="13" t="str">
        <f t="shared" si="15"/>
        <v>19.2Phon</v>
      </c>
      <c r="D349" s="10" t="s">
        <v>407</v>
      </c>
      <c r="E349" s="14" t="s">
        <v>5</v>
      </c>
      <c r="F349" s="19" t="str">
        <f t="shared" si="16"/>
        <v/>
      </c>
      <c r="G349" s="22" t="str">
        <f t="shared" si="17"/>
        <v/>
      </c>
    </row>
    <row r="350" spans="1:8" hidden="1" x14ac:dyDescent="0.25">
      <c r="B350" s="14" t="s">
        <v>537</v>
      </c>
      <c r="C350" s="13" t="str">
        <f t="shared" si="15"/>
        <v>19.3Viet</v>
      </c>
      <c r="D350" s="10" t="s">
        <v>271</v>
      </c>
      <c r="E350" s="14" t="s">
        <v>3</v>
      </c>
      <c r="F350" s="19" t="str">
        <f t="shared" si="16"/>
        <v/>
      </c>
      <c r="G350" s="22" t="str">
        <f t="shared" si="17"/>
        <v/>
      </c>
    </row>
    <row r="351" spans="1:8" x14ac:dyDescent="0.25">
      <c r="A351" s="14">
        <v>110</v>
      </c>
      <c r="B351" s="14" t="s">
        <v>537</v>
      </c>
      <c r="C351" s="13" t="str">
        <f t="shared" si="15"/>
        <v>19.3Eng</v>
      </c>
      <c r="D351" s="10" t="s">
        <v>272</v>
      </c>
      <c r="E351" s="14" t="s">
        <v>4</v>
      </c>
      <c r="F351" s="19" t="str">
        <f t="shared" si="16"/>
        <v>https://docs.google.com/uc?export=download&amp;id=1t4k8BwIB0EVXsIWuvGNWYdju1beKshVd</v>
      </c>
      <c r="G351" s="22" t="str">
        <f t="shared" si="17"/>
        <v>1t4k8BwIB0EVXsIWuvGNWYdju1beKshVd</v>
      </c>
      <c r="H351" s="20" t="s">
        <v>663</v>
      </c>
    </row>
    <row r="352" spans="1:8" hidden="1" x14ac:dyDescent="0.25">
      <c r="B352" s="14" t="s">
        <v>537</v>
      </c>
      <c r="C352" s="13" t="str">
        <f t="shared" si="15"/>
        <v>19.3Phon</v>
      </c>
      <c r="D352" s="10" t="s">
        <v>408</v>
      </c>
      <c r="E352" s="14" t="s">
        <v>5</v>
      </c>
      <c r="F352" s="19" t="str">
        <f t="shared" si="16"/>
        <v/>
      </c>
      <c r="G352" s="22" t="str">
        <f t="shared" si="17"/>
        <v/>
      </c>
    </row>
    <row r="353" spans="1:8" hidden="1" x14ac:dyDescent="0.25">
      <c r="B353" s="14" t="s">
        <v>538</v>
      </c>
      <c r="C353" s="13" t="str">
        <f t="shared" si="15"/>
        <v>19.4Viet</v>
      </c>
      <c r="D353" s="10" t="s">
        <v>273</v>
      </c>
      <c r="E353" s="14" t="s">
        <v>3</v>
      </c>
      <c r="F353" s="19" t="str">
        <f t="shared" si="16"/>
        <v/>
      </c>
      <c r="G353" s="22" t="str">
        <f t="shared" si="17"/>
        <v/>
      </c>
    </row>
    <row r="354" spans="1:8" x14ac:dyDescent="0.25">
      <c r="A354" s="14">
        <v>111</v>
      </c>
      <c r="B354" s="14" t="s">
        <v>538</v>
      </c>
      <c r="C354" s="13" t="str">
        <f t="shared" si="15"/>
        <v>19.4Eng</v>
      </c>
      <c r="D354" s="10" t="s">
        <v>274</v>
      </c>
      <c r="E354" s="14" t="s">
        <v>4</v>
      </c>
      <c r="F354" s="19" t="str">
        <f t="shared" si="16"/>
        <v>https://docs.google.com/uc?export=download&amp;id=1h7MLkOLHnRgMfNhKHRwsr-52h_3NRqv6</v>
      </c>
      <c r="G354" s="22" t="str">
        <f t="shared" si="17"/>
        <v>1h7MLkOLHnRgMfNhKHRwsr-52h_3NRqv6</v>
      </c>
      <c r="H354" s="20" t="s">
        <v>664</v>
      </c>
    </row>
    <row r="355" spans="1:8" hidden="1" x14ac:dyDescent="0.25">
      <c r="B355" s="14" t="s">
        <v>538</v>
      </c>
      <c r="C355" s="13" t="str">
        <f t="shared" si="15"/>
        <v>19.4Phon</v>
      </c>
      <c r="D355" s="10" t="s">
        <v>409</v>
      </c>
      <c r="E355" s="14" t="s">
        <v>5</v>
      </c>
      <c r="F355" s="19" t="str">
        <f t="shared" si="16"/>
        <v/>
      </c>
      <c r="G355" s="22" t="str">
        <f t="shared" si="17"/>
        <v/>
      </c>
    </row>
    <row r="356" spans="1:8" hidden="1" x14ac:dyDescent="0.25">
      <c r="B356" s="14" t="s">
        <v>539</v>
      </c>
      <c r="C356" s="13" t="str">
        <f t="shared" si="15"/>
        <v>19.5Viet</v>
      </c>
      <c r="D356" s="10" t="s">
        <v>275</v>
      </c>
      <c r="E356" s="14" t="s">
        <v>3</v>
      </c>
      <c r="F356" s="19" t="str">
        <f t="shared" si="16"/>
        <v/>
      </c>
      <c r="G356" s="22" t="str">
        <f t="shared" si="17"/>
        <v/>
      </c>
    </row>
    <row r="357" spans="1:8" x14ac:dyDescent="0.25">
      <c r="A357" s="14">
        <v>112</v>
      </c>
      <c r="B357" s="14" t="s">
        <v>539</v>
      </c>
      <c r="C357" s="13" t="str">
        <f t="shared" si="15"/>
        <v>19.5Eng</v>
      </c>
      <c r="D357" s="10" t="s">
        <v>276</v>
      </c>
      <c r="E357" s="14" t="s">
        <v>4</v>
      </c>
      <c r="F357" s="19" t="str">
        <f t="shared" si="16"/>
        <v>https://docs.google.com/uc?export=download&amp;id=17CXvIZ4hInwFZ972EqCQoFwyIhpixCps</v>
      </c>
      <c r="G357" s="22" t="str">
        <f t="shared" si="17"/>
        <v>17CXvIZ4hInwFZ972EqCQoFwyIhpixCps</v>
      </c>
      <c r="H357" s="20" t="s">
        <v>665</v>
      </c>
    </row>
    <row r="358" spans="1:8" hidden="1" x14ac:dyDescent="0.25">
      <c r="B358" s="14" t="s">
        <v>539</v>
      </c>
      <c r="C358" s="13" t="str">
        <f t="shared" si="15"/>
        <v>19.5Phon</v>
      </c>
      <c r="D358" s="10" t="s">
        <v>410</v>
      </c>
      <c r="E358" s="14" t="s">
        <v>5</v>
      </c>
      <c r="F358" s="19" t="str">
        <f t="shared" si="16"/>
        <v/>
      </c>
      <c r="G358" s="22" t="str">
        <f t="shared" si="17"/>
        <v/>
      </c>
    </row>
    <row r="359" spans="1:8" hidden="1" x14ac:dyDescent="0.25">
      <c r="B359" s="14" t="s">
        <v>540</v>
      </c>
      <c r="C359" s="13" t="str">
        <f t="shared" si="15"/>
        <v>19.6Viet</v>
      </c>
      <c r="D359" s="10" t="s">
        <v>277</v>
      </c>
      <c r="E359" s="14" t="s">
        <v>3</v>
      </c>
      <c r="F359" s="19" t="str">
        <f t="shared" si="16"/>
        <v/>
      </c>
      <c r="G359" s="22" t="str">
        <f t="shared" si="17"/>
        <v/>
      </c>
    </row>
    <row r="360" spans="1:8" x14ac:dyDescent="0.25">
      <c r="A360" s="14">
        <v>113</v>
      </c>
      <c r="B360" s="14" t="s">
        <v>540</v>
      </c>
      <c r="C360" s="13" t="str">
        <f t="shared" si="15"/>
        <v>19.6Eng</v>
      </c>
      <c r="D360" s="10" t="s">
        <v>278</v>
      </c>
      <c r="E360" s="14" t="s">
        <v>4</v>
      </c>
      <c r="F360" s="19" t="str">
        <f t="shared" si="16"/>
        <v>https://docs.google.com/uc?export=download&amp;id=1zsAjQv3jIJl9M2GkMH0nzYbVfda4mBeH</v>
      </c>
      <c r="G360" s="22" t="str">
        <f t="shared" si="17"/>
        <v>1zsAjQv3jIJl9M2GkMH0nzYbVfda4mBeH</v>
      </c>
      <c r="H360" s="20" t="s">
        <v>666</v>
      </c>
    </row>
    <row r="361" spans="1:8" hidden="1" x14ac:dyDescent="0.25">
      <c r="B361" s="14" t="s">
        <v>540</v>
      </c>
      <c r="C361" s="13" t="str">
        <f t="shared" si="15"/>
        <v>19.6Phon</v>
      </c>
      <c r="D361" s="10" t="s">
        <v>411</v>
      </c>
      <c r="E361" s="14" t="s">
        <v>5</v>
      </c>
      <c r="F361" s="19" t="str">
        <f t="shared" si="16"/>
        <v/>
      </c>
      <c r="G361" s="22" t="str">
        <f t="shared" si="17"/>
        <v/>
      </c>
    </row>
    <row r="362" spans="1:8" hidden="1" x14ac:dyDescent="0.25">
      <c r="B362" s="14" t="s">
        <v>541</v>
      </c>
      <c r="C362" s="13" t="str">
        <f t="shared" si="15"/>
        <v>19.7Viet</v>
      </c>
      <c r="D362" s="10" t="s">
        <v>279</v>
      </c>
      <c r="E362" s="14" t="s">
        <v>3</v>
      </c>
      <c r="F362" s="19" t="str">
        <f t="shared" si="16"/>
        <v/>
      </c>
      <c r="G362" s="22" t="str">
        <f t="shared" si="17"/>
        <v/>
      </c>
    </row>
    <row r="363" spans="1:8" x14ac:dyDescent="0.25">
      <c r="A363" s="14">
        <v>114</v>
      </c>
      <c r="B363" s="14" t="s">
        <v>541</v>
      </c>
      <c r="C363" s="13" t="str">
        <f t="shared" si="15"/>
        <v>19.7Eng</v>
      </c>
      <c r="D363" s="10" t="s">
        <v>280</v>
      </c>
      <c r="E363" s="14" t="s">
        <v>4</v>
      </c>
      <c r="F363" s="19" t="str">
        <f t="shared" si="16"/>
        <v>https://docs.google.com/uc?export=download&amp;id=1-e2Eb-qFdiH7cXqBXy58KI8x82ujz1Wv</v>
      </c>
      <c r="G363" s="22" t="str">
        <f t="shared" si="17"/>
        <v>1-e2Eb-qFdiH7cXqBXy58KI8x82ujz1Wv</v>
      </c>
      <c r="H363" s="20" t="s">
        <v>667</v>
      </c>
    </row>
    <row r="364" spans="1:8" hidden="1" x14ac:dyDescent="0.25">
      <c r="B364" s="14" t="s">
        <v>541</v>
      </c>
      <c r="C364" s="13" t="str">
        <f t="shared" si="15"/>
        <v>19.7Phon</v>
      </c>
      <c r="D364" s="10" t="s">
        <v>412</v>
      </c>
      <c r="E364" s="14" t="s">
        <v>5</v>
      </c>
      <c r="F364" s="19" t="str">
        <f t="shared" si="16"/>
        <v/>
      </c>
      <c r="G364" s="22" t="str">
        <f t="shared" si="17"/>
        <v/>
      </c>
    </row>
    <row r="365" spans="1:8" hidden="1" x14ac:dyDescent="0.25">
      <c r="B365" s="14" t="s">
        <v>462</v>
      </c>
      <c r="C365" s="13" t="str">
        <f t="shared" si="15"/>
        <v>20Struc</v>
      </c>
      <c r="D365" s="10" t="s">
        <v>441</v>
      </c>
      <c r="E365" s="14" t="s">
        <v>11</v>
      </c>
      <c r="F365" s="19" t="str">
        <f t="shared" si="16"/>
        <v/>
      </c>
      <c r="G365" s="22" t="str">
        <f t="shared" si="17"/>
        <v/>
      </c>
    </row>
    <row r="366" spans="1:8" hidden="1" x14ac:dyDescent="0.25">
      <c r="B366" s="14" t="s">
        <v>542</v>
      </c>
      <c r="C366" s="13" t="str">
        <f t="shared" si="15"/>
        <v>20.1Viet</v>
      </c>
      <c r="D366" s="10" t="s">
        <v>281</v>
      </c>
      <c r="E366" s="14" t="s">
        <v>3</v>
      </c>
      <c r="F366" s="19" t="str">
        <f t="shared" si="16"/>
        <v/>
      </c>
      <c r="G366" s="22" t="str">
        <f t="shared" si="17"/>
        <v/>
      </c>
    </row>
    <row r="367" spans="1:8" x14ac:dyDescent="0.25">
      <c r="A367" s="14">
        <v>115</v>
      </c>
      <c r="B367" s="14" t="s">
        <v>542</v>
      </c>
      <c r="C367" s="13" t="str">
        <f t="shared" si="15"/>
        <v>20.1Eng</v>
      </c>
      <c r="D367" s="10" t="s">
        <v>282</v>
      </c>
      <c r="E367" s="14" t="s">
        <v>4</v>
      </c>
      <c r="F367" s="19" t="str">
        <f t="shared" si="16"/>
        <v>https://docs.google.com/uc?export=download&amp;id=1ngXMe79YfvIB_R9aIqMDwjT5o7rJxA84</v>
      </c>
      <c r="G367" s="22" t="str">
        <f t="shared" si="17"/>
        <v>1ngXMe79YfvIB_R9aIqMDwjT5o7rJxA84</v>
      </c>
      <c r="H367" s="20" t="s">
        <v>668</v>
      </c>
    </row>
    <row r="368" spans="1:8" hidden="1" x14ac:dyDescent="0.25">
      <c r="B368" s="14" t="s">
        <v>542</v>
      </c>
      <c r="C368" s="13" t="str">
        <f t="shared" si="15"/>
        <v>20.1Phon</v>
      </c>
      <c r="D368" s="10" t="s">
        <v>413</v>
      </c>
      <c r="E368" s="14" t="s">
        <v>5</v>
      </c>
      <c r="F368" s="19" t="str">
        <f t="shared" si="16"/>
        <v/>
      </c>
      <c r="G368" s="22" t="str">
        <f t="shared" si="17"/>
        <v/>
      </c>
    </row>
    <row r="369" spans="1:8" hidden="1" x14ac:dyDescent="0.25">
      <c r="B369" s="14" t="s">
        <v>543</v>
      </c>
      <c r="C369" s="13" t="str">
        <f t="shared" si="15"/>
        <v>20.2Viet</v>
      </c>
      <c r="D369" s="10" t="s">
        <v>283</v>
      </c>
      <c r="E369" s="14" t="s">
        <v>3</v>
      </c>
      <c r="F369" s="19" t="str">
        <f t="shared" si="16"/>
        <v/>
      </c>
      <c r="G369" s="22" t="str">
        <f t="shared" si="17"/>
        <v/>
      </c>
    </row>
    <row r="370" spans="1:8" x14ac:dyDescent="0.25">
      <c r="A370" s="14">
        <v>116</v>
      </c>
      <c r="B370" s="14" t="s">
        <v>543</v>
      </c>
      <c r="C370" s="13" t="str">
        <f t="shared" si="15"/>
        <v>20.2Eng</v>
      </c>
      <c r="D370" s="10" t="s">
        <v>284</v>
      </c>
      <c r="E370" s="14" t="s">
        <v>4</v>
      </c>
      <c r="F370" s="19" t="str">
        <f t="shared" si="16"/>
        <v>https://docs.google.com/uc?export=download&amp;id=1EsNPMWhMEjHsIh3ajpPVdXn-Wp3_UPn_</v>
      </c>
      <c r="G370" s="22" t="str">
        <f t="shared" si="17"/>
        <v>1EsNPMWhMEjHsIh3ajpPVdXn-Wp3_UPn_</v>
      </c>
      <c r="H370" s="20" t="s">
        <v>669</v>
      </c>
    </row>
    <row r="371" spans="1:8" hidden="1" x14ac:dyDescent="0.25">
      <c r="B371" s="14" t="s">
        <v>543</v>
      </c>
      <c r="C371" s="13" t="str">
        <f t="shared" si="15"/>
        <v>20.2Phon</v>
      </c>
      <c r="D371" s="10" t="s">
        <v>414</v>
      </c>
      <c r="E371" s="14" t="s">
        <v>5</v>
      </c>
      <c r="F371" s="19" t="str">
        <f t="shared" si="16"/>
        <v/>
      </c>
      <c r="G371" s="22" t="str">
        <f t="shared" si="17"/>
        <v/>
      </c>
    </row>
    <row r="372" spans="1:8" hidden="1" x14ac:dyDescent="0.25">
      <c r="B372" s="14" t="s">
        <v>544</v>
      </c>
      <c r="C372" s="13" t="str">
        <f t="shared" si="15"/>
        <v>20.3Viet</v>
      </c>
      <c r="D372" s="10" t="s">
        <v>285</v>
      </c>
      <c r="E372" s="14" t="s">
        <v>3</v>
      </c>
      <c r="F372" s="19" t="str">
        <f t="shared" si="16"/>
        <v/>
      </c>
      <c r="G372" s="22" t="str">
        <f t="shared" si="17"/>
        <v/>
      </c>
    </row>
    <row r="373" spans="1:8" x14ac:dyDescent="0.25">
      <c r="A373" s="14">
        <v>117</v>
      </c>
      <c r="B373" s="14" t="s">
        <v>544</v>
      </c>
      <c r="C373" s="13" t="str">
        <f t="shared" si="15"/>
        <v>20.3Eng</v>
      </c>
      <c r="D373" s="10" t="s">
        <v>286</v>
      </c>
      <c r="E373" s="14" t="s">
        <v>4</v>
      </c>
      <c r="F373" s="19" t="str">
        <f t="shared" si="16"/>
        <v>https://docs.google.com/uc?export=download&amp;id=1F9rKtn-WQQu0L_AL3dPMiijmnWNYS6ob</v>
      </c>
      <c r="G373" s="22" t="str">
        <f t="shared" si="17"/>
        <v>1F9rKtn-WQQu0L_AL3dPMiijmnWNYS6ob</v>
      </c>
      <c r="H373" s="20" t="s">
        <v>670</v>
      </c>
    </row>
    <row r="374" spans="1:8" hidden="1" x14ac:dyDescent="0.25">
      <c r="B374" s="14" t="s">
        <v>544</v>
      </c>
      <c r="C374" s="13" t="str">
        <f t="shared" si="15"/>
        <v>20.3Phon</v>
      </c>
      <c r="D374" s="10" t="s">
        <v>415</v>
      </c>
      <c r="E374" s="14" t="s">
        <v>5</v>
      </c>
      <c r="F374" s="19" t="str">
        <f t="shared" si="16"/>
        <v/>
      </c>
      <c r="G374" s="22" t="str">
        <f t="shared" si="17"/>
        <v/>
      </c>
    </row>
    <row r="375" spans="1:8" hidden="1" x14ac:dyDescent="0.25">
      <c r="B375" s="14" t="s">
        <v>545</v>
      </c>
      <c r="C375" s="13" t="str">
        <f t="shared" si="15"/>
        <v>20.4Viet</v>
      </c>
      <c r="D375" s="10" t="s">
        <v>287</v>
      </c>
      <c r="E375" s="14" t="s">
        <v>3</v>
      </c>
      <c r="F375" s="19" t="str">
        <f t="shared" si="16"/>
        <v/>
      </c>
      <c r="G375" s="22" t="str">
        <f t="shared" si="17"/>
        <v/>
      </c>
    </row>
    <row r="376" spans="1:8" x14ac:dyDescent="0.25">
      <c r="A376" s="14">
        <v>118</v>
      </c>
      <c r="B376" s="14" t="s">
        <v>545</v>
      </c>
      <c r="C376" s="13" t="str">
        <f t="shared" si="15"/>
        <v>20.4Eng</v>
      </c>
      <c r="D376" s="10" t="s">
        <v>288</v>
      </c>
      <c r="E376" s="14" t="s">
        <v>4</v>
      </c>
      <c r="F376" s="19" t="str">
        <f t="shared" si="16"/>
        <v>https://docs.google.com/uc?export=download&amp;id=14iC3ArKqvo_JHmI7OhWyu69IQI7taBSn</v>
      </c>
      <c r="G376" s="22" t="str">
        <f t="shared" si="17"/>
        <v>14iC3ArKqvo_JHmI7OhWyu69IQI7taBSn</v>
      </c>
      <c r="H376" s="20" t="s">
        <v>671</v>
      </c>
    </row>
    <row r="377" spans="1:8" hidden="1" x14ac:dyDescent="0.25">
      <c r="B377" s="14" t="s">
        <v>545</v>
      </c>
      <c r="C377" s="13" t="str">
        <f t="shared" si="15"/>
        <v>20.4Phon</v>
      </c>
      <c r="D377" s="10" t="s">
        <v>416</v>
      </c>
      <c r="E377" s="14" t="s">
        <v>5</v>
      </c>
      <c r="F377" s="19" t="str">
        <f t="shared" si="16"/>
        <v/>
      </c>
      <c r="G377" s="22" t="str">
        <f t="shared" si="17"/>
        <v/>
      </c>
    </row>
    <row r="378" spans="1:8" hidden="1" x14ac:dyDescent="0.25">
      <c r="B378" s="14" t="s">
        <v>463</v>
      </c>
      <c r="C378" s="13" t="str">
        <f t="shared" si="15"/>
        <v>21Struc</v>
      </c>
      <c r="D378" s="10" t="s">
        <v>442</v>
      </c>
      <c r="E378" s="14" t="s">
        <v>11</v>
      </c>
      <c r="F378" s="19" t="str">
        <f t="shared" si="16"/>
        <v/>
      </c>
      <c r="G378" s="22" t="str">
        <f t="shared" si="17"/>
        <v/>
      </c>
    </row>
    <row r="379" spans="1:8" hidden="1" x14ac:dyDescent="0.25">
      <c r="B379" s="14" t="s">
        <v>546</v>
      </c>
      <c r="C379" s="13" t="str">
        <f t="shared" si="15"/>
        <v>21.1Viet</v>
      </c>
      <c r="D379" s="10" t="s">
        <v>289</v>
      </c>
      <c r="E379" s="14" t="s">
        <v>3</v>
      </c>
      <c r="F379" s="19" t="str">
        <f t="shared" si="16"/>
        <v/>
      </c>
      <c r="G379" s="22" t="str">
        <f t="shared" si="17"/>
        <v/>
      </c>
    </row>
    <row r="380" spans="1:8" x14ac:dyDescent="0.25">
      <c r="A380" s="14">
        <v>119</v>
      </c>
      <c r="B380" s="14" t="s">
        <v>546</v>
      </c>
      <c r="C380" s="13" t="str">
        <f t="shared" si="15"/>
        <v>21.1Eng</v>
      </c>
      <c r="D380" s="10" t="s">
        <v>290</v>
      </c>
      <c r="E380" s="14" t="s">
        <v>4</v>
      </c>
      <c r="F380" s="19" t="str">
        <f t="shared" si="16"/>
        <v>https://docs.google.com/uc?export=download&amp;id=1Wp46fkMyObRr_LTPSgeUJJSQEf6h6tXQ</v>
      </c>
      <c r="G380" s="22" t="str">
        <f t="shared" si="17"/>
        <v>1Wp46fkMyObRr_LTPSgeUJJSQEf6h6tXQ</v>
      </c>
      <c r="H380" s="20" t="s">
        <v>672</v>
      </c>
    </row>
    <row r="381" spans="1:8" hidden="1" x14ac:dyDescent="0.25">
      <c r="B381" s="14" t="s">
        <v>546</v>
      </c>
      <c r="C381" s="13" t="str">
        <f t="shared" si="15"/>
        <v>21.1Phon</v>
      </c>
      <c r="D381" s="10" t="s">
        <v>417</v>
      </c>
      <c r="E381" s="14" t="s">
        <v>5</v>
      </c>
      <c r="F381" s="19" t="str">
        <f t="shared" si="16"/>
        <v/>
      </c>
      <c r="G381" s="22" t="str">
        <f t="shared" si="17"/>
        <v/>
      </c>
    </row>
    <row r="382" spans="1:8" hidden="1" x14ac:dyDescent="0.25">
      <c r="B382" s="14" t="s">
        <v>547</v>
      </c>
      <c r="C382" s="13" t="str">
        <f t="shared" si="15"/>
        <v>21.2Viet</v>
      </c>
      <c r="D382" s="10" t="s">
        <v>291</v>
      </c>
      <c r="E382" s="14" t="s">
        <v>3</v>
      </c>
      <c r="F382" s="19" t="str">
        <f t="shared" si="16"/>
        <v/>
      </c>
      <c r="G382" s="22" t="str">
        <f t="shared" si="17"/>
        <v/>
      </c>
    </row>
    <row r="383" spans="1:8" x14ac:dyDescent="0.25">
      <c r="A383" s="14">
        <v>120</v>
      </c>
      <c r="B383" s="14" t="s">
        <v>547</v>
      </c>
      <c r="C383" s="13" t="str">
        <f t="shared" si="15"/>
        <v>21.2Eng</v>
      </c>
      <c r="D383" s="10" t="s">
        <v>292</v>
      </c>
      <c r="E383" s="14" t="s">
        <v>4</v>
      </c>
      <c r="F383" s="19" t="str">
        <f t="shared" si="16"/>
        <v>https://docs.google.com/uc?export=download&amp;id=1AVlAk-aktZQF9g1quBmO0DuCIJEjrQPS</v>
      </c>
      <c r="G383" s="22" t="str">
        <f t="shared" si="17"/>
        <v>1AVlAk-aktZQF9g1quBmO0DuCIJEjrQPS</v>
      </c>
      <c r="H383" s="20" t="s">
        <v>673</v>
      </c>
    </row>
    <row r="384" spans="1:8" hidden="1" x14ac:dyDescent="0.25">
      <c r="B384" s="14" t="s">
        <v>547</v>
      </c>
      <c r="C384" s="13" t="str">
        <f t="shared" si="15"/>
        <v>21.2Phon</v>
      </c>
      <c r="D384" s="10" t="s">
        <v>418</v>
      </c>
      <c r="E384" s="14" t="s">
        <v>5</v>
      </c>
      <c r="F384" s="19" t="str">
        <f t="shared" si="16"/>
        <v/>
      </c>
      <c r="G384" s="22" t="str">
        <f t="shared" si="17"/>
        <v/>
      </c>
    </row>
    <row r="385" spans="1:8" hidden="1" x14ac:dyDescent="0.25">
      <c r="B385" s="14" t="s">
        <v>548</v>
      </c>
      <c r="C385" s="13" t="str">
        <f t="shared" si="15"/>
        <v>21.3Viet</v>
      </c>
      <c r="D385" s="10" t="s">
        <v>293</v>
      </c>
      <c r="E385" s="14" t="s">
        <v>3</v>
      </c>
      <c r="F385" s="19" t="str">
        <f t="shared" si="16"/>
        <v/>
      </c>
      <c r="G385" s="22" t="str">
        <f t="shared" si="17"/>
        <v/>
      </c>
    </row>
    <row r="386" spans="1:8" x14ac:dyDescent="0.25">
      <c r="A386" s="14">
        <v>121</v>
      </c>
      <c r="B386" s="14" t="s">
        <v>548</v>
      </c>
      <c r="C386" s="13" t="str">
        <f t="shared" si="15"/>
        <v>21.3Eng</v>
      </c>
      <c r="D386" s="10" t="s">
        <v>294</v>
      </c>
      <c r="E386" s="14" t="s">
        <v>4</v>
      </c>
      <c r="F386" s="19" t="str">
        <f t="shared" si="16"/>
        <v>https://docs.google.com/uc?export=download&amp;id=1VUE9h1MRmiZNi47LObaYFic7RIhEu2xn</v>
      </c>
      <c r="G386" s="22" t="str">
        <f t="shared" si="17"/>
        <v>1VUE9h1MRmiZNi47LObaYFic7RIhEu2xn</v>
      </c>
      <c r="H386" s="20" t="s">
        <v>674</v>
      </c>
    </row>
    <row r="387" spans="1:8" hidden="1" x14ac:dyDescent="0.25">
      <c r="B387" s="14" t="s">
        <v>548</v>
      </c>
      <c r="C387" s="13" t="str">
        <f t="shared" si="15"/>
        <v>21.3Phon</v>
      </c>
      <c r="D387" s="10" t="s">
        <v>419</v>
      </c>
      <c r="E387" s="14" t="s">
        <v>5</v>
      </c>
      <c r="F387" s="19" t="str">
        <f t="shared" si="16"/>
        <v/>
      </c>
      <c r="G387" s="22" t="str">
        <f t="shared" si="17"/>
        <v/>
      </c>
    </row>
    <row r="388" spans="1:8" hidden="1" x14ac:dyDescent="0.25">
      <c r="B388" s="14" t="s">
        <v>549</v>
      </c>
      <c r="C388" s="13" t="str">
        <f t="shared" si="15"/>
        <v>21.4Viet</v>
      </c>
      <c r="D388" s="10" t="s">
        <v>295</v>
      </c>
      <c r="E388" s="14" t="s">
        <v>3</v>
      </c>
      <c r="F388" s="19" t="str">
        <f t="shared" si="16"/>
        <v/>
      </c>
      <c r="G388" s="22" t="str">
        <f t="shared" si="17"/>
        <v/>
      </c>
    </row>
    <row r="389" spans="1:8" x14ac:dyDescent="0.25">
      <c r="A389" s="14">
        <v>122</v>
      </c>
      <c r="B389" s="14" t="s">
        <v>549</v>
      </c>
      <c r="C389" s="13" t="str">
        <f t="shared" ref="C389:C393" si="18">B389&amp;E389</f>
        <v>21.4Eng</v>
      </c>
      <c r="D389" s="10" t="s">
        <v>296</v>
      </c>
      <c r="E389" s="14" t="s">
        <v>4</v>
      </c>
      <c r="F389" s="19" t="str">
        <f t="shared" ref="F389:F393" si="19">IF(G389="","","https://docs.google.com/uc?export=download&amp;id="&amp;G389)</f>
        <v>https://docs.google.com/uc?export=download&amp;id=1yNsNuzAzO7q09npn_0elbAb0BlfgZtKx</v>
      </c>
      <c r="G389" s="22" t="str">
        <f t="shared" ref="G389:G393" si="20">IFERROR(LEFT(RIGHT(H389,LEN(H389)-32),LEN(RIGHT(H389,LEN(H389)-32))-17),"")</f>
        <v>1yNsNuzAzO7q09npn_0elbAb0BlfgZtKx</v>
      </c>
      <c r="H389" s="20" t="s">
        <v>675</v>
      </c>
    </row>
    <row r="390" spans="1:8" hidden="1" x14ac:dyDescent="0.25">
      <c r="B390" s="14" t="s">
        <v>549</v>
      </c>
      <c r="C390" s="13" t="str">
        <f t="shared" si="18"/>
        <v>21.4Phon</v>
      </c>
      <c r="D390" s="10" t="s">
        <v>420</v>
      </c>
      <c r="E390" s="14" t="s">
        <v>5</v>
      </c>
      <c r="F390" s="19" t="str">
        <f t="shared" si="19"/>
        <v/>
      </c>
      <c r="G390" s="22" t="str">
        <f t="shared" si="20"/>
        <v/>
      </c>
    </row>
    <row r="391" spans="1:8" hidden="1" x14ac:dyDescent="0.25">
      <c r="B391" s="14" t="s">
        <v>550</v>
      </c>
      <c r="C391" s="13" t="str">
        <f t="shared" si="18"/>
        <v>21.5Viet</v>
      </c>
      <c r="D391" s="10" t="s">
        <v>297</v>
      </c>
      <c r="E391" s="14" t="s">
        <v>3</v>
      </c>
      <c r="F391" s="19" t="str">
        <f t="shared" si="19"/>
        <v/>
      </c>
      <c r="G391" s="22" t="str">
        <f t="shared" si="20"/>
        <v/>
      </c>
    </row>
    <row r="392" spans="1:8" x14ac:dyDescent="0.25">
      <c r="A392" s="14">
        <v>123</v>
      </c>
      <c r="B392" s="14" t="s">
        <v>550</v>
      </c>
      <c r="C392" s="13" t="str">
        <f t="shared" si="18"/>
        <v>21.5Eng</v>
      </c>
      <c r="D392" s="10" t="s">
        <v>298</v>
      </c>
      <c r="E392" s="14" t="s">
        <v>4</v>
      </c>
      <c r="F392" s="19" t="str">
        <f t="shared" si="19"/>
        <v>https://docs.google.com/uc?export=download&amp;id=1iRfp1DyNuJvEjV4l03OVjMJWka_Ub43J</v>
      </c>
      <c r="G392" s="22" t="str">
        <f t="shared" si="20"/>
        <v>1iRfp1DyNuJvEjV4l03OVjMJWka_Ub43J</v>
      </c>
      <c r="H392" s="20" t="s">
        <v>676</v>
      </c>
    </row>
    <row r="393" spans="1:8" hidden="1" x14ac:dyDescent="0.25">
      <c r="B393" s="14" t="s">
        <v>550</v>
      </c>
      <c r="C393" s="13" t="str">
        <f t="shared" si="18"/>
        <v>21.5Phon</v>
      </c>
      <c r="D393" s="10" t="s">
        <v>421</v>
      </c>
      <c r="E393" s="14" t="s">
        <v>5</v>
      </c>
      <c r="F393" s="19" t="str">
        <f t="shared" si="19"/>
        <v/>
      </c>
      <c r="G393" s="22" t="str">
        <f t="shared" si="20"/>
        <v/>
      </c>
    </row>
  </sheetData>
  <autoFilter ref="A3:H393" xr:uid="{409C9D1B-A452-401C-9733-8750E50DAAFC}">
    <filterColumn colId="4">
      <filters>
        <filter val="Eng"/>
      </filters>
    </filterColumn>
  </autoFilter>
  <conditionalFormatting sqref="H1:H1048576">
    <cfRule type="duplicateValues" dxfId="2" priority="3"/>
  </conditionalFormatting>
  <conditionalFormatting sqref="I1:I1048576">
    <cfRule type="duplicateValues" dxfId="1" priority="5"/>
  </conditionalFormatting>
  <pageMargins left="0.7" right="0.7" top="0.75" bottom="0.75" header="0.3" footer="0.3"/>
  <pageSetup paperSize="9" orientation="portrait" r:id="rId1"/>
  <ignoredErrors>
    <ignoredError sqref="B4:B3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7"/>
  <sheetViews>
    <sheetView tabSelected="1" topLeftCell="AXX2" workbookViewId="0">
      <selection activeCell="C7" sqref="C7"/>
    </sheetView>
  </sheetViews>
  <sheetFormatPr defaultRowHeight="13.8" x14ac:dyDescent="0.25"/>
  <cols>
    <col min="2" max="2" width="12.19921875" style="1" bestFit="1" customWidth="1"/>
    <col min="3" max="3" width="75.8984375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39</v>
      </c>
      <c r="C3" s="6" t="str">
        <f>IF(D3="","","https://docs.google.com/uc?export=download&amp;id="&amp;D3)</f>
        <v>https://docs.google.com/uc?export=download&amp;id=1ALixiBPK9ec0uEC5V4_ExR5f4MRwnZ5b</v>
      </c>
      <c r="D3" s="7" t="str">
        <f t="shared" ref="D3:D4" si="0">IFERROR(LEFT(RIGHT(E3,LEN(E3)-32),LEN(RIGHT(E3,LEN(E3)-32))-17),"")</f>
        <v>1ALixiBPK9ec0uEC5V4_ExR5f4MRwnZ5b</v>
      </c>
      <c r="E3" s="7" t="s">
        <v>681</v>
      </c>
    </row>
    <row r="4" spans="2:5" x14ac:dyDescent="0.25">
      <c r="B4" s="8" t="s">
        <v>52</v>
      </c>
      <c r="C4" s="6" t="str">
        <f t="shared" ref="C4" si="1">IF(D4="","","https://docs.google.com/uc?export=download&amp;id="&amp;D4)</f>
        <v>https://docs.google.com/uc?export=download&amp;id=18kG4N6mnuvuAZ4e1XDSpcxVR036f7ind</v>
      </c>
      <c r="D4" s="7" t="str">
        <f t="shared" si="0"/>
        <v>18kG4N6mnuvuAZ4e1XDSpcxVR036f7ind</v>
      </c>
      <c r="E4" s="7" t="s">
        <v>682</v>
      </c>
    </row>
    <row r="5" spans="2:5" x14ac:dyDescent="0.25">
      <c r="B5" s="8" t="s">
        <v>551</v>
      </c>
      <c r="C5" s="6" t="str">
        <f t="shared" ref="C5:C7" si="2">IF(D5="","","https://docs.google.com/uc?export=download&amp;id="&amp;D5)</f>
        <v>https://docs.google.com/uc?export=download&amp;id=1sLwwIUTUmYJBLUtsUnnlQdbs_xPjlL_C</v>
      </c>
      <c r="D5" s="7" t="str">
        <f t="shared" ref="D5:D7" si="3">IFERROR(LEFT(RIGHT(E5,LEN(E5)-32),LEN(RIGHT(E5,LEN(E5)-32))-17),"")</f>
        <v>1sLwwIUTUmYJBLUtsUnnlQdbs_xPjlL_C</v>
      </c>
      <c r="E5" s="7" t="s">
        <v>683</v>
      </c>
    </row>
    <row r="6" spans="2:5" x14ac:dyDescent="0.25">
      <c r="B6" s="8" t="s">
        <v>552</v>
      </c>
      <c r="C6" s="6" t="str">
        <f t="shared" si="2"/>
        <v>https://docs.google.com/uc?export=download&amp;id=1nOtnBWWSo5qmTNs0eQ-H4R_xmqlwhffx</v>
      </c>
      <c r="D6" s="7" t="str">
        <f t="shared" si="3"/>
        <v>1nOtnBWWSo5qmTNs0eQ-H4R_xmqlwhffx</v>
      </c>
      <c r="E6" s="7" t="s">
        <v>684</v>
      </c>
    </row>
    <row r="7" spans="2:5" x14ac:dyDescent="0.25">
      <c r="B7" s="8" t="s">
        <v>685</v>
      </c>
      <c r="C7" s="6" t="str">
        <f t="shared" ref="C7" si="4">IF(D7="","","https://docs.google.com/uc?export=download&amp;id="&amp;D7)</f>
        <v>https://docs.google.com/uc?export=download&amp;id=1uW-jdd7Ed3DxBLuEVvzxIHA1DHA7fQnX</v>
      </c>
      <c r="D7" s="7" t="str">
        <f t="shared" ref="D7" si="5">IFERROR(LEFT(RIGHT(E7,LEN(E7)-32),LEN(RIGHT(E7,LEN(E7)-32))-17),"")</f>
        <v>1uW-jdd7Ed3DxBLuEVvzxIHA1DHA7fQnX</v>
      </c>
      <c r="E7" s="7" t="s">
        <v>686</v>
      </c>
    </row>
  </sheetData>
  <phoneticPr fontId="3" type="noConversion"/>
  <pageMargins left="0.7" right="0.7" top="0.75" bottom="0.75" header="0.3" footer="0.3"/>
  <ignoredErrors>
    <ignoredError sqref="B5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3" sqref="C3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41</v>
      </c>
      <c r="C3" s="6" t="str">
        <f>IF(D3="","","https://docs.google.com/uc?export=download&amp;id="&amp;D3)</f>
        <v/>
      </c>
      <c r="D3" s="7" t="str">
        <f t="shared" ref="D3" si="0">IFERROR(LEFT(RIGHT(E3,LEN(E3)-32),LEN(RIGHT(E3,LEN(E3)-32))-17),"")</f>
        <v/>
      </c>
      <c r="E3" s="7"/>
    </row>
    <row r="4" spans="2:5" x14ac:dyDescent="0.25">
      <c r="B4" s="8" t="s">
        <v>40</v>
      </c>
      <c r="C4" s="6" t="str">
        <f>IF(D4="","","https://docs.google.com/uc?export=download&amp;id="&amp;D4)</f>
        <v/>
      </c>
      <c r="D4" s="7" t="str">
        <f t="shared" ref="D4" si="1">IFERROR(LEFT(RIGHT(E4,LEN(E4)-32),LEN(RIGHT(E4,LEN(E4)-32))-17),"")</f>
        <v/>
      </c>
      <c r="E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L295"/>
  <sheetViews>
    <sheetView topLeftCell="C20" zoomScale="86" zoomScaleNormal="86" workbookViewId="0">
      <selection activeCell="E4" sqref="E4:E35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0" ht="17.399999999999999" customHeight="1" x14ac:dyDescent="0.25">
      <c r="B1" t="s">
        <v>6</v>
      </c>
      <c r="C1" s="15">
        <v>92</v>
      </c>
      <c r="D1" s="3"/>
    </row>
    <row r="2" spans="1:10" x14ac:dyDescent="0.25">
      <c r="B2" t="s">
        <v>7</v>
      </c>
      <c r="C2" s="15">
        <v>123</v>
      </c>
      <c r="D2" s="3"/>
    </row>
    <row r="3" spans="1:10" x14ac:dyDescent="0.25">
      <c r="C3" s="16" t="s">
        <v>1</v>
      </c>
      <c r="D3" s="4" t="s">
        <v>1</v>
      </c>
      <c r="E3" s="4" t="s">
        <v>3</v>
      </c>
      <c r="F3" s="4" t="s">
        <v>4</v>
      </c>
    </row>
    <row r="4" spans="1:10" x14ac:dyDescent="0.25">
      <c r="A4">
        <f>C1</f>
        <v>92</v>
      </c>
      <c r="B4">
        <f t="shared" ref="B4:B67" ca="1" si="0">IF(A4="","",RANDBETWEEN($C$1,$C$2))</f>
        <v>115</v>
      </c>
      <c r="C4" s="1">
        <f ca="1">IFERROR($C$1-1+_xlfn.RANK.EQ(B4,$B$4:$B$126)+COUNTIF(B$4:$B4,B4)-1,"")</f>
        <v>102</v>
      </c>
      <c r="D4" s="1" t="str">
        <f ca="1">IFERROR(VLOOKUP(C4,Feeling!A:B,2,0),"")</f>
        <v>18.2</v>
      </c>
      <c r="E4" t="str">
        <f ca="1">IFERROR(VLOOKUP(D4&amp;"Viet",Feeling!C:D,2,0),"")</f>
        <v>Tôi không biết gì về anh ta cả.</v>
      </c>
      <c r="F4" t="str">
        <f ca="1">IFERROR(VLOOKUP(D4&amp;"Eng",Feeling!C:D,2,0),"")</f>
        <v>I don’t know anything about him.</v>
      </c>
    </row>
    <row r="5" spans="1:10" x14ac:dyDescent="0.25">
      <c r="A5">
        <f>IFERROR(IF(A4+1&gt;$C$2,"",A4+1),"")</f>
        <v>93</v>
      </c>
      <c r="B5">
        <f t="shared" ca="1" si="0"/>
        <v>119</v>
      </c>
      <c r="C5" s="1">
        <f ca="1">IFERROR($C$1-1+_xlfn.RANK.EQ(B5,$B$4:$B$126)+COUNTIF(B$4:$B5,B5)-1,"")</f>
        <v>96</v>
      </c>
      <c r="D5" s="1" t="str">
        <f ca="1">IFERROR(VLOOKUP(C5,Feeling!A:B,2,0),"")</f>
        <v>17.1</v>
      </c>
      <c r="E5" t="str">
        <f ca="1">IFERROR(VLOOKUP(D5&amp;"Viet",Feeling!C:D,2,0),"")</f>
        <v>Tôi đăng cân nhắc về chuyện thay đổi công việc.</v>
      </c>
      <c r="F5" t="str">
        <f ca="1">IFERROR(VLOOKUP(D5&amp;"Eng",Feeling!C:D,2,0),"")</f>
        <v>I am considering changing my job.</v>
      </c>
    </row>
    <row r="6" spans="1:10" x14ac:dyDescent="0.25">
      <c r="A6">
        <f t="shared" ref="A6:A69" si="1">IFERROR(IF(A5+1&gt;$C$2,"",A5+1),"")</f>
        <v>94</v>
      </c>
      <c r="B6">
        <f t="shared" ca="1" si="0"/>
        <v>114</v>
      </c>
      <c r="C6" s="1">
        <f ca="1">IFERROR($C$1-1+_xlfn.RANK.EQ(B6,$B$4:$B$126)+COUNTIF(B$4:$B6,B6)-1,"")</f>
        <v>103</v>
      </c>
      <c r="D6" s="1" t="str">
        <f ca="1">IFERROR(VLOOKUP(C6,Feeling!A:B,2,0),"")</f>
        <v>18.3</v>
      </c>
      <c r="E6" t="str">
        <f ca="1">IFERROR(VLOOKUP(D6&amp;"Viet",Feeling!C:D,2,0),"")</f>
        <v>Tôi không biết làm thế nào để giải quyết vấn đề này nữa.</v>
      </c>
      <c r="F6" t="str">
        <f ca="1">IFERROR(VLOOKUP(D6&amp;"Eng",Feeling!C:D,2,0),"")</f>
        <v>I don’t know how to solve this problem.</v>
      </c>
    </row>
    <row r="7" spans="1:10" x14ac:dyDescent="0.25">
      <c r="A7">
        <f t="shared" si="1"/>
        <v>95</v>
      </c>
      <c r="B7">
        <f t="shared" ca="1" si="0"/>
        <v>119</v>
      </c>
      <c r="C7" s="1">
        <f ca="1">IFERROR($C$1-1+_xlfn.RANK.EQ(B7,$B$4:$B$126)+COUNTIF(B$4:$B7,B7)-1,"")</f>
        <v>97</v>
      </c>
      <c r="D7" s="1" t="str">
        <f ca="1">IFERROR(VLOOKUP(C7,Feeling!A:B,2,0),"")</f>
        <v>17.2</v>
      </c>
      <c r="E7" t="str">
        <f ca="1">IFERROR(VLOOKUP(D7&amp;"Viet",Feeling!C:D,2,0),"")</f>
        <v>Tôi đang cân nhắc về việc tham gia câu lạc bộ.</v>
      </c>
      <c r="F7" t="str">
        <f ca="1">IFERROR(VLOOKUP(D7&amp;"Eng",Feeling!C:D,2,0),"")</f>
        <v>I am considering joining the club.</v>
      </c>
    </row>
    <row r="8" spans="1:10" x14ac:dyDescent="0.25">
      <c r="A8">
        <f t="shared" si="1"/>
        <v>96</v>
      </c>
      <c r="B8">
        <f t="shared" ca="1" si="0"/>
        <v>120</v>
      </c>
      <c r="C8" s="1">
        <f ca="1">IFERROR($C$1-1+_xlfn.RANK.EQ(B8,$B$4:$B$126)+COUNTIF(B$4:$B8,B8)-1,"")</f>
        <v>95</v>
      </c>
      <c r="D8" s="1" t="str">
        <f ca="1">IFERROR(VLOOKUP(C8,Feeling!A:B,2,0),"")</f>
        <v>16.4</v>
      </c>
      <c r="E8" t="str">
        <f ca="1">IFERROR(VLOOKUP(D8&amp;"Viet",Feeling!C:D,2,0),"")</f>
        <v>Tôi nghĩ về lời đề nghị ấy.</v>
      </c>
      <c r="F8" t="str">
        <f ca="1">IFERROR(VLOOKUP(D8&amp;"Eng",Feeling!C:D,2,0),"")</f>
        <v>I think about the offer.</v>
      </c>
    </row>
    <row r="9" spans="1:10" x14ac:dyDescent="0.25">
      <c r="A9">
        <f t="shared" si="1"/>
        <v>97</v>
      </c>
      <c r="B9">
        <f t="shared" ca="1" si="0"/>
        <v>94</v>
      </c>
      <c r="C9" s="1">
        <f ca="1">IFERROR($C$1-1+_xlfn.RANK.EQ(B9,$B$4:$B$126)+COUNTIF(B$4:$B9,B9)-1,"")</f>
        <v>123</v>
      </c>
      <c r="D9" s="1" t="str">
        <f ca="1">IFERROR(VLOOKUP(C9,Feeling!A:B,2,0),"")</f>
        <v>21.5</v>
      </c>
      <c r="E9" t="str">
        <f ca="1">IFERROR(VLOOKUP(D9&amp;"Viet",Feeling!C:D,2,0),"")</f>
        <v>Không cần phải gọi lại cho tôi đâu.</v>
      </c>
      <c r="F9" t="str">
        <f ca="1">IFERROR(VLOOKUP(D9&amp;"Eng",Feeling!C:D,2,0),"")</f>
        <v>There is no need to call me back .</v>
      </c>
    </row>
    <row r="10" spans="1:10" x14ac:dyDescent="0.25">
      <c r="A10">
        <f t="shared" si="1"/>
        <v>98</v>
      </c>
      <c r="B10">
        <f t="shared" ca="1" si="0"/>
        <v>113</v>
      </c>
      <c r="C10" s="1">
        <f ca="1">IFERROR($C$1-1+_xlfn.RANK.EQ(B10,$B$4:$B$126)+COUNTIF(B$4:$B10,B10)-1,"")</f>
        <v>104</v>
      </c>
      <c r="D10" s="1" t="str">
        <f ca="1">IFERROR(VLOOKUP(C10,Feeling!A:B,2,0),"")</f>
        <v>18.4</v>
      </c>
      <c r="E10" t="str">
        <f ca="1">IFERROR(VLOOKUP(D10&amp;"Viet",Feeling!C:D,2,0),"")</f>
        <v>Tôi không biết phải đi đâu nữa.</v>
      </c>
      <c r="F10" t="str">
        <f ca="1">IFERROR(VLOOKUP(D10&amp;"Eng",Feeling!C:D,2,0),"")</f>
        <v>I don’t know where to go.</v>
      </c>
    </row>
    <row r="11" spans="1:10" x14ac:dyDescent="0.25">
      <c r="A11">
        <f t="shared" si="1"/>
        <v>99</v>
      </c>
      <c r="B11">
        <f t="shared" ca="1" si="0"/>
        <v>100</v>
      </c>
      <c r="C11" s="1">
        <f ca="1">IFERROR($C$1-1+_xlfn.RANK.EQ(B11,$B$4:$B$126)+COUNTIF(B$4:$B11,B11)-1,"")</f>
        <v>118</v>
      </c>
      <c r="D11" s="1" t="str">
        <f ca="1">IFERROR(VLOOKUP(C11,Feeling!A:B,2,0),"")</f>
        <v>20.4</v>
      </c>
      <c r="E11" t="str">
        <f ca="1">IFERROR(VLOOKUP(D11&amp;"Viet",Feeling!C:D,2,0),"")</f>
        <v>Tôi thích điều đó vì nó khiến tôi buồn cười.</v>
      </c>
      <c r="F11" t="str">
        <f ca="1">IFERROR(VLOOKUP(D11&amp;"Eng",Feeling!C:D,2,0),"")</f>
        <v>I like it because it makes me laugh.</v>
      </c>
    </row>
    <row r="12" spans="1:10" x14ac:dyDescent="0.25">
      <c r="A12">
        <f t="shared" si="1"/>
        <v>100</v>
      </c>
      <c r="B12">
        <f t="shared" ca="1" si="0"/>
        <v>111</v>
      </c>
      <c r="C12" s="1">
        <f ca="1">IFERROR($C$1-1+_xlfn.RANK.EQ(B12,$B$4:$B$126)+COUNTIF(B$4:$B12,B12)-1,"")</f>
        <v>108</v>
      </c>
      <c r="D12" s="1" t="str">
        <f ca="1">IFERROR(VLOOKUP(C12,Feeling!A:B,2,0),"")</f>
        <v>19.1</v>
      </c>
      <c r="E12" t="str">
        <f ca="1">IFERROR(VLOOKUP(D12&amp;"Viet",Feeling!C:D,2,0),"")</f>
        <v>Còn tuỳ vào tâm trạng nữa.</v>
      </c>
      <c r="F12" t="str">
        <f ca="1">IFERROR(VLOOKUP(D12&amp;"Eng",Feeling!C:D,2,0),"")</f>
        <v>It depends on the mood.</v>
      </c>
      <c r="J12" s="17"/>
    </row>
    <row r="13" spans="1:10" x14ac:dyDescent="0.25">
      <c r="A13">
        <f t="shared" si="1"/>
        <v>101</v>
      </c>
      <c r="B13">
        <f t="shared" ca="1" si="0"/>
        <v>97</v>
      </c>
      <c r="C13" s="1">
        <f ca="1">IFERROR($C$1-1+_xlfn.RANK.EQ(B13,$B$4:$B$126)+COUNTIF(B$4:$B13,B13)-1,"")</f>
        <v>120</v>
      </c>
      <c r="D13" s="1" t="str">
        <f ca="1">IFERROR(VLOOKUP(C13,Feeling!A:B,2,0),"")</f>
        <v>21.2</v>
      </c>
      <c r="E13" t="str">
        <f ca="1">IFERROR(VLOOKUP(D13&amp;"Viet",Feeling!C:D,2,0),"")</f>
        <v>Không cần phải mua café cho anh ta đâu.</v>
      </c>
      <c r="F13" t="str">
        <f ca="1">IFERROR(VLOOKUP(D13&amp;"Eng",Feeling!C:D,2,0),"")</f>
        <v>There is no need to buy him coffee.</v>
      </c>
    </row>
    <row r="14" spans="1:10" x14ac:dyDescent="0.25">
      <c r="A14">
        <f t="shared" si="1"/>
        <v>102</v>
      </c>
      <c r="B14">
        <f t="shared" ca="1" si="0"/>
        <v>95</v>
      </c>
      <c r="C14" s="1">
        <f ca="1">IFERROR($C$1-1+_xlfn.RANK.EQ(B14,$B$4:$B$126)+COUNTIF(B$4:$B14,B14)-1,"")</f>
        <v>121</v>
      </c>
      <c r="D14" s="1" t="str">
        <f ca="1">IFERROR(VLOOKUP(C14,Feeling!A:B,2,0),"")</f>
        <v>21.3</v>
      </c>
      <c r="E14" t="str">
        <f ca="1">IFERROR(VLOOKUP(D14&amp;"Viet",Feeling!C:D,2,0),"")</f>
        <v>Không cần phải xem chương trình đó đâu.</v>
      </c>
      <c r="F14" t="str">
        <f ca="1">IFERROR(VLOOKUP(D14&amp;"Eng",Feeling!C:D,2,0),"")</f>
        <v>There is no need to watch that show.</v>
      </c>
    </row>
    <row r="15" spans="1:10" x14ac:dyDescent="0.25">
      <c r="A15">
        <f t="shared" si="1"/>
        <v>103</v>
      </c>
      <c r="B15">
        <f t="shared" ca="1" si="0"/>
        <v>109</v>
      </c>
      <c r="C15" s="1">
        <f ca="1">IFERROR($C$1-1+_xlfn.RANK.EQ(B15,$B$4:$B$126)+COUNTIF(B$4:$B15,B15)-1,"")</f>
        <v>111</v>
      </c>
      <c r="D15" s="1" t="str">
        <f ca="1">IFERROR(VLOOKUP(C15,Feeling!A:B,2,0),"")</f>
        <v>19.4</v>
      </c>
      <c r="E15" t="str">
        <f ca="1">IFERROR(VLOOKUP(D15&amp;"Viet",Feeling!C:D,2,0),"")</f>
        <v>Còn tuỳ thuộc vào giá cả nữa.</v>
      </c>
      <c r="F15" t="str">
        <f ca="1">IFERROR(VLOOKUP(D15&amp;"Eng",Feeling!C:D,2,0),"")</f>
        <v>It depends on the price.</v>
      </c>
    </row>
    <row r="16" spans="1:10" x14ac:dyDescent="0.25">
      <c r="A16">
        <f t="shared" si="1"/>
        <v>104</v>
      </c>
      <c r="B16">
        <f t="shared" ca="1" si="0"/>
        <v>116</v>
      </c>
      <c r="C16" s="1">
        <f ca="1">IFERROR($C$1-1+_xlfn.RANK.EQ(B16,$B$4:$B$126)+COUNTIF(B$4:$B16,B16)-1,"")</f>
        <v>100</v>
      </c>
      <c r="D16" s="1" t="str">
        <f ca="1">IFERROR(VLOOKUP(C16,Feeling!A:B,2,0),"")</f>
        <v>17.5</v>
      </c>
      <c r="E16" t="str">
        <f ca="1">IFERROR(VLOOKUP(D16&amp;"Viet",Feeling!C:D,2,0),"")</f>
        <v>Tôi đang cân nhắc chuyện chuyển tới nơi khác .</v>
      </c>
      <c r="F16" t="str">
        <f ca="1">IFERROR(VLOOKUP(D16&amp;"Eng",Feeling!C:D,2,0),"")</f>
        <v>I am considering moving to another place.</v>
      </c>
    </row>
    <row r="17" spans="1:12" x14ac:dyDescent="0.25">
      <c r="A17">
        <f t="shared" si="1"/>
        <v>105</v>
      </c>
      <c r="B17">
        <f t="shared" ca="1" si="0"/>
        <v>99</v>
      </c>
      <c r="C17" s="1">
        <f ca="1">IFERROR($C$1-1+_xlfn.RANK.EQ(B17,$B$4:$B$126)+COUNTIF(B$4:$B17,B17)-1,"")</f>
        <v>119</v>
      </c>
      <c r="D17" s="1" t="str">
        <f ca="1">IFERROR(VLOOKUP(C17,Feeling!A:B,2,0),"")</f>
        <v>21.1</v>
      </c>
      <c r="E17" t="str">
        <f ca="1">IFERROR(VLOOKUP(D17&amp;"Viet",Feeling!C:D,2,0),"")</f>
        <v>Không cần phải mua chiếc máy tính cá nhân khác đâu.</v>
      </c>
      <c r="F17" t="str">
        <f ca="1">IFERROR(VLOOKUP(D17&amp;"Eng",Feeling!C:D,2,0),"")</f>
        <v>There is no need to buy another laptop.</v>
      </c>
      <c r="L17">
        <v>4</v>
      </c>
    </row>
    <row r="18" spans="1:12" ht="12.6" customHeight="1" x14ac:dyDescent="0.25">
      <c r="A18">
        <f t="shared" si="1"/>
        <v>106</v>
      </c>
      <c r="B18">
        <f t="shared" ca="1" si="0"/>
        <v>109</v>
      </c>
      <c r="C18" s="1">
        <f ca="1">IFERROR($C$1-1+_xlfn.RANK.EQ(B18,$B$4:$B$126)+COUNTIF(B$4:$B18,B18)-1,"")</f>
        <v>112</v>
      </c>
      <c r="D18" s="1" t="str">
        <f ca="1">IFERROR(VLOOKUP(C18,Feeling!A:B,2,0),"")</f>
        <v>19.5</v>
      </c>
      <c r="E18" t="str">
        <f ca="1">IFERROR(VLOOKUP(D18&amp;"Viet",Feeling!C:D,2,0),"")</f>
        <v>Còn tuỳ vào cái đó trông thế nào.</v>
      </c>
      <c r="F18" t="str">
        <f ca="1">IFERROR(VLOOKUP(D18&amp;"Eng",Feeling!C:D,2,0),"")</f>
        <v>It depends on what it looks like.</v>
      </c>
    </row>
    <row r="19" spans="1:12" x14ac:dyDescent="0.25">
      <c r="A19">
        <f t="shared" si="1"/>
        <v>107</v>
      </c>
      <c r="B19">
        <f t="shared" ca="1" si="0"/>
        <v>113</v>
      </c>
      <c r="C19" s="1">
        <f ca="1">IFERROR($C$1-1+_xlfn.RANK.EQ(B19,$B$4:$B$126)+COUNTIF(B$4:$B19,B19)-1,"")</f>
        <v>105</v>
      </c>
      <c r="D19" s="1" t="str">
        <f ca="1">IFERROR(VLOOKUP(C19,Feeling!A:B,2,0),"")</f>
        <v>18.5</v>
      </c>
      <c r="E19" t="str">
        <f ca="1">IFERROR(VLOOKUP(D19&amp;"Viet",Feeling!C:D,2,0),"")</f>
        <v>Tôi không biết gì về việc mua sắm cả.</v>
      </c>
      <c r="F19" t="str">
        <f ca="1">IFERROR(VLOOKUP(D19&amp;"Eng",Feeling!C:D,2,0),"")</f>
        <v>I don’t know anything about shopping.</v>
      </c>
      <c r="L19" t="s">
        <v>46</v>
      </c>
    </row>
    <row r="20" spans="1:12" x14ac:dyDescent="0.25">
      <c r="A20">
        <f t="shared" si="1"/>
        <v>108</v>
      </c>
      <c r="B20">
        <f t="shared" ca="1" si="0"/>
        <v>103</v>
      </c>
      <c r="C20" s="1">
        <f ca="1">IFERROR($C$1-1+_xlfn.RANK.EQ(B20,$B$4:$B$126)+COUNTIF(B$4:$B20,B20)-1,"")</f>
        <v>116</v>
      </c>
      <c r="D20" s="1" t="str">
        <f ca="1">IFERROR(VLOOKUP(C20,Feeling!A:B,2,0),"")</f>
        <v>20.2</v>
      </c>
      <c r="E20" t="str">
        <f ca="1">IFERROR(VLOOKUP(D20&amp;"Viet",Feeling!C:D,2,0),"")</f>
        <v>Tôi thích điều đó vì tôi có thể quên đi mọi thứ.</v>
      </c>
      <c r="F20" t="str">
        <f ca="1">IFERROR(VLOOKUP(D20&amp;"Eng",Feeling!C:D,2,0),"")</f>
        <v>I like it because I can forget things.</v>
      </c>
    </row>
    <row r="21" spans="1:12" x14ac:dyDescent="0.25">
      <c r="A21">
        <f t="shared" si="1"/>
        <v>109</v>
      </c>
      <c r="B21">
        <f t="shared" ca="1" si="0"/>
        <v>110</v>
      </c>
      <c r="C21" s="1">
        <f ca="1">IFERROR($C$1-1+_xlfn.RANK.EQ(B21,$B$4:$B$126)+COUNTIF(B$4:$B21,B21)-1,"")</f>
        <v>110</v>
      </c>
      <c r="D21" s="1" t="str">
        <f ca="1">IFERROR(VLOOKUP(C21,Feeling!A:B,2,0),"")</f>
        <v>19.3</v>
      </c>
      <c r="E21" t="str">
        <f ca="1">IFERROR(VLOOKUP(D21&amp;"Viet",Feeling!C:D,2,0),"")</f>
        <v>Còn tuỳ vào tình huống nữa.</v>
      </c>
      <c r="F21" t="str">
        <f ca="1">IFERROR(VLOOKUP(D21&amp;"Eng",Feeling!C:D,2,0),"")</f>
        <v>It depends on the situation.</v>
      </c>
    </row>
    <row r="22" spans="1:12" x14ac:dyDescent="0.25">
      <c r="A22">
        <f t="shared" si="1"/>
        <v>110</v>
      </c>
      <c r="B22">
        <f t="shared" ca="1" si="0"/>
        <v>104</v>
      </c>
      <c r="C22" s="1">
        <f ca="1">IFERROR($C$1-1+_xlfn.RANK.EQ(B22,$B$4:$B$126)+COUNTIF(B$4:$B22,B22)-1,"")</f>
        <v>115</v>
      </c>
      <c r="D22" s="1" t="str">
        <f ca="1">IFERROR(VLOOKUP(C22,Feeling!A:B,2,0),"")</f>
        <v>20.1</v>
      </c>
      <c r="E22" t="str">
        <f ca="1">IFERROR(VLOOKUP(D22&amp;"Viet",Feeling!C:D,2,0),"")</f>
        <v>Tôi thích xem Tivi vì nó giúp tôi giải toả căng thẳng.</v>
      </c>
      <c r="F22" t="str">
        <f ca="1">IFERROR(VLOOKUP(D22&amp;"Eng",Feeling!C:D,2,0),"")</f>
        <v>I like watching TV because it releases stress.</v>
      </c>
    </row>
    <row r="23" spans="1:12" x14ac:dyDescent="0.25">
      <c r="A23">
        <f t="shared" si="1"/>
        <v>111</v>
      </c>
      <c r="B23">
        <f t="shared" ca="1" si="0"/>
        <v>122</v>
      </c>
      <c r="C23" s="1">
        <f ca="1">IFERROR($C$1-1+_xlfn.RANK.EQ(B23,$B$4:$B$126)+COUNTIF(B$4:$B23,B23)-1,"")</f>
        <v>92</v>
      </c>
      <c r="D23" s="1" t="str">
        <f ca="1">IFERROR(VLOOKUP(C23,Feeling!A:B,2,0),"")</f>
        <v>16.1</v>
      </c>
      <c r="E23" t="str">
        <f ca="1">IFERROR(VLOOKUP(D23&amp;"Viet",Feeling!C:D,2,0),"")</f>
        <v>Tôi nghĩ về việc đó.</v>
      </c>
      <c r="F23" t="str">
        <f ca="1">IFERROR(VLOOKUP(D23&amp;"Eng",Feeling!C:D,2,0),"")</f>
        <v>I think about it.</v>
      </c>
    </row>
    <row r="24" spans="1:12" x14ac:dyDescent="0.25">
      <c r="A24">
        <f t="shared" si="1"/>
        <v>112</v>
      </c>
      <c r="B24">
        <f t="shared" ca="1" si="0"/>
        <v>112</v>
      </c>
      <c r="C24" s="1">
        <f ca="1">IFERROR($C$1-1+_xlfn.RANK.EQ(B24,$B$4:$B$126)+COUNTIF(B$4:$B24,B24)-1,"")</f>
        <v>107</v>
      </c>
      <c r="D24" s="1" t="str">
        <f ca="1">IFERROR(VLOOKUP(C24,Feeling!A:B,2,0),"")</f>
        <v>18.7</v>
      </c>
      <c r="E24" t="str">
        <f ca="1">IFERROR(VLOOKUP(D24&amp;"Viet",Feeling!C:D,2,0),"")</f>
        <v>Tôi không biết mình có làm được hay không.</v>
      </c>
      <c r="F24" t="str">
        <f ca="1">IFERROR(VLOOKUP(D24&amp;"Eng",Feeling!C:D,2,0),"")</f>
        <v>I don’t know if I can do it.</v>
      </c>
    </row>
    <row r="25" spans="1:12" x14ac:dyDescent="0.25">
      <c r="A25">
        <f t="shared" si="1"/>
        <v>113</v>
      </c>
      <c r="B25">
        <f t="shared" ca="1" si="0"/>
        <v>117</v>
      </c>
      <c r="C25" s="1">
        <f ca="1">IFERROR($C$1-1+_xlfn.RANK.EQ(B25,$B$4:$B$126)+COUNTIF(B$4:$B25,B25)-1,"")</f>
        <v>98</v>
      </c>
      <c r="D25" s="1" t="str">
        <f ca="1">IFERROR(VLOOKUP(C25,Feeling!A:B,2,0),"")</f>
        <v>17.3</v>
      </c>
      <c r="E25" t="str">
        <f ca="1">IFERROR(VLOOKUP(D25&amp;"Viet",Feeling!C:D,2,0),"")</f>
        <v>Tôi đang cân nhắc về việc đi du lịch.</v>
      </c>
      <c r="F25" t="str">
        <f ca="1">IFERROR(VLOOKUP(D25&amp;"Eng",Feeling!C:D,2,0),"")</f>
        <v>I am considering going on a trip.</v>
      </c>
    </row>
    <row r="26" spans="1:12" x14ac:dyDescent="0.25">
      <c r="A26">
        <f t="shared" si="1"/>
        <v>114</v>
      </c>
      <c r="B26">
        <f t="shared" ca="1" si="0"/>
        <v>113</v>
      </c>
      <c r="C26" s="1">
        <f ca="1">IFERROR($C$1-1+_xlfn.RANK.EQ(B26,$B$4:$B$126)+COUNTIF(B$4:$B26,B26)-1,"")</f>
        <v>106</v>
      </c>
      <c r="D26" s="1" t="str">
        <f ca="1">IFERROR(VLOOKUP(C26,Feeling!A:B,2,0),"")</f>
        <v>18.6</v>
      </c>
      <c r="E26" t="str">
        <f ca="1">IFERROR(VLOOKUP(D26&amp;"Viet",Feeling!C:D,2,0),"")</f>
        <v>Tôi không biết bạn có thích nó hay không.</v>
      </c>
      <c r="F26" t="str">
        <f ca="1">IFERROR(VLOOKUP(D26&amp;"Eng",Feeling!C:D,2,0),"")</f>
        <v>I don’t know if you will like it.</v>
      </c>
    </row>
    <row r="27" spans="1:12" x14ac:dyDescent="0.25">
      <c r="A27">
        <f t="shared" si="1"/>
        <v>115</v>
      </c>
      <c r="B27">
        <f t="shared" ca="1" si="0"/>
        <v>108</v>
      </c>
      <c r="C27" s="1">
        <f ca="1">IFERROR($C$1-1+_xlfn.RANK.EQ(B27,$B$4:$B$126)+COUNTIF(B$4:$B27,B27)-1,"")</f>
        <v>113</v>
      </c>
      <c r="D27" s="1" t="str">
        <f ca="1">IFERROR(VLOOKUP(C27,Feeling!A:B,2,0),"")</f>
        <v>19.6</v>
      </c>
      <c r="E27" t="str">
        <f ca="1">IFERROR(VLOOKUP(D27&amp;"Viet",Feeling!C:D,2,0),"")</f>
        <v>Còn tuỳ thuộc vào bao nhiêu người tham gia nữa.</v>
      </c>
      <c r="F27" t="str">
        <f ca="1">IFERROR(VLOOKUP(D27&amp;"Eng",Feeling!C:D,2,0),"")</f>
        <v>It depends on how many people will attend.</v>
      </c>
    </row>
    <row r="28" spans="1:12" x14ac:dyDescent="0.25">
      <c r="A28">
        <f t="shared" si="1"/>
        <v>116</v>
      </c>
      <c r="B28">
        <f t="shared" ca="1" si="0"/>
        <v>117</v>
      </c>
      <c r="C28" s="1">
        <f ca="1">IFERROR($C$1-1+_xlfn.RANK.EQ(B28,$B$4:$B$126)+COUNTIF(B$4:$B28,B28)-1,"")</f>
        <v>99</v>
      </c>
      <c r="D28" s="1" t="str">
        <f ca="1">IFERROR(VLOOKUP(C28,Feeling!A:B,2,0),"")</f>
        <v>17.4</v>
      </c>
      <c r="E28" t="str">
        <f ca="1">IFERROR(VLOOKUP(D28&amp;"Viet",Feeling!C:D,2,0),"")</f>
        <v>Tôi đang cân nhắc chuyện mua chiếc xe hơi mới.</v>
      </c>
      <c r="F28" t="str">
        <f ca="1">IFERROR(VLOOKUP(D28&amp;"Eng",Feeling!C:D,2,0),"")</f>
        <v>I am considering buying a new car.</v>
      </c>
    </row>
    <row r="29" spans="1:12" x14ac:dyDescent="0.25">
      <c r="A29">
        <f t="shared" si="1"/>
        <v>117</v>
      </c>
      <c r="B29">
        <f t="shared" ca="1" si="0"/>
        <v>95</v>
      </c>
      <c r="C29" s="1">
        <f ca="1">IFERROR($C$1-1+_xlfn.RANK.EQ(B29,$B$4:$B$126)+COUNTIF(B$4:$B29,B29)-1,"")</f>
        <v>122</v>
      </c>
      <c r="D29" s="1" t="str">
        <f ca="1">IFERROR(VLOOKUP(C29,Feeling!A:B,2,0),"")</f>
        <v>21.4</v>
      </c>
      <c r="E29" t="str">
        <f ca="1">IFERROR(VLOOKUP(D29&amp;"Viet",Feeling!C:D,2,0),"")</f>
        <v>Không cần phải lo lắng về việc đó đâu.</v>
      </c>
      <c r="F29" t="str">
        <f ca="1">IFERROR(VLOOKUP(D29&amp;"Eng",Feeling!C:D,2,0),"")</f>
        <v>There is no need to worry about it.</v>
      </c>
    </row>
    <row r="30" spans="1:12" x14ac:dyDescent="0.25">
      <c r="A30">
        <f t="shared" si="1"/>
        <v>118</v>
      </c>
      <c r="B30">
        <f t="shared" ca="1" si="0"/>
        <v>116</v>
      </c>
      <c r="C30" s="1">
        <f ca="1">IFERROR($C$1-1+_xlfn.RANK.EQ(B30,$B$4:$B$126)+COUNTIF(B$4:$B30,B30)-1,"")</f>
        <v>101</v>
      </c>
      <c r="D30" s="1" t="str">
        <f ca="1">IFERROR(VLOOKUP(C30,Feeling!A:B,2,0),"")</f>
        <v>18.1</v>
      </c>
      <c r="E30" t="str">
        <f ca="1">IFERROR(VLOOKUP(D30&amp;"Viet",Feeling!C:D,2,0),"")</f>
        <v>Tôi không biết phải bắt đầu từ khi nào.</v>
      </c>
      <c r="F30" t="str">
        <f ca="1">IFERROR(VLOOKUP(D30&amp;"Eng",Feeling!C:D,2,0),"")</f>
        <v>I don’t know when to start.</v>
      </c>
    </row>
    <row r="31" spans="1:12" x14ac:dyDescent="0.25">
      <c r="A31">
        <f t="shared" si="1"/>
        <v>119</v>
      </c>
      <c r="B31">
        <f t="shared" ca="1" si="0"/>
        <v>103</v>
      </c>
      <c r="C31" s="1">
        <f ca="1">IFERROR($C$1-1+_xlfn.RANK.EQ(B31,$B$4:$B$126)+COUNTIF(B$4:$B31,B31)-1,"")</f>
        <v>117</v>
      </c>
      <c r="D31" s="1" t="str">
        <f ca="1">IFERROR(VLOOKUP(C31,Feeling!A:B,2,0),"")</f>
        <v>20.3</v>
      </c>
      <c r="E31" t="str">
        <f ca="1">IFERROR(VLOOKUP(D31&amp;"Viet",Feeling!C:D,2,0),"")</f>
        <v>Tôi thích điều đó vì nó rất thư giãn.</v>
      </c>
      <c r="F31" t="str">
        <f ca="1">IFERROR(VLOOKUP(D31&amp;"Eng",Feeling!C:D,2,0),"")</f>
        <v>I like it because it’s relaxing.</v>
      </c>
    </row>
    <row r="32" spans="1:12" x14ac:dyDescent="0.25">
      <c r="A32">
        <f t="shared" si="1"/>
        <v>120</v>
      </c>
      <c r="B32">
        <f t="shared" ca="1" si="0"/>
        <v>111</v>
      </c>
      <c r="C32" s="1">
        <f ca="1">IFERROR($C$1-1+_xlfn.RANK.EQ(B32,$B$4:$B$126)+COUNTIF(B$4:$B32,B32)-1,"")</f>
        <v>109</v>
      </c>
      <c r="D32" s="1" t="str">
        <f ca="1">IFERROR(VLOOKUP(C32,Feeling!A:B,2,0),"")</f>
        <v>19.2</v>
      </c>
      <c r="E32" t="str">
        <f ca="1">IFERROR(VLOOKUP(D32&amp;"Viet",Feeling!C:D,2,0),"")</f>
        <v>Còn tuỳ vào lịch trình nữa.</v>
      </c>
      <c r="F32" t="str">
        <f ca="1">IFERROR(VLOOKUP(D32&amp;"Eng",Feeling!C:D,2,0),"")</f>
        <v>It depends on the schedule.</v>
      </c>
    </row>
    <row r="33" spans="1:6" x14ac:dyDescent="0.25">
      <c r="A33">
        <f t="shared" si="1"/>
        <v>121</v>
      </c>
      <c r="B33">
        <f t="shared" ca="1" si="0"/>
        <v>121</v>
      </c>
      <c r="C33" s="1">
        <f ca="1">IFERROR($C$1-1+_xlfn.RANK.EQ(B33,$B$4:$B$126)+COUNTIF(B$4:$B33,B33)-1,"")</f>
        <v>94</v>
      </c>
      <c r="D33" s="1" t="str">
        <f ca="1">IFERROR(VLOOKUP(C33,Feeling!A:B,2,0),"")</f>
        <v>16.3</v>
      </c>
      <c r="E33" t="str">
        <f ca="1">IFERROR(VLOOKUP(D33&amp;"Viet",Feeling!C:D,2,0),"")</f>
        <v>Tôi nghĩ về vấn đề ấy.</v>
      </c>
      <c r="F33" t="str">
        <f ca="1">IFERROR(VLOOKUP(D33&amp;"Eng",Feeling!C:D,2,0),"")</f>
        <v>I think about the problem.</v>
      </c>
    </row>
    <row r="34" spans="1:6" x14ac:dyDescent="0.25">
      <c r="A34">
        <f t="shared" si="1"/>
        <v>122</v>
      </c>
      <c r="B34">
        <f t="shared" ca="1" si="0"/>
        <v>106</v>
      </c>
      <c r="C34" s="1">
        <f ca="1">IFERROR($C$1-1+_xlfn.RANK.EQ(B34,$B$4:$B$126)+COUNTIF(B$4:$B34,B34)-1,"")</f>
        <v>114</v>
      </c>
      <c r="D34" s="1" t="str">
        <f ca="1">IFERROR(VLOOKUP(C34,Feeling!A:B,2,0),"")</f>
        <v>19.7</v>
      </c>
      <c r="E34" t="str">
        <f ca="1">IFERROR(VLOOKUP(D34&amp;"Viet",Feeling!C:D,2,0),"")</f>
        <v>Còn tuỳ vào cậu muốn gì nữa.</v>
      </c>
      <c r="F34" t="str">
        <f ca="1">IFERROR(VLOOKUP(D34&amp;"Eng",Feeling!C:D,2,0),"")</f>
        <v>It depends on what you want.</v>
      </c>
    </row>
    <row r="35" spans="1:6" x14ac:dyDescent="0.25">
      <c r="A35">
        <f t="shared" si="1"/>
        <v>123</v>
      </c>
      <c r="B35">
        <f t="shared" ca="1" si="0"/>
        <v>122</v>
      </c>
      <c r="C35" s="1">
        <f ca="1">IFERROR($C$1-1+_xlfn.RANK.EQ(B35,$B$4:$B$126)+COUNTIF(B$4:$B35,B35)-1,"")</f>
        <v>93</v>
      </c>
      <c r="D35" s="1" t="str">
        <f ca="1">IFERROR(VLOOKUP(C35,Feeling!A:B,2,0),"")</f>
        <v>16.2</v>
      </c>
      <c r="E35" t="str">
        <f ca="1">IFERROR(VLOOKUP(D35&amp;"Viet",Feeling!C:D,2,0),"")</f>
        <v>Tôi nghĩ về tương lai của mình.</v>
      </c>
      <c r="F35" t="str">
        <f ca="1">IFERROR(VLOOKUP(D35&amp;"Eng",Feeling!C:D,2,0),"")</f>
        <v>I think about my future.</v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IFERROR($C$1-1+_xlfn.RANK.EQ(B36,$B$4:$B$126)+COUNTIF(B$4:$B36,B36)-1,"")</f>
        <v/>
      </c>
      <c r="D36" s="1" t="str">
        <f ca="1">IFERROR(VLOOKUP(C36,Feeling!A:B,2,0),"")</f>
        <v/>
      </c>
      <c r="E36" t="str">
        <f ca="1">IFERROR(VLOOKUP(D36&amp;"Viet",Feeling!C:D,2,0),"")</f>
        <v/>
      </c>
      <c r="F36" t="str">
        <f ca="1">IFERROR(VLOOKUP(D36&amp;"Eng",Feeling!C:D,2,0),"")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IFERROR($C$1-1+_xlfn.RANK.EQ(B37,$B$4:$B$126)+COUNTIF(B$4:$B37,B37)-1,"")</f>
        <v/>
      </c>
      <c r="D37" s="1" t="str">
        <f ca="1">IFERROR(VLOOKUP(C37,Feeling!A:B,2,0),"")</f>
        <v/>
      </c>
      <c r="E37" t="str">
        <f ca="1">IFERROR(VLOOKUP(D37&amp;"Viet",Feeling!C:D,2,0),"")</f>
        <v/>
      </c>
      <c r="F37" t="str">
        <f ca="1">IFERROR(VLOOKUP(D37&amp;"Eng",Feeling!C:D,2,0),"")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IFERROR($C$1-1+_xlfn.RANK.EQ(B38,$B$4:$B$126)+COUNTIF(B$4:$B38,B38)-1,"")</f>
        <v/>
      </c>
      <c r="D38" s="1" t="str">
        <f ca="1">IFERROR(VLOOKUP(C38,Feeling!A:B,2,0),"")</f>
        <v/>
      </c>
      <c r="E38" t="str">
        <f ca="1">IFERROR(VLOOKUP(D38&amp;"Viet",Feeling!C:D,2,0),"")</f>
        <v/>
      </c>
      <c r="F38" t="str">
        <f ca="1">IFERROR(VLOOKUP(D38&amp;"Eng",Feeling!C:D,2,0),"")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IFERROR($C$1-1+_xlfn.RANK.EQ(B39,$B$4:$B$126)+COUNTIF(B$4:$B39,B39)-1,"")</f>
        <v/>
      </c>
      <c r="D39" s="1" t="str">
        <f ca="1">IFERROR(VLOOKUP(C39,Feeling!A:B,2,0),"")</f>
        <v/>
      </c>
      <c r="E39" t="str">
        <f ca="1">IFERROR(VLOOKUP(D39&amp;"Viet",Feeling!C:D,2,0),"")</f>
        <v/>
      </c>
      <c r="F39" t="str">
        <f ca="1">IFERROR(VLOOKUP(D39&amp;"Eng",Feeling!C:D,2,0),"")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IFERROR($C$1-1+_xlfn.RANK.EQ(B40,$B$4:$B$126)+COUNTIF(B$4:$B40,B40)-1,"")</f>
        <v/>
      </c>
      <c r="D40" s="1" t="str">
        <f ca="1">IFERROR(VLOOKUP(C40,Feeling!A:B,2,0),"")</f>
        <v/>
      </c>
      <c r="E40" t="str">
        <f ca="1">IFERROR(VLOOKUP(D40&amp;"Viet",Feeling!C:D,2,0),"")</f>
        <v/>
      </c>
      <c r="F40" t="str">
        <f ca="1">IFERROR(VLOOKUP(D40&amp;"Eng",Feeling!C:D,2,0),"")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IFERROR($C$1-1+_xlfn.RANK.EQ(B41,$B$4:$B$126)+COUNTIF(B$4:$B41,B41)-1,"")</f>
        <v/>
      </c>
      <c r="D41" s="1" t="str">
        <f ca="1">IFERROR(VLOOKUP(C41,Feeling!A:B,2,0),"")</f>
        <v/>
      </c>
      <c r="E41" t="str">
        <f ca="1">IFERROR(VLOOKUP(D41&amp;"Viet",Feeling!C:D,2,0),"")</f>
        <v/>
      </c>
      <c r="F41" t="str">
        <f ca="1">IFERROR(VLOOKUP(D41&amp;"Eng",Feeling!C:D,2,0),"")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IFERROR($C$1-1+_xlfn.RANK.EQ(B42,$B$4:$B$126)+COUNTIF(B$4:$B42,B42)-1,"")</f>
        <v/>
      </c>
      <c r="D42" s="1" t="str">
        <f ca="1">IFERROR(VLOOKUP(C42,Feeling!A:B,2,0),"")</f>
        <v/>
      </c>
      <c r="E42" t="str">
        <f ca="1">IFERROR(VLOOKUP(D42&amp;"Viet",Feeling!C:D,2,0),"")</f>
        <v/>
      </c>
      <c r="F42" t="str">
        <f ca="1">IFERROR(VLOOKUP(D42&amp;"Eng",Feeling!C:D,2,0),"")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IFERROR($C$1-1+_xlfn.RANK.EQ(B43,$B$4:$B$126)+COUNTIF(B$4:$B43,B43)-1,"")</f>
        <v/>
      </c>
      <c r="D43" s="1" t="str">
        <f ca="1">IFERROR(VLOOKUP(C43,Feeling!A:B,2,0),"")</f>
        <v/>
      </c>
      <c r="E43" t="str">
        <f ca="1">IFERROR(VLOOKUP(D43&amp;"Viet",Feeling!C:D,2,0),"")</f>
        <v/>
      </c>
      <c r="F43" t="str">
        <f ca="1">IFERROR(VLOOKUP(D43&amp;"Eng",Feeling!C:D,2,0),"")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IFERROR($C$1-1+_xlfn.RANK.EQ(B44,$B$4:$B$126)+COUNTIF(B$4:$B44,B44)-1,"")</f>
        <v/>
      </c>
      <c r="D44" s="1" t="str">
        <f ca="1">IFERROR(VLOOKUP(C44,Feeling!A:B,2,0),"")</f>
        <v/>
      </c>
      <c r="E44" t="str">
        <f ca="1">IFERROR(VLOOKUP(D44&amp;"Viet",Feeling!C:D,2,0),"")</f>
        <v/>
      </c>
      <c r="F44" t="str">
        <f ca="1">IFERROR(VLOOKUP(D44&amp;"Eng",Feeling!C:D,2,0),"")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IFERROR($C$1-1+_xlfn.RANK.EQ(B45,$B$4:$B$126)+COUNTIF(B$4:$B45,B45)-1,"")</f>
        <v/>
      </c>
      <c r="D45" s="1" t="str">
        <f ca="1">IFERROR(VLOOKUP(C45,Feeling!A:B,2,0),"")</f>
        <v/>
      </c>
      <c r="E45" t="str">
        <f ca="1">IFERROR(VLOOKUP(D45&amp;"Viet",Feeling!C:D,2,0),"")</f>
        <v/>
      </c>
      <c r="F45" t="str">
        <f ca="1">IFERROR(VLOOKUP(D45&amp;"Eng",Feeling!C:D,2,0),"")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IFERROR($C$1-1+_xlfn.RANK.EQ(B46,$B$4:$B$126)+COUNTIF(B$4:$B46,B46)-1,"")</f>
        <v/>
      </c>
      <c r="D46" s="1" t="str">
        <f ca="1">IFERROR(VLOOKUP(C46,Feeling!A:B,2,0),"")</f>
        <v/>
      </c>
      <c r="E46" t="str">
        <f ca="1">IFERROR(VLOOKUP(D46&amp;"Viet",Feeling!C:D,2,0),"")</f>
        <v/>
      </c>
      <c r="F46" t="str">
        <f ca="1">IFERROR(VLOOKUP(D46&amp;"Eng",Feeling!C:D,2,0),"")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IFERROR($C$1-1+_xlfn.RANK.EQ(B47,$B$4:$B$126)+COUNTIF(B$4:$B47,B47)-1,"")</f>
        <v/>
      </c>
      <c r="D47" s="1" t="str">
        <f ca="1">IFERROR(VLOOKUP(C47,Feeling!A:B,2,0),"")</f>
        <v/>
      </c>
      <c r="E47" t="str">
        <f ca="1">IFERROR(VLOOKUP(D47&amp;"Viet",Feeling!C:D,2,0),"")</f>
        <v/>
      </c>
      <c r="F47" t="str">
        <f ca="1">IFERROR(VLOOKUP(D47&amp;"Eng",Feeling!C:D,2,0),"")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IFERROR($C$1-1+_xlfn.RANK.EQ(B48,$B$4:$B$126)+COUNTIF(B$4:$B48,B48)-1,"")</f>
        <v/>
      </c>
      <c r="D48" s="1" t="str">
        <f ca="1">IFERROR(VLOOKUP(C48,Feeling!A:B,2,0),"")</f>
        <v/>
      </c>
      <c r="E48" t="str">
        <f ca="1">IFERROR(VLOOKUP(D48&amp;"Viet",Feeling!C:D,2,0),"")</f>
        <v/>
      </c>
      <c r="F48" t="str">
        <f ca="1">IFERROR(VLOOKUP(D48&amp;"Eng",Feeling!C:D,2,0),"")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IFERROR($C$1-1+_xlfn.RANK.EQ(B49,$B$4:$B$126)+COUNTIF(B$4:$B49,B49)-1,"")</f>
        <v/>
      </c>
      <c r="D49" s="1" t="str">
        <f ca="1">IFERROR(VLOOKUP(C49,Feeling!A:B,2,0),"")</f>
        <v/>
      </c>
      <c r="E49" t="str">
        <f ca="1">IFERROR(VLOOKUP(D49&amp;"Viet",Feeling!C:D,2,0),"")</f>
        <v/>
      </c>
      <c r="F49" t="str">
        <f ca="1">IFERROR(VLOOKUP(D49&amp;"Eng",Feeling!C:D,2,0),"")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IFERROR($C$1-1+_xlfn.RANK.EQ(B50,$B$4:$B$126)+COUNTIF(B$4:$B50,B50)-1,"")</f>
        <v/>
      </c>
      <c r="D50" s="1" t="str">
        <f ca="1">IFERROR(VLOOKUP(C50,Feeling!A:B,2,0),"")</f>
        <v/>
      </c>
      <c r="E50" t="str">
        <f ca="1">IFERROR(VLOOKUP(D50&amp;"Viet",Feeling!C:D,2,0),"")</f>
        <v/>
      </c>
      <c r="F50" t="str">
        <f ca="1">IFERROR(VLOOKUP(D50&amp;"Eng",Feeling!C:D,2,0),"")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IFERROR($C$1-1+_xlfn.RANK.EQ(B51,$B$4:$B$126)+COUNTIF(B$4:$B51,B51)-1,"")</f>
        <v/>
      </c>
      <c r="D51" s="1" t="str">
        <f ca="1">IFERROR(VLOOKUP(C51,Feeling!A:B,2,0),"")</f>
        <v/>
      </c>
      <c r="E51" t="str">
        <f ca="1">IFERROR(VLOOKUP(D51&amp;"Viet",Feeling!C:D,2,0),"")</f>
        <v/>
      </c>
      <c r="F51" t="str">
        <f ca="1">IFERROR(VLOOKUP(D51&amp;"Eng",Feeling!C:D,2,0),"")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IFERROR($C$1-1+_xlfn.RANK.EQ(B52,$B$4:$B$126)+COUNTIF(B$4:$B52,B52)-1,"")</f>
        <v/>
      </c>
      <c r="D52" s="1" t="str">
        <f ca="1">IFERROR(VLOOKUP(C52,Feeling!A:B,2,0),"")</f>
        <v/>
      </c>
      <c r="E52" t="str">
        <f ca="1">IFERROR(VLOOKUP(D52&amp;"Viet",Feeling!C:D,2,0),"")</f>
        <v/>
      </c>
      <c r="F52" t="str">
        <f ca="1">IFERROR(VLOOKUP(D52&amp;"Eng",Feeling!C:D,2,0),"")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IFERROR($C$1-1+_xlfn.RANK.EQ(B53,$B$4:$B$126)+COUNTIF(B$4:$B53,B53)-1,"")</f>
        <v/>
      </c>
      <c r="D53" s="1" t="str">
        <f ca="1">IFERROR(VLOOKUP(C53,Feeling!A:B,2,0),"")</f>
        <v/>
      </c>
      <c r="E53" t="str">
        <f ca="1">IFERROR(VLOOKUP(D53&amp;"Viet",Feeling!C:D,2,0),"")</f>
        <v/>
      </c>
      <c r="F53" t="str">
        <f ca="1">IFERROR(VLOOKUP(D53&amp;"Eng",Feeling!C:D,2,0),"")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IFERROR($C$1-1+_xlfn.RANK.EQ(B54,$B$4:$B$126)+COUNTIF(B$4:$B54,B54)-1,"")</f>
        <v/>
      </c>
      <c r="D54" s="1" t="str">
        <f ca="1">IFERROR(VLOOKUP(C54,Feeling!A:B,2,0),"")</f>
        <v/>
      </c>
      <c r="E54" t="str">
        <f ca="1">IFERROR(VLOOKUP(D54&amp;"Viet",Feeling!C:D,2,0),"")</f>
        <v/>
      </c>
      <c r="F54" t="str">
        <f ca="1">IFERROR(VLOOKUP(D54&amp;"Eng",Feeling!C:D,2,0),"")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IFERROR($C$1-1+_xlfn.RANK.EQ(B55,$B$4:$B$126)+COUNTIF(B$4:$B55,B55)-1,"")</f>
        <v/>
      </c>
      <c r="D55" s="1" t="str">
        <f ca="1">IFERROR(VLOOKUP(C55,Feeling!A:B,2,0),"")</f>
        <v/>
      </c>
      <c r="E55" t="str">
        <f ca="1">IFERROR(VLOOKUP(D55&amp;"Viet",Feeling!C:D,2,0),"")</f>
        <v/>
      </c>
      <c r="F55" t="str">
        <f ca="1">IFERROR(VLOOKUP(D55&amp;"Eng",Feeling!C:D,2,0),"")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IFERROR($C$1-1+_xlfn.RANK.EQ(B56,$B$4:$B$126)+COUNTIF(B$4:$B56,B56)-1,"")</f>
        <v/>
      </c>
      <c r="D56" s="1" t="str">
        <f ca="1">IFERROR(VLOOKUP(C56,Feeling!A:B,2,0),"")</f>
        <v/>
      </c>
      <c r="E56" t="str">
        <f ca="1">IFERROR(VLOOKUP(D56&amp;"Viet",Feeling!C:D,2,0),"")</f>
        <v/>
      </c>
      <c r="F56" t="str">
        <f ca="1">IFERROR(VLOOKUP(D56&amp;"Eng",Feeling!C:D,2,0),"")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IFERROR($C$1-1+_xlfn.RANK.EQ(B57,$B$4:$B$126)+COUNTIF(B$4:$B57,B57)-1,"")</f>
        <v/>
      </c>
      <c r="D57" s="1" t="str">
        <f ca="1">IFERROR(VLOOKUP(C57,Feeling!A:B,2,0),"")</f>
        <v/>
      </c>
      <c r="E57" t="str">
        <f ca="1">IFERROR(VLOOKUP(D57&amp;"Viet",Feeling!C:D,2,0),"")</f>
        <v/>
      </c>
      <c r="F57" t="str">
        <f ca="1">IFERROR(VLOOKUP(D57&amp;"Eng",Feeling!C:D,2,0),"")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IFERROR($C$1-1+_xlfn.RANK.EQ(B58,$B$4:$B$126)+COUNTIF(B$4:$B58,B58)-1,"")</f>
        <v/>
      </c>
      <c r="D58" s="1" t="str">
        <f ca="1">IFERROR(VLOOKUP(C58,Feeling!A:B,2,0),"")</f>
        <v/>
      </c>
      <c r="E58" t="str">
        <f ca="1">IFERROR(VLOOKUP(D58&amp;"Viet",Feeling!C:D,2,0),"")</f>
        <v/>
      </c>
      <c r="F58" t="str">
        <f ca="1">IFERROR(VLOOKUP(D58&amp;"Eng",Feeling!C:D,2,0),"")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IFERROR($C$1-1+_xlfn.RANK.EQ(B59,$B$4:$B$126)+COUNTIF(B$4:$B59,B59)-1,"")</f>
        <v/>
      </c>
      <c r="D59" s="1" t="str">
        <f ca="1">IFERROR(VLOOKUP(C59,Feeling!A:B,2,0),"")</f>
        <v/>
      </c>
      <c r="E59" t="str">
        <f ca="1">IFERROR(VLOOKUP(D59&amp;"Viet",Feeling!C:D,2,0),"")</f>
        <v/>
      </c>
      <c r="F59" t="str">
        <f ca="1">IFERROR(VLOOKUP(D59&amp;"Eng",Feeling!C:D,2,0),"")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IFERROR($C$1-1+_xlfn.RANK.EQ(B60,$B$4:$B$126)+COUNTIF(B$4:$B60,B60)-1,"")</f>
        <v/>
      </c>
      <c r="D60" s="1" t="str">
        <f ca="1">IFERROR(VLOOKUP(C60,Feeling!A:B,2,0),"")</f>
        <v/>
      </c>
      <c r="E60" t="str">
        <f ca="1">IFERROR(VLOOKUP(D60&amp;"Viet",Feeling!C:D,2,0),"")</f>
        <v/>
      </c>
      <c r="F60" t="str">
        <f ca="1">IFERROR(VLOOKUP(D60&amp;"Eng",Feeling!C:D,2,0),"")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IFERROR($C$1-1+_xlfn.RANK.EQ(B61,$B$4:$B$126)+COUNTIF(B$4:$B61,B61)-1,"")</f>
        <v/>
      </c>
      <c r="D61" s="1" t="str">
        <f ca="1">IFERROR(VLOOKUP(C61,Feeling!A:B,2,0),"")</f>
        <v/>
      </c>
      <c r="E61" t="str">
        <f ca="1">IFERROR(VLOOKUP(D61&amp;"Viet",Feeling!C:D,2,0),"")</f>
        <v/>
      </c>
      <c r="F61" t="str">
        <f ca="1">IFERROR(VLOOKUP(D61&amp;"Eng",Feeling!C:D,2,0),"")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IFERROR($C$1-1+_xlfn.RANK.EQ(B62,$B$4:$B$126)+COUNTIF(B$4:$B62,B62)-1,"")</f>
        <v/>
      </c>
      <c r="D62" s="1" t="str">
        <f ca="1">IFERROR(VLOOKUP(C62,Feeling!A:B,2,0),"")</f>
        <v/>
      </c>
      <c r="E62" t="str">
        <f ca="1">IFERROR(VLOOKUP(D62&amp;"Viet",Feeling!C:D,2,0),"")</f>
        <v/>
      </c>
      <c r="F62" t="str">
        <f ca="1">IFERROR(VLOOKUP(D62&amp;"Eng",Feeling!C:D,2,0),"")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IFERROR($C$1-1+_xlfn.RANK.EQ(B63,$B$4:$B$126)+COUNTIF(B$4:$B63,B63)-1,"")</f>
        <v/>
      </c>
      <c r="D63" s="1" t="str">
        <f ca="1">IFERROR(VLOOKUP(C63,Feeling!A:B,2,0),"")</f>
        <v/>
      </c>
      <c r="E63" t="str">
        <f ca="1">IFERROR(VLOOKUP(D63&amp;"Viet",Feeling!C:D,2,0),"")</f>
        <v/>
      </c>
      <c r="F63" t="str">
        <f ca="1">IFERROR(VLOOKUP(D63&amp;"Eng",Feeling!C:D,2,0),"")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IFERROR($C$1-1+_xlfn.RANK.EQ(B64,$B$4:$B$126)+COUNTIF(B$4:$B64,B64)-1,"")</f>
        <v/>
      </c>
      <c r="D64" s="1" t="str">
        <f ca="1">IFERROR(VLOOKUP(C64,Feeling!A:B,2,0),"")</f>
        <v/>
      </c>
      <c r="E64" t="str">
        <f ca="1">IFERROR(VLOOKUP(D64&amp;"Viet",Feeling!C:D,2,0),"")</f>
        <v/>
      </c>
      <c r="F64" t="str">
        <f ca="1">IFERROR(VLOOKUP(D64&amp;"Eng",Feeling!C:D,2,0),"")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IFERROR($C$1-1+_xlfn.RANK.EQ(B65,$B$4:$B$126)+COUNTIF(B$4:$B65,B65)-1,"")</f>
        <v/>
      </c>
      <c r="D65" s="1" t="str">
        <f ca="1">IFERROR(VLOOKUP(C65,Feeling!A:B,2,0),"")</f>
        <v/>
      </c>
      <c r="E65" t="str">
        <f ca="1">IFERROR(VLOOKUP(D65&amp;"Viet",Feeling!C:D,2,0),"")</f>
        <v/>
      </c>
      <c r="F65" t="str">
        <f ca="1">IFERROR(VLOOKUP(D65&amp;"Eng",Feeling!C:D,2,0),"")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IFERROR($C$1-1+_xlfn.RANK.EQ(B66,$B$4:$B$126)+COUNTIF(B$4:$B66,B66)-1,"")</f>
        <v/>
      </c>
      <c r="D66" s="1" t="str">
        <f ca="1">IFERROR(VLOOKUP(C66,Feeling!A:B,2,0),"")</f>
        <v/>
      </c>
      <c r="E66" t="str">
        <f ca="1">IFERROR(VLOOKUP(D66&amp;"Viet",Feeling!C:D,2,0),"")</f>
        <v/>
      </c>
      <c r="F66" t="str">
        <f ca="1">IFERROR(VLOOKUP(D66&amp;"Eng",Feeling!C:D,2,0),"")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IFERROR($C$1-1+_xlfn.RANK.EQ(B67,$B$4:$B$126)+COUNTIF(B$4:$B67,B67)-1,"")</f>
        <v/>
      </c>
      <c r="D67" s="1" t="str">
        <f ca="1">IFERROR(VLOOKUP(C67,Feeling!A:B,2,0),"")</f>
        <v/>
      </c>
      <c r="E67" t="str">
        <f ca="1">IFERROR(VLOOKUP(D67&amp;"Viet",Feeling!C:D,2,0),"")</f>
        <v/>
      </c>
      <c r="F67" t="str">
        <f ca="1">IFERROR(VLOOKUP(D67&amp;"Eng",Feeling!C:D,2,0),"")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IFERROR($C$1-1+_xlfn.RANK.EQ(B68,$B$4:$B$126)+COUNTIF(B$4:$B68,B68)-1,"")</f>
        <v/>
      </c>
      <c r="D68" s="1" t="str">
        <f ca="1">IFERROR(VLOOKUP(C68,Feeling!A:B,2,0),"")</f>
        <v/>
      </c>
      <c r="E68" t="str">
        <f ca="1">IFERROR(VLOOKUP(D68&amp;"Viet",Feeling!C:D,2,0),"")</f>
        <v/>
      </c>
      <c r="F68" t="str">
        <f ca="1">IFERROR(VLOOKUP(D68&amp;"Eng",Feeling!C:D,2,0),"")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IFERROR($C$1-1+_xlfn.RANK.EQ(B69,$B$4:$B$126)+COUNTIF(B$4:$B69,B69)-1,"")</f>
        <v/>
      </c>
      <c r="D69" s="1" t="str">
        <f ca="1">IFERROR(VLOOKUP(C69,Feeling!A:B,2,0),"")</f>
        <v/>
      </c>
      <c r="E69" t="str">
        <f ca="1">IFERROR(VLOOKUP(D69&amp;"Viet",Feeling!C:D,2,0),"")</f>
        <v/>
      </c>
      <c r="F69" t="str">
        <f ca="1">IFERROR(VLOOKUP(D69&amp;"Eng",Feeling!C:D,2,0),"")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IFERROR($C$1-1+_xlfn.RANK.EQ(B70,$B$4:$B$126)+COUNTIF(B$4:$B70,B70)-1,"")</f>
        <v/>
      </c>
      <c r="D70" s="1" t="str">
        <f ca="1">IFERROR(VLOOKUP(C70,Feeling!A:B,2,0),"")</f>
        <v/>
      </c>
      <c r="E70" t="str">
        <f ca="1">IFERROR(VLOOKUP(D70&amp;"Viet",Feeling!C:D,2,0),"")</f>
        <v/>
      </c>
      <c r="F70" t="str">
        <f ca="1">IFERROR(VLOOKUP(D70&amp;"Eng",Feeling!C:D,2,0),"")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IFERROR($C$1-1+_xlfn.RANK.EQ(B71,$B$4:$B$126)+COUNTIF(B$4:$B71,B71)-1,"")</f>
        <v/>
      </c>
      <c r="D71" s="1" t="str">
        <f ca="1">IFERROR(VLOOKUP(C71,Feeling!A:B,2,0),"")</f>
        <v/>
      </c>
      <c r="E71" t="str">
        <f ca="1">IFERROR(VLOOKUP(D71&amp;"Viet",Feeling!C:D,2,0),"")</f>
        <v/>
      </c>
      <c r="F71" t="str">
        <f ca="1">IFERROR(VLOOKUP(D71&amp;"Eng",Feeling!C:D,2,0),"")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IFERROR($C$1-1+_xlfn.RANK.EQ(B72,$B$4:$B$126)+COUNTIF(B$4:$B72,B72)-1,"")</f>
        <v/>
      </c>
      <c r="D72" s="1" t="str">
        <f ca="1">IFERROR(VLOOKUP(C72,Feeling!A:B,2,0),"")</f>
        <v/>
      </c>
      <c r="E72" t="str">
        <f ca="1">IFERROR(VLOOKUP(D72&amp;"Viet",Feeling!C:D,2,0),"")</f>
        <v/>
      </c>
      <c r="F72" t="str">
        <f ca="1">IFERROR(VLOOKUP(D72&amp;"Eng",Feeling!C:D,2,0),"")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IFERROR($C$1-1+_xlfn.RANK.EQ(B73,$B$4:$B$126)+COUNTIF(B$4:$B73,B73)-1,"")</f>
        <v/>
      </c>
      <c r="D73" s="1" t="str">
        <f ca="1">IFERROR(VLOOKUP(C73,Feeling!A:B,2,0),"")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IFERROR($C$1-1+_xlfn.RANK.EQ(B74,$B$4:$B$126)+COUNTIF(B$4:$B74,B74)-1,"")</f>
        <v/>
      </c>
      <c r="D74" s="1" t="str">
        <f ca="1">IFERROR(VLOOKUP(C74,Feeling!A:B,2,0),"")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IFERROR($C$1-1+_xlfn.RANK.EQ(B75,$B$4:$B$126)+COUNTIF(B$4:$B75,B75)-1,"")</f>
        <v/>
      </c>
      <c r="D75" s="1" t="str">
        <f ca="1">IFERROR(VLOOKUP(C75,Feeling!A:B,2,0),"")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IFERROR($C$1-1+_xlfn.RANK.EQ(B76,$B$4:$B$126)+COUNTIF(B$4:$B76,B76)-1,"")</f>
        <v/>
      </c>
      <c r="D76" s="1" t="str">
        <f ca="1">IFERROR(VLOOKUP(C76,Feeling!A:B,2,0),"")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IFERROR($C$1-1+_xlfn.RANK.EQ(B77,$B$4:$B$126)+COUNTIF(B$4:$B77,B77)-1,"")</f>
        <v/>
      </c>
      <c r="D77" s="1" t="str">
        <f ca="1">IFERROR(VLOOKUP(C77,Feeling!A:B,2,0),"")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IFERROR($C$1-1+_xlfn.RANK.EQ(B78,$B$4:$B$126)+COUNTIF(B$4:$B78,B78)-1,"")</f>
        <v/>
      </c>
      <c r="D78" s="1" t="str">
        <f ca="1">IFERROR(VLOOKUP(C78,Feeling!A:B,2,0),"")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IFERROR($C$1-1+_xlfn.RANK.EQ(B79,$B$4:$B$126)+COUNTIF(B$4:$B79,B79)-1,"")</f>
        <v/>
      </c>
      <c r="D79" s="1" t="str">
        <f ca="1">IFERROR(VLOOKUP(C79,Feeling!A:B,2,0),"")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IFERROR($C$1-1+_xlfn.RANK.EQ(B80,$B$4:$B$126)+COUNTIF(B$4:$B80,B80)-1,"")</f>
        <v/>
      </c>
      <c r="D80" s="1" t="str">
        <f ca="1">IFERROR(VLOOKUP(C80,Feeling!A:B,2,0),"")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IFERROR($C$1-1+_xlfn.RANK.EQ(B81,$B$4:$B$126)+COUNTIF(B$4:$B81,B81)-1,"")</f>
        <v/>
      </c>
      <c r="D81" s="1" t="str">
        <f ca="1">IFERROR(VLOOKUP(C81,Feeling!A:B,2,0),"")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IFERROR($C$1-1+_xlfn.RANK.EQ(B82,$B$4:$B$126)+COUNTIF(B$4:$B82,B82)-1,"")</f>
        <v/>
      </c>
      <c r="D82" s="1" t="str">
        <f ca="1">IFERROR(VLOOKUP(C82,Feeling!A:B,2,0),"")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IFERROR($C$1-1+_xlfn.RANK.EQ(B83,$B$4:$B$126)+COUNTIF(B$4:$B83,B83)-1,"")</f>
        <v/>
      </c>
      <c r="D83" s="1" t="str">
        <f ca="1">IFERROR(VLOOKUP(C83,Feeling!A:B,2,0),"")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IFERROR($C$1-1+_xlfn.RANK.EQ(B84,$B$4:$B$126)+COUNTIF(B$4:$B84,B84)-1,"")</f>
        <v/>
      </c>
      <c r="D84" s="1" t="str">
        <f ca="1">IFERROR(VLOOKUP(C84,Feeling!A:B,2,0),"")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IFERROR($C$1-1+_xlfn.RANK.EQ(B85,$B$4:$B$126)+COUNTIF(B$4:$B85,B85)-1,"")</f>
        <v/>
      </c>
      <c r="D85" s="1" t="str">
        <f ca="1">IFERROR(VLOOKUP(C85,Feeling!A:B,2,0),"")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IFERROR($C$1-1+_xlfn.RANK.EQ(B86,$B$4:$B$126)+COUNTIF(B$4:$B86,B86)-1,"")</f>
        <v/>
      </c>
      <c r="D86" s="1" t="str">
        <f ca="1">IFERROR(VLOOKUP(C86,Feeling!A:B,2,0),"")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IFERROR($C$1-1+_xlfn.RANK.EQ(B87,$B$4:$B$126)+COUNTIF(B$4:$B87,B87)-1,"")</f>
        <v/>
      </c>
      <c r="D87" s="1" t="str">
        <f ca="1">IFERROR(VLOOKUP(C87,Feeling!A:B,2,0),"")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IFERROR($C$1-1+_xlfn.RANK.EQ(B88,$B$4:$B$126)+COUNTIF(B$4:$B88,B88)-1,"")</f>
        <v/>
      </c>
      <c r="D88" s="1" t="str">
        <f ca="1">IFERROR(VLOOKUP(C88,Feeling!A:B,2,0),"")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IFERROR($C$1-1+_xlfn.RANK.EQ(B89,$B$4:$B$126)+COUNTIF(B$4:$B89,B89)-1,"")</f>
        <v/>
      </c>
      <c r="D89" s="1" t="str">
        <f ca="1">IFERROR(VLOOKUP(C89,Feeling!A:B,2,0),"")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IFERROR($C$1-1+_xlfn.RANK.EQ(B90,$B$4:$B$126)+COUNTIF(B$4:$B90,B90)-1,"")</f>
        <v/>
      </c>
      <c r="D90" s="1" t="str">
        <f ca="1">IFERROR(VLOOKUP(C90,Feeling!A:B,2,0),"")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IFERROR($C$1-1+_xlfn.RANK.EQ(B91,$B$4:$B$126)+COUNTIF(B$4:$B91,B91)-1,"")</f>
        <v/>
      </c>
      <c r="D91" s="1" t="str">
        <f ca="1">IFERROR(VLOOKUP(C91,Feeling!A:B,2,0),"")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IFERROR($C$1-1+_xlfn.RANK.EQ(B92,$B$4:$B$126)+COUNTIF(B$4:$B92,B92)-1,"")</f>
        <v/>
      </c>
      <c r="D92" s="1" t="str">
        <f ca="1">IFERROR(VLOOKUP(C92,Feeling!A:B,2,0),"")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IFERROR($C$1-1+_xlfn.RANK.EQ(B93,$B$4:$B$126)+COUNTIF(B$4:$B93,B93)-1,"")</f>
        <v/>
      </c>
      <c r="D93" s="1" t="str">
        <f ca="1">IFERROR(VLOOKUP(C93,Feeling!A:B,2,0),"")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IFERROR($C$1-1+_xlfn.RANK.EQ(B94,$B$4:$B$126)+COUNTIF(B$4:$B94,B94)-1,"")</f>
        <v/>
      </c>
      <c r="D94" s="1" t="str">
        <f ca="1">IFERROR(VLOOKUP(C94,Feeling!A:B,2,0),"")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IFERROR($C$1-1+_xlfn.RANK.EQ(B95,$B$4:$B$126)+COUNTIF(B$4:$B95,B95)-1,"")</f>
        <v/>
      </c>
      <c r="D95" s="1" t="str">
        <f ca="1">IFERROR(VLOOKUP(C95,Feeling!A:B,2,0),"")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IFERROR($C$1-1+_xlfn.RANK.EQ(B96,$B$4:$B$126)+COUNTIF(B$4:$B96,B96)-1,"")</f>
        <v/>
      </c>
      <c r="D96" s="1" t="str">
        <f ca="1">IFERROR(VLOOKUP(C96,Feeling!A:B,2,0),"")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IFERROR($C$1-1+_xlfn.RANK.EQ(B97,$B$4:$B$126)+COUNTIF(B$4:$B97,B97)-1,"")</f>
        <v/>
      </c>
      <c r="D97" s="1" t="str">
        <f ca="1">IFERROR(VLOOKUP(C97,Feeling!A:B,2,0),"")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IFERROR($C$1-1+_xlfn.RANK.EQ(B98,$B$4:$B$126)+COUNTIF(B$4:$B98,B98)-1,"")</f>
        <v/>
      </c>
      <c r="D98" s="1" t="str">
        <f ca="1">IFERROR(VLOOKUP(C98,Feeling!A:B,2,0),"")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IFERROR($C$1-1+_xlfn.RANK.EQ(B99,$B$4:$B$126)+COUNTIF(B$4:$B99,B99)-1,"")</f>
        <v/>
      </c>
      <c r="D99" s="1" t="str">
        <f ca="1">IFERROR(VLOOKUP(C99,Feeling!A:B,2,0),"")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IFERROR($C$1-1+_xlfn.RANK.EQ(B100,$B$4:$B$126)+COUNTIF(B$4:$B100,B100)-1,"")</f>
        <v/>
      </c>
      <c r="D100" s="1" t="str">
        <f ca="1">IFERROR(VLOOKUP(C100,Feeling!A:B,2,0),"")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IFERROR($C$1-1+_xlfn.RANK.EQ(B101,$B$4:$B$126)+COUNTIF(B$4:$B101,B101)-1,"")</f>
        <v/>
      </c>
      <c r="D101" s="1" t="str">
        <f ca="1">IFERROR(VLOOKUP(C101,Feeling!A:B,2,0),"")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IFERROR($C$1-1+_xlfn.RANK.EQ(B102,$B$4:$B$126)+COUNTIF(B$4:$B102,B102)-1,"")</f>
        <v/>
      </c>
      <c r="D102" s="1" t="str">
        <f ca="1">IFERROR(VLOOKUP(C102,Feeling!A:B,2,0),"")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IFERROR($C$1-1+_xlfn.RANK.EQ(B103,$B$4:$B$126)+COUNTIF(B$4:$B103,B103)-1,"")</f>
        <v/>
      </c>
      <c r="D103" s="1" t="str">
        <f ca="1">IFERROR(VLOOKUP(C103,Feeling!A:B,2,0),"")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IFERROR($C$1-1+_xlfn.RANK.EQ(B104,$B$4:$B$126)+COUNTIF(B$4:$B104,B104)-1,"")</f>
        <v/>
      </c>
      <c r="D104" s="1" t="str">
        <f ca="1">IFERROR(VLOOKUP(C104,Feeling!A:B,2,0),"")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IFERROR($C$1-1+_xlfn.RANK.EQ(B105,$B$4:$B$126)+COUNTIF(B$4:$B105,B105)-1,"")</f>
        <v/>
      </c>
      <c r="D105" s="1" t="str">
        <f ca="1">IFERROR(VLOOKUP(C105,Feeling!A:B,2,0),"")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IFERROR($C$1-1+_xlfn.RANK.EQ(B106,$B$4:$B$126)+COUNTIF(B$4:$B106,B106)-1,"")</f>
        <v/>
      </c>
      <c r="D106" s="1" t="str">
        <f ca="1">IFERROR(VLOOKUP(C106,Feeling!A:B,2,0),"")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IFERROR($C$1-1+_xlfn.RANK.EQ(B107,$B$4:$B$126)+COUNTIF(B$4:$B107,B107)-1,"")</f>
        <v/>
      </c>
      <c r="D107" s="1" t="str">
        <f ca="1">IFERROR(VLOOKUP(C107,Feeling!A:B,2,0),"")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IFERROR($C$1-1+_xlfn.RANK.EQ(B108,$B$4:$B$126)+COUNTIF(B$4:$B108,B108)-1,"")</f>
        <v/>
      </c>
      <c r="D108" s="1" t="str">
        <f ca="1">IFERROR(VLOOKUP(C108,Feeling!A:B,2,0),"")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IFERROR($C$1-1+_xlfn.RANK.EQ(B109,$B$4:$B$126)+COUNTIF(B$4:$B109,B109)-1,"")</f>
        <v/>
      </c>
      <c r="D109" s="1" t="str">
        <f ca="1">IFERROR(VLOOKUP(C109,Feeling!A:B,2,0),"")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IFERROR($C$1-1+_xlfn.RANK.EQ(B110,$B$4:$B$126)+COUNTIF(B$4:$B110,B110)-1,"")</f>
        <v/>
      </c>
      <c r="D110" s="1" t="str">
        <f ca="1">IFERROR(VLOOKUP(C110,Feeling!A:B,2,0),"")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IFERROR($C$1-1+_xlfn.RANK.EQ(B111,$B$4:$B$126)+COUNTIF(B$4:$B111,B111)-1,"")</f>
        <v/>
      </c>
      <c r="D111" s="1" t="str">
        <f ca="1">IFERROR(VLOOKUP(C111,Feeling!A:B,2,0),"")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IFERROR($C$1-1+_xlfn.RANK.EQ(B112,$B$4:$B$126)+COUNTIF(B$4:$B112,B112)-1,"")</f>
        <v/>
      </c>
      <c r="D112" s="1" t="str">
        <f ca="1">IFERROR(VLOOKUP(C112,Feeling!A:B,2,0),"")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IFERROR($C$1-1+_xlfn.RANK.EQ(B113,$B$4:$B$126)+COUNTIF(B$4:$B113,B113)-1,"")</f>
        <v/>
      </c>
      <c r="D113" s="1" t="str">
        <f ca="1">IFERROR(VLOOKUP(C113,Feeling!A:B,2,0),"")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IFERROR($C$1-1+_xlfn.RANK.EQ(B114,$B$4:$B$126)+COUNTIF(B$4:$B114,B114)-1,"")</f>
        <v/>
      </c>
      <c r="D114" s="1" t="str">
        <f ca="1">IFERROR(VLOOKUP(C114,Feeling!A:B,2,0),"")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IFERROR($C$1-1+_xlfn.RANK.EQ(B115,$B$4:$B$126)+COUNTIF(B$4:$B115,B115)-1,"")</f>
        <v/>
      </c>
      <c r="D115" s="1" t="str">
        <f ca="1">IFERROR(VLOOKUP(C115,Feeling!A:B,2,0),"")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IFERROR($C$1-1+_xlfn.RANK.EQ(B116,$B$4:$B$126)+COUNTIF(B$4:$B116,B116)-1,"")</f>
        <v/>
      </c>
      <c r="D116" s="1" t="str">
        <f ca="1">IFERROR(VLOOKUP(C116,Feeling!A:B,2,0),"")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IFERROR($C$1-1+_xlfn.RANK.EQ(B117,$B$4:$B$126)+COUNTIF(B$4:$B117,B117)-1,"")</f>
        <v/>
      </c>
      <c r="D117" s="1" t="str">
        <f ca="1">IFERROR(VLOOKUP(C117,Feeling!A:B,2,0),"")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IFERROR($C$1-1+_xlfn.RANK.EQ(B118,$B$4:$B$126)+COUNTIF(B$4:$B118,B118)-1,"")</f>
        <v/>
      </c>
      <c r="D118" s="1" t="str">
        <f ca="1">IFERROR(VLOOKUP(C118,Feeling!A:B,2,0),"")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IFERROR($C$1-1+_xlfn.RANK.EQ(B119,$B$4:$B$126)+COUNTIF(B$4:$B119,B119)-1,"")</f>
        <v/>
      </c>
      <c r="D119" s="1" t="str">
        <f ca="1">IFERROR(VLOOKUP(C119,Feeling!A:B,2,0),"")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IFERROR($C$1-1+_xlfn.RANK.EQ(B120,$B$4:$B$126)+COUNTIF(B$4:$B120,B120)-1,"")</f>
        <v/>
      </c>
      <c r="D120" s="1" t="str">
        <f ca="1">IFERROR(VLOOKUP(C120,Feeling!A:B,2,0),"")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IFERROR($C$1-1+_xlfn.RANK.EQ(B121,$B$4:$B$126)+COUNTIF(B$4:$B121,B121)-1,"")</f>
        <v/>
      </c>
      <c r="D121" s="1" t="str">
        <f ca="1">IFERROR(VLOOKUP(C121,Feeling!A:B,2,0),"")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IFERROR($C$1-1+_xlfn.RANK.EQ(B122,$B$4:$B$126)+COUNTIF(B$4:$B122,B122)-1,"")</f>
        <v/>
      </c>
      <c r="D122" s="1" t="str">
        <f ca="1">IFERROR(VLOOKUP(C122,Feeling!A:B,2,0),"")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IFERROR($C$1-1+_xlfn.RANK.EQ(B123,$B$4:$B$126)+COUNTIF(B$4:$B123,B123)-1,"")</f>
        <v/>
      </c>
      <c r="D123" s="1" t="str">
        <f ca="1">IFERROR(VLOOKUP(C123,Feeling!A:B,2,0),"")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IFERROR($C$1-1+_xlfn.RANK.EQ(B124,$B$4:$B$126)+COUNTIF(B$4:$B124,B124)-1,"")</f>
        <v/>
      </c>
      <c r="D124" s="1" t="str">
        <f ca="1">IFERROR(VLOOKUP(C124,Feeling!A:B,2,0),"")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IFERROR($C$1-1+_xlfn.RANK.EQ(B125,$B$4:$B$126)+COUNTIF(B$4:$B125,B125)-1,"")</f>
        <v/>
      </c>
      <c r="D125" s="1" t="str">
        <f ca="1">IFERROR(VLOOKUP(C125,Feeling!A:B,2,0),"")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IFERROR($C$1-1+_xlfn.RANK.EQ(B126,$B$4:$B$126)+COUNTIF(B$4:$B126,B126)-1,"")</f>
        <v/>
      </c>
      <c r="D126" s="1" t="str">
        <f ca="1">IFERROR(VLOOKUP(C126,Feeling!A:B,2,0),"")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IFERROR($C$1-1+_xlfn.RANK.EQ(B127,$B$4:$B$126)+COUNTIF(B$4:$B127,B127)-1,"")</f>
        <v/>
      </c>
      <c r="D127" s="1" t="str">
        <f ca="1">IFERROR(VLOOKUP(C127,Feeling!A:B,2,0),"")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IFERROR($C$1-1+_xlfn.RANK.EQ(B128,$B$4:$B$126)+COUNTIF(B$4:$B128,B128)-1,"")</f>
        <v/>
      </c>
      <c r="D128" s="1" t="str">
        <f ca="1">IFERROR(VLOOKUP(C128,Feeling!A:B,2,0),"")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IFERROR($C$1-1+_xlfn.RANK.EQ(B129,$B$4:$B$126)+COUNTIF(B$4:$B129,B129)-1,"")</f>
        <v/>
      </c>
      <c r="D129" s="1" t="str">
        <f ca="1">IFERROR(VLOOKUP(C129,Feeling!A:B,2,0),"")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IFERROR($C$1-1+_xlfn.RANK.EQ(B130,$B$4:$B$126)+COUNTIF(B$4:$B130,B130)-1,"")</f>
        <v/>
      </c>
      <c r="D130" s="1" t="str">
        <f ca="1">IFERROR(VLOOKUP(C130,Feeling!A:B,2,0),"")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IFERROR($C$1-1+_xlfn.RANK.EQ(B131,$B$4:$B$126)+COUNTIF(B$4:$B131,B131)-1,"")</f>
        <v/>
      </c>
      <c r="D131" s="1" t="str">
        <f ca="1">IFERROR(VLOOKUP(C131,Feeling!A:B,2,0),"")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IFERROR($C$1-1+_xlfn.RANK.EQ(B132,$B$4:$B$126)+COUNTIF(B$4:$B132,B132)-1,"")</f>
        <v/>
      </c>
      <c r="D132" s="1" t="str">
        <f ca="1">IFERROR(VLOOKUP(C132,Feeling!A:B,2,0),"")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IFERROR($C$1-1+_xlfn.RANK.EQ(B133,$B$4:$B$126)+COUNTIF(B$4:$B133,B133)-1,"")</f>
        <v/>
      </c>
      <c r="D133" s="1" t="str">
        <f ca="1">IFERROR(VLOOKUP(C133,Feeling!A:B,2,0),"")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IFERROR($C$1-1+_xlfn.RANK.EQ(B134,$B$4:$B$126)+COUNTIF(B$4:$B134,B134)-1,"")</f>
        <v/>
      </c>
      <c r="D134" s="1" t="str">
        <f ca="1">IFERROR(VLOOKUP(C134,Feeling!A:B,2,0),"")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IFERROR($C$1-1+_xlfn.RANK.EQ(B135,$B$4:$B$126)+COUNTIF(B$4:$B135,B135)-1,"")</f>
        <v/>
      </c>
      <c r="D135" s="1" t="str">
        <f ca="1">IFERROR(VLOOKUP(C135,Feeling!A:B,2,0),"")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IFERROR($C$1-1+_xlfn.RANK.EQ(B136,$B$4:$B$126)+COUNTIF(B$4:$B136,B136)-1,"")</f>
        <v/>
      </c>
      <c r="D136" s="1" t="str">
        <f ca="1">IFERROR(VLOOKUP(C136,Feeling!A:B,2,0),"")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IFERROR($C$1-1+_xlfn.RANK.EQ(B137,$B$4:$B$126)+COUNTIF(B$4:$B137,B137)-1,"")</f>
        <v/>
      </c>
      <c r="D137" s="1" t="str">
        <f ca="1">IFERROR(VLOOKUP(C137,Feeling!A:B,2,0),"")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IFERROR($C$1-1+_xlfn.RANK.EQ(B138,$B$4:$B$126)+COUNTIF(B$4:$B138,B138)-1,"")</f>
        <v/>
      </c>
      <c r="D138" s="1" t="str">
        <f ca="1">IFERROR(VLOOKUP(C138,Feeling!A:B,2,0),"")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IFERROR($C$1-1+_xlfn.RANK.EQ(B139,$B$4:$B$126)+COUNTIF(B$4:$B139,B139)-1,"")</f>
        <v/>
      </c>
      <c r="D139" s="1" t="str">
        <f ca="1">IFERROR(VLOOKUP(C139,Feeling!A:B,2,0),"")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IFERROR($C$1-1+_xlfn.RANK.EQ(B140,$B$4:$B$126)+COUNTIF(B$4:$B140,B140)-1,"")</f>
        <v/>
      </c>
      <c r="D140" s="1" t="str">
        <f ca="1">IFERROR(VLOOKUP(C140,Feeling!A:B,2,0),"")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IFERROR($C$1-1+_xlfn.RANK.EQ(B141,$B$4:$B$126)+COUNTIF(B$4:$B141,B141)-1,"")</f>
        <v/>
      </c>
      <c r="D141" s="1" t="str">
        <f ca="1">IFERROR(VLOOKUP(C141,Feeling!A:B,2,0),"")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IFERROR($C$1-1+_xlfn.RANK.EQ(B142,$B$4:$B$126)+COUNTIF(B$4:$B142,B142)-1,"")</f>
        <v/>
      </c>
      <c r="D142" s="1" t="str">
        <f ca="1">IFERROR(VLOOKUP(C142,Feeling!A:B,2,0),"")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sheetPr filterMode="1"/>
  <dimension ref="A1:I247"/>
  <sheetViews>
    <sheetView topLeftCell="A65" zoomScale="96" zoomScaleNormal="96" workbookViewId="0">
      <selection activeCell="B93" sqref="B3:B93"/>
    </sheetView>
  </sheetViews>
  <sheetFormatPr defaultRowHeight="13.8" x14ac:dyDescent="0.25"/>
  <cols>
    <col min="1" max="1" width="8.796875" style="25"/>
    <col min="2" max="2" width="51" style="25" bestFit="1" customWidth="1"/>
    <col min="3" max="16384" width="8.796875" style="25"/>
  </cols>
  <sheetData>
    <row r="1" spans="1:4" x14ac:dyDescent="0.25">
      <c r="A1" s="25" t="s">
        <v>1</v>
      </c>
      <c r="B1" s="25" t="s">
        <v>0</v>
      </c>
      <c r="C1" s="25" t="s">
        <v>2</v>
      </c>
    </row>
    <row r="2" spans="1:4" hidden="1" x14ac:dyDescent="0.25">
      <c r="A2" s="25" t="s">
        <v>13</v>
      </c>
      <c r="B2" s="25" t="s">
        <v>53</v>
      </c>
      <c r="C2" s="25" t="s">
        <v>3</v>
      </c>
    </row>
    <row r="3" spans="1:4" x14ac:dyDescent="0.25">
      <c r="A3" s="3" t="s">
        <v>31</v>
      </c>
      <c r="B3" s="3" t="s">
        <v>136</v>
      </c>
      <c r="C3" s="3" t="s">
        <v>4</v>
      </c>
      <c r="D3" s="25">
        <v>1</v>
      </c>
    </row>
    <row r="4" spans="1:4" hidden="1" x14ac:dyDescent="0.25">
      <c r="A4" s="25" t="s">
        <v>14</v>
      </c>
      <c r="B4" s="25" t="s">
        <v>55</v>
      </c>
      <c r="C4" s="25" t="s">
        <v>3</v>
      </c>
    </row>
    <row r="5" spans="1:4" x14ac:dyDescent="0.25">
      <c r="A5" s="3" t="s">
        <v>466</v>
      </c>
      <c r="B5" s="3" t="s">
        <v>68</v>
      </c>
      <c r="C5" s="3" t="s">
        <v>4</v>
      </c>
      <c r="D5" s="25">
        <v>2</v>
      </c>
    </row>
    <row r="6" spans="1:4" hidden="1" x14ac:dyDescent="0.25">
      <c r="A6" s="25" t="s">
        <v>12</v>
      </c>
      <c r="B6" s="25" t="s">
        <v>57</v>
      </c>
      <c r="C6" s="25" t="s">
        <v>3</v>
      </c>
    </row>
    <row r="7" spans="1:4" x14ac:dyDescent="0.25">
      <c r="A7" s="3" t="s">
        <v>15</v>
      </c>
      <c r="B7" s="3" t="s">
        <v>74</v>
      </c>
      <c r="C7" s="3" t="s">
        <v>4</v>
      </c>
      <c r="D7" s="25">
        <v>3</v>
      </c>
    </row>
    <row r="8" spans="1:4" hidden="1" x14ac:dyDescent="0.25">
      <c r="A8" s="25" t="s">
        <v>47</v>
      </c>
      <c r="B8" s="25" t="s">
        <v>59</v>
      </c>
      <c r="C8" s="25" t="s">
        <v>3</v>
      </c>
    </row>
    <row r="9" spans="1:4" x14ac:dyDescent="0.25">
      <c r="A9" s="3" t="s">
        <v>17</v>
      </c>
      <c r="B9" s="3" t="s">
        <v>76</v>
      </c>
      <c r="C9" s="3" t="s">
        <v>4</v>
      </c>
      <c r="D9" s="25">
        <v>4</v>
      </c>
    </row>
    <row r="10" spans="1:4" hidden="1" x14ac:dyDescent="0.25">
      <c r="A10" s="25" t="s">
        <v>48</v>
      </c>
      <c r="B10" s="25" t="s">
        <v>61</v>
      </c>
      <c r="C10" s="25" t="s">
        <v>3</v>
      </c>
    </row>
    <row r="11" spans="1:4" x14ac:dyDescent="0.25">
      <c r="A11" s="3" t="s">
        <v>49</v>
      </c>
      <c r="B11" s="3" t="s">
        <v>80</v>
      </c>
      <c r="C11" s="3" t="s">
        <v>4</v>
      </c>
      <c r="D11" s="25">
        <v>5</v>
      </c>
    </row>
    <row r="12" spans="1:4" hidden="1" x14ac:dyDescent="0.25">
      <c r="A12" s="25" t="s">
        <v>464</v>
      </c>
      <c r="B12" s="25" t="s">
        <v>63</v>
      </c>
      <c r="C12" s="25" t="s">
        <v>3</v>
      </c>
    </row>
    <row r="13" spans="1:4" x14ac:dyDescent="0.25">
      <c r="A13" s="3" t="s">
        <v>28</v>
      </c>
      <c r="B13" s="3" t="s">
        <v>120</v>
      </c>
      <c r="C13" s="3" t="s">
        <v>4</v>
      </c>
      <c r="D13" s="25">
        <v>6</v>
      </c>
    </row>
    <row r="14" spans="1:4" hidden="1" x14ac:dyDescent="0.25">
      <c r="A14" s="25" t="s">
        <v>465</v>
      </c>
      <c r="B14" s="25" t="s">
        <v>65</v>
      </c>
      <c r="C14" s="25" t="s">
        <v>3</v>
      </c>
    </row>
    <row r="15" spans="1:4" x14ac:dyDescent="0.25">
      <c r="A15" s="3" t="s">
        <v>464</v>
      </c>
      <c r="B15" s="3" t="s">
        <v>64</v>
      </c>
      <c r="C15" s="3" t="s">
        <v>4</v>
      </c>
      <c r="D15" s="25">
        <v>7</v>
      </c>
    </row>
    <row r="16" spans="1:4" hidden="1" x14ac:dyDescent="0.25">
      <c r="A16" s="25" t="s">
        <v>466</v>
      </c>
      <c r="B16" s="25" t="s">
        <v>67</v>
      </c>
      <c r="C16" s="25" t="s">
        <v>3</v>
      </c>
    </row>
    <row r="17" spans="1:4" x14ac:dyDescent="0.25">
      <c r="A17" s="3" t="s">
        <v>20</v>
      </c>
      <c r="B17" s="3" t="s">
        <v>94</v>
      </c>
      <c r="C17" s="3" t="s">
        <v>4</v>
      </c>
      <c r="D17" s="25">
        <v>7</v>
      </c>
    </row>
    <row r="18" spans="1:4" hidden="1" x14ac:dyDescent="0.25">
      <c r="A18" s="25" t="s">
        <v>467</v>
      </c>
      <c r="B18" s="25" t="s">
        <v>69</v>
      </c>
      <c r="C18" s="25" t="s">
        <v>3</v>
      </c>
    </row>
    <row r="19" spans="1:4" x14ac:dyDescent="0.25">
      <c r="A19" s="3" t="s">
        <v>50</v>
      </c>
      <c r="B19" s="3" t="s">
        <v>82</v>
      </c>
      <c r="C19" s="3" t="s">
        <v>4</v>
      </c>
      <c r="D19" s="25">
        <v>8</v>
      </c>
    </row>
    <row r="20" spans="1:4" hidden="1" x14ac:dyDescent="0.25">
      <c r="A20" s="25" t="s">
        <v>468</v>
      </c>
      <c r="B20" s="25" t="s">
        <v>71</v>
      </c>
      <c r="C20" s="25" t="s">
        <v>3</v>
      </c>
    </row>
    <row r="21" spans="1:4" x14ac:dyDescent="0.25">
      <c r="A21" s="3" t="s">
        <v>480</v>
      </c>
      <c r="B21" s="3" t="s">
        <v>144</v>
      </c>
      <c r="C21" s="3" t="s">
        <v>4</v>
      </c>
      <c r="D21" s="25">
        <v>9</v>
      </c>
    </row>
    <row r="22" spans="1:4" hidden="1" x14ac:dyDescent="0.25">
      <c r="A22" s="25" t="s">
        <v>15</v>
      </c>
      <c r="B22" s="25" t="s">
        <v>73</v>
      </c>
      <c r="C22" s="25" t="s">
        <v>3</v>
      </c>
    </row>
    <row r="23" spans="1:4" x14ac:dyDescent="0.25">
      <c r="A23" s="3" t="s">
        <v>482</v>
      </c>
      <c r="B23" s="3" t="s">
        <v>148</v>
      </c>
      <c r="C23" s="3" t="s">
        <v>4</v>
      </c>
      <c r="D23" s="25">
        <v>10</v>
      </c>
    </row>
    <row r="24" spans="1:4" hidden="1" x14ac:dyDescent="0.25">
      <c r="A24" s="25" t="s">
        <v>17</v>
      </c>
      <c r="B24" s="25" t="s">
        <v>75</v>
      </c>
      <c r="C24" s="25" t="s">
        <v>3</v>
      </c>
    </row>
    <row r="25" spans="1:4" x14ac:dyDescent="0.25">
      <c r="A25" s="3" t="s">
        <v>467</v>
      </c>
      <c r="B25" s="3" t="s">
        <v>70</v>
      </c>
      <c r="C25" s="3" t="s">
        <v>4</v>
      </c>
      <c r="D25" s="25">
        <v>11</v>
      </c>
    </row>
    <row r="26" spans="1:4" hidden="1" x14ac:dyDescent="0.25">
      <c r="A26" s="25" t="s">
        <v>16</v>
      </c>
      <c r="B26" s="25" t="s">
        <v>77</v>
      </c>
      <c r="C26" s="25" t="s">
        <v>3</v>
      </c>
    </row>
    <row r="27" spans="1:4" x14ac:dyDescent="0.25">
      <c r="A27" s="3" t="s">
        <v>481</v>
      </c>
      <c r="B27" s="3" t="s">
        <v>146</v>
      </c>
      <c r="C27" s="3" t="s">
        <v>4</v>
      </c>
      <c r="D27" s="25">
        <v>12</v>
      </c>
    </row>
    <row r="28" spans="1:4" hidden="1" x14ac:dyDescent="0.25">
      <c r="A28" s="25" t="s">
        <v>49</v>
      </c>
      <c r="B28" s="25" t="s">
        <v>79</v>
      </c>
      <c r="C28" s="25" t="s">
        <v>3</v>
      </c>
    </row>
    <row r="29" spans="1:4" x14ac:dyDescent="0.25">
      <c r="A29" s="3" t="s">
        <v>27</v>
      </c>
      <c r="B29" s="3" t="s">
        <v>118</v>
      </c>
      <c r="C29" s="3" t="s">
        <v>4</v>
      </c>
      <c r="D29" s="25">
        <v>13</v>
      </c>
    </row>
    <row r="30" spans="1:4" hidden="1" x14ac:dyDescent="0.25">
      <c r="A30" s="25" t="s">
        <v>50</v>
      </c>
      <c r="B30" s="25" t="s">
        <v>81</v>
      </c>
      <c r="C30" s="25" t="s">
        <v>3</v>
      </c>
    </row>
    <row r="31" spans="1:4" x14ac:dyDescent="0.25">
      <c r="A31" s="3" t="s">
        <v>24</v>
      </c>
      <c r="B31" s="3" t="s">
        <v>108</v>
      </c>
      <c r="C31" s="3" t="s">
        <v>4</v>
      </c>
      <c r="D31" s="25">
        <v>14</v>
      </c>
    </row>
    <row r="32" spans="1:4" hidden="1" x14ac:dyDescent="0.25">
      <c r="A32" s="25" t="s">
        <v>469</v>
      </c>
      <c r="B32" s="25" t="s">
        <v>83</v>
      </c>
      <c r="C32" s="25" t="s">
        <v>3</v>
      </c>
    </row>
    <row r="33" spans="1:4" x14ac:dyDescent="0.25">
      <c r="A33" s="3" t="s">
        <v>48</v>
      </c>
      <c r="B33" s="3" t="s">
        <v>62</v>
      </c>
      <c r="C33" s="3" t="s">
        <v>4</v>
      </c>
      <c r="D33" s="25">
        <v>15</v>
      </c>
    </row>
    <row r="34" spans="1:4" hidden="1" x14ac:dyDescent="0.25">
      <c r="A34" s="25" t="s">
        <v>470</v>
      </c>
      <c r="B34" s="25" t="s">
        <v>85</v>
      </c>
      <c r="C34" s="25" t="s">
        <v>3</v>
      </c>
    </row>
    <row r="35" spans="1:4" x14ac:dyDescent="0.25">
      <c r="A35" s="3" t="s">
        <v>470</v>
      </c>
      <c r="B35" s="3" t="s">
        <v>86</v>
      </c>
      <c r="C35" s="3" t="s">
        <v>4</v>
      </c>
      <c r="D35" s="25">
        <v>16</v>
      </c>
    </row>
    <row r="36" spans="1:4" hidden="1" x14ac:dyDescent="0.25">
      <c r="A36" s="25" t="s">
        <v>471</v>
      </c>
      <c r="B36" s="25" t="s">
        <v>87</v>
      </c>
      <c r="C36" s="25" t="s">
        <v>3</v>
      </c>
    </row>
    <row r="37" spans="1:4" x14ac:dyDescent="0.25">
      <c r="A37" s="3" t="s">
        <v>30</v>
      </c>
      <c r="B37" s="3" t="s">
        <v>134</v>
      </c>
      <c r="C37" s="3" t="s">
        <v>4</v>
      </c>
      <c r="D37" s="25">
        <v>17</v>
      </c>
    </row>
    <row r="38" spans="1:4" hidden="1" x14ac:dyDescent="0.25">
      <c r="A38" s="25" t="s">
        <v>18</v>
      </c>
      <c r="B38" s="25" t="s">
        <v>89</v>
      </c>
      <c r="C38" s="25" t="s">
        <v>3</v>
      </c>
    </row>
    <row r="39" spans="1:4" x14ac:dyDescent="0.25">
      <c r="A39" s="3" t="s">
        <v>19</v>
      </c>
      <c r="B39" s="3" t="s">
        <v>92</v>
      </c>
      <c r="C39" s="3" t="s">
        <v>4</v>
      </c>
      <c r="D39" s="25">
        <v>18</v>
      </c>
    </row>
    <row r="40" spans="1:4" hidden="1" x14ac:dyDescent="0.25">
      <c r="A40" s="25" t="s">
        <v>19</v>
      </c>
      <c r="B40" s="25" t="s">
        <v>91</v>
      </c>
      <c r="C40" s="25" t="s">
        <v>3</v>
      </c>
    </row>
    <row r="41" spans="1:4" x14ac:dyDescent="0.25">
      <c r="A41" s="3" t="s">
        <v>471</v>
      </c>
      <c r="B41" s="3" t="s">
        <v>88</v>
      </c>
      <c r="C41" s="3" t="s">
        <v>4</v>
      </c>
      <c r="D41" s="25">
        <v>19</v>
      </c>
    </row>
    <row r="42" spans="1:4" hidden="1" x14ac:dyDescent="0.25">
      <c r="A42" s="25" t="s">
        <v>20</v>
      </c>
      <c r="B42" s="25" t="s">
        <v>93</v>
      </c>
      <c r="C42" s="25" t="s">
        <v>3</v>
      </c>
    </row>
    <row r="43" spans="1:4" x14ac:dyDescent="0.25">
      <c r="A43" s="3" t="s">
        <v>26</v>
      </c>
      <c r="B43" s="3" t="s">
        <v>112</v>
      </c>
      <c r="C43" s="3" t="s">
        <v>4</v>
      </c>
      <c r="D43" s="25">
        <v>21</v>
      </c>
    </row>
    <row r="44" spans="1:4" hidden="1" x14ac:dyDescent="0.25">
      <c r="A44" s="25" t="s">
        <v>472</v>
      </c>
      <c r="B44" s="25" t="s">
        <v>95</v>
      </c>
      <c r="C44" s="25" t="s">
        <v>3</v>
      </c>
    </row>
    <row r="45" spans="1:4" x14ac:dyDescent="0.25">
      <c r="A45" s="3" t="s">
        <v>43</v>
      </c>
      <c r="B45" s="3" t="s">
        <v>114</v>
      </c>
      <c r="C45" s="3" t="s">
        <v>4</v>
      </c>
      <c r="D45" s="25">
        <v>22</v>
      </c>
    </row>
    <row r="46" spans="1:4" hidden="1" x14ac:dyDescent="0.25">
      <c r="A46" s="25" t="s">
        <v>473</v>
      </c>
      <c r="B46" s="25" t="s">
        <v>97</v>
      </c>
      <c r="C46" s="25" t="s">
        <v>3</v>
      </c>
    </row>
    <row r="47" spans="1:4" x14ac:dyDescent="0.25">
      <c r="A47" s="3" t="s">
        <v>474</v>
      </c>
      <c r="B47" s="3" t="s">
        <v>116</v>
      </c>
      <c r="C47" s="3" t="s">
        <v>4</v>
      </c>
      <c r="D47" s="25">
        <v>23</v>
      </c>
    </row>
    <row r="48" spans="1:4" hidden="1" x14ac:dyDescent="0.25">
      <c r="A48" s="25" t="s">
        <v>21</v>
      </c>
      <c r="B48" s="25" t="s">
        <v>99</v>
      </c>
      <c r="C48" s="25" t="s">
        <v>3</v>
      </c>
    </row>
    <row r="49" spans="1:4" x14ac:dyDescent="0.25">
      <c r="A49" s="3" t="s">
        <v>473</v>
      </c>
      <c r="B49" s="3" t="s">
        <v>98</v>
      </c>
      <c r="C49" s="3" t="s">
        <v>4</v>
      </c>
      <c r="D49" s="25">
        <v>24</v>
      </c>
    </row>
    <row r="50" spans="1:4" hidden="1" x14ac:dyDescent="0.25">
      <c r="A50" s="25" t="s">
        <v>22</v>
      </c>
      <c r="B50" s="25" t="s">
        <v>101</v>
      </c>
      <c r="C50" s="25" t="s">
        <v>3</v>
      </c>
    </row>
    <row r="51" spans="1:4" x14ac:dyDescent="0.25">
      <c r="A51" s="3" t="s">
        <v>476</v>
      </c>
      <c r="B51" s="3" t="s">
        <v>128</v>
      </c>
      <c r="C51" s="3" t="s">
        <v>4</v>
      </c>
      <c r="D51" s="25">
        <v>25</v>
      </c>
    </row>
    <row r="52" spans="1:4" hidden="1" x14ac:dyDescent="0.25">
      <c r="A52" s="25" t="s">
        <v>23</v>
      </c>
      <c r="B52" s="25" t="s">
        <v>103</v>
      </c>
      <c r="C52" s="25" t="s">
        <v>3</v>
      </c>
    </row>
    <row r="53" spans="1:4" x14ac:dyDescent="0.25">
      <c r="A53" s="3" t="s">
        <v>51</v>
      </c>
      <c r="B53" s="3" t="s">
        <v>124</v>
      </c>
      <c r="C53" s="3" t="s">
        <v>4</v>
      </c>
      <c r="D53" s="25">
        <v>26</v>
      </c>
    </row>
    <row r="54" spans="1:4" hidden="1" x14ac:dyDescent="0.25">
      <c r="A54" s="25" t="s">
        <v>42</v>
      </c>
      <c r="B54" s="25" t="s">
        <v>105</v>
      </c>
      <c r="C54" s="25" t="s">
        <v>3</v>
      </c>
    </row>
    <row r="55" spans="1:4" x14ac:dyDescent="0.25">
      <c r="A55" s="3" t="s">
        <v>47</v>
      </c>
      <c r="B55" s="3" t="s">
        <v>60</v>
      </c>
      <c r="C55" s="3" t="s">
        <v>4</v>
      </c>
      <c r="D55" s="25">
        <v>27</v>
      </c>
    </row>
    <row r="56" spans="1:4" hidden="1" x14ac:dyDescent="0.25">
      <c r="A56" s="25" t="s">
        <v>24</v>
      </c>
      <c r="B56" s="25" t="s">
        <v>107</v>
      </c>
      <c r="C56" s="25" t="s">
        <v>3</v>
      </c>
    </row>
    <row r="57" spans="1:4" x14ac:dyDescent="0.25">
      <c r="A57" s="3" t="s">
        <v>29</v>
      </c>
      <c r="B57" s="3" t="s">
        <v>122</v>
      </c>
      <c r="C57" s="3" t="s">
        <v>4</v>
      </c>
      <c r="D57" s="25">
        <v>28</v>
      </c>
    </row>
    <row r="58" spans="1:4" hidden="1" x14ac:dyDescent="0.25">
      <c r="A58" s="25" t="s">
        <v>25</v>
      </c>
      <c r="B58" s="25" t="s">
        <v>109</v>
      </c>
      <c r="C58" s="25" t="s">
        <v>3</v>
      </c>
    </row>
    <row r="59" spans="1:4" x14ac:dyDescent="0.25">
      <c r="A59" s="3" t="s">
        <v>14</v>
      </c>
      <c r="B59" s="3" t="s">
        <v>56</v>
      </c>
      <c r="C59" s="3" t="s">
        <v>4</v>
      </c>
      <c r="D59" s="25">
        <v>29</v>
      </c>
    </row>
    <row r="60" spans="1:4" hidden="1" x14ac:dyDescent="0.25">
      <c r="A60" s="25" t="s">
        <v>26</v>
      </c>
      <c r="B60" s="25" t="s">
        <v>111</v>
      </c>
      <c r="C60" s="25" t="s">
        <v>3</v>
      </c>
    </row>
    <row r="61" spans="1:4" x14ac:dyDescent="0.25">
      <c r="A61" s="3" t="s">
        <v>478</v>
      </c>
      <c r="B61" s="3" t="s">
        <v>132</v>
      </c>
      <c r="C61" s="3" t="s">
        <v>4</v>
      </c>
      <c r="D61" s="25">
        <v>30</v>
      </c>
    </row>
    <row r="62" spans="1:4" hidden="1" x14ac:dyDescent="0.25">
      <c r="A62" s="25" t="s">
        <v>43</v>
      </c>
      <c r="B62" s="25" t="s">
        <v>113</v>
      </c>
      <c r="C62" s="25" t="s">
        <v>3</v>
      </c>
    </row>
    <row r="63" spans="1:4" x14ac:dyDescent="0.25">
      <c r="A63" s="3" t="s">
        <v>475</v>
      </c>
      <c r="B63" s="3" t="s">
        <v>126</v>
      </c>
      <c r="C63" s="3" t="s">
        <v>4</v>
      </c>
      <c r="D63" s="25">
        <v>31</v>
      </c>
    </row>
    <row r="64" spans="1:4" hidden="1" x14ac:dyDescent="0.25">
      <c r="A64" s="25" t="s">
        <v>474</v>
      </c>
      <c r="B64" s="25" t="s">
        <v>115</v>
      </c>
      <c r="C64" s="25" t="s">
        <v>3</v>
      </c>
    </row>
    <row r="65" spans="1:9" x14ac:dyDescent="0.25">
      <c r="A65" s="3" t="s">
        <v>468</v>
      </c>
      <c r="B65" s="3" t="s">
        <v>72</v>
      </c>
      <c r="C65" s="3" t="s">
        <v>4</v>
      </c>
      <c r="D65" s="25">
        <v>32</v>
      </c>
    </row>
    <row r="66" spans="1:9" hidden="1" x14ac:dyDescent="0.25">
      <c r="A66" s="25" t="s">
        <v>27</v>
      </c>
      <c r="B66" s="25" t="s">
        <v>117</v>
      </c>
      <c r="C66" s="25" t="s">
        <v>3</v>
      </c>
    </row>
    <row r="67" spans="1:9" x14ac:dyDescent="0.25">
      <c r="A67" s="3" t="s">
        <v>22</v>
      </c>
      <c r="B67" s="3" t="s">
        <v>102</v>
      </c>
      <c r="C67" s="3" t="s">
        <v>4</v>
      </c>
      <c r="D67" s="25">
        <v>33</v>
      </c>
    </row>
    <row r="68" spans="1:9" hidden="1" x14ac:dyDescent="0.25">
      <c r="A68" s="25" t="s">
        <v>28</v>
      </c>
      <c r="B68" s="25" t="s">
        <v>119</v>
      </c>
      <c r="C68" s="25" t="s">
        <v>3</v>
      </c>
    </row>
    <row r="69" spans="1:9" x14ac:dyDescent="0.25">
      <c r="A69" s="3" t="s">
        <v>472</v>
      </c>
      <c r="B69" s="3" t="s">
        <v>96</v>
      </c>
      <c r="C69" s="3" t="s">
        <v>4</v>
      </c>
      <c r="D69" s="25">
        <v>34</v>
      </c>
    </row>
    <row r="70" spans="1:9" hidden="1" x14ac:dyDescent="0.25">
      <c r="A70" s="25" t="s">
        <v>29</v>
      </c>
      <c r="B70" s="25" t="s">
        <v>121</v>
      </c>
      <c r="C70" s="25" t="s">
        <v>3</v>
      </c>
    </row>
    <row r="71" spans="1:9" x14ac:dyDescent="0.25">
      <c r="A71" s="3" t="s">
        <v>25</v>
      </c>
      <c r="B71" s="3" t="s">
        <v>110</v>
      </c>
      <c r="C71" s="3" t="s">
        <v>4</v>
      </c>
      <c r="D71" s="25">
        <v>35</v>
      </c>
    </row>
    <row r="72" spans="1:9" hidden="1" x14ac:dyDescent="0.25">
      <c r="A72" s="25" t="s">
        <v>51</v>
      </c>
      <c r="B72" s="25" t="s">
        <v>123</v>
      </c>
      <c r="C72" s="25" t="s">
        <v>3</v>
      </c>
    </row>
    <row r="73" spans="1:9" x14ac:dyDescent="0.25">
      <c r="A73" s="3" t="s">
        <v>42</v>
      </c>
      <c r="B73" s="3" t="s">
        <v>106</v>
      </c>
      <c r="C73" s="3" t="s">
        <v>4</v>
      </c>
      <c r="D73" s="25">
        <v>36</v>
      </c>
    </row>
    <row r="74" spans="1:9" hidden="1" x14ac:dyDescent="0.25">
      <c r="A74" s="25" t="s">
        <v>475</v>
      </c>
      <c r="B74" s="25" t="s">
        <v>125</v>
      </c>
      <c r="C74" s="25" t="s">
        <v>3</v>
      </c>
    </row>
    <row r="75" spans="1:9" x14ac:dyDescent="0.25">
      <c r="A75" s="3" t="s">
        <v>23</v>
      </c>
      <c r="B75" s="3" t="s">
        <v>104</v>
      </c>
      <c r="C75" s="3" t="s">
        <v>4</v>
      </c>
      <c r="D75" s="25">
        <v>37</v>
      </c>
      <c r="I75" s="25" t="s">
        <v>677</v>
      </c>
    </row>
    <row r="76" spans="1:9" hidden="1" x14ac:dyDescent="0.25">
      <c r="A76" s="25" t="s">
        <v>476</v>
      </c>
      <c r="B76" s="25" t="s">
        <v>127</v>
      </c>
      <c r="C76" s="25" t="s">
        <v>3</v>
      </c>
    </row>
    <row r="77" spans="1:9" x14ac:dyDescent="0.25">
      <c r="A77" s="3" t="s">
        <v>32</v>
      </c>
      <c r="B77" s="3" t="s">
        <v>138</v>
      </c>
      <c r="C77" s="3" t="s">
        <v>4</v>
      </c>
      <c r="D77" s="25">
        <v>38</v>
      </c>
    </row>
    <row r="78" spans="1:9" hidden="1" x14ac:dyDescent="0.25">
      <c r="A78" s="25" t="s">
        <v>477</v>
      </c>
      <c r="B78" s="25" t="s">
        <v>129</v>
      </c>
      <c r="C78" s="25" t="s">
        <v>3</v>
      </c>
    </row>
    <row r="79" spans="1:9" x14ac:dyDescent="0.25">
      <c r="A79" s="3" t="s">
        <v>13</v>
      </c>
      <c r="B79" s="3" t="s">
        <v>54</v>
      </c>
      <c r="C79" s="3" t="s">
        <v>4</v>
      </c>
      <c r="D79" s="25">
        <v>39</v>
      </c>
    </row>
    <row r="80" spans="1:9" hidden="1" x14ac:dyDescent="0.25">
      <c r="A80" s="25" t="s">
        <v>478</v>
      </c>
      <c r="B80" s="25" t="s">
        <v>131</v>
      </c>
      <c r="C80" s="25" t="s">
        <v>3</v>
      </c>
    </row>
    <row r="81" spans="1:4" x14ac:dyDescent="0.25">
      <c r="A81" s="3" t="s">
        <v>12</v>
      </c>
      <c r="B81" s="3" t="s">
        <v>58</v>
      </c>
      <c r="C81" s="3" t="s">
        <v>4</v>
      </c>
      <c r="D81" s="25">
        <v>40</v>
      </c>
    </row>
    <row r="82" spans="1:4" hidden="1" x14ac:dyDescent="0.25">
      <c r="A82" s="25" t="s">
        <v>30</v>
      </c>
      <c r="B82" s="25" t="s">
        <v>133</v>
      </c>
      <c r="C82" s="25" t="s">
        <v>3</v>
      </c>
    </row>
    <row r="83" spans="1:4" x14ac:dyDescent="0.25">
      <c r="A83" s="3" t="s">
        <v>469</v>
      </c>
      <c r="B83" s="3" t="s">
        <v>84</v>
      </c>
      <c r="C83" s="3" t="s">
        <v>4</v>
      </c>
      <c r="D83" s="25">
        <v>41</v>
      </c>
    </row>
    <row r="84" spans="1:4" hidden="1" x14ac:dyDescent="0.25">
      <c r="A84" s="25" t="s">
        <v>31</v>
      </c>
      <c r="B84" s="25" t="s">
        <v>135</v>
      </c>
      <c r="C84" s="25" t="s">
        <v>3</v>
      </c>
    </row>
    <row r="85" spans="1:4" x14ac:dyDescent="0.25">
      <c r="A85" s="3" t="s">
        <v>465</v>
      </c>
      <c r="B85" s="3" t="s">
        <v>66</v>
      </c>
      <c r="C85" s="3" t="s">
        <v>4</v>
      </c>
      <c r="D85" s="25">
        <v>42</v>
      </c>
    </row>
    <row r="86" spans="1:4" hidden="1" x14ac:dyDescent="0.25">
      <c r="A86" s="25" t="s">
        <v>32</v>
      </c>
      <c r="B86" s="25" t="s">
        <v>137</v>
      </c>
      <c r="C86" s="25" t="s">
        <v>3</v>
      </c>
    </row>
    <row r="87" spans="1:4" x14ac:dyDescent="0.25">
      <c r="A87" s="3" t="s">
        <v>18</v>
      </c>
      <c r="B87" s="3" t="s">
        <v>90</v>
      </c>
      <c r="C87" s="3" t="s">
        <v>4</v>
      </c>
      <c r="D87" s="25">
        <v>43</v>
      </c>
    </row>
    <row r="88" spans="1:4" hidden="1" x14ac:dyDescent="0.25">
      <c r="A88" s="25" t="s">
        <v>44</v>
      </c>
      <c r="B88" s="25" t="s">
        <v>139</v>
      </c>
      <c r="C88" s="25" t="s">
        <v>3</v>
      </c>
    </row>
    <row r="89" spans="1:4" x14ac:dyDescent="0.25">
      <c r="A89" s="3" t="s">
        <v>21</v>
      </c>
      <c r="B89" s="3" t="s">
        <v>100</v>
      </c>
      <c r="C89" s="3" t="s">
        <v>4</v>
      </c>
      <c r="D89" s="25">
        <v>44</v>
      </c>
    </row>
    <row r="90" spans="1:4" hidden="1" x14ac:dyDescent="0.25">
      <c r="A90" s="25" t="s">
        <v>479</v>
      </c>
      <c r="B90" s="25" t="s">
        <v>141</v>
      </c>
      <c r="C90" s="25" t="s">
        <v>3</v>
      </c>
    </row>
    <row r="91" spans="1:4" x14ac:dyDescent="0.25">
      <c r="A91" s="3" t="s">
        <v>44</v>
      </c>
      <c r="B91" s="3" t="s">
        <v>140</v>
      </c>
      <c r="C91" s="3" t="s">
        <v>4</v>
      </c>
      <c r="D91" s="25">
        <v>45</v>
      </c>
    </row>
    <row r="92" spans="1:4" hidden="1" x14ac:dyDescent="0.25">
      <c r="A92" s="25" t="s">
        <v>480</v>
      </c>
      <c r="B92" s="25" t="s">
        <v>143</v>
      </c>
      <c r="C92" s="25" t="s">
        <v>3</v>
      </c>
    </row>
    <row r="93" spans="1:4" x14ac:dyDescent="0.25">
      <c r="A93" s="3" t="s">
        <v>16</v>
      </c>
      <c r="B93" s="3" t="s">
        <v>78</v>
      </c>
      <c r="C93" s="3" t="s">
        <v>4</v>
      </c>
      <c r="D93" s="25">
        <v>46</v>
      </c>
    </row>
    <row r="94" spans="1:4" hidden="1" x14ac:dyDescent="0.25">
      <c r="A94" s="25" t="s">
        <v>481</v>
      </c>
      <c r="B94" s="25" t="s">
        <v>145</v>
      </c>
      <c r="C94" s="25" t="s">
        <v>3</v>
      </c>
    </row>
    <row r="95" spans="1:4" x14ac:dyDescent="0.25">
      <c r="A95" s="3" t="s">
        <v>477</v>
      </c>
      <c r="B95" s="3" t="s">
        <v>130</v>
      </c>
      <c r="C95" s="3" t="s">
        <v>4</v>
      </c>
    </row>
    <row r="96" spans="1:4" hidden="1" x14ac:dyDescent="0.25">
      <c r="A96" s="25" t="s">
        <v>482</v>
      </c>
      <c r="B96" s="25" t="s">
        <v>147</v>
      </c>
      <c r="C96" s="25" t="s">
        <v>3</v>
      </c>
    </row>
    <row r="97" spans="1:3" x14ac:dyDescent="0.25">
      <c r="A97" s="3" t="s">
        <v>479</v>
      </c>
      <c r="B97" s="3" t="s">
        <v>142</v>
      </c>
      <c r="C97" s="3" t="s">
        <v>4</v>
      </c>
    </row>
    <row r="98" spans="1:3" hidden="1" x14ac:dyDescent="0.25">
      <c r="A98" s="25" t="s">
        <v>33</v>
      </c>
      <c r="B98" s="25" t="s">
        <v>149</v>
      </c>
      <c r="C98" s="25" t="s">
        <v>3</v>
      </c>
    </row>
    <row r="99" spans="1:3" x14ac:dyDescent="0.25">
      <c r="A99" s="3" t="s">
        <v>33</v>
      </c>
      <c r="B99" s="3" t="s">
        <v>150</v>
      </c>
      <c r="C99" s="3" t="s">
        <v>4</v>
      </c>
    </row>
    <row r="100" spans="1:3" hidden="1" x14ac:dyDescent="0.25">
      <c r="A100" s="25" t="s">
        <v>34</v>
      </c>
      <c r="B100" s="25" t="s">
        <v>151</v>
      </c>
      <c r="C100" s="25" t="s">
        <v>3</v>
      </c>
    </row>
    <row r="101" spans="1:3" x14ac:dyDescent="0.25">
      <c r="A101" s="3" t="s">
        <v>34</v>
      </c>
      <c r="B101" s="3" t="s">
        <v>152</v>
      </c>
      <c r="C101" s="3" t="s">
        <v>4</v>
      </c>
    </row>
    <row r="102" spans="1:3" hidden="1" x14ac:dyDescent="0.25">
      <c r="A102" s="25" t="s">
        <v>35</v>
      </c>
      <c r="B102" s="25" t="s">
        <v>153</v>
      </c>
      <c r="C102" s="25" t="s">
        <v>3</v>
      </c>
    </row>
    <row r="103" spans="1:3" x14ac:dyDescent="0.25">
      <c r="A103" s="3" t="s">
        <v>35</v>
      </c>
      <c r="B103" s="3" t="s">
        <v>154</v>
      </c>
      <c r="C103" s="3" t="s">
        <v>4</v>
      </c>
    </row>
    <row r="104" spans="1:3" hidden="1" x14ac:dyDescent="0.25">
      <c r="A104" s="25" t="s">
        <v>45</v>
      </c>
      <c r="B104" s="25" t="s">
        <v>155</v>
      </c>
      <c r="C104" s="25" t="s">
        <v>3</v>
      </c>
    </row>
    <row r="105" spans="1:3" x14ac:dyDescent="0.25">
      <c r="A105" s="3" t="s">
        <v>45</v>
      </c>
      <c r="B105" s="3" t="s">
        <v>156</v>
      </c>
      <c r="C105" s="3" t="s">
        <v>4</v>
      </c>
    </row>
    <row r="106" spans="1:3" hidden="1" x14ac:dyDescent="0.25">
      <c r="A106" s="25" t="s">
        <v>36</v>
      </c>
      <c r="B106" s="25" t="s">
        <v>157</v>
      </c>
      <c r="C106" s="25" t="s">
        <v>3</v>
      </c>
    </row>
    <row r="107" spans="1:3" x14ac:dyDescent="0.25">
      <c r="A107" s="3" t="s">
        <v>36</v>
      </c>
      <c r="B107" s="3" t="s">
        <v>158</v>
      </c>
      <c r="C107" s="3" t="s">
        <v>4</v>
      </c>
    </row>
    <row r="108" spans="1:3" hidden="1" x14ac:dyDescent="0.25">
      <c r="A108" s="25" t="s">
        <v>37</v>
      </c>
      <c r="B108" s="25" t="s">
        <v>159</v>
      </c>
      <c r="C108" s="25" t="s">
        <v>3</v>
      </c>
    </row>
    <row r="109" spans="1:3" x14ac:dyDescent="0.25">
      <c r="A109" s="3" t="s">
        <v>37</v>
      </c>
      <c r="B109" s="3" t="s">
        <v>160</v>
      </c>
      <c r="C109" s="3" t="s">
        <v>4</v>
      </c>
    </row>
    <row r="110" spans="1:3" hidden="1" x14ac:dyDescent="0.25">
      <c r="A110" s="25" t="s">
        <v>38</v>
      </c>
      <c r="B110" s="25" t="s">
        <v>161</v>
      </c>
      <c r="C110" s="25" t="s">
        <v>3</v>
      </c>
    </row>
    <row r="111" spans="1:3" x14ac:dyDescent="0.25">
      <c r="A111" s="3" t="s">
        <v>38</v>
      </c>
      <c r="B111" s="3" t="s">
        <v>162</v>
      </c>
      <c r="C111" s="3" t="s">
        <v>4</v>
      </c>
    </row>
    <row r="112" spans="1:3" hidden="1" x14ac:dyDescent="0.25">
      <c r="A112" s="25" t="s">
        <v>483</v>
      </c>
      <c r="B112" s="25" t="s">
        <v>163</v>
      </c>
      <c r="C112" s="25" t="s">
        <v>3</v>
      </c>
    </row>
    <row r="113" spans="1:3" x14ac:dyDescent="0.25">
      <c r="A113" s="3" t="s">
        <v>483</v>
      </c>
      <c r="B113" s="3" t="s">
        <v>164</v>
      </c>
      <c r="C113" s="3" t="s">
        <v>4</v>
      </c>
    </row>
    <row r="114" spans="1:3" hidden="1" x14ac:dyDescent="0.25">
      <c r="A114" s="25" t="s">
        <v>484</v>
      </c>
      <c r="B114" s="25" t="s">
        <v>165</v>
      </c>
      <c r="C114" s="25" t="s">
        <v>3</v>
      </c>
    </row>
    <row r="115" spans="1:3" x14ac:dyDescent="0.25">
      <c r="A115" s="3" t="s">
        <v>484</v>
      </c>
      <c r="B115" s="3" t="s">
        <v>166</v>
      </c>
      <c r="C115" s="3" t="s">
        <v>4</v>
      </c>
    </row>
    <row r="116" spans="1:3" hidden="1" x14ac:dyDescent="0.25">
      <c r="A116" s="25" t="s">
        <v>485</v>
      </c>
      <c r="B116" s="25" t="s">
        <v>167</v>
      </c>
      <c r="C116" s="25" t="s">
        <v>3</v>
      </c>
    </row>
    <row r="117" spans="1:3" x14ac:dyDescent="0.25">
      <c r="A117" s="3" t="s">
        <v>485</v>
      </c>
      <c r="B117" s="3" t="s">
        <v>168</v>
      </c>
      <c r="C117" s="3" t="s">
        <v>4</v>
      </c>
    </row>
    <row r="118" spans="1:3" hidden="1" x14ac:dyDescent="0.25">
      <c r="A118" s="25" t="s">
        <v>486</v>
      </c>
      <c r="B118" s="25" t="s">
        <v>169</v>
      </c>
      <c r="C118" s="25" t="s">
        <v>3</v>
      </c>
    </row>
    <row r="119" spans="1:3" x14ac:dyDescent="0.25">
      <c r="A119" s="3" t="s">
        <v>486</v>
      </c>
      <c r="B119" s="3" t="s">
        <v>170</v>
      </c>
      <c r="C119" s="3" t="s">
        <v>4</v>
      </c>
    </row>
    <row r="120" spans="1:3" hidden="1" x14ac:dyDescent="0.25">
      <c r="A120" s="25" t="s">
        <v>487</v>
      </c>
      <c r="B120" s="25" t="s">
        <v>171</v>
      </c>
      <c r="C120" s="25" t="s">
        <v>3</v>
      </c>
    </row>
    <row r="121" spans="1:3" x14ac:dyDescent="0.25">
      <c r="A121" s="3" t="s">
        <v>487</v>
      </c>
      <c r="B121" s="3" t="s">
        <v>172</v>
      </c>
      <c r="C121" s="3" t="s">
        <v>4</v>
      </c>
    </row>
    <row r="122" spans="1:3" hidden="1" x14ac:dyDescent="0.25">
      <c r="A122" s="25" t="s">
        <v>488</v>
      </c>
      <c r="B122" s="25" t="s">
        <v>173</v>
      </c>
      <c r="C122" s="25" t="s">
        <v>3</v>
      </c>
    </row>
    <row r="123" spans="1:3" x14ac:dyDescent="0.25">
      <c r="A123" s="3" t="s">
        <v>488</v>
      </c>
      <c r="B123" s="3" t="s">
        <v>174</v>
      </c>
      <c r="C123" s="3" t="s">
        <v>4</v>
      </c>
    </row>
    <row r="124" spans="1:3" hidden="1" x14ac:dyDescent="0.25">
      <c r="A124" s="25" t="s">
        <v>489</v>
      </c>
      <c r="B124" s="25" t="s">
        <v>175</v>
      </c>
      <c r="C124" s="25" t="s">
        <v>3</v>
      </c>
    </row>
    <row r="125" spans="1:3" x14ac:dyDescent="0.25">
      <c r="A125" s="3" t="s">
        <v>489</v>
      </c>
      <c r="B125" s="3" t="s">
        <v>176</v>
      </c>
      <c r="C125" s="3" t="s">
        <v>4</v>
      </c>
    </row>
    <row r="126" spans="1:3" hidden="1" x14ac:dyDescent="0.25">
      <c r="A126" s="25" t="s">
        <v>490</v>
      </c>
      <c r="B126" s="25" t="s">
        <v>177</v>
      </c>
      <c r="C126" s="25" t="s">
        <v>3</v>
      </c>
    </row>
    <row r="127" spans="1:3" x14ac:dyDescent="0.25">
      <c r="A127" s="3" t="s">
        <v>490</v>
      </c>
      <c r="B127" s="3" t="s">
        <v>178</v>
      </c>
      <c r="C127" s="3" t="s">
        <v>4</v>
      </c>
    </row>
    <row r="128" spans="1:3" hidden="1" x14ac:dyDescent="0.25">
      <c r="A128" s="25" t="s">
        <v>491</v>
      </c>
      <c r="B128" s="25" t="s">
        <v>179</v>
      </c>
      <c r="C128" s="25" t="s">
        <v>3</v>
      </c>
    </row>
    <row r="129" spans="1:3" x14ac:dyDescent="0.25">
      <c r="A129" s="3" t="s">
        <v>491</v>
      </c>
      <c r="B129" s="3" t="s">
        <v>180</v>
      </c>
      <c r="C129" s="3" t="s">
        <v>4</v>
      </c>
    </row>
    <row r="130" spans="1:3" hidden="1" x14ac:dyDescent="0.25">
      <c r="A130" s="25" t="s">
        <v>492</v>
      </c>
      <c r="B130" s="25" t="s">
        <v>181</v>
      </c>
      <c r="C130" s="25" t="s">
        <v>3</v>
      </c>
    </row>
    <row r="131" spans="1:3" x14ac:dyDescent="0.25">
      <c r="A131" s="3" t="s">
        <v>492</v>
      </c>
      <c r="B131" s="3" t="s">
        <v>182</v>
      </c>
      <c r="C131" s="3" t="s">
        <v>4</v>
      </c>
    </row>
    <row r="132" spans="1:3" hidden="1" x14ac:dyDescent="0.25">
      <c r="A132" s="25" t="s">
        <v>493</v>
      </c>
      <c r="B132" s="25" t="s">
        <v>183</v>
      </c>
      <c r="C132" s="25" t="s">
        <v>3</v>
      </c>
    </row>
    <row r="133" spans="1:3" x14ac:dyDescent="0.25">
      <c r="A133" s="3" t="s">
        <v>493</v>
      </c>
      <c r="B133" s="3" t="s">
        <v>184</v>
      </c>
      <c r="C133" s="3" t="s">
        <v>4</v>
      </c>
    </row>
    <row r="134" spans="1:3" hidden="1" x14ac:dyDescent="0.25">
      <c r="A134" s="25" t="s">
        <v>494</v>
      </c>
      <c r="B134" s="25" t="s">
        <v>185</v>
      </c>
      <c r="C134" s="25" t="s">
        <v>3</v>
      </c>
    </row>
    <row r="135" spans="1:3" x14ac:dyDescent="0.25">
      <c r="A135" s="3" t="s">
        <v>494</v>
      </c>
      <c r="B135" s="3" t="s">
        <v>186</v>
      </c>
      <c r="C135" s="3" t="s">
        <v>4</v>
      </c>
    </row>
    <row r="136" spans="1:3" hidden="1" x14ac:dyDescent="0.25">
      <c r="A136" s="25" t="s">
        <v>495</v>
      </c>
      <c r="B136" s="25" t="s">
        <v>187</v>
      </c>
      <c r="C136" s="25" t="s">
        <v>3</v>
      </c>
    </row>
    <row r="137" spans="1:3" x14ac:dyDescent="0.25">
      <c r="A137" s="3" t="s">
        <v>495</v>
      </c>
      <c r="B137" s="3" t="s">
        <v>188</v>
      </c>
      <c r="C137" s="3" t="s">
        <v>4</v>
      </c>
    </row>
    <row r="138" spans="1:3" hidden="1" x14ac:dyDescent="0.25">
      <c r="A138" s="25" t="s">
        <v>496</v>
      </c>
      <c r="B138" s="25" t="s">
        <v>189</v>
      </c>
      <c r="C138" s="25" t="s">
        <v>3</v>
      </c>
    </row>
    <row r="139" spans="1:3" x14ac:dyDescent="0.25">
      <c r="A139" s="3" t="s">
        <v>496</v>
      </c>
      <c r="B139" s="3" t="s">
        <v>190</v>
      </c>
      <c r="C139" s="3" t="s">
        <v>4</v>
      </c>
    </row>
    <row r="140" spans="1:3" hidden="1" x14ac:dyDescent="0.25">
      <c r="A140" s="25" t="s">
        <v>497</v>
      </c>
      <c r="B140" s="25" t="s">
        <v>191</v>
      </c>
      <c r="C140" s="25" t="s">
        <v>3</v>
      </c>
    </row>
    <row r="141" spans="1:3" x14ac:dyDescent="0.25">
      <c r="A141" s="3" t="s">
        <v>497</v>
      </c>
      <c r="B141" s="3" t="s">
        <v>192</v>
      </c>
      <c r="C141" s="3" t="s">
        <v>4</v>
      </c>
    </row>
    <row r="142" spans="1:3" hidden="1" x14ac:dyDescent="0.25">
      <c r="A142" s="25" t="s">
        <v>498</v>
      </c>
      <c r="B142" s="25" t="s">
        <v>193</v>
      </c>
      <c r="C142" s="25" t="s">
        <v>3</v>
      </c>
    </row>
    <row r="143" spans="1:3" x14ac:dyDescent="0.25">
      <c r="A143" s="3" t="s">
        <v>498</v>
      </c>
      <c r="B143" s="3" t="s">
        <v>194</v>
      </c>
      <c r="C143" s="3" t="s">
        <v>4</v>
      </c>
    </row>
    <row r="144" spans="1:3" hidden="1" x14ac:dyDescent="0.25">
      <c r="A144" s="25" t="s">
        <v>499</v>
      </c>
      <c r="B144" s="25" t="s">
        <v>195</v>
      </c>
      <c r="C144" s="25" t="s">
        <v>3</v>
      </c>
    </row>
    <row r="145" spans="1:3" x14ac:dyDescent="0.25">
      <c r="A145" s="3" t="s">
        <v>499</v>
      </c>
      <c r="B145" s="3" t="s">
        <v>196</v>
      </c>
      <c r="C145" s="3" t="s">
        <v>4</v>
      </c>
    </row>
    <row r="146" spans="1:3" hidden="1" x14ac:dyDescent="0.25">
      <c r="A146" s="25" t="s">
        <v>500</v>
      </c>
      <c r="B146" s="25" t="s">
        <v>197</v>
      </c>
      <c r="C146" s="25" t="s">
        <v>3</v>
      </c>
    </row>
    <row r="147" spans="1:3" x14ac:dyDescent="0.25">
      <c r="A147" s="3" t="s">
        <v>500</v>
      </c>
      <c r="B147" s="3" t="s">
        <v>198</v>
      </c>
      <c r="C147" s="3" t="s">
        <v>4</v>
      </c>
    </row>
    <row r="148" spans="1:3" hidden="1" x14ac:dyDescent="0.25">
      <c r="A148" s="25" t="s">
        <v>501</v>
      </c>
      <c r="B148" s="25" t="s">
        <v>199</v>
      </c>
      <c r="C148" s="25" t="s">
        <v>3</v>
      </c>
    </row>
    <row r="149" spans="1:3" x14ac:dyDescent="0.25">
      <c r="A149" s="3" t="s">
        <v>501</v>
      </c>
      <c r="B149" s="3" t="s">
        <v>200</v>
      </c>
      <c r="C149" s="3" t="s">
        <v>4</v>
      </c>
    </row>
    <row r="150" spans="1:3" hidden="1" x14ac:dyDescent="0.25">
      <c r="A150" s="25" t="s">
        <v>502</v>
      </c>
      <c r="B150" s="25" t="s">
        <v>201</v>
      </c>
      <c r="C150" s="25" t="s">
        <v>3</v>
      </c>
    </row>
    <row r="151" spans="1:3" x14ac:dyDescent="0.25">
      <c r="A151" s="3" t="s">
        <v>502</v>
      </c>
      <c r="B151" s="3" t="s">
        <v>202</v>
      </c>
      <c r="C151" s="3" t="s">
        <v>4</v>
      </c>
    </row>
    <row r="152" spans="1:3" hidden="1" x14ac:dyDescent="0.25">
      <c r="A152" s="25" t="s">
        <v>503</v>
      </c>
      <c r="B152" s="25" t="s">
        <v>203</v>
      </c>
      <c r="C152" s="25" t="s">
        <v>3</v>
      </c>
    </row>
    <row r="153" spans="1:3" x14ac:dyDescent="0.25">
      <c r="A153" s="3" t="s">
        <v>503</v>
      </c>
      <c r="B153" s="3" t="s">
        <v>204</v>
      </c>
      <c r="C153" s="3" t="s">
        <v>4</v>
      </c>
    </row>
    <row r="154" spans="1:3" hidden="1" x14ac:dyDescent="0.25">
      <c r="A154" s="25" t="s">
        <v>504</v>
      </c>
      <c r="B154" s="25" t="s">
        <v>205</v>
      </c>
      <c r="C154" s="25" t="s">
        <v>3</v>
      </c>
    </row>
    <row r="155" spans="1:3" x14ac:dyDescent="0.25">
      <c r="A155" s="3" t="s">
        <v>504</v>
      </c>
      <c r="B155" s="3" t="s">
        <v>206</v>
      </c>
      <c r="C155" s="3" t="s">
        <v>4</v>
      </c>
    </row>
    <row r="156" spans="1:3" hidden="1" x14ac:dyDescent="0.25">
      <c r="A156" s="25" t="s">
        <v>505</v>
      </c>
      <c r="B156" s="25" t="s">
        <v>207</v>
      </c>
      <c r="C156" s="25" t="s">
        <v>3</v>
      </c>
    </row>
    <row r="157" spans="1:3" x14ac:dyDescent="0.25">
      <c r="A157" s="3" t="s">
        <v>505</v>
      </c>
      <c r="B157" s="3" t="s">
        <v>208</v>
      </c>
      <c r="C157" s="3" t="s">
        <v>4</v>
      </c>
    </row>
    <row r="158" spans="1:3" hidden="1" x14ac:dyDescent="0.25">
      <c r="A158" s="25" t="s">
        <v>506</v>
      </c>
      <c r="B158" s="25" t="s">
        <v>209</v>
      </c>
      <c r="C158" s="25" t="s">
        <v>3</v>
      </c>
    </row>
    <row r="159" spans="1:3" x14ac:dyDescent="0.25">
      <c r="A159" s="3" t="s">
        <v>506</v>
      </c>
      <c r="B159" s="3" t="s">
        <v>210</v>
      </c>
      <c r="C159" s="3" t="s">
        <v>4</v>
      </c>
    </row>
    <row r="160" spans="1:3" hidden="1" x14ac:dyDescent="0.25">
      <c r="A160" s="25" t="s">
        <v>507</v>
      </c>
      <c r="B160" s="25" t="s">
        <v>211</v>
      </c>
      <c r="C160" s="25" t="s">
        <v>3</v>
      </c>
    </row>
    <row r="161" spans="1:3" x14ac:dyDescent="0.25">
      <c r="A161" s="3" t="s">
        <v>507</v>
      </c>
      <c r="B161" s="3" t="s">
        <v>212</v>
      </c>
      <c r="C161" s="3" t="s">
        <v>4</v>
      </c>
    </row>
    <row r="162" spans="1:3" hidden="1" x14ac:dyDescent="0.25">
      <c r="A162" s="25" t="s">
        <v>508</v>
      </c>
      <c r="B162" s="25" t="s">
        <v>213</v>
      </c>
      <c r="C162" s="25" t="s">
        <v>3</v>
      </c>
    </row>
    <row r="163" spans="1:3" x14ac:dyDescent="0.25">
      <c r="A163" s="3" t="s">
        <v>508</v>
      </c>
      <c r="B163" s="3" t="s">
        <v>214</v>
      </c>
      <c r="C163" s="3" t="s">
        <v>4</v>
      </c>
    </row>
    <row r="164" spans="1:3" hidden="1" x14ac:dyDescent="0.25">
      <c r="A164" s="25" t="s">
        <v>509</v>
      </c>
      <c r="B164" s="25" t="s">
        <v>215</v>
      </c>
      <c r="C164" s="25" t="s">
        <v>3</v>
      </c>
    </row>
    <row r="165" spans="1:3" x14ac:dyDescent="0.25">
      <c r="A165" s="3" t="s">
        <v>509</v>
      </c>
      <c r="B165" s="3" t="s">
        <v>216</v>
      </c>
      <c r="C165" s="3" t="s">
        <v>4</v>
      </c>
    </row>
    <row r="166" spans="1:3" hidden="1" x14ac:dyDescent="0.25">
      <c r="A166" s="25" t="s">
        <v>510</v>
      </c>
      <c r="B166" s="25" t="s">
        <v>217</v>
      </c>
      <c r="C166" s="25" t="s">
        <v>3</v>
      </c>
    </row>
    <row r="167" spans="1:3" x14ac:dyDescent="0.25">
      <c r="A167" s="3" t="s">
        <v>510</v>
      </c>
      <c r="B167" s="3" t="s">
        <v>218</v>
      </c>
      <c r="C167" s="3" t="s">
        <v>4</v>
      </c>
    </row>
    <row r="168" spans="1:3" hidden="1" x14ac:dyDescent="0.25">
      <c r="A168" s="25" t="s">
        <v>511</v>
      </c>
      <c r="B168" s="25" t="s">
        <v>219</v>
      </c>
      <c r="C168" s="25" t="s">
        <v>3</v>
      </c>
    </row>
    <row r="169" spans="1:3" x14ac:dyDescent="0.25">
      <c r="A169" s="3" t="s">
        <v>511</v>
      </c>
      <c r="B169" s="3" t="s">
        <v>220</v>
      </c>
      <c r="C169" s="3" t="s">
        <v>4</v>
      </c>
    </row>
    <row r="170" spans="1:3" hidden="1" x14ac:dyDescent="0.25">
      <c r="A170" s="25" t="s">
        <v>512</v>
      </c>
      <c r="B170" s="25" t="s">
        <v>221</v>
      </c>
      <c r="C170" s="25" t="s">
        <v>3</v>
      </c>
    </row>
    <row r="171" spans="1:3" x14ac:dyDescent="0.25">
      <c r="A171" s="3" t="s">
        <v>512</v>
      </c>
      <c r="B171" s="3" t="s">
        <v>222</v>
      </c>
      <c r="C171" s="3" t="s">
        <v>4</v>
      </c>
    </row>
    <row r="172" spans="1:3" hidden="1" x14ac:dyDescent="0.25">
      <c r="A172" s="25" t="s">
        <v>513</v>
      </c>
      <c r="B172" s="25" t="s">
        <v>223</v>
      </c>
      <c r="C172" s="25" t="s">
        <v>3</v>
      </c>
    </row>
    <row r="173" spans="1:3" x14ac:dyDescent="0.25">
      <c r="A173" s="3" t="s">
        <v>513</v>
      </c>
      <c r="B173" s="3" t="s">
        <v>224</v>
      </c>
      <c r="C173" s="3" t="s">
        <v>4</v>
      </c>
    </row>
    <row r="174" spans="1:3" hidden="1" x14ac:dyDescent="0.25">
      <c r="A174" s="25" t="s">
        <v>514</v>
      </c>
      <c r="B174" s="25" t="s">
        <v>225</v>
      </c>
      <c r="C174" s="25" t="s">
        <v>3</v>
      </c>
    </row>
    <row r="175" spans="1:3" x14ac:dyDescent="0.25">
      <c r="A175" s="3" t="s">
        <v>514</v>
      </c>
      <c r="B175" s="3" t="s">
        <v>226</v>
      </c>
      <c r="C175" s="3" t="s">
        <v>4</v>
      </c>
    </row>
    <row r="176" spans="1:3" hidden="1" x14ac:dyDescent="0.25">
      <c r="A176" s="25" t="s">
        <v>515</v>
      </c>
      <c r="B176" s="25" t="s">
        <v>227</v>
      </c>
      <c r="C176" s="25" t="s">
        <v>3</v>
      </c>
    </row>
    <row r="177" spans="1:3" x14ac:dyDescent="0.25">
      <c r="A177" s="3" t="s">
        <v>515</v>
      </c>
      <c r="B177" s="3" t="s">
        <v>228</v>
      </c>
      <c r="C177" s="3" t="s">
        <v>4</v>
      </c>
    </row>
    <row r="178" spans="1:3" hidden="1" x14ac:dyDescent="0.25">
      <c r="A178" s="25" t="s">
        <v>516</v>
      </c>
      <c r="B178" s="25" t="s">
        <v>229</v>
      </c>
      <c r="C178" s="25" t="s">
        <v>3</v>
      </c>
    </row>
    <row r="179" spans="1:3" x14ac:dyDescent="0.25">
      <c r="A179" s="3" t="s">
        <v>516</v>
      </c>
      <c r="B179" s="3" t="s">
        <v>230</v>
      </c>
      <c r="C179" s="3" t="s">
        <v>4</v>
      </c>
    </row>
    <row r="180" spans="1:3" hidden="1" x14ac:dyDescent="0.25">
      <c r="A180" s="25" t="s">
        <v>517</v>
      </c>
      <c r="B180" s="25" t="s">
        <v>231</v>
      </c>
      <c r="C180" s="25" t="s">
        <v>3</v>
      </c>
    </row>
    <row r="181" spans="1:3" x14ac:dyDescent="0.25">
      <c r="A181" s="3" t="s">
        <v>517</v>
      </c>
      <c r="B181" s="3" t="s">
        <v>232</v>
      </c>
      <c r="C181" s="3" t="s">
        <v>4</v>
      </c>
    </row>
    <row r="182" spans="1:3" hidden="1" x14ac:dyDescent="0.25">
      <c r="A182" s="25" t="s">
        <v>518</v>
      </c>
      <c r="B182" s="25" t="s">
        <v>233</v>
      </c>
      <c r="C182" s="25" t="s">
        <v>3</v>
      </c>
    </row>
    <row r="183" spans="1:3" x14ac:dyDescent="0.25">
      <c r="A183" s="3" t="s">
        <v>518</v>
      </c>
      <c r="B183" s="3" t="s">
        <v>234</v>
      </c>
      <c r="C183" s="3" t="s">
        <v>4</v>
      </c>
    </row>
    <row r="184" spans="1:3" hidden="1" x14ac:dyDescent="0.25">
      <c r="A184" s="25" t="s">
        <v>519</v>
      </c>
      <c r="B184" s="25" t="s">
        <v>235</v>
      </c>
      <c r="C184" s="25" t="s">
        <v>3</v>
      </c>
    </row>
    <row r="185" spans="1:3" x14ac:dyDescent="0.25">
      <c r="A185" s="3" t="s">
        <v>519</v>
      </c>
      <c r="B185" s="3" t="s">
        <v>236</v>
      </c>
      <c r="C185" s="3" t="s">
        <v>4</v>
      </c>
    </row>
    <row r="186" spans="1:3" hidden="1" x14ac:dyDescent="0.25">
      <c r="A186" s="25" t="s">
        <v>520</v>
      </c>
      <c r="B186" s="25" t="s">
        <v>237</v>
      </c>
      <c r="C186" s="25" t="s">
        <v>3</v>
      </c>
    </row>
    <row r="187" spans="1:3" x14ac:dyDescent="0.25">
      <c r="A187" s="3" t="s">
        <v>520</v>
      </c>
      <c r="B187" s="3" t="s">
        <v>238</v>
      </c>
      <c r="C187" s="3" t="s">
        <v>4</v>
      </c>
    </row>
    <row r="188" spans="1:3" hidden="1" x14ac:dyDescent="0.25">
      <c r="A188" s="25" t="s">
        <v>521</v>
      </c>
      <c r="B188" s="25" t="s">
        <v>239</v>
      </c>
      <c r="C188" s="25" t="s">
        <v>3</v>
      </c>
    </row>
    <row r="189" spans="1:3" x14ac:dyDescent="0.25">
      <c r="A189" s="3" t="s">
        <v>521</v>
      </c>
      <c r="B189" s="3" t="s">
        <v>240</v>
      </c>
      <c r="C189" s="3" t="s">
        <v>4</v>
      </c>
    </row>
    <row r="190" spans="1:3" hidden="1" x14ac:dyDescent="0.25">
      <c r="A190" s="25" t="s">
        <v>522</v>
      </c>
      <c r="B190" s="25" t="s">
        <v>241</v>
      </c>
      <c r="C190" s="25" t="s">
        <v>3</v>
      </c>
    </row>
    <row r="191" spans="1:3" x14ac:dyDescent="0.25">
      <c r="A191" s="3" t="s">
        <v>522</v>
      </c>
      <c r="B191" s="3" t="s">
        <v>242</v>
      </c>
      <c r="C191" s="3" t="s">
        <v>4</v>
      </c>
    </row>
    <row r="192" spans="1:3" hidden="1" x14ac:dyDescent="0.25">
      <c r="A192" s="25" t="s">
        <v>523</v>
      </c>
      <c r="B192" s="25" t="s">
        <v>243</v>
      </c>
      <c r="C192" s="25" t="s">
        <v>3</v>
      </c>
    </row>
    <row r="193" spans="1:3" x14ac:dyDescent="0.25">
      <c r="A193" s="3" t="s">
        <v>523</v>
      </c>
      <c r="B193" s="3" t="s">
        <v>244</v>
      </c>
      <c r="C193" s="3" t="s">
        <v>4</v>
      </c>
    </row>
    <row r="194" spans="1:3" hidden="1" x14ac:dyDescent="0.25">
      <c r="A194" s="25" t="s">
        <v>524</v>
      </c>
      <c r="B194" s="25" t="s">
        <v>245</v>
      </c>
      <c r="C194" s="25" t="s">
        <v>3</v>
      </c>
    </row>
    <row r="195" spans="1:3" x14ac:dyDescent="0.25">
      <c r="A195" s="3" t="s">
        <v>524</v>
      </c>
      <c r="B195" s="3" t="s">
        <v>246</v>
      </c>
      <c r="C195" s="3" t="s">
        <v>4</v>
      </c>
    </row>
    <row r="196" spans="1:3" hidden="1" x14ac:dyDescent="0.25">
      <c r="A196" s="25" t="s">
        <v>525</v>
      </c>
      <c r="B196" s="25" t="s">
        <v>247</v>
      </c>
      <c r="C196" s="25" t="s">
        <v>3</v>
      </c>
    </row>
    <row r="197" spans="1:3" x14ac:dyDescent="0.25">
      <c r="A197" s="3" t="s">
        <v>525</v>
      </c>
      <c r="B197" s="3" t="s">
        <v>248</v>
      </c>
      <c r="C197" s="3" t="s">
        <v>4</v>
      </c>
    </row>
    <row r="198" spans="1:3" hidden="1" x14ac:dyDescent="0.25">
      <c r="A198" s="25" t="s">
        <v>526</v>
      </c>
      <c r="B198" s="25" t="s">
        <v>249</v>
      </c>
      <c r="C198" s="25" t="s">
        <v>3</v>
      </c>
    </row>
    <row r="199" spans="1:3" x14ac:dyDescent="0.25">
      <c r="A199" s="3" t="s">
        <v>526</v>
      </c>
      <c r="B199" s="3" t="s">
        <v>250</v>
      </c>
      <c r="C199" s="3" t="s">
        <v>4</v>
      </c>
    </row>
    <row r="200" spans="1:3" hidden="1" x14ac:dyDescent="0.25">
      <c r="A200" s="25" t="s">
        <v>527</v>
      </c>
      <c r="B200" s="25" t="s">
        <v>251</v>
      </c>
      <c r="C200" s="25" t="s">
        <v>3</v>
      </c>
    </row>
    <row r="201" spans="1:3" x14ac:dyDescent="0.25">
      <c r="A201" s="3" t="s">
        <v>527</v>
      </c>
      <c r="B201" s="3" t="s">
        <v>252</v>
      </c>
      <c r="C201" s="3" t="s">
        <v>4</v>
      </c>
    </row>
    <row r="202" spans="1:3" hidden="1" x14ac:dyDescent="0.25">
      <c r="A202" s="25" t="s">
        <v>528</v>
      </c>
      <c r="B202" s="25" t="s">
        <v>253</v>
      </c>
      <c r="C202" s="25" t="s">
        <v>3</v>
      </c>
    </row>
    <row r="203" spans="1:3" x14ac:dyDescent="0.25">
      <c r="A203" s="3" t="s">
        <v>528</v>
      </c>
      <c r="B203" s="3" t="s">
        <v>254</v>
      </c>
      <c r="C203" s="3" t="s">
        <v>4</v>
      </c>
    </row>
    <row r="204" spans="1:3" hidden="1" x14ac:dyDescent="0.25">
      <c r="A204" s="25" t="s">
        <v>529</v>
      </c>
      <c r="B204" s="25" t="s">
        <v>255</v>
      </c>
      <c r="C204" s="25" t="s">
        <v>3</v>
      </c>
    </row>
    <row r="205" spans="1:3" x14ac:dyDescent="0.25">
      <c r="A205" s="3" t="s">
        <v>529</v>
      </c>
      <c r="B205" s="3" t="s">
        <v>256</v>
      </c>
      <c r="C205" s="3" t="s">
        <v>4</v>
      </c>
    </row>
    <row r="206" spans="1:3" hidden="1" x14ac:dyDescent="0.25">
      <c r="A206" s="25" t="s">
        <v>530</v>
      </c>
      <c r="B206" s="25" t="s">
        <v>257</v>
      </c>
      <c r="C206" s="25" t="s">
        <v>3</v>
      </c>
    </row>
    <row r="207" spans="1:3" x14ac:dyDescent="0.25">
      <c r="A207" s="3" t="s">
        <v>530</v>
      </c>
      <c r="B207" s="3" t="s">
        <v>258</v>
      </c>
      <c r="C207" s="3" t="s">
        <v>4</v>
      </c>
    </row>
    <row r="208" spans="1:3" hidden="1" x14ac:dyDescent="0.25">
      <c r="A208" s="25" t="s">
        <v>531</v>
      </c>
      <c r="B208" s="25" t="s">
        <v>259</v>
      </c>
      <c r="C208" s="25" t="s">
        <v>3</v>
      </c>
    </row>
    <row r="209" spans="1:3" x14ac:dyDescent="0.25">
      <c r="A209" s="3" t="s">
        <v>531</v>
      </c>
      <c r="B209" s="3" t="s">
        <v>260</v>
      </c>
      <c r="C209" s="3" t="s">
        <v>4</v>
      </c>
    </row>
    <row r="210" spans="1:3" hidden="1" x14ac:dyDescent="0.25">
      <c r="A210" s="25" t="s">
        <v>532</v>
      </c>
      <c r="B210" s="25" t="s">
        <v>261</v>
      </c>
      <c r="C210" s="25" t="s">
        <v>3</v>
      </c>
    </row>
    <row r="211" spans="1:3" x14ac:dyDescent="0.25">
      <c r="A211" s="3" t="s">
        <v>532</v>
      </c>
      <c r="B211" s="3" t="s">
        <v>262</v>
      </c>
      <c r="C211" s="3" t="s">
        <v>4</v>
      </c>
    </row>
    <row r="212" spans="1:3" hidden="1" x14ac:dyDescent="0.25">
      <c r="A212" s="25" t="s">
        <v>533</v>
      </c>
      <c r="B212" s="25" t="s">
        <v>263</v>
      </c>
      <c r="C212" s="25" t="s">
        <v>3</v>
      </c>
    </row>
    <row r="213" spans="1:3" x14ac:dyDescent="0.25">
      <c r="A213" s="3" t="s">
        <v>533</v>
      </c>
      <c r="B213" s="3" t="s">
        <v>264</v>
      </c>
      <c r="C213" s="3" t="s">
        <v>4</v>
      </c>
    </row>
    <row r="214" spans="1:3" hidden="1" x14ac:dyDescent="0.25">
      <c r="A214" s="25" t="s">
        <v>534</v>
      </c>
      <c r="B214" s="25" t="s">
        <v>265</v>
      </c>
      <c r="C214" s="25" t="s">
        <v>3</v>
      </c>
    </row>
    <row r="215" spans="1:3" x14ac:dyDescent="0.25">
      <c r="A215" s="3" t="s">
        <v>534</v>
      </c>
      <c r="B215" s="3" t="s">
        <v>266</v>
      </c>
      <c r="C215" s="3" t="s">
        <v>4</v>
      </c>
    </row>
    <row r="216" spans="1:3" hidden="1" x14ac:dyDescent="0.25">
      <c r="A216" s="25" t="s">
        <v>535</v>
      </c>
      <c r="B216" s="25" t="s">
        <v>267</v>
      </c>
      <c r="C216" s="25" t="s">
        <v>3</v>
      </c>
    </row>
    <row r="217" spans="1:3" x14ac:dyDescent="0.25">
      <c r="A217" s="3" t="s">
        <v>535</v>
      </c>
      <c r="B217" s="3" t="s">
        <v>268</v>
      </c>
      <c r="C217" s="3" t="s">
        <v>4</v>
      </c>
    </row>
    <row r="218" spans="1:3" hidden="1" x14ac:dyDescent="0.25">
      <c r="A218" s="25" t="s">
        <v>536</v>
      </c>
      <c r="B218" s="25" t="s">
        <v>269</v>
      </c>
      <c r="C218" s="25" t="s">
        <v>3</v>
      </c>
    </row>
    <row r="219" spans="1:3" x14ac:dyDescent="0.25">
      <c r="A219" s="3" t="s">
        <v>536</v>
      </c>
      <c r="B219" s="3" t="s">
        <v>270</v>
      </c>
      <c r="C219" s="3" t="s">
        <v>4</v>
      </c>
    </row>
    <row r="220" spans="1:3" hidden="1" x14ac:dyDescent="0.25">
      <c r="A220" s="25" t="s">
        <v>537</v>
      </c>
      <c r="B220" s="25" t="s">
        <v>271</v>
      </c>
      <c r="C220" s="25" t="s">
        <v>3</v>
      </c>
    </row>
    <row r="221" spans="1:3" x14ac:dyDescent="0.25">
      <c r="A221" s="3" t="s">
        <v>537</v>
      </c>
      <c r="B221" s="3" t="s">
        <v>272</v>
      </c>
      <c r="C221" s="3" t="s">
        <v>4</v>
      </c>
    </row>
    <row r="222" spans="1:3" hidden="1" x14ac:dyDescent="0.25">
      <c r="A222" s="25" t="s">
        <v>538</v>
      </c>
      <c r="B222" s="25" t="s">
        <v>273</v>
      </c>
      <c r="C222" s="25" t="s">
        <v>3</v>
      </c>
    </row>
    <row r="223" spans="1:3" x14ac:dyDescent="0.25">
      <c r="A223" s="3" t="s">
        <v>538</v>
      </c>
      <c r="B223" s="3" t="s">
        <v>274</v>
      </c>
      <c r="C223" s="3" t="s">
        <v>4</v>
      </c>
    </row>
    <row r="224" spans="1:3" hidden="1" x14ac:dyDescent="0.25">
      <c r="A224" s="25" t="s">
        <v>539</v>
      </c>
      <c r="B224" s="25" t="s">
        <v>275</v>
      </c>
      <c r="C224" s="25" t="s">
        <v>3</v>
      </c>
    </row>
    <row r="225" spans="1:3" x14ac:dyDescent="0.25">
      <c r="A225" s="3" t="s">
        <v>539</v>
      </c>
      <c r="B225" s="3" t="s">
        <v>276</v>
      </c>
      <c r="C225" s="3" t="s">
        <v>4</v>
      </c>
    </row>
    <row r="226" spans="1:3" hidden="1" x14ac:dyDescent="0.25">
      <c r="A226" s="25" t="s">
        <v>540</v>
      </c>
      <c r="B226" s="25" t="s">
        <v>277</v>
      </c>
      <c r="C226" s="25" t="s">
        <v>3</v>
      </c>
    </row>
    <row r="227" spans="1:3" x14ac:dyDescent="0.25">
      <c r="A227" s="3" t="s">
        <v>540</v>
      </c>
      <c r="B227" s="3" t="s">
        <v>278</v>
      </c>
      <c r="C227" s="3" t="s">
        <v>4</v>
      </c>
    </row>
    <row r="228" spans="1:3" hidden="1" x14ac:dyDescent="0.25">
      <c r="A228" s="25" t="s">
        <v>541</v>
      </c>
      <c r="B228" s="25" t="s">
        <v>279</v>
      </c>
      <c r="C228" s="25" t="s">
        <v>3</v>
      </c>
    </row>
    <row r="229" spans="1:3" x14ac:dyDescent="0.25">
      <c r="A229" s="3" t="s">
        <v>541</v>
      </c>
      <c r="B229" s="3" t="s">
        <v>280</v>
      </c>
      <c r="C229" s="3" t="s">
        <v>4</v>
      </c>
    </row>
    <row r="230" spans="1:3" hidden="1" x14ac:dyDescent="0.25">
      <c r="A230" s="25" t="s">
        <v>542</v>
      </c>
      <c r="B230" s="25" t="s">
        <v>281</v>
      </c>
      <c r="C230" s="25" t="s">
        <v>3</v>
      </c>
    </row>
    <row r="231" spans="1:3" x14ac:dyDescent="0.25">
      <c r="A231" s="3" t="s">
        <v>542</v>
      </c>
      <c r="B231" s="3" t="s">
        <v>282</v>
      </c>
      <c r="C231" s="3" t="s">
        <v>4</v>
      </c>
    </row>
    <row r="232" spans="1:3" hidden="1" x14ac:dyDescent="0.25">
      <c r="A232" s="25" t="s">
        <v>543</v>
      </c>
      <c r="B232" s="25" t="s">
        <v>283</v>
      </c>
      <c r="C232" s="25" t="s">
        <v>3</v>
      </c>
    </row>
    <row r="233" spans="1:3" x14ac:dyDescent="0.25">
      <c r="A233" s="3" t="s">
        <v>543</v>
      </c>
      <c r="B233" s="3" t="s">
        <v>284</v>
      </c>
      <c r="C233" s="3" t="s">
        <v>4</v>
      </c>
    </row>
    <row r="234" spans="1:3" hidden="1" x14ac:dyDescent="0.25">
      <c r="A234" s="25" t="s">
        <v>544</v>
      </c>
      <c r="B234" s="25" t="s">
        <v>285</v>
      </c>
      <c r="C234" s="25" t="s">
        <v>3</v>
      </c>
    </row>
    <row r="235" spans="1:3" x14ac:dyDescent="0.25">
      <c r="A235" s="3" t="s">
        <v>544</v>
      </c>
      <c r="B235" s="3" t="s">
        <v>286</v>
      </c>
      <c r="C235" s="3" t="s">
        <v>4</v>
      </c>
    </row>
    <row r="236" spans="1:3" hidden="1" x14ac:dyDescent="0.25">
      <c r="A236" s="25" t="s">
        <v>545</v>
      </c>
      <c r="B236" s="25" t="s">
        <v>287</v>
      </c>
      <c r="C236" s="25" t="s">
        <v>3</v>
      </c>
    </row>
    <row r="237" spans="1:3" x14ac:dyDescent="0.25">
      <c r="A237" s="3" t="s">
        <v>545</v>
      </c>
      <c r="B237" s="3" t="s">
        <v>288</v>
      </c>
      <c r="C237" s="3" t="s">
        <v>4</v>
      </c>
    </row>
    <row r="238" spans="1:3" hidden="1" x14ac:dyDescent="0.25">
      <c r="A238" s="25" t="s">
        <v>546</v>
      </c>
      <c r="B238" s="25" t="s">
        <v>289</v>
      </c>
      <c r="C238" s="25" t="s">
        <v>3</v>
      </c>
    </row>
    <row r="239" spans="1:3" x14ac:dyDescent="0.25">
      <c r="A239" s="3" t="s">
        <v>546</v>
      </c>
      <c r="B239" s="3" t="s">
        <v>290</v>
      </c>
      <c r="C239" s="3" t="s">
        <v>4</v>
      </c>
    </row>
    <row r="240" spans="1:3" hidden="1" x14ac:dyDescent="0.25">
      <c r="A240" s="25" t="s">
        <v>547</v>
      </c>
      <c r="B240" s="25" t="s">
        <v>291</v>
      </c>
      <c r="C240" s="25" t="s">
        <v>3</v>
      </c>
    </row>
    <row r="241" spans="1:3" x14ac:dyDescent="0.25">
      <c r="A241" s="3" t="s">
        <v>547</v>
      </c>
      <c r="B241" s="3" t="s">
        <v>292</v>
      </c>
      <c r="C241" s="3" t="s">
        <v>4</v>
      </c>
    </row>
    <row r="242" spans="1:3" hidden="1" x14ac:dyDescent="0.25">
      <c r="A242" s="25" t="s">
        <v>548</v>
      </c>
      <c r="B242" s="25" t="s">
        <v>293</v>
      </c>
      <c r="C242" s="25" t="s">
        <v>3</v>
      </c>
    </row>
    <row r="243" spans="1:3" x14ac:dyDescent="0.25">
      <c r="A243" s="3" t="s">
        <v>548</v>
      </c>
      <c r="B243" s="3" t="s">
        <v>294</v>
      </c>
      <c r="C243" s="3" t="s">
        <v>4</v>
      </c>
    </row>
    <row r="244" spans="1:3" hidden="1" x14ac:dyDescent="0.25">
      <c r="A244" s="25" t="s">
        <v>549</v>
      </c>
      <c r="B244" s="25" t="s">
        <v>295</v>
      </c>
      <c r="C244" s="25" t="s">
        <v>3</v>
      </c>
    </row>
    <row r="245" spans="1:3" x14ac:dyDescent="0.25">
      <c r="A245" s="3" t="s">
        <v>549</v>
      </c>
      <c r="B245" s="3" t="s">
        <v>296</v>
      </c>
      <c r="C245" s="3" t="s">
        <v>4</v>
      </c>
    </row>
    <row r="246" spans="1:3" hidden="1" x14ac:dyDescent="0.25">
      <c r="A246" s="25" t="s">
        <v>550</v>
      </c>
      <c r="B246" s="25" t="s">
        <v>297</v>
      </c>
      <c r="C246" s="25" t="s">
        <v>3</v>
      </c>
    </row>
    <row r="247" spans="1:3" x14ac:dyDescent="0.25">
      <c r="A247" s="3" t="s">
        <v>550</v>
      </c>
      <c r="B247" s="3" t="s">
        <v>298</v>
      </c>
      <c r="C247" s="3" t="s">
        <v>4</v>
      </c>
    </row>
  </sheetData>
  <autoFilter ref="A1:D247" xr:uid="{F0FEFE1B-A582-4851-A850-E4BF4217E78E}">
    <filterColumn colId="2">
      <filters>
        <filter val="Eng"/>
      </filters>
    </filterColumn>
    <sortState xmlns:xlrd2="http://schemas.microsoft.com/office/spreadsheetml/2017/richdata2" ref="A3:D247">
      <sortCondition ref="D1:D247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4323-2C16-40B8-B44C-B01B34720EF8}">
  <dimension ref="A1:B46"/>
  <sheetViews>
    <sheetView zoomScale="112" zoomScaleNormal="112" workbookViewId="0">
      <selection activeCell="A23" sqref="A23"/>
    </sheetView>
  </sheetViews>
  <sheetFormatPr defaultRowHeight="13.8" x14ac:dyDescent="0.25"/>
  <cols>
    <col min="1" max="1" width="49" bestFit="1" customWidth="1"/>
    <col min="2" max="2" width="29.19921875" bestFit="1" customWidth="1"/>
  </cols>
  <sheetData>
    <row r="1" spans="1:2" x14ac:dyDescent="0.25">
      <c r="A1" t="s">
        <v>136</v>
      </c>
      <c r="B1" t="s">
        <v>114</v>
      </c>
    </row>
    <row r="2" spans="1:2" x14ac:dyDescent="0.25">
      <c r="A2" t="s">
        <v>68</v>
      </c>
      <c r="B2" t="s">
        <v>116</v>
      </c>
    </row>
    <row r="3" spans="1:2" x14ac:dyDescent="0.25">
      <c r="A3" t="s">
        <v>74</v>
      </c>
      <c r="B3" t="s">
        <v>98</v>
      </c>
    </row>
    <row r="4" spans="1:2" x14ac:dyDescent="0.25">
      <c r="A4" t="s">
        <v>76</v>
      </c>
      <c r="B4" t="s">
        <v>128</v>
      </c>
    </row>
    <row r="5" spans="1:2" x14ac:dyDescent="0.25">
      <c r="A5" t="s">
        <v>80</v>
      </c>
      <c r="B5" t="s">
        <v>124</v>
      </c>
    </row>
    <row r="6" spans="1:2" x14ac:dyDescent="0.25">
      <c r="A6" t="s">
        <v>120</v>
      </c>
      <c r="B6" t="s">
        <v>60</v>
      </c>
    </row>
    <row r="7" spans="1:2" x14ac:dyDescent="0.25">
      <c r="A7" t="s">
        <v>64</v>
      </c>
      <c r="B7" t="s">
        <v>122</v>
      </c>
    </row>
    <row r="8" spans="1:2" x14ac:dyDescent="0.25">
      <c r="A8" t="s">
        <v>94</v>
      </c>
      <c r="B8" t="s">
        <v>56</v>
      </c>
    </row>
    <row r="9" spans="1:2" x14ac:dyDescent="0.25">
      <c r="A9" t="s">
        <v>82</v>
      </c>
      <c r="B9" t="s">
        <v>132</v>
      </c>
    </row>
    <row r="10" spans="1:2" x14ac:dyDescent="0.25">
      <c r="A10" t="s">
        <v>144</v>
      </c>
      <c r="B10" t="s">
        <v>126</v>
      </c>
    </row>
    <row r="11" spans="1:2" x14ac:dyDescent="0.25">
      <c r="A11" t="s">
        <v>148</v>
      </c>
      <c r="B11" t="s">
        <v>72</v>
      </c>
    </row>
    <row r="12" spans="1:2" x14ac:dyDescent="0.25">
      <c r="A12" t="s">
        <v>70</v>
      </c>
      <c r="B12" t="s">
        <v>102</v>
      </c>
    </row>
    <row r="13" spans="1:2" x14ac:dyDescent="0.25">
      <c r="A13" t="s">
        <v>146</v>
      </c>
      <c r="B13" t="s">
        <v>96</v>
      </c>
    </row>
    <row r="14" spans="1:2" x14ac:dyDescent="0.25">
      <c r="A14" t="s">
        <v>118</v>
      </c>
      <c r="B14" t="s">
        <v>110</v>
      </c>
    </row>
    <row r="15" spans="1:2" x14ac:dyDescent="0.25">
      <c r="A15" t="s">
        <v>108</v>
      </c>
      <c r="B15" t="s">
        <v>106</v>
      </c>
    </row>
    <row r="16" spans="1:2" x14ac:dyDescent="0.25">
      <c r="A16" t="s">
        <v>62</v>
      </c>
      <c r="B16" t="s">
        <v>104</v>
      </c>
    </row>
    <row r="17" spans="1:2" x14ac:dyDescent="0.25">
      <c r="A17" t="s">
        <v>86</v>
      </c>
      <c r="B17" t="s">
        <v>138</v>
      </c>
    </row>
    <row r="18" spans="1:2" x14ac:dyDescent="0.25">
      <c r="A18" t="s">
        <v>134</v>
      </c>
      <c r="B18" t="s">
        <v>54</v>
      </c>
    </row>
    <row r="19" spans="1:2" x14ac:dyDescent="0.25">
      <c r="A19" t="s">
        <v>92</v>
      </c>
      <c r="B19" t="s">
        <v>58</v>
      </c>
    </row>
    <row r="20" spans="1:2" x14ac:dyDescent="0.25">
      <c r="A20" t="s">
        <v>88</v>
      </c>
      <c r="B20" t="s">
        <v>84</v>
      </c>
    </row>
    <row r="21" spans="1:2" x14ac:dyDescent="0.25">
      <c r="A21" t="s">
        <v>112</v>
      </c>
      <c r="B21" t="s">
        <v>66</v>
      </c>
    </row>
    <row r="22" spans="1:2" x14ac:dyDescent="0.25">
      <c r="B22" t="s">
        <v>90</v>
      </c>
    </row>
    <row r="23" spans="1:2" x14ac:dyDescent="0.25">
      <c r="B23" t="s">
        <v>100</v>
      </c>
    </row>
    <row r="24" spans="1:2" x14ac:dyDescent="0.25">
      <c r="B24" t="s">
        <v>140</v>
      </c>
    </row>
    <row r="46" spans="1:1" x14ac:dyDescent="0.25">
      <c r="A46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9D97-2BB0-4BE1-A1E0-D2041463A6BD}">
  <dimension ref="A1:C29"/>
  <sheetViews>
    <sheetView workbookViewId="0">
      <selection activeCell="G24" sqref="G24"/>
    </sheetView>
  </sheetViews>
  <sheetFormatPr defaultRowHeight="13.8" x14ac:dyDescent="0.25"/>
  <cols>
    <col min="2" max="2" width="37.296875" bestFit="1" customWidth="1"/>
  </cols>
  <sheetData>
    <row r="1" spans="1:3" x14ac:dyDescent="0.25">
      <c r="A1" t="s">
        <v>678</v>
      </c>
      <c r="B1" t="s">
        <v>679</v>
      </c>
      <c r="C1" t="s">
        <v>680</v>
      </c>
    </row>
    <row r="2" spans="1:3" x14ac:dyDescent="0.25">
      <c r="A2" t="s">
        <v>529</v>
      </c>
      <c r="B2" t="s">
        <v>256</v>
      </c>
      <c r="C2">
        <v>1</v>
      </c>
    </row>
    <row r="3" spans="1:3" x14ac:dyDescent="0.25">
      <c r="A3" t="s">
        <v>541</v>
      </c>
      <c r="B3" t="s">
        <v>280</v>
      </c>
      <c r="C3">
        <v>2</v>
      </c>
    </row>
    <row r="4" spans="1:3" x14ac:dyDescent="0.25">
      <c r="A4" t="s">
        <v>534</v>
      </c>
      <c r="B4" t="s">
        <v>266</v>
      </c>
      <c r="C4">
        <v>3</v>
      </c>
    </row>
    <row r="5" spans="1:3" x14ac:dyDescent="0.25">
      <c r="A5" t="s">
        <v>537</v>
      </c>
      <c r="B5" t="s">
        <v>272</v>
      </c>
      <c r="C5">
        <v>4</v>
      </c>
    </row>
    <row r="6" spans="1:3" x14ac:dyDescent="0.25">
      <c r="A6" t="s">
        <v>524</v>
      </c>
      <c r="B6" t="s">
        <v>246</v>
      </c>
      <c r="C6">
        <v>5</v>
      </c>
    </row>
    <row r="7" spans="1:3" x14ac:dyDescent="0.25">
      <c r="A7" t="s">
        <v>531</v>
      </c>
      <c r="B7" t="s">
        <v>260</v>
      </c>
      <c r="C7">
        <v>6</v>
      </c>
    </row>
    <row r="8" spans="1:3" x14ac:dyDescent="0.25">
      <c r="A8" t="s">
        <v>523</v>
      </c>
      <c r="B8" t="s">
        <v>244</v>
      </c>
      <c r="C8">
        <v>7</v>
      </c>
    </row>
    <row r="9" spans="1:3" x14ac:dyDescent="0.25">
      <c r="A9" t="s">
        <v>547</v>
      </c>
      <c r="B9" t="s">
        <v>292</v>
      </c>
      <c r="C9">
        <v>7</v>
      </c>
    </row>
    <row r="10" spans="1:3" x14ac:dyDescent="0.25">
      <c r="A10" t="s">
        <v>548</v>
      </c>
      <c r="B10" t="s">
        <v>294</v>
      </c>
      <c r="C10">
        <v>8</v>
      </c>
    </row>
    <row r="11" spans="1:3" x14ac:dyDescent="0.25">
      <c r="A11" t="s">
        <v>525</v>
      </c>
      <c r="B11" t="s">
        <v>248</v>
      </c>
      <c r="C11">
        <v>9</v>
      </c>
    </row>
    <row r="12" spans="1:3" x14ac:dyDescent="0.25">
      <c r="A12" t="s">
        <v>526</v>
      </c>
      <c r="B12" t="s">
        <v>250</v>
      </c>
      <c r="C12">
        <v>10</v>
      </c>
    </row>
    <row r="13" spans="1:3" x14ac:dyDescent="0.25">
      <c r="A13" t="s">
        <v>540</v>
      </c>
      <c r="B13" t="s">
        <v>278</v>
      </c>
      <c r="C13">
        <v>11</v>
      </c>
    </row>
    <row r="14" spans="1:3" x14ac:dyDescent="0.25">
      <c r="A14" t="s">
        <v>533</v>
      </c>
      <c r="B14" t="s">
        <v>264</v>
      </c>
      <c r="C14">
        <v>12</v>
      </c>
    </row>
    <row r="15" spans="1:3" x14ac:dyDescent="0.25">
      <c r="A15" t="s">
        <v>546</v>
      </c>
      <c r="B15" t="s">
        <v>290</v>
      </c>
      <c r="C15">
        <v>13</v>
      </c>
    </row>
    <row r="16" spans="1:3" x14ac:dyDescent="0.25">
      <c r="A16" t="s">
        <v>543</v>
      </c>
      <c r="B16" t="s">
        <v>284</v>
      </c>
      <c r="C16">
        <v>14</v>
      </c>
    </row>
    <row r="17" spans="1:3" x14ac:dyDescent="0.25">
      <c r="A17" t="s">
        <v>527</v>
      </c>
      <c r="B17" t="s">
        <v>252</v>
      </c>
      <c r="C17">
        <v>15</v>
      </c>
    </row>
    <row r="18" spans="1:3" x14ac:dyDescent="0.25">
      <c r="A18" t="s">
        <v>539</v>
      </c>
      <c r="B18" t="s">
        <v>276</v>
      </c>
      <c r="C18">
        <v>16</v>
      </c>
    </row>
    <row r="19" spans="1:3" x14ac:dyDescent="0.25">
      <c r="A19" t="s">
        <v>532</v>
      </c>
      <c r="B19" t="s">
        <v>262</v>
      </c>
      <c r="C19">
        <v>17</v>
      </c>
    </row>
    <row r="20" spans="1:3" x14ac:dyDescent="0.25">
      <c r="A20" t="s">
        <v>535</v>
      </c>
      <c r="B20" t="s">
        <v>268</v>
      </c>
      <c r="C20">
        <v>18</v>
      </c>
    </row>
    <row r="21" spans="1:3" x14ac:dyDescent="0.25">
      <c r="A21" t="s">
        <v>530</v>
      </c>
      <c r="B21" t="s">
        <v>258</v>
      </c>
      <c r="C21">
        <v>19</v>
      </c>
    </row>
    <row r="22" spans="1:3" x14ac:dyDescent="0.25">
      <c r="A22" t="s">
        <v>545</v>
      </c>
      <c r="B22" t="s">
        <v>288</v>
      </c>
      <c r="C22">
        <v>20</v>
      </c>
    </row>
    <row r="23" spans="1:3" x14ac:dyDescent="0.25">
      <c r="A23" t="s">
        <v>544</v>
      </c>
      <c r="B23" t="s">
        <v>286</v>
      </c>
      <c r="C23">
        <v>21</v>
      </c>
    </row>
    <row r="24" spans="1:3" x14ac:dyDescent="0.25">
      <c r="A24" t="s">
        <v>528</v>
      </c>
      <c r="B24" t="s">
        <v>254</v>
      </c>
      <c r="C24">
        <v>22</v>
      </c>
    </row>
    <row r="25" spans="1:3" x14ac:dyDescent="0.25">
      <c r="A25" t="s">
        <v>538</v>
      </c>
      <c r="B25" t="s">
        <v>274</v>
      </c>
      <c r="C25">
        <v>24</v>
      </c>
    </row>
    <row r="26" spans="1:3" x14ac:dyDescent="0.25">
      <c r="A26" t="s">
        <v>549</v>
      </c>
      <c r="B26" t="s">
        <v>296</v>
      </c>
      <c r="C26">
        <v>25</v>
      </c>
    </row>
    <row r="27" spans="1:3" x14ac:dyDescent="0.25">
      <c r="A27" t="s">
        <v>536</v>
      </c>
      <c r="B27" t="s">
        <v>270</v>
      </c>
      <c r="C27">
        <v>26</v>
      </c>
    </row>
    <row r="28" spans="1:3" x14ac:dyDescent="0.25">
      <c r="A28" t="s">
        <v>550</v>
      </c>
      <c r="B28" t="s">
        <v>298</v>
      </c>
      <c r="C28">
        <v>27</v>
      </c>
    </row>
    <row r="29" spans="1:3" x14ac:dyDescent="0.25">
      <c r="A29" t="s">
        <v>542</v>
      </c>
      <c r="B29" t="s">
        <v>282</v>
      </c>
      <c r="C29">
        <v>28</v>
      </c>
    </row>
  </sheetData>
  <autoFilter ref="A1:C1" xr:uid="{846B9D97-2BB0-4BE1-A1E0-D2041463A6BD}">
    <sortState xmlns:xlrd2="http://schemas.microsoft.com/office/spreadsheetml/2017/richdata2" ref="A2:C29">
      <sortCondition ref="C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A5D5-6F7D-484F-962B-0FCF67E4FA69}">
  <dimension ref="A1:C34"/>
  <sheetViews>
    <sheetView workbookViewId="0">
      <selection activeCell="H23" sqref="H23"/>
    </sheetView>
  </sheetViews>
  <sheetFormatPr defaultRowHeight="13.8" x14ac:dyDescent="0.25"/>
  <cols>
    <col min="1" max="1" width="45.796875" customWidth="1"/>
    <col min="2" max="2" width="48.59765625" customWidth="1"/>
  </cols>
  <sheetData>
    <row r="1" spans="1:3" x14ac:dyDescent="0.25">
      <c r="A1" s="18" t="s">
        <v>0</v>
      </c>
      <c r="B1" s="19" t="s">
        <v>132</v>
      </c>
      <c r="C1" s="10" t="s">
        <v>164</v>
      </c>
    </row>
    <row r="2" spans="1:3" x14ac:dyDescent="0.25">
      <c r="A2" s="24" t="s">
        <v>82</v>
      </c>
      <c r="B2" s="19" t="s">
        <v>208</v>
      </c>
      <c r="C2" s="26" t="s">
        <v>128</v>
      </c>
    </row>
    <row r="3" spans="1:3" x14ac:dyDescent="0.25">
      <c r="A3" s="19" t="s">
        <v>152</v>
      </c>
      <c r="B3" s="24" t="s">
        <v>56</v>
      </c>
      <c r="C3" s="26" t="s">
        <v>116</v>
      </c>
    </row>
    <row r="4" spans="1:3" x14ac:dyDescent="0.25">
      <c r="A4" s="19" t="s">
        <v>228</v>
      </c>
      <c r="B4" s="19" t="s">
        <v>166</v>
      </c>
      <c r="C4" s="10" t="s">
        <v>204</v>
      </c>
    </row>
    <row r="5" spans="1:3" x14ac:dyDescent="0.25">
      <c r="A5" s="24" t="s">
        <v>68</v>
      </c>
      <c r="B5" s="19" t="s">
        <v>186</v>
      </c>
      <c r="C5" s="10" t="s">
        <v>210</v>
      </c>
    </row>
    <row r="6" spans="1:3" x14ac:dyDescent="0.25">
      <c r="A6" s="19" t="s">
        <v>134</v>
      </c>
      <c r="B6" s="26" t="s">
        <v>102</v>
      </c>
      <c r="C6" s="10" t="s">
        <v>182</v>
      </c>
    </row>
    <row r="7" spans="1:3" x14ac:dyDescent="0.25">
      <c r="A7" s="19" t="s">
        <v>206</v>
      </c>
      <c r="B7" s="10" t="s">
        <v>230</v>
      </c>
      <c r="C7" s="10" t="s">
        <v>242</v>
      </c>
    </row>
    <row r="8" spans="1:3" x14ac:dyDescent="0.25">
      <c r="A8" s="19" t="s">
        <v>202</v>
      </c>
      <c r="B8" s="10" t="s">
        <v>226</v>
      </c>
      <c r="C8" s="26" t="s">
        <v>110</v>
      </c>
    </row>
    <row r="9" spans="1:3" x14ac:dyDescent="0.25">
      <c r="A9" s="19" t="s">
        <v>238</v>
      </c>
      <c r="B9" s="10" t="s">
        <v>214</v>
      </c>
      <c r="C9" s="10" t="s">
        <v>184</v>
      </c>
    </row>
    <row r="10" spans="1:3" x14ac:dyDescent="0.25">
      <c r="A10" s="24" t="s">
        <v>80</v>
      </c>
      <c r="B10" s="10" t="s">
        <v>198</v>
      </c>
      <c r="C10" s="26" t="s">
        <v>124</v>
      </c>
    </row>
    <row r="11" spans="1:3" x14ac:dyDescent="0.25">
      <c r="A11" s="19" t="s">
        <v>200</v>
      </c>
      <c r="B11" s="10" t="s">
        <v>158</v>
      </c>
      <c r="C11" s="10" t="s">
        <v>168</v>
      </c>
    </row>
    <row r="12" spans="1:3" x14ac:dyDescent="0.25">
      <c r="A12" s="24" t="s">
        <v>118</v>
      </c>
      <c r="B12" s="26" t="s">
        <v>76</v>
      </c>
      <c r="C12" s="26" t="s">
        <v>74</v>
      </c>
    </row>
    <row r="13" spans="1:3" x14ac:dyDescent="0.25">
      <c r="A13" s="19" t="s">
        <v>194</v>
      </c>
      <c r="B13" s="10" t="s">
        <v>150</v>
      </c>
      <c r="C13" s="26" t="s">
        <v>62</v>
      </c>
    </row>
    <row r="14" spans="1:3" x14ac:dyDescent="0.25">
      <c r="A14" s="24" t="s">
        <v>58</v>
      </c>
      <c r="B14" s="10" t="s">
        <v>160</v>
      </c>
      <c r="C14" s="10" t="s">
        <v>216</v>
      </c>
    </row>
    <row r="15" spans="1:3" x14ac:dyDescent="0.25">
      <c r="A15" s="24" t="s">
        <v>88</v>
      </c>
      <c r="B15" s="10" t="s">
        <v>178</v>
      </c>
      <c r="C15" s="26" t="s">
        <v>106</v>
      </c>
    </row>
    <row r="16" spans="1:3" x14ac:dyDescent="0.25">
      <c r="A16" s="19" t="s">
        <v>142</v>
      </c>
      <c r="B16" s="26" t="s">
        <v>60</v>
      </c>
      <c r="C16" s="10" t="s">
        <v>156</v>
      </c>
    </row>
    <row r="17" spans="1:3" x14ac:dyDescent="0.25">
      <c r="A17" s="24" t="s">
        <v>98</v>
      </c>
      <c r="B17" s="26" t="s">
        <v>78</v>
      </c>
      <c r="C17" s="26" t="s">
        <v>108</v>
      </c>
    </row>
    <row r="18" spans="1:3" x14ac:dyDescent="0.25">
      <c r="A18" s="19" t="s">
        <v>170</v>
      </c>
      <c r="B18" s="10" t="s">
        <v>180</v>
      </c>
      <c r="C18" s="26" t="s">
        <v>96</v>
      </c>
    </row>
    <row r="19" spans="1:3" x14ac:dyDescent="0.25">
      <c r="A19" s="19" t="s">
        <v>234</v>
      </c>
      <c r="B19" s="26" t="s">
        <v>122</v>
      </c>
      <c r="C19" s="10" t="s">
        <v>148</v>
      </c>
    </row>
    <row r="20" spans="1:3" x14ac:dyDescent="0.25">
      <c r="A20" s="24" t="s">
        <v>66</v>
      </c>
      <c r="B20" s="26" t="s">
        <v>70</v>
      </c>
      <c r="C20" s="26" t="s">
        <v>120</v>
      </c>
    </row>
    <row r="21" spans="1:3" x14ac:dyDescent="0.25">
      <c r="A21" s="19" t="s">
        <v>144</v>
      </c>
      <c r="B21" s="26" t="s">
        <v>100</v>
      </c>
      <c r="C21" s="26" t="s">
        <v>72</v>
      </c>
    </row>
    <row r="22" spans="1:3" x14ac:dyDescent="0.25">
      <c r="A22" s="24" t="s">
        <v>94</v>
      </c>
      <c r="B22" s="10" t="s">
        <v>222</v>
      </c>
      <c r="C22" s="26" t="s">
        <v>114</v>
      </c>
    </row>
    <row r="23" spans="1:3" x14ac:dyDescent="0.25">
      <c r="A23" s="19" t="s">
        <v>136</v>
      </c>
      <c r="B23" s="10" t="s">
        <v>232</v>
      </c>
      <c r="C23" s="26" t="s">
        <v>86</v>
      </c>
    </row>
    <row r="24" spans="1:3" x14ac:dyDescent="0.25">
      <c r="A24" s="19" t="s">
        <v>138</v>
      </c>
      <c r="B24" s="10" t="s">
        <v>176</v>
      </c>
      <c r="C24" s="26" t="s">
        <v>126</v>
      </c>
    </row>
    <row r="25" spans="1:3" x14ac:dyDescent="0.25">
      <c r="A25" s="24" t="s">
        <v>64</v>
      </c>
      <c r="B25" s="10" t="s">
        <v>140</v>
      </c>
      <c r="C25" s="10" t="s">
        <v>130</v>
      </c>
    </row>
    <row r="26" spans="1:3" x14ac:dyDescent="0.25">
      <c r="A26" s="24" t="s">
        <v>92</v>
      </c>
      <c r="B26" s="26" t="s">
        <v>54</v>
      </c>
      <c r="C26" s="10" t="s">
        <v>218</v>
      </c>
    </row>
    <row r="27" spans="1:3" x14ac:dyDescent="0.25">
      <c r="A27" s="19" t="s">
        <v>172</v>
      </c>
      <c r="B27" s="26" t="s">
        <v>104</v>
      </c>
      <c r="C27" s="10" t="s">
        <v>224</v>
      </c>
    </row>
    <row r="28" spans="1:3" x14ac:dyDescent="0.25">
      <c r="A28" s="19" t="s">
        <v>154</v>
      </c>
      <c r="B28" s="10" t="s">
        <v>196</v>
      </c>
      <c r="C28" s="10" t="s">
        <v>240</v>
      </c>
    </row>
    <row r="29" spans="1:3" x14ac:dyDescent="0.25">
      <c r="A29" s="19" t="s">
        <v>188</v>
      </c>
      <c r="B29" s="26" t="s">
        <v>112</v>
      </c>
    </row>
    <row r="30" spans="1:3" x14ac:dyDescent="0.25">
      <c r="A30" s="19" t="s">
        <v>190</v>
      </c>
      <c r="B30" s="10" t="s">
        <v>236</v>
      </c>
    </row>
    <row r="31" spans="1:3" x14ac:dyDescent="0.25">
      <c r="A31" s="24" t="s">
        <v>90</v>
      </c>
      <c r="B31" s="10" t="s">
        <v>162</v>
      </c>
    </row>
    <row r="32" spans="1:3" x14ac:dyDescent="0.25">
      <c r="A32" s="19" t="s">
        <v>220</v>
      </c>
      <c r="B32" s="10" t="s">
        <v>192</v>
      </c>
    </row>
    <row r="33" spans="1:2" x14ac:dyDescent="0.25">
      <c r="A33" s="24" t="s">
        <v>84</v>
      </c>
      <c r="B33" s="10" t="s">
        <v>146</v>
      </c>
    </row>
    <row r="34" spans="1:2" x14ac:dyDescent="0.25">
      <c r="A34" s="19" t="s">
        <v>174</v>
      </c>
      <c r="B34" s="10" t="s">
        <v>212</v>
      </c>
    </row>
  </sheetData>
  <autoFilter ref="A1" xr:uid="{8BFEA5D5-6F7D-484F-962B-0FCF67E4FA6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Feeling</vt:lpstr>
      <vt:lpstr>Viet</vt:lpstr>
      <vt:lpstr>Sum</vt:lpstr>
      <vt:lpstr>Ramdom</vt:lpstr>
      <vt:lpstr>Sheet1</vt:lpstr>
      <vt:lpstr>1-7</vt:lpstr>
      <vt:lpstr>17-21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2023-07-08T13:11:59Z</dcterms:modified>
</cp:coreProperties>
</file>