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About me\"/>
    </mc:Choice>
  </mc:AlternateContent>
  <xr:revisionPtr revIDLastSave="0" documentId="13_ncr:1_{4D500444-3744-4341-B5B1-7C6EA3021208}" xr6:coauthVersionLast="47" xr6:coauthVersionMax="47" xr10:uidLastSave="{00000000-0000-0000-0000-000000000000}"/>
  <bookViews>
    <workbookView xWindow="-108" yWindow="-108" windowWidth="23256" windowHeight="12456" tabRatio="608" activeTab="2" xr2:uid="{719E5D2F-C632-4960-9266-638D7C9B24E2}"/>
  </bookViews>
  <sheets>
    <sheet name="About me" sheetId="1" r:id="rId1"/>
    <sheet name="Viet" sheetId="5" r:id="rId2"/>
    <sheet name="Doc" sheetId="7" r:id="rId3"/>
    <sheet name="Sum" sheetId="6" r:id="rId4"/>
    <sheet name="Ramdom" sheetId="2" r:id="rId5"/>
    <sheet name="Sheet1" sheetId="3" r:id="rId6"/>
  </sheets>
  <definedNames>
    <definedName name="_xlnm._FilterDatabase" localSheetId="0" hidden="1">'About me'!$B$3:$I$408</definedName>
    <definedName name="_xlnm._FilterDatabase" localSheetId="4" hidden="1">Ramdom!$B$3:$F$295</definedName>
    <definedName name="_Hlk131856156" localSheetId="5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C5" i="7"/>
  <c r="C4" i="7"/>
  <c r="B4" i="7" s="1"/>
  <c r="E14" i="7"/>
  <c r="C3" i="7"/>
  <c r="B3" i="7" s="1"/>
  <c r="B2" i="7"/>
  <c r="C2" i="7"/>
  <c r="G5" i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G152" i="1"/>
  <c r="F152" i="1" s="1"/>
  <c r="G153" i="1"/>
  <c r="F153" i="1" s="1"/>
  <c r="G154" i="1"/>
  <c r="F154" i="1" s="1"/>
  <c r="G155" i="1"/>
  <c r="F155" i="1" s="1"/>
  <c r="G156" i="1"/>
  <c r="F156" i="1" s="1"/>
  <c r="G157" i="1"/>
  <c r="F157" i="1" s="1"/>
  <c r="G158" i="1"/>
  <c r="F158" i="1" s="1"/>
  <c r="G159" i="1"/>
  <c r="F159" i="1" s="1"/>
  <c r="G160" i="1"/>
  <c r="F160" i="1" s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F170" i="1" s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G178" i="1"/>
  <c r="F178" i="1" s="1"/>
  <c r="G179" i="1"/>
  <c r="F179" i="1" s="1"/>
  <c r="G180" i="1"/>
  <c r="F180" i="1" s="1"/>
  <c r="G181" i="1"/>
  <c r="F181" i="1" s="1"/>
  <c r="G182" i="1"/>
  <c r="F182" i="1" s="1"/>
  <c r="G183" i="1"/>
  <c r="F183" i="1" s="1"/>
  <c r="G184" i="1"/>
  <c r="F184" i="1" s="1"/>
  <c r="G185" i="1"/>
  <c r="F185" i="1" s="1"/>
  <c r="G186" i="1"/>
  <c r="F186" i="1" s="1"/>
  <c r="G187" i="1"/>
  <c r="F187" i="1" s="1"/>
  <c r="G188" i="1"/>
  <c r="F188" i="1" s="1"/>
  <c r="G189" i="1"/>
  <c r="F189" i="1" s="1"/>
  <c r="G190" i="1"/>
  <c r="F190" i="1" s="1"/>
  <c r="G191" i="1"/>
  <c r="F191" i="1" s="1"/>
  <c r="G192" i="1"/>
  <c r="F192" i="1" s="1"/>
  <c r="G193" i="1"/>
  <c r="F193" i="1" s="1"/>
  <c r="G194" i="1"/>
  <c r="F194" i="1" s="1"/>
  <c r="G195" i="1"/>
  <c r="F195" i="1" s="1"/>
  <c r="G196" i="1"/>
  <c r="F196" i="1" s="1"/>
  <c r="G197" i="1"/>
  <c r="F197" i="1" s="1"/>
  <c r="G198" i="1"/>
  <c r="F198" i="1" s="1"/>
  <c r="G199" i="1"/>
  <c r="F199" i="1" s="1"/>
  <c r="G200" i="1"/>
  <c r="F200" i="1" s="1"/>
  <c r="G201" i="1"/>
  <c r="F201" i="1" s="1"/>
  <c r="G202" i="1"/>
  <c r="F202" i="1" s="1"/>
  <c r="G203" i="1"/>
  <c r="F203" i="1" s="1"/>
  <c r="G204" i="1"/>
  <c r="F204" i="1" s="1"/>
  <c r="G205" i="1"/>
  <c r="F205" i="1" s="1"/>
  <c r="G206" i="1"/>
  <c r="F206" i="1" s="1"/>
  <c r="G207" i="1"/>
  <c r="F207" i="1" s="1"/>
  <c r="G208" i="1"/>
  <c r="F208" i="1" s="1"/>
  <c r="G209" i="1"/>
  <c r="F209" i="1" s="1"/>
  <c r="G210" i="1"/>
  <c r="F210" i="1" s="1"/>
  <c r="G211" i="1"/>
  <c r="F211" i="1" s="1"/>
  <c r="G212" i="1"/>
  <c r="F212" i="1" s="1"/>
  <c r="G213" i="1"/>
  <c r="F213" i="1" s="1"/>
  <c r="G214" i="1"/>
  <c r="F214" i="1" s="1"/>
  <c r="G215" i="1"/>
  <c r="F215" i="1" s="1"/>
  <c r="G216" i="1"/>
  <c r="F216" i="1" s="1"/>
  <c r="G217" i="1"/>
  <c r="F217" i="1" s="1"/>
  <c r="G218" i="1"/>
  <c r="F218" i="1" s="1"/>
  <c r="G219" i="1"/>
  <c r="F219" i="1" s="1"/>
  <c r="G220" i="1"/>
  <c r="F220" i="1" s="1"/>
  <c r="G221" i="1"/>
  <c r="F221" i="1" s="1"/>
  <c r="G222" i="1"/>
  <c r="F222" i="1" s="1"/>
  <c r="G223" i="1"/>
  <c r="F223" i="1" s="1"/>
  <c r="G224" i="1"/>
  <c r="F224" i="1" s="1"/>
  <c r="G225" i="1"/>
  <c r="F225" i="1" s="1"/>
  <c r="G226" i="1"/>
  <c r="F226" i="1" s="1"/>
  <c r="G227" i="1"/>
  <c r="F227" i="1" s="1"/>
  <c r="G228" i="1"/>
  <c r="F228" i="1" s="1"/>
  <c r="G229" i="1"/>
  <c r="F229" i="1" s="1"/>
  <c r="G230" i="1"/>
  <c r="F230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38" i="1"/>
  <c r="F238" i="1" s="1"/>
  <c r="G239" i="1"/>
  <c r="F239" i="1" s="1"/>
  <c r="G240" i="1"/>
  <c r="F240" i="1" s="1"/>
  <c r="G241" i="1"/>
  <c r="F241" i="1" s="1"/>
  <c r="G242" i="1"/>
  <c r="F242" i="1" s="1"/>
  <c r="G243" i="1"/>
  <c r="F243" i="1" s="1"/>
  <c r="G244" i="1"/>
  <c r="F244" i="1" s="1"/>
  <c r="G245" i="1"/>
  <c r="F245" i="1" s="1"/>
  <c r="G246" i="1"/>
  <c r="F246" i="1" s="1"/>
  <c r="G247" i="1"/>
  <c r="F247" i="1" s="1"/>
  <c r="G248" i="1"/>
  <c r="F248" i="1" s="1"/>
  <c r="G249" i="1"/>
  <c r="F249" i="1" s="1"/>
  <c r="G250" i="1"/>
  <c r="F250" i="1" s="1"/>
  <c r="G251" i="1"/>
  <c r="F251" i="1" s="1"/>
  <c r="G252" i="1"/>
  <c r="F252" i="1" s="1"/>
  <c r="G253" i="1"/>
  <c r="F253" i="1" s="1"/>
  <c r="G254" i="1"/>
  <c r="F254" i="1" s="1"/>
  <c r="G255" i="1"/>
  <c r="F255" i="1" s="1"/>
  <c r="G256" i="1"/>
  <c r="F256" i="1" s="1"/>
  <c r="G257" i="1"/>
  <c r="F257" i="1" s="1"/>
  <c r="G258" i="1"/>
  <c r="F258" i="1" s="1"/>
  <c r="G259" i="1"/>
  <c r="F259" i="1" s="1"/>
  <c r="G260" i="1"/>
  <c r="F260" i="1" s="1"/>
  <c r="G261" i="1"/>
  <c r="F261" i="1" s="1"/>
  <c r="G262" i="1"/>
  <c r="F262" i="1" s="1"/>
  <c r="G263" i="1"/>
  <c r="F263" i="1" s="1"/>
  <c r="G264" i="1"/>
  <c r="F264" i="1" s="1"/>
  <c r="G265" i="1"/>
  <c r="F265" i="1" s="1"/>
  <c r="G266" i="1"/>
  <c r="F266" i="1" s="1"/>
  <c r="G267" i="1"/>
  <c r="F267" i="1" s="1"/>
  <c r="G268" i="1"/>
  <c r="F268" i="1" s="1"/>
  <c r="G269" i="1"/>
  <c r="F269" i="1" s="1"/>
  <c r="G270" i="1"/>
  <c r="F270" i="1" s="1"/>
  <c r="G271" i="1"/>
  <c r="F271" i="1" s="1"/>
  <c r="G272" i="1"/>
  <c r="F272" i="1" s="1"/>
  <c r="G273" i="1"/>
  <c r="F273" i="1" s="1"/>
  <c r="G274" i="1"/>
  <c r="F274" i="1" s="1"/>
  <c r="G275" i="1"/>
  <c r="F275" i="1" s="1"/>
  <c r="G276" i="1"/>
  <c r="F276" i="1" s="1"/>
  <c r="G277" i="1"/>
  <c r="F277" i="1" s="1"/>
  <c r="G278" i="1"/>
  <c r="F278" i="1" s="1"/>
  <c r="G279" i="1"/>
  <c r="F279" i="1" s="1"/>
  <c r="G280" i="1"/>
  <c r="F280" i="1" s="1"/>
  <c r="G281" i="1"/>
  <c r="F281" i="1" s="1"/>
  <c r="G282" i="1"/>
  <c r="F282" i="1" s="1"/>
  <c r="G283" i="1"/>
  <c r="F283" i="1" s="1"/>
  <c r="G284" i="1"/>
  <c r="F284" i="1" s="1"/>
  <c r="G285" i="1"/>
  <c r="F285" i="1" s="1"/>
  <c r="G286" i="1"/>
  <c r="F286" i="1" s="1"/>
  <c r="G287" i="1"/>
  <c r="F287" i="1" s="1"/>
  <c r="G288" i="1"/>
  <c r="F288" i="1" s="1"/>
  <c r="G289" i="1"/>
  <c r="F289" i="1" s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F295" i="1" s="1"/>
  <c r="G296" i="1"/>
  <c r="F296" i="1" s="1"/>
  <c r="G297" i="1"/>
  <c r="F297" i="1" s="1"/>
  <c r="G298" i="1"/>
  <c r="F298" i="1" s="1"/>
  <c r="G299" i="1"/>
  <c r="F299" i="1" s="1"/>
  <c r="G300" i="1"/>
  <c r="F300" i="1" s="1"/>
  <c r="G301" i="1"/>
  <c r="F301" i="1" s="1"/>
  <c r="G302" i="1"/>
  <c r="F302" i="1" s="1"/>
  <c r="G303" i="1"/>
  <c r="F303" i="1" s="1"/>
  <c r="G304" i="1"/>
  <c r="F304" i="1" s="1"/>
  <c r="G305" i="1"/>
  <c r="F305" i="1" s="1"/>
  <c r="G306" i="1"/>
  <c r="F306" i="1" s="1"/>
  <c r="G307" i="1"/>
  <c r="F307" i="1" s="1"/>
  <c r="G308" i="1"/>
  <c r="F308" i="1" s="1"/>
  <c r="G309" i="1"/>
  <c r="F309" i="1" s="1"/>
  <c r="G310" i="1"/>
  <c r="F310" i="1" s="1"/>
  <c r="G311" i="1"/>
  <c r="F311" i="1" s="1"/>
  <c r="G312" i="1"/>
  <c r="F312" i="1" s="1"/>
  <c r="G313" i="1"/>
  <c r="F313" i="1" s="1"/>
  <c r="G314" i="1"/>
  <c r="F314" i="1" s="1"/>
  <c r="G315" i="1"/>
  <c r="F315" i="1" s="1"/>
  <c r="G316" i="1"/>
  <c r="F316" i="1" s="1"/>
  <c r="G317" i="1"/>
  <c r="F317" i="1" s="1"/>
  <c r="G318" i="1"/>
  <c r="F318" i="1" s="1"/>
  <c r="G319" i="1"/>
  <c r="F319" i="1" s="1"/>
  <c r="G320" i="1"/>
  <c r="F320" i="1" s="1"/>
  <c r="G321" i="1"/>
  <c r="F321" i="1" s="1"/>
  <c r="G322" i="1"/>
  <c r="F322" i="1" s="1"/>
  <c r="G323" i="1"/>
  <c r="F323" i="1" s="1"/>
  <c r="G324" i="1"/>
  <c r="F324" i="1" s="1"/>
  <c r="G325" i="1"/>
  <c r="F325" i="1" s="1"/>
  <c r="G326" i="1"/>
  <c r="F326" i="1" s="1"/>
  <c r="G327" i="1"/>
  <c r="F327" i="1" s="1"/>
  <c r="G328" i="1"/>
  <c r="F328" i="1" s="1"/>
  <c r="G329" i="1"/>
  <c r="F329" i="1" s="1"/>
  <c r="G330" i="1"/>
  <c r="F330" i="1" s="1"/>
  <c r="G331" i="1"/>
  <c r="F331" i="1" s="1"/>
  <c r="G332" i="1"/>
  <c r="F332" i="1" s="1"/>
  <c r="G333" i="1"/>
  <c r="F333" i="1" s="1"/>
  <c r="G334" i="1"/>
  <c r="F334" i="1" s="1"/>
  <c r="G335" i="1"/>
  <c r="F335" i="1" s="1"/>
  <c r="G336" i="1"/>
  <c r="F336" i="1" s="1"/>
  <c r="G337" i="1"/>
  <c r="F337" i="1" s="1"/>
  <c r="G338" i="1"/>
  <c r="F338" i="1" s="1"/>
  <c r="G339" i="1"/>
  <c r="F339" i="1" s="1"/>
  <c r="G340" i="1"/>
  <c r="F340" i="1" s="1"/>
  <c r="G341" i="1"/>
  <c r="F341" i="1" s="1"/>
  <c r="G342" i="1"/>
  <c r="F342" i="1" s="1"/>
  <c r="G343" i="1"/>
  <c r="F343" i="1" s="1"/>
  <c r="G344" i="1"/>
  <c r="F344" i="1" s="1"/>
  <c r="G345" i="1"/>
  <c r="F345" i="1" s="1"/>
  <c r="G346" i="1"/>
  <c r="F346" i="1" s="1"/>
  <c r="G347" i="1"/>
  <c r="F347" i="1" s="1"/>
  <c r="G348" i="1"/>
  <c r="F348" i="1" s="1"/>
  <c r="G349" i="1"/>
  <c r="F349" i="1" s="1"/>
  <c r="G350" i="1"/>
  <c r="F350" i="1" s="1"/>
  <c r="G351" i="1"/>
  <c r="F351" i="1" s="1"/>
  <c r="G352" i="1"/>
  <c r="F352" i="1" s="1"/>
  <c r="G353" i="1"/>
  <c r="F353" i="1" s="1"/>
  <c r="G354" i="1"/>
  <c r="F354" i="1" s="1"/>
  <c r="G355" i="1"/>
  <c r="F355" i="1" s="1"/>
  <c r="G356" i="1"/>
  <c r="F356" i="1" s="1"/>
  <c r="G357" i="1"/>
  <c r="F357" i="1" s="1"/>
  <c r="G358" i="1"/>
  <c r="F358" i="1" s="1"/>
  <c r="G359" i="1"/>
  <c r="F359" i="1" s="1"/>
  <c r="G360" i="1"/>
  <c r="F360" i="1" s="1"/>
  <c r="G361" i="1"/>
  <c r="F361" i="1" s="1"/>
  <c r="G362" i="1"/>
  <c r="F362" i="1" s="1"/>
  <c r="G363" i="1"/>
  <c r="F363" i="1" s="1"/>
  <c r="G364" i="1"/>
  <c r="F364" i="1" s="1"/>
  <c r="G365" i="1"/>
  <c r="F365" i="1" s="1"/>
  <c r="G366" i="1"/>
  <c r="F366" i="1" s="1"/>
  <c r="G367" i="1"/>
  <c r="F367" i="1" s="1"/>
  <c r="G368" i="1"/>
  <c r="F368" i="1" s="1"/>
  <c r="G369" i="1"/>
  <c r="F369" i="1" s="1"/>
  <c r="G370" i="1"/>
  <c r="F370" i="1" s="1"/>
  <c r="G371" i="1"/>
  <c r="F371" i="1" s="1"/>
  <c r="G372" i="1"/>
  <c r="F372" i="1" s="1"/>
  <c r="G373" i="1"/>
  <c r="F373" i="1" s="1"/>
  <c r="G374" i="1"/>
  <c r="F374" i="1" s="1"/>
  <c r="G375" i="1"/>
  <c r="F375" i="1" s="1"/>
  <c r="G376" i="1"/>
  <c r="F376" i="1" s="1"/>
  <c r="G377" i="1"/>
  <c r="F377" i="1" s="1"/>
  <c r="G378" i="1"/>
  <c r="F378" i="1" s="1"/>
  <c r="G379" i="1"/>
  <c r="F379" i="1" s="1"/>
  <c r="G380" i="1"/>
  <c r="F380" i="1" s="1"/>
  <c r="G381" i="1"/>
  <c r="F381" i="1" s="1"/>
  <c r="G382" i="1"/>
  <c r="F382" i="1" s="1"/>
  <c r="G383" i="1"/>
  <c r="F383" i="1" s="1"/>
  <c r="G384" i="1"/>
  <c r="F384" i="1" s="1"/>
  <c r="G385" i="1"/>
  <c r="F385" i="1" s="1"/>
  <c r="G386" i="1"/>
  <c r="F386" i="1" s="1"/>
  <c r="G387" i="1"/>
  <c r="F387" i="1" s="1"/>
  <c r="G388" i="1"/>
  <c r="F388" i="1" s="1"/>
  <c r="G389" i="1"/>
  <c r="F389" i="1" s="1"/>
  <c r="G390" i="1"/>
  <c r="F390" i="1" s="1"/>
  <c r="G391" i="1"/>
  <c r="F391" i="1" s="1"/>
  <c r="G392" i="1"/>
  <c r="F392" i="1" s="1"/>
  <c r="G393" i="1"/>
  <c r="F393" i="1" s="1"/>
  <c r="G394" i="1"/>
  <c r="F394" i="1" s="1"/>
  <c r="G395" i="1"/>
  <c r="F395" i="1" s="1"/>
  <c r="G396" i="1"/>
  <c r="F396" i="1" s="1"/>
  <c r="G397" i="1"/>
  <c r="F397" i="1" s="1"/>
  <c r="G398" i="1"/>
  <c r="F398" i="1" s="1"/>
  <c r="G399" i="1"/>
  <c r="F399" i="1" s="1"/>
  <c r="G400" i="1"/>
  <c r="F400" i="1" s="1"/>
  <c r="G401" i="1"/>
  <c r="F401" i="1" s="1"/>
  <c r="G402" i="1"/>
  <c r="F402" i="1" s="1"/>
  <c r="G403" i="1"/>
  <c r="F403" i="1" s="1"/>
  <c r="G404" i="1"/>
  <c r="F404" i="1" s="1"/>
  <c r="G405" i="1"/>
  <c r="F405" i="1" s="1"/>
  <c r="G406" i="1"/>
  <c r="F406" i="1" s="1"/>
  <c r="G407" i="1"/>
  <c r="F407" i="1" s="1"/>
  <c r="G408" i="1"/>
  <c r="F408" i="1" s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G4" i="1"/>
  <c r="F4" i="1" s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3" i="6"/>
  <c r="C3" i="6" s="1"/>
  <c r="D10" i="5"/>
  <c r="C10" i="5" s="1"/>
  <c r="D11" i="5"/>
  <c r="C11" i="5" s="1"/>
  <c r="D12" i="5"/>
  <c r="C12" i="5" s="1"/>
  <c r="D13" i="5"/>
  <c r="C13" i="5" s="1"/>
  <c r="D4" i="5"/>
  <c r="C4" i="5" s="1"/>
  <c r="D5" i="5"/>
  <c r="C5" i="5" s="1"/>
  <c r="D6" i="5"/>
  <c r="C6" i="5" s="1"/>
  <c r="D7" i="5"/>
  <c r="C7" i="5" s="1"/>
  <c r="D8" i="5"/>
  <c r="C8" i="5" s="1"/>
  <c r="D9" i="5"/>
  <c r="C9" i="5" s="1"/>
  <c r="D3" i="5"/>
  <c r="C3" i="5" s="1"/>
  <c r="F5" i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C39" i="2" s="1"/>
  <c r="A41" i="2" l="1"/>
  <c r="B40" i="2"/>
  <c r="C40" i="2" s="1"/>
  <c r="A42" i="2" l="1"/>
  <c r="B41" i="2"/>
  <c r="C41" i="2" s="1"/>
  <c r="A43" i="2" l="1"/>
  <c r="B42" i="2"/>
  <c r="C42" i="2" s="1"/>
  <c r="A44" i="2" l="1"/>
  <c r="B43" i="2"/>
  <c r="C43" i="2" l="1"/>
  <c r="A45" i="2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27" i="2" l="1"/>
  <c r="C28" i="2"/>
  <c r="C30" i="2"/>
  <c r="C29" i="2"/>
  <c r="C31" i="2"/>
  <c r="C33" i="2"/>
  <c r="C32" i="2"/>
  <c r="C34" i="2"/>
  <c r="C35" i="2"/>
  <c r="C36" i="2"/>
  <c r="C38" i="2"/>
  <c r="C37" i="2"/>
  <c r="C72" i="2"/>
  <c r="D68" i="2"/>
  <c r="F68" i="2" s="1"/>
  <c r="C22" i="2"/>
  <c r="C24" i="2"/>
  <c r="C23" i="2"/>
  <c r="C25" i="2"/>
  <c r="C26" i="2"/>
  <c r="C10" i="2"/>
  <c r="C7" i="2"/>
  <c r="C8" i="2"/>
  <c r="C6" i="2"/>
  <c r="C9" i="2"/>
  <c r="C5" i="2"/>
  <c r="C12" i="2"/>
  <c r="C15" i="2"/>
  <c r="C13" i="2"/>
  <c r="C11" i="2"/>
  <c r="C14" i="2"/>
  <c r="C17" i="2"/>
  <c r="C16" i="2"/>
  <c r="C19" i="2"/>
  <c r="C18" i="2"/>
  <c r="C20" i="2"/>
  <c r="C21" i="2"/>
  <c r="A74" i="2"/>
  <c r="B73" i="2"/>
  <c r="C73" i="2" s="1"/>
  <c r="D73" i="2" s="1"/>
  <c r="D19" i="2" l="1"/>
  <c r="D9" i="2"/>
  <c r="D39" i="2"/>
  <c r="D33" i="2"/>
  <c r="D23" i="2"/>
  <c r="D67" i="2"/>
  <c r="D57" i="2"/>
  <c r="D50" i="2"/>
  <c r="D17" i="2"/>
  <c r="D6" i="2"/>
  <c r="D40" i="2"/>
  <c r="D32" i="2"/>
  <c r="D24" i="2"/>
  <c r="D65" i="2"/>
  <c r="D58" i="2"/>
  <c r="D49" i="2"/>
  <c r="D21" i="2"/>
  <c r="D16" i="2"/>
  <c r="D14" i="2"/>
  <c r="D8" i="2"/>
  <c r="D38" i="2"/>
  <c r="D30" i="2"/>
  <c r="D22" i="2"/>
  <c r="D63" i="2"/>
  <c r="D55" i="2"/>
  <c r="D47" i="2"/>
  <c r="D10" i="2"/>
  <c r="D11" i="2"/>
  <c r="D7" i="2"/>
  <c r="D37" i="2"/>
  <c r="D29" i="2"/>
  <c r="D69" i="2"/>
  <c r="D64" i="2"/>
  <c r="D56" i="2"/>
  <c r="D48" i="2"/>
  <c r="D13" i="2"/>
  <c r="D72" i="2"/>
  <c r="D36" i="2"/>
  <c r="D28" i="2"/>
  <c r="D71" i="2"/>
  <c r="D62" i="2"/>
  <c r="D54" i="2"/>
  <c r="D46" i="2"/>
  <c r="D20" i="2"/>
  <c r="D34" i="2"/>
  <c r="D27" i="2"/>
  <c r="D60" i="2"/>
  <c r="D53" i="2"/>
  <c r="D44" i="2"/>
  <c r="D15" i="2"/>
  <c r="D12" i="2"/>
  <c r="D42" i="2"/>
  <c r="D35" i="2"/>
  <c r="D26" i="2"/>
  <c r="D70" i="2"/>
  <c r="D61" i="2"/>
  <c r="D52" i="2"/>
  <c r="D45" i="2"/>
  <c r="D18" i="2"/>
  <c r="D5" i="2"/>
  <c r="D41" i="2"/>
  <c r="D31" i="2"/>
  <c r="D25" i="2"/>
  <c r="D66" i="2"/>
  <c r="D59" i="2"/>
  <c r="D51" i="2"/>
  <c r="D43" i="2"/>
  <c r="E68" i="2"/>
  <c r="A75" i="2"/>
  <c r="B74" i="2"/>
  <c r="C74" i="2" l="1"/>
  <c r="D74" i="2" s="1"/>
  <c r="E43" i="2"/>
  <c r="F43" i="2"/>
  <c r="E51" i="2"/>
  <c r="F51" i="2"/>
  <c r="E54" i="2"/>
  <c r="F54" i="2"/>
  <c r="E66" i="2"/>
  <c r="F66" i="2"/>
  <c r="E61" i="2"/>
  <c r="F61" i="2"/>
  <c r="E53" i="2"/>
  <c r="F53" i="2"/>
  <c r="E71" i="2"/>
  <c r="F71" i="2"/>
  <c r="E69" i="2"/>
  <c r="F69" i="2"/>
  <c r="E63" i="2"/>
  <c r="F63" i="2"/>
  <c r="E49" i="2"/>
  <c r="F49" i="2"/>
  <c r="E50" i="2"/>
  <c r="F50" i="2"/>
  <c r="E28" i="2"/>
  <c r="F28" i="2"/>
  <c r="E22" i="2"/>
  <c r="F22" i="2"/>
  <c r="E57" i="2"/>
  <c r="F57" i="2"/>
  <c r="E31" i="2"/>
  <c r="F31" i="2"/>
  <c r="E26" i="2"/>
  <c r="F26" i="2"/>
  <c r="E27" i="2"/>
  <c r="F27" i="2"/>
  <c r="E36" i="2"/>
  <c r="F36" i="2"/>
  <c r="E37" i="2"/>
  <c r="F37" i="2"/>
  <c r="E30" i="2"/>
  <c r="F30" i="2"/>
  <c r="E65" i="2"/>
  <c r="F65" i="2"/>
  <c r="E67" i="2"/>
  <c r="F67" i="2"/>
  <c r="E70" i="2"/>
  <c r="F70" i="2"/>
  <c r="E29" i="2"/>
  <c r="F29" i="2"/>
  <c r="E58" i="2"/>
  <c r="F58" i="2"/>
  <c r="E41" i="2"/>
  <c r="F41" i="2"/>
  <c r="E35" i="2"/>
  <c r="F35" i="2"/>
  <c r="E34" i="2"/>
  <c r="F34" i="2"/>
  <c r="E72" i="2"/>
  <c r="F72" i="2"/>
  <c r="E7" i="2"/>
  <c r="F7" i="2"/>
  <c r="E38" i="2"/>
  <c r="F38" i="2"/>
  <c r="E24" i="2"/>
  <c r="F24" i="2"/>
  <c r="E23" i="2"/>
  <c r="F23" i="2"/>
  <c r="E5" i="2"/>
  <c r="F5" i="2"/>
  <c r="E42" i="2"/>
  <c r="F42" i="2"/>
  <c r="E20" i="2"/>
  <c r="F20" i="2"/>
  <c r="E13" i="2"/>
  <c r="F13" i="2"/>
  <c r="E11" i="2"/>
  <c r="F11" i="2"/>
  <c r="E8" i="2"/>
  <c r="F8" i="2"/>
  <c r="E32" i="2"/>
  <c r="F32" i="2"/>
  <c r="E33" i="2"/>
  <c r="F33" i="2"/>
  <c r="E18" i="2"/>
  <c r="F18" i="2"/>
  <c r="E48" i="2"/>
  <c r="F48" i="2"/>
  <c r="E10" i="2"/>
  <c r="F10" i="2"/>
  <c r="E14" i="2"/>
  <c r="F14" i="2"/>
  <c r="E40" i="2"/>
  <c r="F40" i="2"/>
  <c r="E39" i="2"/>
  <c r="F39" i="2"/>
  <c r="E25" i="2"/>
  <c r="F25" i="2"/>
  <c r="E46" i="2"/>
  <c r="F46" i="2"/>
  <c r="E15" i="2"/>
  <c r="F15" i="2"/>
  <c r="E47" i="2"/>
  <c r="F47" i="2"/>
  <c r="E16" i="2"/>
  <c r="F16" i="2"/>
  <c r="E6" i="2"/>
  <c r="F6" i="2"/>
  <c r="E9" i="2"/>
  <c r="F9" i="2"/>
  <c r="E60" i="2"/>
  <c r="F60" i="2"/>
  <c r="E12" i="2"/>
  <c r="F12" i="2"/>
  <c r="E45" i="2"/>
  <c r="F45" i="2"/>
  <c r="E56" i="2"/>
  <c r="F56" i="2"/>
  <c r="E59" i="2"/>
  <c r="F59" i="2"/>
  <c r="E52" i="2"/>
  <c r="F52" i="2"/>
  <c r="E44" i="2"/>
  <c r="F44" i="2"/>
  <c r="E62" i="2"/>
  <c r="F62" i="2"/>
  <c r="E64" i="2"/>
  <c r="F64" i="2"/>
  <c r="E55" i="2"/>
  <c r="F55" i="2"/>
  <c r="E21" i="2"/>
  <c r="F21" i="2"/>
  <c r="E17" i="2"/>
  <c r="F17" i="2"/>
  <c r="E19" i="2"/>
  <c r="F19" i="2"/>
  <c r="A76" i="2"/>
  <c r="B75" i="2"/>
  <c r="C75" i="2" s="1"/>
  <c r="D75" i="2" s="1"/>
  <c r="A77" i="2" l="1"/>
  <c r="B76" i="2"/>
  <c r="C76" i="2" s="1"/>
  <c r="D76" i="2" s="1"/>
  <c r="A78" i="2" l="1"/>
  <c r="B77" i="2"/>
  <c r="C77" i="2" l="1"/>
  <c r="D77" i="2" s="1"/>
  <c r="A79" i="2"/>
  <c r="B78" i="2"/>
  <c r="C78" i="2" s="1"/>
  <c r="D78" i="2" s="1"/>
  <c r="A80" i="2" l="1"/>
  <c r="B79" i="2"/>
  <c r="C79" i="2" s="1"/>
  <c r="D79" i="2" s="1"/>
  <c r="A81" i="2" l="1"/>
  <c r="B80" i="2"/>
  <c r="C80" i="2" s="1"/>
  <c r="D80" i="2" s="1"/>
  <c r="A82" i="2" l="1"/>
  <c r="B81" i="2"/>
  <c r="C81" i="2" s="1"/>
  <c r="D81" i="2" s="1"/>
  <c r="A83" i="2" l="1"/>
  <c r="B82" i="2"/>
  <c r="C82" i="2" s="1"/>
  <c r="D82" i="2" s="1"/>
  <c r="A84" i="2" l="1"/>
  <c r="B83" i="2"/>
  <c r="C83" i="2" s="1"/>
  <c r="D83" i="2" s="1"/>
  <c r="A85" i="2" l="1"/>
  <c r="B84" i="2"/>
  <c r="C84" i="2" s="1"/>
  <c r="D84" i="2" s="1"/>
  <c r="A86" i="2" l="1"/>
  <c r="B85" i="2"/>
  <c r="C85" i="2" s="1"/>
  <c r="D85" i="2" s="1"/>
  <c r="A87" i="2" l="1"/>
  <c r="B86" i="2"/>
  <c r="C86" i="2" s="1"/>
  <c r="D86" i="2" s="1"/>
  <c r="A88" i="2" l="1"/>
  <c r="B87" i="2"/>
  <c r="C87" i="2" s="1"/>
  <c r="D87" i="2" s="1"/>
  <c r="A89" i="2" l="1"/>
  <c r="B88" i="2"/>
  <c r="C88" i="2" s="1"/>
  <c r="D88" i="2" s="1"/>
  <c r="A90" i="2" l="1"/>
  <c r="B89" i="2"/>
  <c r="C89" i="2" s="1"/>
  <c r="D89" i="2" s="1"/>
  <c r="A91" i="2" l="1"/>
  <c r="B90" i="2"/>
  <c r="C90" i="2" s="1"/>
  <c r="D90" i="2" s="1"/>
  <c r="A92" i="2" l="1"/>
  <c r="B91" i="2"/>
  <c r="C91" i="2" s="1"/>
  <c r="D91" i="2" s="1"/>
  <c r="A93" i="2" l="1"/>
  <c r="B92" i="2"/>
  <c r="C92" i="2" s="1"/>
  <c r="D92" i="2" s="1"/>
  <c r="A94" i="2" l="1"/>
  <c r="B93" i="2"/>
  <c r="C93" i="2" s="1"/>
  <c r="D93" i="2" s="1"/>
  <c r="A95" i="2" l="1"/>
  <c r="B94" i="2"/>
  <c r="C94" i="2" s="1"/>
  <c r="D94" i="2" s="1"/>
  <c r="A96" i="2" l="1"/>
  <c r="B95" i="2"/>
  <c r="C95" i="2" s="1"/>
  <c r="D95" i="2" s="1"/>
  <c r="A97" i="2" l="1"/>
  <c r="B96" i="2"/>
  <c r="C96" i="2" s="1"/>
  <c r="D96" i="2" s="1"/>
  <c r="A98" i="2" l="1"/>
  <c r="B97" i="2"/>
  <c r="C97" i="2" s="1"/>
  <c r="D97" i="2" s="1"/>
  <c r="A99" i="2" l="1"/>
  <c r="B98" i="2"/>
  <c r="C98" i="2" s="1"/>
  <c r="D98" i="2" s="1"/>
  <c r="A100" i="2" l="1"/>
  <c r="B99" i="2"/>
  <c r="C99" i="2" s="1"/>
  <c r="D99" i="2" s="1"/>
  <c r="A101" i="2" l="1"/>
  <c r="B100" i="2"/>
  <c r="C100" i="2" s="1"/>
  <c r="D100" i="2" s="1"/>
  <c r="A102" i="2" l="1"/>
  <c r="B101" i="2"/>
  <c r="C101" i="2" s="1"/>
  <c r="D101" i="2" s="1"/>
  <c r="A103" i="2" l="1"/>
  <c r="B102" i="2"/>
  <c r="C102" i="2" s="1"/>
  <c r="D102" i="2" s="1"/>
  <c r="A104" i="2" l="1"/>
  <c r="B103" i="2"/>
  <c r="C103" i="2" s="1"/>
  <c r="D103" i="2" s="1"/>
  <c r="A105" i="2" l="1"/>
  <c r="B104" i="2"/>
  <c r="C104" i="2" s="1"/>
  <c r="D104" i="2" s="1"/>
  <c r="A106" i="2" l="1"/>
  <c r="B105" i="2"/>
  <c r="C105" i="2" s="1"/>
  <c r="D105" i="2" s="1"/>
  <c r="A107" i="2" l="1"/>
  <c r="B106" i="2"/>
  <c r="C106" i="2" s="1"/>
  <c r="D106" i="2" s="1"/>
  <c r="A108" i="2" l="1"/>
  <c r="B107" i="2"/>
  <c r="C107" i="2" s="1"/>
  <c r="D107" i="2" s="1"/>
  <c r="A109" i="2" l="1"/>
  <c r="B108" i="2"/>
  <c r="C108" i="2" s="1"/>
  <c r="D108" i="2" s="1"/>
  <c r="A110" i="2" l="1"/>
  <c r="B109" i="2"/>
  <c r="C109" i="2" s="1"/>
  <c r="D109" i="2" s="1"/>
  <c r="A111" i="2" l="1"/>
  <c r="B110" i="2"/>
  <c r="C110" i="2" s="1"/>
  <c r="D110" i="2" s="1"/>
  <c r="A112" i="2" l="1"/>
  <c r="B111" i="2"/>
  <c r="C111" i="2" s="1"/>
  <c r="D111" i="2" s="1"/>
  <c r="A113" i="2" l="1"/>
  <c r="B112" i="2"/>
  <c r="C112" i="2" s="1"/>
  <c r="D112" i="2" s="1"/>
  <c r="A114" i="2" l="1"/>
  <c r="B113" i="2"/>
  <c r="C113" i="2" s="1"/>
  <c r="D113" i="2" s="1"/>
  <c r="A115" i="2" l="1"/>
  <c r="B114" i="2"/>
  <c r="C114" i="2" s="1"/>
  <c r="D114" i="2" s="1"/>
  <c r="A116" i="2" l="1"/>
  <c r="B115" i="2"/>
  <c r="C115" i="2" s="1"/>
  <c r="D115" i="2" s="1"/>
  <c r="A117" i="2" l="1"/>
  <c r="B116" i="2"/>
  <c r="C116" i="2" s="1"/>
  <c r="D116" i="2" s="1"/>
  <c r="A118" i="2" l="1"/>
  <c r="B117" i="2"/>
  <c r="C117" i="2" s="1"/>
  <c r="D117" i="2" s="1"/>
  <c r="A119" i="2" l="1"/>
  <c r="B118" i="2"/>
  <c r="C118" i="2" s="1"/>
  <c r="D118" i="2" s="1"/>
  <c r="A120" i="2" l="1"/>
  <c r="B119" i="2"/>
  <c r="C119" i="2" s="1"/>
  <c r="D119" i="2" s="1"/>
  <c r="A121" i="2" l="1"/>
  <c r="B120" i="2"/>
  <c r="C120" i="2" s="1"/>
  <c r="D120" i="2" s="1"/>
  <c r="A122" i="2" l="1"/>
  <c r="B121" i="2"/>
  <c r="C121" i="2" s="1"/>
  <c r="D121" i="2" s="1"/>
  <c r="A123" i="2" l="1"/>
  <c r="B122" i="2"/>
  <c r="C122" i="2" s="1"/>
  <c r="D122" i="2" s="1"/>
  <c r="A124" i="2" l="1"/>
  <c r="B123" i="2"/>
  <c r="C123" i="2" s="1"/>
  <c r="D123" i="2" s="1"/>
  <c r="A125" i="2" l="1"/>
  <c r="B124" i="2"/>
  <c r="C124" i="2" s="1"/>
  <c r="D124" i="2" s="1"/>
  <c r="A126" i="2" l="1"/>
  <c r="B125" i="2"/>
  <c r="C125" i="2" s="1"/>
  <c r="D125" i="2" s="1"/>
  <c r="A127" i="2" l="1"/>
  <c r="B126" i="2"/>
  <c r="C126" i="2" s="1"/>
  <c r="D126" i="2" s="1"/>
  <c r="A128" i="2" l="1"/>
  <c r="B127" i="2"/>
  <c r="C127" i="2" s="1"/>
  <c r="D127" i="2" s="1"/>
  <c r="A129" i="2" l="1"/>
  <c r="B128" i="2"/>
  <c r="C128" i="2" s="1"/>
  <c r="D128" i="2" s="1"/>
  <c r="A130" i="2" l="1"/>
  <c r="B129" i="2"/>
  <c r="C129" i="2" s="1"/>
  <c r="D129" i="2" s="1"/>
  <c r="A131" i="2" l="1"/>
  <c r="B130" i="2"/>
  <c r="C130" i="2" l="1"/>
  <c r="D130" i="2" s="1"/>
  <c r="C4" i="2"/>
  <c r="D4" i="2" s="1"/>
  <c r="A132" i="2"/>
  <c r="B131" i="2"/>
  <c r="C131" i="2" s="1"/>
  <c r="D131" i="2" s="1"/>
  <c r="E4" i="2" l="1"/>
  <c r="F4" i="2"/>
  <c r="A133" i="2"/>
  <c r="B132" i="2"/>
  <c r="C132" i="2" s="1"/>
  <c r="D132" i="2" s="1"/>
  <c r="A134" i="2" l="1"/>
  <c r="B133" i="2"/>
  <c r="C133" i="2" s="1"/>
  <c r="D133" i="2" s="1"/>
  <c r="A135" i="2" l="1"/>
  <c r="B134" i="2"/>
  <c r="C134" i="2" s="1"/>
  <c r="D134" i="2" s="1"/>
  <c r="A136" i="2" l="1"/>
  <c r="B135" i="2"/>
  <c r="C135" i="2" s="1"/>
  <c r="D135" i="2" s="1"/>
  <c r="A137" i="2" l="1"/>
  <c r="B136" i="2"/>
  <c r="C136" i="2" s="1"/>
  <c r="D136" i="2" s="1"/>
  <c r="A138" i="2" l="1"/>
  <c r="B137" i="2"/>
  <c r="C137" i="2" s="1"/>
  <c r="D137" i="2" s="1"/>
  <c r="A139" i="2" l="1"/>
  <c r="B138" i="2"/>
  <c r="C138" i="2" s="1"/>
  <c r="D138" i="2" s="1"/>
  <c r="A140" i="2" l="1"/>
  <c r="B139" i="2"/>
  <c r="C139" i="2" s="1"/>
  <c r="D139" i="2" s="1"/>
  <c r="A141" i="2" l="1"/>
  <c r="B140" i="2"/>
  <c r="C140" i="2" s="1"/>
  <c r="D140" i="2" s="1"/>
  <c r="A142" i="2" l="1"/>
  <c r="B141" i="2"/>
  <c r="C141" i="2" s="1"/>
  <c r="D141" i="2" s="1"/>
  <c r="A143" i="2" l="1"/>
  <c r="B142" i="2"/>
  <c r="C142" i="2" s="1"/>
  <c r="D142" i="2" s="1"/>
  <c r="A144" i="2" l="1"/>
  <c r="B143" i="2"/>
  <c r="C143" i="2" s="1"/>
  <c r="D143" i="2" s="1"/>
  <c r="A145" i="2" l="1"/>
  <c r="B144" i="2"/>
  <c r="C144" i="2" s="1"/>
  <c r="D144" i="2" s="1"/>
  <c r="A146" i="2" l="1"/>
  <c r="B145" i="2"/>
  <c r="C145" i="2" s="1"/>
  <c r="D145" i="2" s="1"/>
  <c r="A147" i="2" l="1"/>
  <c r="B146" i="2"/>
  <c r="C146" i="2" s="1"/>
  <c r="D146" i="2" s="1"/>
  <c r="A148" i="2" l="1"/>
  <c r="B147" i="2"/>
  <c r="C147" i="2" s="1"/>
  <c r="D147" i="2" s="1"/>
  <c r="A149" i="2" l="1"/>
  <c r="B148" i="2"/>
  <c r="C148" i="2" s="1"/>
  <c r="D148" i="2" s="1"/>
  <c r="A150" i="2" l="1"/>
  <c r="B149" i="2"/>
  <c r="C149" i="2" s="1"/>
  <c r="D149" i="2" s="1"/>
  <c r="A151" i="2" l="1"/>
  <c r="B150" i="2"/>
  <c r="C150" i="2" s="1"/>
  <c r="D150" i="2" s="1"/>
  <c r="A152" i="2" l="1"/>
  <c r="B151" i="2"/>
  <c r="C151" i="2" s="1"/>
  <c r="D151" i="2" s="1"/>
  <c r="A153" i="2" l="1"/>
  <c r="B152" i="2"/>
  <c r="C152" i="2" s="1"/>
  <c r="D152" i="2" s="1"/>
  <c r="A154" i="2" l="1"/>
  <c r="B153" i="2"/>
  <c r="C153" i="2" s="1"/>
  <c r="D153" i="2" s="1"/>
  <c r="A155" i="2" l="1"/>
  <c r="B154" i="2"/>
  <c r="C154" i="2" s="1"/>
  <c r="D154" i="2" s="1"/>
  <c r="A156" i="2" l="1"/>
  <c r="B155" i="2"/>
  <c r="C155" i="2" s="1"/>
  <c r="D155" i="2" s="1"/>
  <c r="A157" i="2" l="1"/>
  <c r="B156" i="2"/>
  <c r="C156" i="2" s="1"/>
  <c r="D156" i="2" s="1"/>
  <c r="A158" i="2" l="1"/>
  <c r="B157" i="2"/>
  <c r="C157" i="2" s="1"/>
  <c r="D157" i="2" s="1"/>
  <c r="A159" i="2" l="1"/>
  <c r="B158" i="2"/>
  <c r="C158" i="2" s="1"/>
  <c r="D158" i="2" s="1"/>
  <c r="A160" i="2" l="1"/>
  <c r="B159" i="2"/>
  <c r="C159" i="2" s="1"/>
  <c r="D159" i="2" s="1"/>
  <c r="A161" i="2" l="1"/>
  <c r="B160" i="2"/>
  <c r="C160" i="2" s="1"/>
  <c r="D160" i="2" s="1"/>
  <c r="A162" i="2" l="1"/>
  <c r="B161" i="2"/>
  <c r="C161" i="2" s="1"/>
  <c r="D161" i="2" s="1"/>
  <c r="A163" i="2" l="1"/>
  <c r="B162" i="2"/>
  <c r="C162" i="2" s="1"/>
  <c r="D162" i="2" s="1"/>
  <c r="A164" i="2" l="1"/>
  <c r="B163" i="2"/>
  <c r="C163" i="2" s="1"/>
  <c r="D163" i="2" s="1"/>
  <c r="A165" i="2" l="1"/>
  <c r="B164" i="2"/>
  <c r="C164" i="2" s="1"/>
  <c r="D164" i="2" s="1"/>
  <c r="A166" i="2" l="1"/>
  <c r="B165" i="2"/>
  <c r="C165" i="2" s="1"/>
  <c r="D165" i="2" s="1"/>
  <c r="A167" i="2" l="1"/>
  <c r="B166" i="2"/>
  <c r="C166" i="2" s="1"/>
  <c r="D166" i="2" s="1"/>
  <c r="A168" i="2" l="1"/>
  <c r="B167" i="2"/>
  <c r="C167" i="2" s="1"/>
  <c r="D167" i="2" s="1"/>
  <c r="A169" i="2" l="1"/>
  <c r="B168" i="2"/>
  <c r="C168" i="2" s="1"/>
  <c r="D168" i="2" s="1"/>
  <c r="A170" i="2" l="1"/>
  <c r="B169" i="2"/>
  <c r="C169" i="2" s="1"/>
  <c r="D169" i="2" s="1"/>
  <c r="A171" i="2" l="1"/>
  <c r="B170" i="2"/>
  <c r="C170" i="2" s="1"/>
  <c r="D170" i="2" s="1"/>
  <c r="A172" i="2" l="1"/>
  <c r="B171" i="2"/>
  <c r="C171" i="2" s="1"/>
  <c r="D171" i="2" s="1"/>
  <c r="A173" i="2" l="1"/>
  <c r="B172" i="2"/>
  <c r="C172" i="2" s="1"/>
  <c r="D172" i="2" s="1"/>
  <c r="A174" i="2" l="1"/>
  <c r="B173" i="2"/>
  <c r="C173" i="2" s="1"/>
  <c r="D173" i="2" s="1"/>
  <c r="A175" i="2" l="1"/>
  <c r="B174" i="2"/>
  <c r="C174" i="2" s="1"/>
  <c r="D174" i="2" s="1"/>
  <c r="A176" i="2" l="1"/>
  <c r="B175" i="2"/>
  <c r="C175" i="2" s="1"/>
  <c r="D175" i="2" s="1"/>
  <c r="A177" i="2" l="1"/>
  <c r="B176" i="2"/>
  <c r="C176" i="2" s="1"/>
  <c r="D176" i="2" s="1"/>
  <c r="A178" i="2" l="1"/>
  <c r="B177" i="2"/>
  <c r="C177" i="2" s="1"/>
  <c r="D177" i="2" s="1"/>
  <c r="A179" i="2" l="1"/>
  <c r="B178" i="2"/>
  <c r="C178" i="2" s="1"/>
  <c r="D178" i="2" s="1"/>
  <c r="A180" i="2" l="1"/>
  <c r="B179" i="2"/>
  <c r="C179" i="2" s="1"/>
  <c r="D179" i="2" s="1"/>
  <c r="A181" i="2" l="1"/>
  <c r="B180" i="2"/>
  <c r="C180" i="2" s="1"/>
  <c r="D180" i="2" s="1"/>
  <c r="A182" i="2" l="1"/>
  <c r="B181" i="2"/>
  <c r="C181" i="2" s="1"/>
  <c r="D181" i="2" s="1"/>
  <c r="A183" i="2" l="1"/>
  <c r="B182" i="2"/>
  <c r="C182" i="2" s="1"/>
  <c r="D182" i="2" s="1"/>
  <c r="A184" i="2" l="1"/>
  <c r="B183" i="2"/>
  <c r="C183" i="2" s="1"/>
  <c r="D183" i="2" s="1"/>
  <c r="A185" i="2" l="1"/>
  <c r="B184" i="2"/>
  <c r="C184" i="2" s="1"/>
  <c r="D184" i="2" s="1"/>
  <c r="A186" i="2" l="1"/>
  <c r="B185" i="2"/>
  <c r="C185" i="2" s="1"/>
  <c r="D185" i="2" s="1"/>
  <c r="A187" i="2" l="1"/>
  <c r="B186" i="2"/>
  <c r="C186" i="2" s="1"/>
  <c r="D186" i="2" s="1"/>
  <c r="A188" i="2" l="1"/>
  <c r="B187" i="2"/>
  <c r="C187" i="2" s="1"/>
  <c r="D187" i="2" s="1"/>
  <c r="A189" i="2" l="1"/>
  <c r="B188" i="2"/>
  <c r="C188" i="2" s="1"/>
  <c r="D188" i="2" s="1"/>
  <c r="A190" i="2" l="1"/>
  <c r="B189" i="2"/>
  <c r="C189" i="2" s="1"/>
  <c r="D189" i="2" s="1"/>
  <c r="A191" i="2" l="1"/>
  <c r="B190" i="2"/>
  <c r="C190" i="2" s="1"/>
  <c r="D190" i="2" s="1"/>
  <c r="A192" i="2" l="1"/>
  <c r="B191" i="2"/>
  <c r="C191" i="2" s="1"/>
  <c r="D191" i="2" s="1"/>
  <c r="A193" i="2" l="1"/>
  <c r="B192" i="2"/>
  <c r="C192" i="2" s="1"/>
  <c r="D192" i="2" s="1"/>
  <c r="A194" i="2" l="1"/>
  <c r="B193" i="2"/>
  <c r="C193" i="2" s="1"/>
  <c r="D193" i="2" s="1"/>
  <c r="A195" i="2" l="1"/>
  <c r="B194" i="2"/>
  <c r="C194" i="2" s="1"/>
  <c r="D194" i="2" s="1"/>
  <c r="A196" i="2" l="1"/>
  <c r="B195" i="2"/>
  <c r="C195" i="2" s="1"/>
  <c r="D195" i="2" s="1"/>
  <c r="A197" i="2" l="1"/>
  <c r="B196" i="2"/>
  <c r="C196" i="2" s="1"/>
  <c r="D196" i="2" s="1"/>
  <c r="A198" i="2" l="1"/>
  <c r="B197" i="2"/>
  <c r="C197" i="2" s="1"/>
  <c r="D197" i="2" s="1"/>
  <c r="A199" i="2" l="1"/>
  <c r="B198" i="2"/>
  <c r="C198" i="2" s="1"/>
  <c r="D198" i="2" s="1"/>
  <c r="A200" i="2" l="1"/>
  <c r="B199" i="2"/>
  <c r="C199" i="2" s="1"/>
  <c r="D199" i="2" s="1"/>
  <c r="A201" i="2" l="1"/>
  <c r="B200" i="2"/>
  <c r="C200" i="2" s="1"/>
  <c r="D200" i="2" s="1"/>
  <c r="A202" i="2" l="1"/>
  <c r="B201" i="2"/>
  <c r="C201" i="2" s="1"/>
  <c r="D201" i="2" s="1"/>
  <c r="A203" i="2" l="1"/>
  <c r="B202" i="2"/>
  <c r="C202" i="2" s="1"/>
  <c r="D202" i="2" s="1"/>
  <c r="A204" i="2" l="1"/>
  <c r="B203" i="2"/>
  <c r="C203" i="2" s="1"/>
  <c r="D203" i="2" s="1"/>
  <c r="A205" i="2" l="1"/>
  <c r="B204" i="2"/>
  <c r="C204" i="2" s="1"/>
  <c r="D204" i="2" s="1"/>
  <c r="A206" i="2" l="1"/>
  <c r="B205" i="2"/>
  <c r="C205" i="2" s="1"/>
  <c r="D205" i="2" s="1"/>
  <c r="A207" i="2" l="1"/>
  <c r="B206" i="2"/>
  <c r="C206" i="2" s="1"/>
  <c r="D206" i="2" s="1"/>
  <c r="A208" i="2" l="1"/>
  <c r="B207" i="2"/>
  <c r="C207" i="2" s="1"/>
  <c r="D207" i="2" s="1"/>
  <c r="A209" i="2" l="1"/>
  <c r="B208" i="2"/>
  <c r="C208" i="2" s="1"/>
  <c r="D208" i="2" s="1"/>
  <c r="A210" i="2" l="1"/>
  <c r="B209" i="2"/>
  <c r="C209" i="2" s="1"/>
  <c r="D209" i="2" s="1"/>
  <c r="A211" i="2" l="1"/>
  <c r="B210" i="2"/>
  <c r="C210" i="2" s="1"/>
  <c r="D210" i="2" s="1"/>
  <c r="A212" i="2" l="1"/>
  <c r="B211" i="2"/>
  <c r="C211" i="2" s="1"/>
  <c r="D211" i="2" s="1"/>
  <c r="A213" i="2" l="1"/>
  <c r="B212" i="2"/>
  <c r="C212" i="2" s="1"/>
  <c r="D212" i="2" s="1"/>
  <c r="A214" i="2" l="1"/>
  <c r="B213" i="2"/>
  <c r="C213" i="2" s="1"/>
  <c r="D213" i="2" s="1"/>
  <c r="A215" i="2" l="1"/>
  <c r="B214" i="2"/>
  <c r="C214" i="2" s="1"/>
  <c r="D214" i="2" s="1"/>
  <c r="A216" i="2" l="1"/>
  <c r="B215" i="2"/>
  <c r="C215" i="2" s="1"/>
  <c r="D215" i="2" s="1"/>
  <c r="A217" i="2" l="1"/>
  <c r="B216" i="2"/>
  <c r="C216" i="2" s="1"/>
  <c r="D216" i="2" s="1"/>
  <c r="A218" i="2" l="1"/>
  <c r="B217" i="2"/>
  <c r="C217" i="2" s="1"/>
  <c r="D217" i="2" s="1"/>
  <c r="A219" i="2" l="1"/>
  <c r="B218" i="2"/>
  <c r="C218" i="2" s="1"/>
  <c r="D218" i="2" s="1"/>
  <c r="A220" i="2" l="1"/>
  <c r="B219" i="2"/>
  <c r="C219" i="2" s="1"/>
  <c r="D219" i="2" s="1"/>
  <c r="A221" i="2" l="1"/>
  <c r="B220" i="2"/>
  <c r="C220" i="2" s="1"/>
  <c r="D220" i="2" s="1"/>
  <c r="A222" i="2" l="1"/>
  <c r="B221" i="2"/>
  <c r="C221" i="2" s="1"/>
  <c r="D221" i="2" s="1"/>
  <c r="A223" i="2" l="1"/>
  <c r="B222" i="2"/>
  <c r="C222" i="2" s="1"/>
  <c r="D222" i="2" s="1"/>
  <c r="A224" i="2" l="1"/>
  <c r="B223" i="2"/>
  <c r="C223" i="2" s="1"/>
  <c r="D223" i="2" s="1"/>
  <c r="A225" i="2" l="1"/>
  <c r="B224" i="2"/>
  <c r="C224" i="2" s="1"/>
  <c r="D224" i="2" s="1"/>
  <c r="A226" i="2" l="1"/>
  <c r="B225" i="2"/>
  <c r="C225" i="2" s="1"/>
  <c r="D225" i="2" s="1"/>
  <c r="A227" i="2" l="1"/>
  <c r="B226" i="2"/>
  <c r="C226" i="2" s="1"/>
  <c r="D226" i="2" s="1"/>
  <c r="A228" i="2" l="1"/>
  <c r="B227" i="2"/>
  <c r="C227" i="2" s="1"/>
  <c r="D227" i="2" s="1"/>
  <c r="A229" i="2" l="1"/>
  <c r="B228" i="2"/>
  <c r="C228" i="2" s="1"/>
  <c r="D228" i="2" s="1"/>
  <c r="A230" i="2" l="1"/>
  <c r="B229" i="2"/>
  <c r="C229" i="2" s="1"/>
  <c r="D229" i="2" s="1"/>
  <c r="A231" i="2" l="1"/>
  <c r="B230" i="2"/>
  <c r="C230" i="2" s="1"/>
  <c r="D230" i="2" s="1"/>
  <c r="A232" i="2" l="1"/>
  <c r="B231" i="2"/>
  <c r="C231" i="2" s="1"/>
  <c r="D231" i="2" s="1"/>
  <c r="A233" i="2" l="1"/>
  <c r="B232" i="2"/>
  <c r="C232" i="2" s="1"/>
  <c r="D232" i="2" s="1"/>
  <c r="A234" i="2" l="1"/>
  <c r="B233" i="2"/>
  <c r="C233" i="2" s="1"/>
  <c r="D233" i="2" s="1"/>
  <c r="A235" i="2" l="1"/>
  <c r="B234" i="2"/>
  <c r="C234" i="2" s="1"/>
  <c r="D234" i="2" s="1"/>
  <c r="A236" i="2" l="1"/>
  <c r="B235" i="2"/>
  <c r="C235" i="2" s="1"/>
  <c r="D235" i="2" s="1"/>
  <c r="A237" i="2" l="1"/>
  <c r="B236" i="2"/>
  <c r="C236" i="2" s="1"/>
  <c r="D236" i="2" s="1"/>
  <c r="A238" i="2" l="1"/>
  <c r="B237" i="2"/>
  <c r="C237" i="2" s="1"/>
  <c r="D237" i="2" s="1"/>
  <c r="A239" i="2" l="1"/>
  <c r="B238" i="2"/>
  <c r="C238" i="2" s="1"/>
  <c r="D238" i="2" s="1"/>
  <c r="A240" i="2" l="1"/>
  <c r="B239" i="2"/>
  <c r="C239" i="2" s="1"/>
  <c r="D239" i="2" s="1"/>
  <c r="A241" i="2" l="1"/>
  <c r="B240" i="2"/>
  <c r="C240" i="2" s="1"/>
  <c r="D240" i="2" s="1"/>
  <c r="A242" i="2" l="1"/>
  <c r="B241" i="2"/>
  <c r="C241" i="2" s="1"/>
  <c r="D241" i="2" s="1"/>
  <c r="A243" i="2" l="1"/>
  <c r="B242" i="2"/>
  <c r="C242" i="2" s="1"/>
  <c r="D242" i="2" s="1"/>
  <c r="A244" i="2" l="1"/>
  <c r="B243" i="2"/>
  <c r="C243" i="2" s="1"/>
  <c r="D243" i="2" s="1"/>
  <c r="A245" i="2" l="1"/>
  <c r="B244" i="2"/>
  <c r="C244" i="2" s="1"/>
  <c r="D244" i="2" s="1"/>
  <c r="A246" i="2" l="1"/>
  <c r="B245" i="2"/>
  <c r="C245" i="2" s="1"/>
  <c r="D245" i="2" s="1"/>
  <c r="A247" i="2" l="1"/>
  <c r="B246" i="2"/>
  <c r="C246" i="2" s="1"/>
  <c r="D246" i="2" s="1"/>
  <c r="A248" i="2" l="1"/>
  <c r="B247" i="2"/>
  <c r="C247" i="2" s="1"/>
  <c r="D247" i="2" s="1"/>
  <c r="A249" i="2" l="1"/>
  <c r="B248" i="2"/>
  <c r="C248" i="2" s="1"/>
  <c r="D248" i="2" s="1"/>
  <c r="A250" i="2" l="1"/>
  <c r="B249" i="2"/>
  <c r="C249" i="2" s="1"/>
  <c r="D249" i="2" s="1"/>
  <c r="A251" i="2" l="1"/>
  <c r="B250" i="2"/>
  <c r="C250" i="2" s="1"/>
  <c r="D250" i="2" s="1"/>
  <c r="A252" i="2" l="1"/>
  <c r="B251" i="2"/>
  <c r="C251" i="2" s="1"/>
  <c r="D251" i="2" s="1"/>
  <c r="A253" i="2" l="1"/>
  <c r="B252" i="2"/>
  <c r="C252" i="2" s="1"/>
  <c r="D252" i="2" s="1"/>
  <c r="A254" i="2" l="1"/>
  <c r="B253" i="2"/>
  <c r="C253" i="2" s="1"/>
  <c r="D253" i="2" s="1"/>
  <c r="A255" i="2" l="1"/>
  <c r="B254" i="2"/>
  <c r="C254" i="2" s="1"/>
  <c r="D254" i="2" s="1"/>
  <c r="A256" i="2" l="1"/>
  <c r="B255" i="2"/>
  <c r="C255" i="2" s="1"/>
  <c r="D255" i="2" s="1"/>
  <c r="A257" i="2" l="1"/>
  <c r="B256" i="2"/>
  <c r="C256" i="2" s="1"/>
  <c r="D256" i="2" s="1"/>
  <c r="A258" i="2" l="1"/>
  <c r="B257" i="2"/>
  <c r="C257" i="2" s="1"/>
  <c r="D257" i="2" s="1"/>
  <c r="A259" i="2" l="1"/>
  <c r="B258" i="2"/>
  <c r="C258" i="2" s="1"/>
  <c r="D258" i="2" s="1"/>
  <c r="A260" i="2" l="1"/>
  <c r="B259" i="2"/>
  <c r="C259" i="2" s="1"/>
  <c r="D259" i="2" s="1"/>
  <c r="A261" i="2" l="1"/>
  <c r="B260" i="2"/>
  <c r="C260" i="2" s="1"/>
  <c r="D260" i="2" s="1"/>
  <c r="A262" i="2" l="1"/>
  <c r="B261" i="2"/>
  <c r="C261" i="2" s="1"/>
  <c r="D261" i="2" s="1"/>
  <c r="A263" i="2" l="1"/>
  <c r="B262" i="2"/>
  <c r="C262" i="2" s="1"/>
  <c r="D262" i="2" s="1"/>
  <c r="A264" i="2" l="1"/>
  <c r="B263" i="2"/>
  <c r="C263" i="2" s="1"/>
  <c r="D263" i="2" s="1"/>
  <c r="A265" i="2" l="1"/>
  <c r="B264" i="2"/>
  <c r="C264" i="2" s="1"/>
  <c r="D264" i="2" s="1"/>
  <c r="A266" i="2" l="1"/>
  <c r="B265" i="2"/>
  <c r="C265" i="2" s="1"/>
  <c r="D265" i="2" s="1"/>
  <c r="A267" i="2" l="1"/>
  <c r="B266" i="2"/>
  <c r="C266" i="2" s="1"/>
  <c r="D266" i="2" s="1"/>
  <c r="A268" i="2" l="1"/>
  <c r="B267" i="2"/>
  <c r="C267" i="2" s="1"/>
  <c r="D267" i="2" s="1"/>
  <c r="A269" i="2" l="1"/>
  <c r="B268" i="2"/>
  <c r="C268" i="2" s="1"/>
  <c r="D268" i="2" s="1"/>
  <c r="A270" i="2" l="1"/>
  <c r="B269" i="2"/>
  <c r="C269" i="2" s="1"/>
  <c r="D269" i="2" s="1"/>
  <c r="A271" i="2" l="1"/>
  <c r="B270" i="2"/>
  <c r="C270" i="2" s="1"/>
  <c r="D270" i="2" s="1"/>
  <c r="A272" i="2" l="1"/>
  <c r="B271" i="2"/>
  <c r="C271" i="2" s="1"/>
  <c r="D271" i="2" s="1"/>
  <c r="A273" i="2" l="1"/>
  <c r="B272" i="2"/>
  <c r="C272" i="2" s="1"/>
  <c r="D272" i="2" s="1"/>
  <c r="A274" i="2" l="1"/>
  <c r="B273" i="2"/>
  <c r="C273" i="2" s="1"/>
  <c r="D273" i="2" s="1"/>
  <c r="A275" i="2" l="1"/>
  <c r="B274" i="2"/>
  <c r="C274" i="2" s="1"/>
  <c r="D274" i="2" s="1"/>
  <c r="A276" i="2" l="1"/>
  <c r="B275" i="2"/>
  <c r="C275" i="2" s="1"/>
  <c r="D275" i="2" s="1"/>
  <c r="A277" i="2" l="1"/>
  <c r="B276" i="2"/>
  <c r="C276" i="2" s="1"/>
  <c r="D276" i="2" s="1"/>
  <c r="A278" i="2" l="1"/>
  <c r="B277" i="2"/>
  <c r="C277" i="2" s="1"/>
  <c r="D277" i="2" s="1"/>
  <c r="A279" i="2" l="1"/>
  <c r="B278" i="2"/>
  <c r="C278" i="2" s="1"/>
  <c r="D278" i="2" s="1"/>
  <c r="A280" i="2" l="1"/>
  <c r="B279" i="2"/>
  <c r="C279" i="2" s="1"/>
  <c r="D279" i="2" s="1"/>
  <c r="A281" i="2" l="1"/>
  <c r="B280" i="2"/>
  <c r="C280" i="2" s="1"/>
  <c r="D280" i="2" s="1"/>
  <c r="A282" i="2" l="1"/>
  <c r="B281" i="2"/>
  <c r="C281" i="2" s="1"/>
  <c r="D281" i="2" s="1"/>
  <c r="A283" i="2" l="1"/>
  <c r="B282" i="2"/>
  <c r="C282" i="2" s="1"/>
  <c r="D282" i="2" s="1"/>
  <c r="A284" i="2" l="1"/>
  <c r="B283" i="2"/>
  <c r="C283" i="2" s="1"/>
  <c r="D283" i="2" s="1"/>
  <c r="A285" i="2" l="1"/>
  <c r="B284" i="2"/>
  <c r="C284" i="2" s="1"/>
  <c r="D284" i="2" s="1"/>
  <c r="A286" i="2" l="1"/>
  <c r="B285" i="2"/>
  <c r="C285" i="2" s="1"/>
  <c r="D285" i="2" s="1"/>
  <c r="A287" i="2" l="1"/>
  <c r="B286" i="2"/>
  <c r="C286" i="2" s="1"/>
  <c r="D286" i="2" s="1"/>
  <c r="A288" i="2" l="1"/>
  <c r="B287" i="2"/>
  <c r="C287" i="2" s="1"/>
  <c r="D287" i="2" s="1"/>
  <c r="A289" i="2" l="1"/>
  <c r="B288" i="2"/>
  <c r="C288" i="2" s="1"/>
  <c r="D288" i="2" s="1"/>
  <c r="A290" i="2" l="1"/>
  <c r="B289" i="2"/>
  <c r="C289" i="2" s="1"/>
  <c r="D289" i="2" s="1"/>
  <c r="A291" i="2" l="1"/>
  <c r="B290" i="2"/>
  <c r="C290" i="2" s="1"/>
  <c r="D290" i="2" s="1"/>
  <c r="A292" i="2" l="1"/>
  <c r="B291" i="2"/>
  <c r="C291" i="2" s="1"/>
  <c r="D291" i="2" s="1"/>
  <c r="A293" i="2" l="1"/>
  <c r="B292" i="2"/>
  <c r="C292" i="2" s="1"/>
  <c r="D292" i="2" s="1"/>
  <c r="A294" i="2" l="1"/>
  <c r="B293" i="2"/>
  <c r="C293" i="2" s="1"/>
  <c r="D293" i="2" s="1"/>
  <c r="A295" i="2" l="1"/>
  <c r="B295" i="2" s="1"/>
  <c r="B294" i="2"/>
  <c r="C294" i="2" s="1"/>
  <c r="D294" i="2" s="1"/>
  <c r="C295" i="2" l="1"/>
  <c r="D295" i="2" s="1"/>
  <c r="C350" i="2"/>
  <c r="C344" i="2"/>
  <c r="C324" i="2"/>
  <c r="C340" i="2"/>
  <c r="C333" i="2"/>
  <c r="C362" i="2"/>
  <c r="C347" i="2"/>
  <c r="C428" i="2"/>
  <c r="C394" i="2"/>
  <c r="C311" i="2"/>
  <c r="C331" i="2"/>
  <c r="C402" i="2"/>
  <c r="C320" i="2"/>
  <c r="C390" i="2"/>
  <c r="C346" i="2"/>
  <c r="C374" i="2"/>
  <c r="C420" i="2"/>
  <c r="C373" i="2"/>
  <c r="C312" i="2"/>
  <c r="C397" i="2"/>
  <c r="C358" i="2"/>
  <c r="C431" i="2"/>
  <c r="C339" i="2"/>
  <c r="C426" i="2"/>
  <c r="C416" i="2"/>
  <c r="C356" i="2"/>
  <c r="C432" i="2"/>
  <c r="C371" i="2"/>
  <c r="C349" i="2"/>
  <c r="C370" i="2"/>
  <c r="C376" i="2"/>
  <c r="C357" i="2"/>
  <c r="C379" i="2"/>
  <c r="C345" i="2"/>
  <c r="C303" i="2"/>
  <c r="C322" i="2"/>
  <c r="C430" i="2"/>
  <c r="C360" i="2"/>
  <c r="C388" i="2"/>
  <c r="C323" i="2"/>
  <c r="C337" i="2"/>
  <c r="C422" i="2"/>
  <c r="C348" i="2"/>
  <c r="C352" i="2"/>
  <c r="C334" i="2"/>
  <c r="C404" i="2"/>
  <c r="C366" i="2"/>
  <c r="C403" i="2"/>
  <c r="C308" i="2"/>
  <c r="C406" i="2"/>
  <c r="C301" i="2"/>
  <c r="C318" i="2"/>
  <c r="C321" i="2"/>
  <c r="C328" i="2"/>
  <c r="C415" i="2"/>
  <c r="C309" i="2"/>
  <c r="C368" i="2"/>
  <c r="C342" i="2"/>
  <c r="C307" i="2"/>
  <c r="C354" i="2"/>
  <c r="C377" i="2"/>
  <c r="C305" i="2"/>
  <c r="C343" i="2"/>
  <c r="C375" i="2"/>
  <c r="C330" i="2"/>
  <c r="C367" i="2"/>
  <c r="C381" i="2"/>
  <c r="C378" i="2"/>
  <c r="C310" i="2"/>
  <c r="C326" i="2"/>
  <c r="C417" i="2"/>
  <c r="C297" i="2"/>
  <c r="C351" i="2"/>
  <c r="C407" i="2"/>
  <c r="C353" i="2"/>
  <c r="C387" i="2"/>
  <c r="C364" i="2"/>
  <c r="C361" i="2"/>
  <c r="C395" i="2"/>
  <c r="C405" i="2"/>
  <c r="C332" i="2"/>
  <c r="C359" i="2"/>
  <c r="C424" i="2"/>
  <c r="C325" i="2"/>
  <c r="C409" i="2"/>
  <c r="C302" i="2"/>
  <c r="C423" i="2"/>
  <c r="C419" i="2"/>
  <c r="C316" i="2"/>
  <c r="C408" i="2"/>
  <c r="C429" i="2"/>
  <c r="C298" i="2"/>
  <c r="C401" i="2"/>
  <c r="C399" i="2"/>
  <c r="C300" i="2"/>
  <c r="C313" i="2"/>
  <c r="C336" i="2"/>
  <c r="C363" i="2"/>
  <c r="C389" i="2"/>
  <c r="C400" i="2"/>
  <c r="C398" i="2"/>
  <c r="C384" i="2"/>
  <c r="C414" i="2"/>
  <c r="C412" i="2"/>
  <c r="C413" i="2"/>
  <c r="C392" i="2"/>
  <c r="C327" i="2"/>
  <c r="C369" i="2"/>
  <c r="C372" i="2"/>
  <c r="C386" i="2"/>
  <c r="C329" i="2"/>
  <c r="C425" i="2"/>
  <c r="C299" i="2"/>
  <c r="C396" i="2"/>
  <c r="C365" i="2"/>
  <c r="C296" i="2"/>
  <c r="C391" i="2"/>
  <c r="C410" i="2"/>
  <c r="C380" i="2"/>
  <c r="C314" i="2"/>
  <c r="C355" i="2"/>
  <c r="C319" i="2"/>
  <c r="C411" i="2"/>
  <c r="C382" i="2"/>
  <c r="C385" i="2"/>
  <c r="C418" i="2"/>
  <c r="C341" i="2"/>
  <c r="C335" i="2"/>
  <c r="C383" i="2"/>
  <c r="C421" i="2"/>
  <c r="C338" i="2"/>
  <c r="C427" i="2"/>
  <c r="C304" i="2"/>
  <c r="C317" i="2"/>
  <c r="C393" i="2"/>
  <c r="C315" i="2"/>
  <c r="C306" i="2"/>
</calcChain>
</file>

<file path=xl/sharedStrings.xml><?xml version="1.0" encoding="utf-8"?>
<sst xmlns="http://schemas.openxmlformats.org/spreadsheetml/2006/main" count="1240" uniqueCount="568">
  <si>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</si>
  <si>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</si>
  <si>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</si>
  <si>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</si>
  <si>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</si>
  <si>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</si>
  <si>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</si>
  <si>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</si>
  <si>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</si>
  <si>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</si>
  <si>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</si>
  <si>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</si>
  <si>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</si>
  <si>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</si>
  <si>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</si>
  <si>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1.4</t>
  </si>
  <si>
    <t>2.1</t>
  </si>
  <si>
    <t>2.3</t>
  </si>
  <si>
    <t>2.4</t>
  </si>
  <si>
    <t>2.2</t>
  </si>
  <si>
    <t>3.1</t>
  </si>
  <si>
    <t>3.2</t>
  </si>
  <si>
    <t>3.3</t>
  </si>
  <si>
    <t>4.1</t>
  </si>
  <si>
    <t>4.2</t>
  </si>
  <si>
    <t>4.3</t>
  </si>
  <si>
    <t>4.4</t>
  </si>
  <si>
    <t>4.5</t>
  </si>
  <si>
    <t>5.1</t>
  </si>
  <si>
    <t>5.2</t>
  </si>
  <si>
    <t>5.3</t>
  </si>
  <si>
    <t>6.1</t>
  </si>
  <si>
    <t>6.2</t>
  </si>
  <si>
    <t>6.3</t>
  </si>
  <si>
    <t>6.4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</si>
  <si>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</si>
  <si>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</si>
  <si>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</si>
  <si>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</si>
  <si>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</si>
  <si>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</si>
  <si>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</si>
  <si>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</si>
  <si>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</si>
  <si>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8.4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</si>
  <si>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</si>
  <si>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</si>
  <si>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</si>
  <si>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</si>
  <si>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</si>
  <si>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</si>
  <si>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</si>
  <si>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</si>
  <si>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</si>
  <si>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</si>
  <si>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01-05</t>
  </si>
  <si>
    <t>Sum</t>
  </si>
  <si>
    <t>https://drive.google.com/file/d/1fJ1hB_tsAt-bFM29YOwbWqusGHDcgbIZ/view?usp=sharing</t>
  </si>
  <si>
    <t>ɪts gʊd tu: si: ju:</t>
  </si>
  <si>
    <t>ɪts greɪt tu: si: ju:</t>
  </si>
  <si>
    <t>ɪts naɪs tu: noʊ ju:</t>
  </si>
  <si>
    <t>It’s good to meet you again.</t>
  </si>
  <si>
    <t>ɪts gʊd tu: mi:t ju: əˈgɛn</t>
  </si>
  <si>
    <t>ɪts greɪt tu: taːk tu: ju:</t>
  </si>
  <si>
    <t>ɪts ə ˈplɛʒər tu: mi:t ju:</t>
  </si>
  <si>
    <t>Please allow me to introduce myself, my name is Minh.</t>
  </si>
  <si>
    <t>pli:z əˈlaʊ mi: tu: ˌɪntrəˈdu:s maɪˈsɛlf maɪ neɪm ɪz Minh</t>
  </si>
  <si>
    <t>Please allow me to introduce myself, I am Phuong.</t>
  </si>
  <si>
    <t>pli:z əˈlaʊ mi: tu: ˌɪntrəˈdu:s maɪˈsɛlf aɪ æm Phuong</t>
  </si>
  <si>
    <t>Please allow me to introduce my friend, her name is Nhung.</t>
  </si>
  <si>
    <t>pli:z əˈlaʊ mi: tu: ˌɪntrəˈdu:s maɪ frɛnd hɜ:r neɪm ɪz Nhung</t>
  </si>
  <si>
    <t>Please allow me to introduce my co-worker, his name is Huy.</t>
  </si>
  <si>
    <t>pli:z əˈlaʊ mi: tu: ˌɪntrəˈdu:s maɪ koʊ ˈwɜ:rkər hɪz neɪm ɪz Huy</t>
  </si>
  <si>
    <t>My full name is Nguyen Van A, you can call me A in short.</t>
  </si>
  <si>
    <t>maɪ fʊl neɪm ɪz Nguyen Van A ju: kæn ka:l mi: eɪ ɪn ʃɔ:rt</t>
  </si>
  <si>
    <t>My last name is Nguyen, my first name is An, you can call me An in short.</t>
  </si>
  <si>
    <t>maɪ læst neɪm ɪz Nguyen maɪ fɜ:rst neɪm ɪz An ju: kæn ka:l mi: An ɪn ʃɔ:rt</t>
  </si>
  <si>
    <t>My first name is An, my nick name is Anna, you can call me Anna.</t>
  </si>
  <si>
    <t>maɪ fɜ:rst neɪm ɪz An maɪ nɪk neɪm ɪz ˈænə ju: kæn ka:l mi: ˈænə</t>
  </si>
  <si>
    <t>aɪ æm ˈθɜ:rti tu: jɪrz oʊld</t>
  </si>
  <si>
    <t>aɪm ˈoʊvər ˈθɜ:rti</t>
  </si>
  <si>
    <t>aɪm ˈaːlmoʊst ˈθɜ:rti</t>
  </si>
  <si>
    <t>aɪm əˈraʊnd jʊr eɪʤ</t>
  </si>
  <si>
    <t>aɪm ɪn maɪ ˈɜ:rli ˈtwɛntiz</t>
  </si>
  <si>
    <t>aɪm ɪn maɪ leɪt ˈθɜ:rtiz</t>
  </si>
  <si>
    <t>I’m from Viet Nam.</t>
  </si>
  <si>
    <t>aɪm frʌm vjetˈnæm</t>
  </si>
  <si>
    <t>aɪm frʌm Dong Nai ˈpra:vɪns</t>
  </si>
  <si>
    <t>I’m from Ho Chi Minh city.</t>
  </si>
  <si>
    <t>aɪm frʌm HCM ˈsɪti</t>
  </si>
  <si>
    <t>I’m an office worker.</t>
  </si>
  <si>
    <t>aɪm ən ˈa:fɪs ˈwɜ:rkər</t>
  </si>
  <si>
    <t>I’m a student.</t>
  </si>
  <si>
    <t>aɪm ə ˈstu:dənt</t>
  </si>
  <si>
    <t>I am a housewife.</t>
  </si>
  <si>
    <t>aɪ æm ə ˈhaʊswaɪf</t>
  </si>
  <si>
    <t>aɪ æm ˈʤa:bləs</t>
  </si>
  <si>
    <t>aɪ æm bɪˈtwi:n ʤa:bz</t>
  </si>
  <si>
    <t>aɪ æm ə steɪ-æt-hoʊm ma:m</t>
  </si>
  <si>
    <t>aɪ æm sɛlf-ɪmˈplɔɪd</t>
  </si>
  <si>
    <t>aɪ æm ə treɪˈniː/ən ˈɪntɜːrn</t>
  </si>
  <si>
    <t>I work in Logistic.</t>
  </si>
  <si>
    <t>aɪ wɜ:rk ɪn ləˈʤɪstɪk</t>
  </si>
  <si>
    <t>I work in an ad agency.</t>
  </si>
  <si>
    <t>aɪ wɜ:rk ɪn ən æd ˈeɪʤənsi</t>
  </si>
  <si>
    <t>I work for a construction company.</t>
  </si>
  <si>
    <t>aɪ wɜ:rk fɔ:r ə kənˈstrʌkʃən ˈkʌmpəni</t>
  </si>
  <si>
    <t>I work for a bank.</t>
  </si>
  <si>
    <t>aɪ wɜ:rk fɔ:r ə bæŋk</t>
  </si>
  <si>
    <t>I work for a large Vietnamese company.</t>
  </si>
  <si>
    <t>ɪ wɜ:rk fɔ:r ə la:rʤ ˌvjetnəˈmiːz ˈkʌmpəni</t>
  </si>
  <si>
    <t>I work for a company called ABC.</t>
  </si>
  <si>
    <t>aɪ wɜrk fɔ:r ə ˈkʌmpəni ka:ld eɪ-bi-si</t>
  </si>
  <si>
    <t>I work in a factory.</t>
  </si>
  <si>
    <t>aɪ wɜ:rk ɪn ə ˈfæktəri</t>
  </si>
  <si>
    <t>I work in Marketing department.</t>
  </si>
  <si>
    <t>aɪ wɜ:rk ɪn ˈma:rkɪtɪŋ dɪˈpa:rtmənt</t>
  </si>
  <si>
    <t>I work in Education.</t>
  </si>
  <si>
    <t>aɪ wɜ:rk ɪn ˌɛʤəˈkeɪʃən</t>
  </si>
  <si>
    <t>I work at home.</t>
  </si>
  <si>
    <t>aɪ wɜ:rk æt hoʊm</t>
  </si>
  <si>
    <t>aɪ wɜ:rk fɔ:r maɪ ˈfæməli</t>
  </si>
  <si>
    <t>I am interested in/really into sports.</t>
  </si>
  <si>
    <t>aɪ æm ˈɪntrəstɪd ɪn/ˈri:əli ˈɪntu: spɔ:rts</t>
  </si>
  <si>
    <t>I am interested in/really into books.</t>
  </si>
  <si>
    <t>aɪ æm ˈɪntrəstɪd ɪn/ˈri:əli ˈɪntu: bʊks</t>
  </si>
  <si>
    <t>I am interested in/really into traveling.</t>
  </si>
  <si>
    <t>aɪ æm ˈɪntrəstɪd ɪn/ˈri:əli ˈɪntu: ˈtrævəlɪŋ</t>
  </si>
  <si>
    <t>I am interested in/really into movies.</t>
  </si>
  <si>
    <t>aɪ æm ˈɪntrəstɪd ɪn/ˈri:əli ˈɪntu: ˈmu:viz</t>
  </si>
  <si>
    <t>I am interested in/really into playing soccer.</t>
  </si>
  <si>
    <t>aɪ æm ˈɪntrəstɪd ɪn/ˈri:əli ˈɪntu: ˈpleɪɪŋ ˈsa:kər</t>
  </si>
  <si>
    <t>I am interested in/really into music.</t>
  </si>
  <si>
    <t>aɪ æm ˈɪntrəstɪd ɪn/ˈri:əli ˈɪntu: ˈmju:zɪk</t>
  </si>
  <si>
    <t>I am interested in/really into shopping.</t>
  </si>
  <si>
    <t>aɪ æm ˈɪntrəstɪd ɪn/ˈri:əli ˈɪntu: ˈʃa:pɪŋ</t>
  </si>
  <si>
    <t>I am interested in/really into surfing the Internet.</t>
  </si>
  <si>
    <t>aɪ æm ˈɪntrəstɪd ɪn/ˈri:əli ˈɪntu: ˈsɜ:rfɪŋ ði: ˈɪntərnɛt</t>
  </si>
  <si>
    <t>I am interested in/really into chatting with friends.</t>
  </si>
  <si>
    <t>aɪ æm ˈɪntrəstɪd ɪn/ˈri:əli ˈɪntu: ˈʧætɪŋ wɪð frɛndz</t>
  </si>
  <si>
    <t>I am interested in/really into hanging out with friends.</t>
  </si>
  <si>
    <t>aɪ æm ˈɪntrəstɪd ɪn/ˈri:əli ˈɪntu: ˈhæŋɪŋ aʊt wɪð frɛndz</t>
  </si>
  <si>
    <t>maɪ ˈfeɪvərɪt ˈkʌlər ɪz waɪt</t>
  </si>
  <si>
    <t>maɪ ˈfeɪvərɪt kaɪnd ʌv ˈmju:zɪk ɪz pa:p</t>
  </si>
  <si>
    <t>maɪ ˈfeɪvərɪt bænd ɪz westlaɪf</t>
  </si>
  <si>
    <t>maɪ ˈfeɪvərɪt ˈsɪŋər ɪz ˈteɪlər swɪft</t>
  </si>
  <si>
    <t>maɪ ˈfeɪvərɪt fu:d ɪz ˌʤæpəˈni:z fu:d</t>
  </si>
  <si>
    <t>maɪ ˈfeɪvərɪt drɪŋk ɪz ˈbʌbəl mɪlk ti:</t>
  </si>
  <si>
    <t>ðə bɛst θɪŋ əˈbaʊt mi: ɪz ðæt aɪ æm ˈvɛri rɪˈlaɪəbəl/ˈtrʌstwɜːrði</t>
  </si>
  <si>
    <t>ðə bɛst θɪŋ əˈbaʊt mi: ɪz ðæt aɪ æm ˈvɛri ˈpeɪʃənt</t>
  </si>
  <si>
    <t>The best thing about me is that I am very determined.</t>
  </si>
  <si>
    <t>ðə bɛst θɪŋ əˈbaʊt mi: ɪz ðæt aɪ æm ˈvɛri dɪˈtɜ:rmɪnd</t>
  </si>
  <si>
    <t>ðə bɛst θɪŋ əˈbaʊt mi: ɪz ðæt aɪ æm ˈvɛri æmˈbɪʃəs</t>
  </si>
  <si>
    <t>The best thing about me is that I am very disciplined.</t>
  </si>
  <si>
    <t>ðə bɛst θɪŋ əˈbaʊt mi: ɪz ðæt aɪ æm ˈvɛri ˈdɪsəplɪnd</t>
  </si>
  <si>
    <t>The best thing about me is that I am very dedicated.</t>
  </si>
  <si>
    <t>ðə bɛst θɪŋ əˈbaʊt mi: ɪz ðæt aɪ æm ˈvɛri ˈdɛdəkeɪtɪd</t>
  </si>
  <si>
    <t>The best thing about me is that I am very detail-oriented.</t>
  </si>
  <si>
    <t>ðə bɛst θɪŋ əˈbaʊt mi: ɪz ðæt aɪ æm ˈvɛri dɪˈteɪl-ˈɔ:riɛntɪd</t>
  </si>
  <si>
    <t>The worst thing about me is that I am very stubborn.</t>
  </si>
  <si>
    <t>ðə wɜ:rst θɪŋ əˈbaʊt mi: ɪz ðæt aɪ æm ˈvɛri ˈstʌbərn</t>
  </si>
  <si>
    <t>The worst thing about me is that I am very impulsive.</t>
  </si>
  <si>
    <t>ðə wɜ:rst θɪŋ əˈbaʊt mi: ɪz ðæt aɪ æm ˈvɛri ɪmˈpʌlsɪv</t>
  </si>
  <si>
    <t>The worst thing about me is that I am indecisive.</t>
  </si>
  <si>
    <t>ðə wɜ:rst θɪŋ əˈbaʊt mi: ɪz ðæt aɪ æm ˌɪndɪˈsaɪsɪv</t>
  </si>
  <si>
    <t>The worst thing about me is that I am very sensitive.</t>
  </si>
  <si>
    <t>ðə wɜ:rst θɪŋ əˈbaʊt mi: ɪz ðæt aɪ æm ˈvɛri ˈsɛnsətɪv</t>
  </si>
  <si>
    <t>The worst thing about me is that I am very overbearing.</t>
  </si>
  <si>
    <t>ðə wɜ:rst θɪŋ əˈbaʊt mi: ɪz ðæt aɪ æm ˈvɛri ˌoʊvərˈbɛrɪŋ</t>
  </si>
  <si>
    <t>The worst thing about me is that I am a procrastinator.</t>
  </si>
  <si>
    <t>ðə wɜ:rst θɪŋ əˈbaʊt mi: ɪz ðæt aɪ æm ə proʊˈkræstəˌneɪtər</t>
  </si>
  <si>
    <t>I dislike running.</t>
  </si>
  <si>
    <t>aɪ dɪˈslaɪk ˈrʌnɪŋ</t>
  </si>
  <si>
    <t>I hate doing the housework.</t>
  </si>
  <si>
    <t>aɪ heɪt ˈdu:ɪŋ ðə ˈhaʊswɜ:rk</t>
  </si>
  <si>
    <t>aɪ dɪˈslaɪk ˈkʊkɪŋ</t>
  </si>
  <si>
    <t>aɪ heɪt ˈweɪstɪŋ taɪm</t>
  </si>
  <si>
    <t>aɪ dɪˈslaɪk ˈɛksərˌsaɪz</t>
  </si>
  <si>
    <t>My favorite day of week is Sunday because I can sleep till late.</t>
  </si>
  <si>
    <t>maɪ ˈfeɪvərɪt deɪ ʌv wi:k ɪz ˈsʌndeɪ bɪˈkəz aɪ kæn sli:p tɪl leɪt</t>
  </si>
  <si>
    <t>My favorite day of week is Saturday because it’s the weekend.</t>
  </si>
  <si>
    <t>maɪ ˈfeɪvərɪt deɪ ʌv wi:k ɪz ˈsætədeɪ bɪˈkəz ɪts ðə ˈwi:kɛnd</t>
  </si>
  <si>
    <t>My favorite day of week is Sunday because it is the day I rest and relax.</t>
  </si>
  <si>
    <t>maɪ ˈfeɪvərɪt deɪ ʌv wi:k ɪz ˈsʌndeɪ bɪˈkəz ɪt ɪz ðə deɪ aɪ rɛst ænd rɪˈlæks</t>
  </si>
  <si>
    <t>My favorite day of week is Monday because I can head back to work.</t>
  </si>
  <si>
    <t>maɪ ˈfeɪvərɪt deɪ ʌv wi:k ɪz ˈmʌndeɪ bɪˈkəz aɪ kæn hɛd bæk tu: wɜ:rk</t>
  </si>
  <si>
    <t>I live in a nuclear family, there are 4 people in my family.</t>
  </si>
  <si>
    <t>aɪ lɪv ɪn ə ˈnu:kliər ˈfæməli ðɛr a:r fɔːr ˈpi:pəl ɪn maɪ ˈfæməli</t>
  </si>
  <si>
    <t>I live in an extended family, there are 7 people in my family.</t>
  </si>
  <si>
    <t>aɪ lɪv ɪn ən ɪkˈstɛndɪd ˈfæməli ðɛr a:r ˈsevən ˈpi:pəl ɪn maɪ ˈfæməli</t>
  </si>
  <si>
    <t>I live in a big family, there are nine people in my family.</t>
  </si>
  <si>
    <t>aɪ lɪv ɪn ə bɪg ˈfæməli ðɛr a:r naɪn ˈpi:pəl ɪn maɪ ˈfæməli</t>
  </si>
  <si>
    <t>I live in a one-parent family, there are only 2 people in my family.</t>
  </si>
  <si>
    <t>aɪ lɪv ɪn ə wʌn ˈpɛrənt ˈfæməli ðɛr a:r ˈoʊnli tu: ˈpi:pəl ɪn maɪ ˈfæməli</t>
  </si>
  <si>
    <t>I have 1 brother and 1 sister, I am the middle child.</t>
  </si>
  <si>
    <t>aɪ hæv wʌn ˈbrʌðər ænd wʌn ˈsɪstər aɪ æm ðə ˈmɪdəl ʧaɪld</t>
  </si>
  <si>
    <t>I don’t have any brother or sister, I’m the only child.</t>
  </si>
  <si>
    <t>aɪ doʊnt hæv ˈɛni ˈbrʌðər ɔ:r ˈsɪstər aɪm ði: ˈoʊnli ʧaɪld</t>
  </si>
  <si>
    <t>I have two older sisters, I am the last child.</t>
  </si>
  <si>
    <t>aɪ hæv tu: ˈoʊldər ˈsɪstərz aɪ æm ðə læst ʧaɪld</t>
  </si>
  <si>
    <t>I have 1 younger brother and 1 younger sister, I am the oldest child.</t>
  </si>
  <si>
    <t>aɪ hæv wʌn ˈjʌŋgər ˈbrʌðər ænd wʌn ˈjʌŋgər ˈsɪstər aɪ æm ði: ˈoʊldɪst ʧaɪld</t>
  </si>
  <si>
    <t>Now I am living with my family in HCM city.</t>
  </si>
  <si>
    <t>naʊ aɪ æm ˈlɪvɪŋ wɪð maɪ ˈfæməli ɪn HCM ˈsɪti</t>
  </si>
  <si>
    <t>I am living faraway from my family because of studying.</t>
  </si>
  <si>
    <t>aɪ æm ˈlɪvɪŋ ˈfa:rəˈweɪ frʌm maɪ ˈfæməli bɪˈkəz ʌv ˈstʌdiɪŋ</t>
  </si>
  <si>
    <t>I am living faraway from my family because of working.</t>
  </si>
  <si>
    <t>aɪ æm ˈlɪvɪŋ ˈfa:rəˈweɪ frʌm maɪ ˈfæməli bɪˈkəz ʌv ˈwɜ:rkɪŋ</t>
  </si>
  <si>
    <t>Now I am living in a rented house in HCM city, I visit my parents once a month.</t>
  </si>
  <si>
    <t>naʊ aɪ æm ˈlɪvɪŋ ɪn ə ˈrɛntɪd haʊs ɪn HCM ˈsɪti aɪ ˈvɪzɪt maɪ ˈpɛrənts wʌns ə mʌnθ</t>
  </si>
  <si>
    <t>My birthday is on the 16th of September.</t>
  </si>
  <si>
    <t>maɪ ˈbɜ:rθdeɪ ɪz a:n ðə sɪkˈsti:nθ ʌv sɛpˈtɛmbər</t>
  </si>
  <si>
    <t>maɪ ˈbɜ:rθdeɪ ɪz a:n ðə ˈsɛkənd ʌv ˈa:gəst</t>
  </si>
  <si>
    <t>maɪ ˈbɜ:rθdeɪ ɪz a:n ðə θɜ:rd ʌv meɪ</t>
  </si>
  <si>
    <t>Most of my friends would say I am an active person.</t>
  </si>
  <si>
    <t>moʊst ʌv maɪ frɛndz wʊd seɪ aɪ æm ən ˈæktɪv ˈpɜ:rsən</t>
  </si>
  <si>
    <t>Most of my friends would say I am a shy person.</t>
  </si>
  <si>
    <t>moʊst ʌv maɪ frɛndz wʊd seɪ aɪ æm ə ʃaɪ ˈpɜ:rsən</t>
  </si>
  <si>
    <t>Most of my friends would say I am a friendly person.</t>
  </si>
  <si>
    <t>moʊst ʌv maɪ frɛndz wʊd seɪ aɪ æm ə ˈfrɛndli ˈpɜ:rsən</t>
  </si>
  <si>
    <t>Most of my friends would say I am a gentle person.</t>
  </si>
  <si>
    <t>moʊst ʌv maɪ frɛndz wʊd seɪ aɪ æm ə ˈʤɛntəl ˈpɜ:rsən</t>
  </si>
  <si>
    <t>Most of my friends would say I am an emotive person.</t>
  </si>
  <si>
    <t>moʊst ʌv maɪ frɛndz wʊd seɪ aɪ æm ən ɪˈmoʊtɪv ˈpɜ:rsən</t>
  </si>
  <si>
    <t>Most of my friends would say I am a mild person.</t>
  </si>
  <si>
    <t>moʊst ʌv maɪ frɛndz wʊd seɪ aɪ æm ə maɪld ˈpɜ:rsən</t>
  </si>
  <si>
    <t>Most of my friends would say I am an optimistic person.</t>
  </si>
  <si>
    <t>moʊst ʌv maɪ frɛndz wʊd seɪ aɪ æm ən ˌa:ptəˈmɪstɪk ˈpɜ:rsən</t>
  </si>
  <si>
    <t>Most of my friends would say I am a down-to-earth person.</t>
  </si>
  <si>
    <t>moʊst ʌv maɪ frɛndz wʊd seɪ aɪ æm ə daʊn-tu:-ɜ:rθ ˈpɜ:rsən</t>
  </si>
  <si>
    <t>Most of my friends would say I am an introverted person.</t>
  </si>
  <si>
    <t>moʊst ʌv maɪ frɛndz wʊd seɪ aɪ æm ən ˈɪntrəvɜ:rtɪd ˈpɜ:rsən</t>
  </si>
  <si>
    <t>Most of my friends would say I am an extroverted person.</t>
  </si>
  <si>
    <t>moʊst ʌv maɪ frɛndz wʊd seɪ aɪ æm ən ˈɛkstrəvɜ:rtɪd ˈpɜ:rsən</t>
  </si>
  <si>
    <t>Most of my friends would say I am a cautious person.</t>
  </si>
  <si>
    <t>moʊst ʌv maɪ frɛndz wʊd seɪ aɪ æm ə ˈkaːʃəs ˈpɜ:rsən</t>
  </si>
  <si>
    <t>Most of my friends would say I am a quiet person.</t>
  </si>
  <si>
    <t>moʊst ʌv maɪ frɛndz wʊd seɪ aɪ æm ə ˈkwaɪət ˈpɜ:rsən</t>
  </si>
  <si>
    <t>My favorite motto is “Nothing is impossible”.</t>
  </si>
  <si>
    <t>maɪ ˈfeɪvərɪt ˈma:toʊ ɪz ˈnʌθɪŋ ɪz ɪmˈpa:səbəl</t>
  </si>
  <si>
    <t>My favorite motto is “Take action”.</t>
  </si>
  <si>
    <t>maɪ ˈfeɪvərɪt ˈma:toʊ ɪz teɪk ˈækʃən</t>
  </si>
  <si>
    <t>My favorite motto is “Do my best”.</t>
  </si>
  <si>
    <t>maɪ ˈfeɪvərɪt ˈma:toʊ ɪz du: maɪ bɛst</t>
  </si>
  <si>
    <t>My favorite motto is “Never give up”.</t>
  </si>
  <si>
    <t>maɪ ˈfeɪvərɪt ˈma:toʊ ɪz ˈnɛvər gɪv ʌp</t>
  </si>
  <si>
    <t>My favorite motto is “Life is a choice”.</t>
  </si>
  <si>
    <t>maɪ ˈfeɪvərɪt ˈma:toʊ ɪz laɪf ɪz ə ʧɔɪs</t>
  </si>
  <si>
    <t>I was born and raised in Dong Nai.</t>
  </si>
  <si>
    <t>aɪ wʌz bɔ:rn ænd reɪzd ɪn Dong Nai</t>
  </si>
  <si>
    <t>I was born and raised in Lam Dong.</t>
  </si>
  <si>
    <t>aɪ wʌz bɔ:rn ænd reɪzd ɪn Lam Dong</t>
  </si>
  <si>
    <t>I am originally from Ha Noi, but now I’m based in HCM city.</t>
  </si>
  <si>
    <t>aɪ æm əˈrɪʤənəli frʌm Ha Noi bʌt naʊ aɪm beɪst ɪn HCM ˈsɪti</t>
  </si>
  <si>
    <t>I am originally from Da Lat, but now I’m based in HCM city.</t>
  </si>
  <si>
    <t>aɪ æm əˈrɪʤənəli frʌm Da Lat bʌt naʊ aɪm beɪst ɪn HCM ˈsɪti</t>
  </si>
  <si>
    <t>I am originally from Ha Noi, but now I’m based in Da Nang city.</t>
  </si>
  <si>
    <t>aɪ æm əˈrɪʤənəli frʌm Ha Noi bʌt naʊ aɪm beɪst ɪn Da Nang ˈsɪti</t>
  </si>
  <si>
    <t>I’ve been living in London for 3 years.</t>
  </si>
  <si>
    <t>aɪv bɪn ˈlɪvɪŋ ɪn ˈlʌndən fɔ:r θriː jɪrz</t>
  </si>
  <si>
    <t>I’ve been living in Ha Noi for 5 years.</t>
  </si>
  <si>
    <t>aɪv bɪn ˈlɪvɪŋ ɪn Ha Noi fɔ:r faɪv jɪrz</t>
  </si>
  <si>
    <t>I’ve been living in HCM city for 10 years.</t>
  </si>
  <si>
    <t>aɪv bɪn ˈlɪvɪŋ ɪn HCM ˈsɪti fɔ:r ten jɪrz</t>
  </si>
  <si>
    <t>I work at/for ABC in the Marketing department.</t>
  </si>
  <si>
    <t>aɪ wɜ:rk æt/fɔ:r eɪ-bi-si ɪn ðə ˈma:rkɪtɪŋ dɪˈpa:rtmənt</t>
  </si>
  <si>
    <t>I work at/for ABC in the Human Resources department.</t>
  </si>
  <si>
    <t>aɪ wɜ:rk æt/fɔ:r eɪ-bi-si ɪn ðə ˈhju:mən ˈrisɔ:rsɪz dɪˈpa:rtmənt</t>
  </si>
  <si>
    <t>I work at/for ABC in the Accounting department.</t>
  </si>
  <si>
    <t>aɪ wɜ:rk æt/fɔ:r eɪ-bi-si ɪn ði: əˈkaʊntɪŋ dɪˈpa:rtmənt</t>
  </si>
  <si>
    <t>I work at/for ABC in the Customer Service department.</t>
  </si>
  <si>
    <t>aɪ wɜ:rk æt/fɔ:r eɪ-bi-si ɪn ðə ˈkʌstəmər ˈsɜ:rvɪs dɪˈpa:rtmənt</t>
  </si>
  <si>
    <t>I work at/for ABC in the Administration department.</t>
  </si>
  <si>
    <t>aɪ wɜ:rk æt/fɔ:r eɪ-bi-si ɪn ði: ədˌmɪnɪˈstreɪʃən dɪˈpa:rtmənt</t>
  </si>
  <si>
    <t>I’ve worked in the Accounting field for 3 years.</t>
  </si>
  <si>
    <t>aɪv wɜ:rkt ɪn ði: əˈkaʊntɪŋ fi:ld fɔ:r θriː jɪrz</t>
  </si>
  <si>
    <t>I’ve worked in Education field for 5 years.</t>
  </si>
  <si>
    <t>aɪv wɜ:rkt ɪn ˌɛʤəˈkeɪʃən fi:ld fɔ:r faɪv jɪrz</t>
  </si>
  <si>
    <t>I’ve worked in Logistic field for 4 years.</t>
  </si>
  <si>
    <t>aɪv wɜ:rkt ɪn ləˈʤɪstɪk fi:ld fɔ:r fɔ:r jɪrz</t>
  </si>
  <si>
    <t>I’m from Dong Nai province.</t>
  </si>
  <si>
    <t>I WORK IN (AT) + NƠI CHỐN, LĨNH VỰC / I WORK FOR + TÊN CÔNG TY /Tôi làm việc trong ngành …/cho công ty…/</t>
  </si>
  <si>
    <t>PLEASE ALLOW ME TO INTRODUCE + SOMEONE, SOMEONE’S NAME IS…/Cho phép tôi giới thiệu…/</t>
  </si>
  <si>
    <t>IT’S + ADJ + TO DO SOMETHING /Rất… khi làm gì đó/</t>
  </si>
  <si>
    <t>MY... IS..., YOU CAN CALL ME... IN SHORT /Tên,họ … của tôi là..., bạn có thể gọi tôi là…/</t>
  </si>
  <si>
    <t>I AM + SỐ (YEARS OLD) /Tôi … tuổi/</t>
  </si>
  <si>
    <t>I’M FROM + ĐỊA DANH /Tôi đến từ …/</t>
  </si>
  <si>
    <t>I AM + A/AN + TÊN NGHỀ NGHIỆP /Tôi là… (nghề nghiệp)/</t>
  </si>
  <si>
    <t>I AM INTERESTED IN/REALLY INTO… /Tôi hứng thú/thích…/</t>
  </si>
  <si>
    <t>MY FAVORITE + NOUN + IS… /... yêu thích của tôi là…/</t>
  </si>
  <si>
    <t>THE BEST THING ABOUT ME IS THAT I AM VERY + ADJ /Điều tôi thấy tốt nhất ở mình là tôi rất…/</t>
  </si>
  <si>
    <t>I’VE WORKED IN + TÊN LĨNH VỰC/NGHỀ NGHIỆP FIELD FOR + KHOẢNG THỜI GIAN /Tôi đã làm việc trong lĩnh vực … được … năm/</t>
  </si>
  <si>
    <t>I WORK AT/FOR + TÊN CÔNG TY IN THE + TÊN BỘ PHẬN + DEPARTMENT /Tôi làm việc cho công ty … ở bộ phận …/</t>
  </si>
  <si>
    <t>I’VE BEEN LIVING IN… TÊN ĐỊA ĐIỂM FOR + THỜI GIAN /Tôi đã sống ở .. được … năm/</t>
  </si>
  <si>
    <t>I AM ORIGINALLY FROM + TÊN ĐỊA DANH, BUT NOW I’M BASED IN + ĐỊA ĐIỂM /Tôi đến từ... nhưng giờ thì tôi sống ở…/</t>
  </si>
  <si>
    <t>I WAS BORN AND RAISED IN… + TÊN ĐỊA DANH /Tôi sinh ra và lớn lên ở …/</t>
  </si>
  <si>
    <t>MY FAVORITE MOTTO IS… /Châm ngôn ưa thích của tôi là…/</t>
  </si>
  <si>
    <t>MOST OF MY FRIENDS WOULD SAY I AM A/AN + ADJ + PERSON /Hầu hết bạn bè của tôi nói tôi là người…/</t>
  </si>
  <si>
    <t>MY BIRTHDAY IS ON THE + DATE OF + MONTH /Sinh nhật tôi là ngày … tháng ..../</t>
  </si>
  <si>
    <t>NOW, I’M LIVING… /Bây giờ tôi đang sống…/</t>
  </si>
  <si>
    <t>I HAVE +… BROTHER(S), … SISTER(S) /Tôi có … anh trai và … em gái…/</t>
  </si>
  <si>
    <t>I LIVE IN A… FAMILY, THERE ARE + NUMBER + PEOPLE IN MY FAMILY /Tôi sống trong một gia đình …, có … người trong gia đình tôi/</t>
  </si>
  <si>
    <t>MY FAVORITE DAY OF WEEK IS…, BECAUSE… /Ngày yêu thích trong tuần của tôi là …, vì … /</t>
  </si>
  <si>
    <t>I DISLIKE/HATE + NOUN /Tôi không thích…/</t>
  </si>
  <si>
    <t>THE WORST THING ABOUT ME IS THAT I AM VERY + ADJ /Điều tôi thấy bản thân mình dở nhất đó là…/</t>
  </si>
  <si>
    <t>Thật tốt khi gặp lại bạn.</t>
  </si>
  <si>
    <t>Cho phép tôi giới thiệu đồng nghiệp của mình, tên anh ấy là Huy.</t>
  </si>
  <si>
    <t>Tôi đang thất nghiệp.</t>
  </si>
  <si>
    <t>Tôi làm việc cho một ngân hàng.</t>
  </si>
  <si>
    <t>Tôi thích phim ảnh.</t>
  </si>
  <si>
    <t>Ca sĩ yêu thích của tôi là Taylor Swift.</t>
  </si>
  <si>
    <t>Điều tôi thấy tốt nhất ở mình là tôi rất hoài bão.</t>
  </si>
  <si>
    <t>Điều tôi thấy bản thân mình dở nhất đó là tôi quá nhạy cảm.</t>
  </si>
  <si>
    <t>Tôi ghét phung phí thời gian.</t>
  </si>
  <si>
    <t>Ngày yêu thích trong tuần của tôi là thứ 2, vì tôi trở lại với công việc của mình.</t>
  </si>
  <si>
    <t>Tôi sống trong một gia đình chỉ có ba hoặc chỉ có mẹ, nhà tôi chỉ có 2 người.</t>
  </si>
  <si>
    <t>Tôi có 1 em trai và 1 em gái, tôi là con cả.</t>
  </si>
  <si>
    <t>Bây giờ tôi đang sống tại nhà thuê ở thành phố HCM, tôi về thăm ba mẹ 1 lần 1 tháng.</t>
  </si>
  <si>
    <t>Hầu hết bạn bè của tôi nói tôi là người hiền hậu.</t>
  </si>
  <si>
    <t>Châm ngôn ưa thích của tôi là “Không bao giờ bỏ cuộc”.</t>
  </si>
  <si>
    <t>Tôi làm việc cho công ty ABC ở bộ phận chăm sóc khách hàng.</t>
  </si>
  <si>
    <t>Thật tuyệt khi được nói chuyện với bạn.</t>
  </si>
  <si>
    <t>Tôi đang tìm việc.</t>
  </si>
  <si>
    <t>Tôi làm việc cho một công ty lớn của Việt Nam.</t>
  </si>
  <si>
    <t>Tôi thích chơi đá bóng.</t>
  </si>
  <si>
    <t>Thức ăn yêu thích của tôi là đồ ăn Nhật.</t>
  </si>
  <si>
    <t>Điều tôi thấy tốt nhất ở mình là tôi rất kỉ luật.</t>
  </si>
  <si>
    <t>Điều tôi thấy bản thân mình dở nhất đó là tôi rất độc đoán.</t>
  </si>
  <si>
    <t>Tôi không thích tập thể dục.</t>
  </si>
  <si>
    <t>Hầu hết bạn bè của tôi nói tôi là người dễ xúc động.</t>
  </si>
  <si>
    <t>Châm ngôn ưa thích của tôi là “Cuộc sống là sự lựa chọn”.</t>
  </si>
  <si>
    <t>Tôi làm việc cho công ty ABC ở bộ phận hành chính.</t>
  </si>
  <si>
    <t>Rất hân hạnh khi gặp bạn.</t>
  </si>
  <si>
    <t>Tôi trong khoảng (30-40).</t>
  </si>
  <si>
    <t>Tôi ở nhà chăm con.</t>
  </si>
  <si>
    <t>Tôi làm việc cho một công ty có tên là ABC.</t>
  </si>
  <si>
    <t>Tôi thích âm nhạc.</t>
  </si>
  <si>
    <t>Đồ uống yêu thích của tôi là trà sữa.</t>
  </si>
  <si>
    <t>Điều tôi thấy tốt nhất ở mình là tôi rất tận tuỵ.</t>
  </si>
  <si>
    <t>Điều tôi thấy bản thân mình dở nhất đó là tôi là người hay trì hoãn.</t>
  </si>
  <si>
    <t>Hầu hết bạn bè của tôi nói tôi là người ôn hoà.</t>
  </si>
  <si>
    <t>Tôi tự làm chủ.</t>
  </si>
  <si>
    <t>Tôi làm việc trong một nhà máy.</t>
  </si>
  <si>
    <t>Tôi thích đi mua sắm.</t>
  </si>
  <si>
    <t>Điều tôi thấy tốt nhất ở mình là tôi rất chi tiết.</t>
  </si>
  <si>
    <t>Hầu hết bạn bè của tôi nói tôi là người lạc quan.</t>
  </si>
  <si>
    <t>Tôi là thực tập sinh.</t>
  </si>
  <si>
    <t>Tôi làm việc trong bộ phận tiếp thị.</t>
  </si>
  <si>
    <t>Tôi thích lướt web.</t>
  </si>
  <si>
    <t>Hầu hết bạn bè của tôi nói tôi là người thực tế.</t>
  </si>
  <si>
    <t>Tôi làm việc trong lĩnh vực giáo dục.</t>
  </si>
  <si>
    <t>Tôi thích tán gẫu với bạn bè.</t>
  </si>
  <si>
    <t>Hầu hết bạn bè của tôi nói tôi là người hướng nội.</t>
  </si>
  <si>
    <t>Tôi làm việc tại nhà.</t>
  </si>
  <si>
    <t>Tôi thích hẹn hò với bạn bè.</t>
  </si>
  <si>
    <t>Hầu hết bạn bè của tôi nói tôi là người hướng ngoại.</t>
  </si>
  <si>
    <t>Thật tốt khi gặp bạn.</t>
  </si>
  <si>
    <t>It’s good to see you.</t>
  </si>
  <si>
    <t>Thật tuyệt khi gặp bạn.</t>
  </si>
  <si>
    <t>It’s great to see you.</t>
  </si>
  <si>
    <t>Thật tốt khi biết bạn.</t>
  </si>
  <si>
    <t>It’s nice to know you.</t>
  </si>
  <si>
    <t>It’s great to talk to you.</t>
  </si>
  <si>
    <t>It’s a pleasure to meet you.</t>
  </si>
  <si>
    <t>Cho phép tôi giới thiệu bản thân mình, tên của tôi là Minh.</t>
  </si>
  <si>
    <t>Cho phép tôi giới thiệu bản thân mình, tôi là Phương.</t>
  </si>
  <si>
    <t>Cho phép tôi giới thiệu bạn của tôi, tên của cô ấy là Nhung.</t>
  </si>
  <si>
    <t>Họ tên tôi là Nguyễn Văn A, bạn có thể gọi tôi là A.</t>
  </si>
  <si>
    <t>Họ của tôi là Nguyễn, tên của tôi là An, bạn có thể gọi tôi là An nhé!</t>
  </si>
  <si>
    <t>Tên của tôi là An, biệt danh của tôi là Anna, bạn có thể gọi tôi là Anna nhé!</t>
  </si>
  <si>
    <t>Tôi 32 tuổi.</t>
  </si>
  <si>
    <t>I am thirty two years old.</t>
  </si>
  <si>
    <t>Tôi hơn 30 rồi.</t>
  </si>
  <si>
    <t>I’m over thirty.</t>
  </si>
  <si>
    <t>Tôi gần 30 rồi.</t>
  </si>
  <si>
    <t>I’m almost thirty.</t>
  </si>
  <si>
    <t>Tôi cỡ tuổi bạn.</t>
  </si>
  <si>
    <t>I’m around your age.</t>
  </si>
  <si>
    <t>Tôi trong khoảng (20-30).</t>
  </si>
  <si>
    <t>I’m in my early twenties.</t>
  </si>
  <si>
    <t>I’m in my late thirties.</t>
  </si>
  <si>
    <t>Tôi đến từ Việt Nam.</t>
  </si>
  <si>
    <t>Tôi đến từ tỉnh Đồng Nai.</t>
  </si>
  <si>
    <t>Tôi đến từ tỉnh thành phố Hồ Chí Minh.</t>
  </si>
  <si>
    <t>Tôi là nhân viên văn phòng.</t>
  </si>
  <si>
    <t>Tôi là sinh viên.</t>
  </si>
  <si>
    <t>Tôi làm nội trợ ở nhà.</t>
  </si>
  <si>
    <t>I am jobless.</t>
  </si>
  <si>
    <t>I am between jobs.</t>
  </si>
  <si>
    <t>I am a stay-at-home mom.</t>
  </si>
  <si>
    <t>I am self-employed.</t>
  </si>
  <si>
    <t>I am a trainee/an intern.</t>
  </si>
  <si>
    <t>Tôi làm việc trong ngành Logistic.</t>
  </si>
  <si>
    <t>Tôi làm việc trong một công ty quảng cáo.</t>
  </si>
  <si>
    <t>Tôi làm việc cho một công ty xây dựng.</t>
  </si>
  <si>
    <t>Tôi làm việc cho gia đình mình.</t>
  </si>
  <si>
    <t>I work for my family.</t>
  </si>
  <si>
    <t>Tôi thích thể thao.</t>
  </si>
  <si>
    <t>Tôi thích sách.</t>
  </si>
  <si>
    <t>Tôi thích du lịch.</t>
  </si>
  <si>
    <t>Màu yêu thích của tôi là màu trắng.</t>
  </si>
  <si>
    <t>My favorite color is white.</t>
  </si>
  <si>
    <t>Loại nhạc yêu thích của tôi là nhạc Pop.</t>
  </si>
  <si>
    <t>My favorite kind of music is Pop.</t>
  </si>
  <si>
    <t>Nhóm nhạc yêu thích của tôi là Westlife.</t>
  </si>
  <si>
    <t>My favorite band is Westlife.</t>
  </si>
  <si>
    <t>My favorite singer is Taylor Swift.</t>
  </si>
  <si>
    <t>My favorite food is Japanese food.</t>
  </si>
  <si>
    <t>My favorite drink is bubble milk tea.</t>
  </si>
  <si>
    <t>Điều tôi thấy tốt nhất ở mình là tôi rất đáng tin cậy.</t>
  </si>
  <si>
    <t>The best thing about me is that I am very reliable/trustworthy.</t>
  </si>
  <si>
    <t>Điều tôi thấy tốt nhất ở mình là tôi rất kiên nhẫn.</t>
  </si>
  <si>
    <t>The best thing about me is that I am very patient.</t>
  </si>
  <si>
    <t>Điều tôi thấy tốt nhất ở mình là tôi rất quyết tâm.</t>
  </si>
  <si>
    <t>The best thing about me is that I am very ambitious.</t>
  </si>
  <si>
    <t>Điều tôi thấy bản thân mình dở nhất đó là tôi rất bướng bỉnh.</t>
  </si>
  <si>
    <t>Điều tôi thấy bản thân mình dở nhất đó là tôi rất hấp tấp.</t>
  </si>
  <si>
    <t>Điều tôi thấy bản thân mình dở nhất đó là tôi không quả quyết.</t>
  </si>
  <si>
    <t>Tôi không thích chạy bộ.</t>
  </si>
  <si>
    <t>Tôi ghét làm việc nhà.</t>
  </si>
  <si>
    <t>Tôi không thích nấu ăn.</t>
  </si>
  <si>
    <t>I dislike cooking.</t>
  </si>
  <si>
    <t>I hate wasting time.</t>
  </si>
  <si>
    <t>I dislike exercise.</t>
  </si>
  <si>
    <t>Ngày yêu thích trong tuần của tôi là Chủ nhật, vì tôi có thể ngủ dậy trễ.</t>
  </si>
  <si>
    <t>Ngày yêu thích trong tuần của tôi là thứ 7, vì đó là cuối tuần.</t>
  </si>
  <si>
    <t>Ngày yêu thích trong tuần của tôi là Chủ nhật, vì đó là ngày tôi nghỉ ngơi thư giãn.</t>
  </si>
  <si>
    <t>Tôi sống trong một gia đình hạt nhân, có 4 người trong gia đình tôi.</t>
  </si>
  <si>
    <t>Tôi sống trong một gia đình nhiều thế hệ, có 7 người trong gia đình tôi.</t>
  </si>
  <si>
    <t>Tôi sống trong một gia đình lớn, có 9 người trong gia đình tôi.</t>
  </si>
  <si>
    <t>Tôi có 1 anh trai và 1 em gái, tôi là con giữa.</t>
  </si>
  <si>
    <t>Tôi không có anh chị em nào cả, tôi là con một.</t>
  </si>
  <si>
    <t>Tôi có 2 chị gái, tôi là em út.</t>
  </si>
  <si>
    <t>Bây giờ tôi đang sống với gia đình mình tại thành phố HCM.</t>
  </si>
  <si>
    <t>Bây giờ tôi đang sống xa gia đình vì tôi đi học.</t>
  </si>
  <si>
    <t>Tôi đang sống xa gia đình vì công việc.</t>
  </si>
  <si>
    <t>Sinh nhật tôi là ngày 16 tháng 9.</t>
  </si>
  <si>
    <t>Sinh nhật tôi là ngày 2 tháng 8.</t>
  </si>
  <si>
    <t>My birthday is on the 2nd of August.</t>
  </si>
  <si>
    <t>Sinh nhật tôi là ngày 3 tháng 5.</t>
  </si>
  <si>
    <t>My birthday is on the third of May.</t>
  </si>
  <si>
    <t>Hầu hết bạn bè của tôi nói tôi là người năng động.</t>
  </si>
  <si>
    <t>Hầu hết bạn bè của tôi nói tôi là người nhút nhát.</t>
  </si>
  <si>
    <t>Hầu hết bạn bè của tôi nói tôi là người thân thiện.</t>
  </si>
  <si>
    <t>Hầu hết bạn bè của tôi nói tôi là người thận trọng.</t>
  </si>
  <si>
    <t>Hầu hết bạn bè của tôi nói tôi là người ít nói.</t>
  </si>
  <si>
    <t>Châm ngôn ưa thích của tôi là “Không gì là không thể”.</t>
  </si>
  <si>
    <t>Châm ngôn ưa thích của tôi là “Hãy hành động”.</t>
  </si>
  <si>
    <t>Châm ngôn ưa thích của tôi là “Hãy nỗ lực hết mình”.</t>
  </si>
  <si>
    <t>Tôi sinh ra và lớn lên ở Đồng Nai.</t>
  </si>
  <si>
    <t>Tôi sinh ra và lớn lên ở Lâm Đồng.</t>
  </si>
  <si>
    <t>Tôi đến từ Hà Nội, nhưng giờ thì tôi sống ở TP. HCM.</t>
  </si>
  <si>
    <t>Tôi đến từ Đà Lạt, nhưng giờ thì tôi sống ở TP. HCM.</t>
  </si>
  <si>
    <t>Tôi đến từ Hà Nội, nhưng giờ thì tôi sống ở TP. Đà Nẵng.</t>
  </si>
  <si>
    <t>Tôi đã sống ở London được 3 năm.</t>
  </si>
  <si>
    <t>Tôi đã sống ở Hà Nội được 5 năm.</t>
  </si>
  <si>
    <t>Tôi đã sống ở TP. HCM được 10 năm.</t>
  </si>
  <si>
    <t>Tôi làm việc cho công ty ABC ở bộ phận Marketing.</t>
  </si>
  <si>
    <t>Tôi làm việc cho công ty ABC ở bộ phận nhân sự.</t>
  </si>
  <si>
    <t>Tôi làm việc cho công ty ABC ở bộ phận kế toán.</t>
  </si>
  <si>
    <t>Tôi đã làm việc trong lĩnh vực kế toán được 3 năm.</t>
  </si>
  <si>
    <t>Tôi đã làm việc trong lĩnh vực giáo dục được 5 năm.</t>
  </si>
  <si>
    <t>Tôi đã làm việc trong lĩnh vực Logistic được 4 năm.</t>
  </si>
  <si>
    <t>1.5</t>
  </si>
  <si>
    <t>1.6</t>
  </si>
  <si>
    <t>4.6</t>
  </si>
  <si>
    <t>6.5</t>
  </si>
  <si>
    <t>6.6</t>
  </si>
  <si>
    <t>6.7</t>
  </si>
  <si>
    <t>6.8</t>
  </si>
  <si>
    <t>7.7</t>
  </si>
  <si>
    <t>7.8</t>
  </si>
  <si>
    <t>7.9</t>
  </si>
  <si>
    <t>7.10</t>
  </si>
  <si>
    <t>7.11</t>
  </si>
  <si>
    <t>8.5</t>
  </si>
  <si>
    <t>8.6</t>
  </si>
  <si>
    <t>8.7</t>
  </si>
  <si>
    <t>8.8</t>
  </si>
  <si>
    <t>8.9</t>
  </si>
  <si>
    <t>8.10</t>
  </si>
  <si>
    <t>9.6</t>
  </si>
  <si>
    <t>10.6</t>
  </si>
  <si>
    <t>10.7</t>
  </si>
  <si>
    <t>11.1</t>
  </si>
  <si>
    <t>11.2</t>
  </si>
  <si>
    <t>11.3</t>
  </si>
  <si>
    <t>11.4</t>
  </si>
  <si>
    <t>11.5</t>
  </si>
  <si>
    <t>11.6</t>
  </si>
  <si>
    <t>TOPIC: ABOUT ME</t>
  </si>
  <si>
    <t>12.1</t>
  </si>
  <si>
    <t>12.2</t>
  </si>
  <si>
    <t>12.3</t>
  </si>
  <si>
    <t>12.4</t>
  </si>
  <si>
    <t>12.5</t>
  </si>
  <si>
    <t>13.1</t>
  </si>
  <si>
    <t>13.2</t>
  </si>
  <si>
    <t>13.3</t>
  </si>
  <si>
    <t>13.4</t>
  </si>
  <si>
    <t>14.1</t>
  </si>
  <si>
    <t>14.2</t>
  </si>
  <si>
    <t>14.3</t>
  </si>
  <si>
    <t>14.4</t>
  </si>
  <si>
    <t>15.1</t>
  </si>
  <si>
    <t>15.2</t>
  </si>
  <si>
    <t>15.3</t>
  </si>
  <si>
    <t>15.4</t>
  </si>
  <si>
    <t>16.1</t>
  </si>
  <si>
    <t>16.2</t>
  </si>
  <si>
    <t>16.3</t>
  </si>
  <si>
    <t>16.4</t>
  </si>
  <si>
    <t>17.1</t>
  </si>
  <si>
    <t>17.2</t>
  </si>
  <si>
    <t>17.3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</si>
  <si>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</si>
  <si>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</si>
  <si>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</si>
  <si>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</si>
  <si>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</si>
  <si>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</si>
  <si>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</si>
  <si>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</si>
  <si>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</si>
  <si>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</si>
  <si>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</si>
  <si>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</si>
  <si>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19.1</t>
  </si>
  <si>
    <t>19.2</t>
  </si>
  <si>
    <t>19.3</t>
  </si>
  <si>
    <t>19.4</t>
  </si>
  <si>
    <t>19.5</t>
  </si>
  <si>
    <t>20.1</t>
  </si>
  <si>
    <t>20.2</t>
  </si>
  <si>
    <t>21.1</t>
  </si>
  <si>
    <t>21.2</t>
  </si>
  <si>
    <t>21.3</t>
  </si>
  <si>
    <t>22.1</t>
  </si>
  <si>
    <t>22.2</t>
  </si>
  <si>
    <t>22.3</t>
  </si>
  <si>
    <t>23.1</t>
  </si>
  <si>
    <t>23.2</t>
  </si>
  <si>
    <t>23.3</t>
  </si>
  <si>
    <t>23.4</t>
  </si>
  <si>
    <t>23.5</t>
  </si>
  <si>
    <t>24.1</t>
  </si>
  <si>
    <t>24.2</t>
  </si>
  <si>
    <t>24.3</t>
  </si>
  <si>
    <t>06-09</t>
  </si>
  <si>
    <t>10-13</t>
  </si>
  <si>
    <t>14-17</t>
  </si>
  <si>
    <t>njn</t>
  </si>
  <si>
    <t>18-24</t>
  </si>
  <si>
    <t>https://drive.google.com/file/d/10qlQB8tF1gSzl-Gparsrm3F74hox0hNG/view?usp=sharing</t>
  </si>
  <si>
    <t>https://drive.google.com/file/d/1Vi4ilNsXavOYA4rGbm8nJTp5VFzAs0UV/view?usp=sharing</t>
  </si>
  <si>
    <t>https://drive.google.com/file/d/1X9vWN4cPRHgq7tfiAtFUjVab8gEbmf00/view?usp=sharing</t>
  </si>
  <si>
    <t>https://drive.google.com/file/d/1B6EGBHrpPExAP-vSBue6lemxDKWsxGt8/view?usp=sharing</t>
  </si>
  <si>
    <t>https://drive.google.com/file/d/1kwNhZIe_DzRHthoTyhWJe0j2i5nHyWWU/view?usp=sharing</t>
  </si>
  <si>
    <t>01-24</t>
  </si>
  <si>
    <t>https://drive.google.com/file/d/1q0XTHO24c0hsmHTpb-hu8VS-vP5w5-zT/view?usp=sharing</t>
  </si>
  <si>
    <t>https://drive.google.com/file/d/1yaA5HNAs5jzu20OKyo1SkR34A4jYyxKX/view?usp=sharing</t>
  </si>
  <si>
    <t>MP4</t>
  </si>
  <si>
    <t>MP3</t>
  </si>
  <si>
    <t>https://drive.google.com/file/d/1PocnX9spWHbLaRjmD7yL-UBA2nWHUACi/view?usp=sharing</t>
  </si>
  <si>
    <t>Doc</t>
  </si>
  <si>
    <t>https://docs.google.com/document/d/1KZ01z4pXaLP6Kpue8tVY9GXqoWlHMLXm/edit?usp=sharing&amp;ouid=115691797246852180632&amp;rtpof=true&amp;sd=true</t>
  </si>
  <si>
    <t>Excel</t>
  </si>
  <si>
    <t>https://docs.google.com/spreadsheets/d/1i2QMI0nI-nZnnUSfRzwDmPv0wE62ZwVp/edit?usp=sharing&amp;ouid=115691797246852180632&amp;rtpof=true&amp;sd=true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</si>
</sst>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theme="0" tint="-0.34998626667073579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0" fillId="5" borderId="0" xfId="0" applyFill="1"/>
    <xf numFmtId="0" fontId="0" fillId="3" borderId="0" xfId="0" applyFill="1"/>
    <xf numFmtId="0" fontId="2" fillId="0" borderId="0" xfId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4" xfId="0" applyFont="1" applyFill="1" applyBorder="1"/>
    <xf numFmtId="0" fontId="5" fillId="0" borderId="5" xfId="0" applyFont="1" applyBorder="1" applyAlignment="1">
      <alignment horizontal="center"/>
    </xf>
    <xf numFmtId="0" fontId="0" fillId="0" borderId="6" xfId="0" applyBorder="1"/>
    <xf numFmtId="0" fontId="0" fillId="0" borderId="0" xfId="0" quotePrefix="1"/>
    <xf numFmtId="4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i2QMI0nI-nZnnUSfRzwDmPv0wE62ZwVp/edit?usp=sharing&amp;ouid=115691797246852180632&amp;rtpof=true&amp;sd=true" TargetMode="External"/><Relationship Id="rId1" Type="http://schemas.openxmlformats.org/officeDocument/2006/relationships/hyperlink" Target="https://docs.google.com/document/d/1KZ01z4pXaLP6Kpue8tVY9GXqoWlHMLXm/edit?usp=sharing&amp;ouid=115691797246852180632&amp;rtpof=true&amp;sd=tru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408"/>
  <sheetViews>
    <sheetView showGridLines="0" topLeftCell="A368" zoomScale="81" zoomScaleNormal="81" workbookViewId="0">
      <selection activeCell="D407" sqref="D407"/>
    </sheetView>
  </sheetViews>
  <sheetFormatPr defaultRowHeight="13.8" x14ac:dyDescent="0.25"/>
  <cols>
    <col min="1" max="2" width="7.3984375" style="28" customWidth="1"/>
    <col min="3" max="3" width="8.8984375" style="28" hidden="1" customWidth="1"/>
    <col min="4" max="4" width="54.8984375" bestFit="1" customWidth="1"/>
    <col min="5" max="5" width="10.69921875" style="28" customWidth="1"/>
    <col min="6" max="6" width="25.796875" style="10" customWidth="1"/>
    <col min="7" max="7" width="35.5" customWidth="1"/>
    <col min="8" max="8" width="75.19921875" bestFit="1" customWidth="1"/>
  </cols>
  <sheetData>
    <row r="2" spans="1:8" x14ac:dyDescent="0.25">
      <c r="A2" s="22" t="s">
        <v>490</v>
      </c>
      <c r="C2" s="22"/>
    </row>
    <row r="3" spans="1:8" x14ac:dyDescent="0.25">
      <c r="A3" s="23" t="s">
        <v>1</v>
      </c>
      <c r="B3" s="23" t="s">
        <v>1</v>
      </c>
      <c r="C3" s="23" t="s">
        <v>8</v>
      </c>
      <c r="D3" s="4" t="s">
        <v>0</v>
      </c>
      <c r="E3" s="23" t="s">
        <v>2</v>
      </c>
      <c r="F3" s="11" t="s">
        <v>9</v>
      </c>
      <c r="G3" s="1" t="s">
        <v>8</v>
      </c>
      <c r="H3" s="7" t="s">
        <v>10</v>
      </c>
    </row>
    <row r="4" spans="1:8" s="21" customFormat="1" x14ac:dyDescent="0.25">
      <c r="A4" s="25"/>
      <c r="B4" s="24">
        <v>1</v>
      </c>
      <c r="C4" s="25" t="str">
        <f>B4&amp;E4</f>
        <v>1Struc</v>
      </c>
      <c r="D4" s="19" t="s">
        <v>283</v>
      </c>
      <c r="E4" s="29" t="s">
        <v>11</v>
      </c>
      <c r="F4" s="20" t="str">
        <f t="shared" ref="F4:F67" si="0">IF(G4="","","https://docs.google.com/uc?export=download&amp;id="&amp;G4)</f>
        <v/>
      </c>
      <c r="G4" s="9" t="str">
        <f>IFERROR(LEFT(RIGHT(H4,LEN(H4)-32),LEN(RIGHT(H4,LEN(H4)-32))-17),"")</f>
        <v/>
      </c>
      <c r="H4"/>
    </row>
    <row r="5" spans="1:8" x14ac:dyDescent="0.25">
      <c r="A5" s="26"/>
      <c r="B5" s="26" t="s">
        <v>13</v>
      </c>
      <c r="C5" s="26" t="str">
        <f t="shared" ref="C5:C68" si="1">B5&amp;E5</f>
        <v>1.1Viet</v>
      </c>
      <c r="D5" s="6" t="s">
        <v>356</v>
      </c>
      <c r="E5" s="30" t="s">
        <v>3</v>
      </c>
      <c r="F5" s="12" t="str">
        <f t="shared" si="0"/>
        <v/>
      </c>
      <c r="G5" s="9" t="str">
        <f t="shared" ref="G5:G68" si="2">IFERROR(LEFT(RIGHT(H5,LEN(H5)-32),LEN(RIGHT(H5,LEN(H5)-32))-17),"")</f>
        <v/>
      </c>
    </row>
    <row r="6" spans="1:8" x14ac:dyDescent="0.25">
      <c r="A6" s="26">
        <v>1</v>
      </c>
      <c r="B6" s="26" t="s">
        <v>13</v>
      </c>
      <c r="C6" s="26" t="str">
        <f t="shared" si="1"/>
        <v>1.1Eng</v>
      </c>
      <c r="D6" s="5" t="s">
        <v>357</v>
      </c>
      <c r="E6" s="31" t="s">
        <v>4</v>
      </c>
      <c r="F6" s="14" t="str">
        <f t="shared" si="0"/>
        <v/>
      </c>
      <c r="G6" s="9" t="str">
        <f t="shared" si="2"/>
        <v/>
      </c>
    </row>
    <row r="7" spans="1:8" x14ac:dyDescent="0.25">
      <c r="A7" s="27"/>
      <c r="B7" s="27" t="s">
        <v>13</v>
      </c>
      <c r="C7" s="27" t="str">
        <f t="shared" si="1"/>
        <v>1.1Phon</v>
      </c>
      <c r="D7" s="2" t="s">
        <v>58</v>
      </c>
      <c r="E7" s="32" t="s">
        <v>5</v>
      </c>
      <c r="F7" s="13" t="str">
        <f t="shared" si="0"/>
        <v/>
      </c>
      <c r="G7" s="9" t="str">
        <f t="shared" si="2"/>
        <v/>
      </c>
    </row>
    <row r="8" spans="1:8" x14ac:dyDescent="0.25">
      <c r="A8" s="26"/>
      <c r="B8" s="26" t="s">
        <v>14</v>
      </c>
      <c r="C8" s="26" t="str">
        <f t="shared" si="1"/>
        <v>1.2Viet</v>
      </c>
      <c r="D8" s="6" t="s">
        <v>358</v>
      </c>
      <c r="E8" s="30" t="s">
        <v>3</v>
      </c>
      <c r="F8" s="12" t="str">
        <f t="shared" si="0"/>
        <v/>
      </c>
      <c r="G8" s="9" t="str">
        <f t="shared" si="2"/>
        <v/>
      </c>
    </row>
    <row r="9" spans="1:8" x14ac:dyDescent="0.25">
      <c r="A9" s="26">
        <v>2</v>
      </c>
      <c r="B9" s="26" t="s">
        <v>14</v>
      </c>
      <c r="C9" s="26" t="str">
        <f t="shared" si="1"/>
        <v>1.2Eng</v>
      </c>
      <c r="D9" s="5" t="s">
        <v>359</v>
      </c>
      <c r="E9" s="31" t="s">
        <v>4</v>
      </c>
      <c r="F9" s="14" t="str">
        <f t="shared" si="0"/>
        <v/>
      </c>
      <c r="G9" s="9" t="str">
        <f t="shared" si="2"/>
        <v/>
      </c>
    </row>
    <row r="10" spans="1:8" x14ac:dyDescent="0.25">
      <c r="A10" s="27"/>
      <c r="B10" s="27" t="s">
        <v>14</v>
      </c>
      <c r="C10" s="27" t="str">
        <f t="shared" si="1"/>
        <v>1.2Phon</v>
      </c>
      <c r="D10" s="2" t="s">
        <v>59</v>
      </c>
      <c r="E10" s="32" t="s">
        <v>5</v>
      </c>
      <c r="F10" s="13" t="str">
        <f t="shared" si="0"/>
        <v/>
      </c>
      <c r="G10" s="9" t="str">
        <f t="shared" si="2"/>
        <v/>
      </c>
    </row>
    <row r="11" spans="1:8" x14ac:dyDescent="0.25">
      <c r="A11" s="26"/>
      <c r="B11" s="26" t="s">
        <v>12</v>
      </c>
      <c r="C11" s="26" t="str">
        <f t="shared" si="1"/>
        <v>1.3Viet</v>
      </c>
      <c r="D11" s="6" t="s">
        <v>360</v>
      </c>
      <c r="E11" s="30" t="s">
        <v>3</v>
      </c>
      <c r="F11" s="12" t="str">
        <f t="shared" si="0"/>
        <v/>
      </c>
      <c r="G11" s="9" t="str">
        <f t="shared" si="2"/>
        <v/>
      </c>
    </row>
    <row r="12" spans="1:8" x14ac:dyDescent="0.25">
      <c r="A12" s="26">
        <v>3</v>
      </c>
      <c r="B12" s="26" t="s">
        <v>12</v>
      </c>
      <c r="C12" s="26" t="str">
        <f t="shared" si="1"/>
        <v>1.3Eng</v>
      </c>
      <c r="D12" s="5" t="s">
        <v>361</v>
      </c>
      <c r="E12" s="31" t="s">
        <v>4</v>
      </c>
      <c r="F12" s="14" t="str">
        <f t="shared" si="0"/>
        <v/>
      </c>
      <c r="G12" s="9" t="str">
        <f t="shared" si="2"/>
        <v/>
      </c>
    </row>
    <row r="13" spans="1:8" ht="12.6" customHeight="1" x14ac:dyDescent="0.25">
      <c r="A13" s="27"/>
      <c r="B13" s="27" t="s">
        <v>12</v>
      </c>
      <c r="C13" s="27" t="str">
        <f t="shared" si="1"/>
        <v>1.3Phon</v>
      </c>
      <c r="D13" s="2" t="s">
        <v>60</v>
      </c>
      <c r="E13" s="32" t="s">
        <v>5</v>
      </c>
      <c r="F13" s="13" t="str">
        <f t="shared" si="0"/>
        <v/>
      </c>
      <c r="G13" s="9" t="str">
        <f t="shared" si="2"/>
        <v/>
      </c>
    </row>
    <row r="14" spans="1:8" ht="12.6" customHeight="1" x14ac:dyDescent="0.25">
      <c r="A14" s="26"/>
      <c r="B14" s="26" t="s">
        <v>15</v>
      </c>
      <c r="C14" s="26" t="str">
        <f t="shared" si="1"/>
        <v>1.4Viet</v>
      </c>
      <c r="D14" s="2" t="s">
        <v>305</v>
      </c>
      <c r="E14" s="30" t="s">
        <v>3</v>
      </c>
      <c r="F14" s="13" t="str">
        <f t="shared" si="0"/>
        <v/>
      </c>
      <c r="G14" s="9" t="str">
        <f t="shared" si="2"/>
        <v/>
      </c>
    </row>
    <row r="15" spans="1:8" ht="12.6" customHeight="1" x14ac:dyDescent="0.25">
      <c r="A15" s="26">
        <v>4</v>
      </c>
      <c r="B15" s="26" t="s">
        <v>15</v>
      </c>
      <c r="C15" s="26" t="str">
        <f t="shared" si="1"/>
        <v>1.4Eng</v>
      </c>
      <c r="D15" s="2" t="s">
        <v>61</v>
      </c>
      <c r="E15" s="31" t="s">
        <v>4</v>
      </c>
      <c r="F15" s="13" t="str">
        <f t="shared" si="0"/>
        <v/>
      </c>
      <c r="G15" s="9" t="str">
        <f t="shared" si="2"/>
        <v/>
      </c>
    </row>
    <row r="16" spans="1:8" ht="12.6" customHeight="1" x14ac:dyDescent="0.25">
      <c r="A16" s="36"/>
      <c r="B16" s="36" t="s">
        <v>15</v>
      </c>
      <c r="C16" s="27" t="str">
        <f t="shared" si="1"/>
        <v>1.4Phon</v>
      </c>
      <c r="D16" s="37" t="s">
        <v>62</v>
      </c>
      <c r="E16" s="32" t="s">
        <v>5</v>
      </c>
      <c r="F16" s="13" t="str">
        <f t="shared" si="0"/>
        <v/>
      </c>
      <c r="G16" s="9" t="str">
        <f t="shared" si="2"/>
        <v/>
      </c>
    </row>
    <row r="17" spans="1:8" ht="12.6" customHeight="1" x14ac:dyDescent="0.25">
      <c r="A17" s="26"/>
      <c r="B17" s="26" t="s">
        <v>463</v>
      </c>
      <c r="C17" s="26" t="str">
        <f t="shared" si="1"/>
        <v>1.5Viet</v>
      </c>
      <c r="D17" s="35" t="s">
        <v>321</v>
      </c>
      <c r="E17" s="30" t="s">
        <v>3</v>
      </c>
      <c r="F17" s="12" t="str">
        <f t="shared" si="0"/>
        <v/>
      </c>
      <c r="G17" s="9" t="str">
        <f t="shared" si="2"/>
        <v/>
      </c>
    </row>
    <row r="18" spans="1:8" ht="12.6" customHeight="1" x14ac:dyDescent="0.25">
      <c r="A18" s="26">
        <v>5</v>
      </c>
      <c r="B18" s="26" t="s">
        <v>463</v>
      </c>
      <c r="C18" s="26" t="str">
        <f t="shared" si="1"/>
        <v>1.5Eng</v>
      </c>
      <c r="D18" s="5" t="s">
        <v>362</v>
      </c>
      <c r="E18" s="31" t="s">
        <v>4</v>
      </c>
      <c r="F18" s="14" t="str">
        <f t="shared" si="0"/>
        <v/>
      </c>
      <c r="G18" s="9" t="str">
        <f t="shared" si="2"/>
        <v/>
      </c>
    </row>
    <row r="19" spans="1:8" ht="12.6" customHeight="1" x14ac:dyDescent="0.25">
      <c r="A19" s="27"/>
      <c r="B19" s="27" t="s">
        <v>463</v>
      </c>
      <c r="C19" s="27" t="str">
        <f t="shared" si="1"/>
        <v>1.5Phon</v>
      </c>
      <c r="D19" s="2" t="s">
        <v>63</v>
      </c>
      <c r="E19" s="32" t="s">
        <v>5</v>
      </c>
      <c r="F19" s="13" t="str">
        <f t="shared" si="0"/>
        <v/>
      </c>
      <c r="G19" s="9" t="str">
        <f t="shared" si="2"/>
        <v/>
      </c>
    </row>
    <row r="20" spans="1:8" x14ac:dyDescent="0.25">
      <c r="A20" s="26"/>
      <c r="B20" s="26" t="s">
        <v>464</v>
      </c>
      <c r="C20" s="26" t="str">
        <f t="shared" si="1"/>
        <v>1.6Viet</v>
      </c>
      <c r="D20" s="6" t="s">
        <v>332</v>
      </c>
      <c r="E20" s="30" t="s">
        <v>3</v>
      </c>
      <c r="F20" s="12" t="str">
        <f t="shared" si="0"/>
        <v/>
      </c>
      <c r="G20" s="9" t="str">
        <f t="shared" si="2"/>
        <v/>
      </c>
    </row>
    <row r="21" spans="1:8" x14ac:dyDescent="0.25">
      <c r="A21" s="26">
        <v>6</v>
      </c>
      <c r="B21" s="26" t="s">
        <v>464</v>
      </c>
      <c r="C21" s="26" t="str">
        <f t="shared" si="1"/>
        <v>1.6Eng</v>
      </c>
      <c r="D21" s="5" t="s">
        <v>363</v>
      </c>
      <c r="E21" s="31" t="s">
        <v>4</v>
      </c>
      <c r="F21" s="14" t="str">
        <f t="shared" si="0"/>
        <v/>
      </c>
      <c r="G21" s="9" t="str">
        <f t="shared" si="2"/>
        <v/>
      </c>
    </row>
    <row r="22" spans="1:8" x14ac:dyDescent="0.25">
      <c r="A22" s="27"/>
      <c r="B22" s="27" t="s">
        <v>464</v>
      </c>
      <c r="C22" s="27" t="str">
        <f t="shared" si="1"/>
        <v>1.6Phon</v>
      </c>
      <c r="D22" s="2" t="s">
        <v>64</v>
      </c>
      <c r="E22" s="32" t="s">
        <v>5</v>
      </c>
      <c r="F22" s="13" t="str">
        <f t="shared" si="0"/>
        <v/>
      </c>
      <c r="G22" s="9" t="str">
        <f t="shared" si="2"/>
        <v/>
      </c>
    </row>
    <row r="23" spans="1:8" s="21" customFormat="1" x14ac:dyDescent="0.25">
      <c r="A23" s="25"/>
      <c r="B23" s="24">
        <v>2</v>
      </c>
      <c r="C23" s="25" t="str">
        <f t="shared" si="1"/>
        <v>2Struc</v>
      </c>
      <c r="D23" s="19" t="s">
        <v>282</v>
      </c>
      <c r="E23" s="29" t="s">
        <v>11</v>
      </c>
      <c r="F23" s="20" t="str">
        <f t="shared" si="0"/>
        <v/>
      </c>
      <c r="G23" s="9" t="str">
        <f t="shared" si="2"/>
        <v/>
      </c>
      <c r="H23"/>
    </row>
    <row r="24" spans="1:8" x14ac:dyDescent="0.25">
      <c r="A24" s="26"/>
      <c r="B24" s="26" t="s">
        <v>16</v>
      </c>
      <c r="C24" s="26" t="str">
        <f t="shared" si="1"/>
        <v>2.1Viet</v>
      </c>
      <c r="D24" s="6" t="s">
        <v>364</v>
      </c>
      <c r="E24" s="30" t="s">
        <v>3</v>
      </c>
      <c r="F24" s="12" t="str">
        <f t="shared" si="0"/>
        <v/>
      </c>
      <c r="G24" s="9" t="str">
        <f t="shared" si="2"/>
        <v/>
      </c>
    </row>
    <row r="25" spans="1:8" x14ac:dyDescent="0.25">
      <c r="A25" s="26">
        <v>7</v>
      </c>
      <c r="B25" s="26" t="s">
        <v>16</v>
      </c>
      <c r="C25" s="26" t="str">
        <f t="shared" si="1"/>
        <v>2.1Eng</v>
      </c>
      <c r="D25" s="5" t="s">
        <v>65</v>
      </c>
      <c r="E25" s="31" t="s">
        <v>4</v>
      </c>
      <c r="F25" s="14" t="str">
        <f t="shared" si="0"/>
        <v/>
      </c>
      <c r="G25" s="9" t="str">
        <f t="shared" si="2"/>
        <v/>
      </c>
    </row>
    <row r="26" spans="1:8" x14ac:dyDescent="0.25">
      <c r="A26" s="27"/>
      <c r="B26" s="27" t="s">
        <v>16</v>
      </c>
      <c r="C26" s="27" t="str">
        <f t="shared" si="1"/>
        <v>2.1Phon</v>
      </c>
      <c r="D26" s="2" t="s">
        <v>66</v>
      </c>
      <c r="E26" s="32" t="s">
        <v>5</v>
      </c>
      <c r="F26" s="13" t="str">
        <f t="shared" si="0"/>
        <v/>
      </c>
      <c r="G26" s="9" t="str">
        <f t="shared" si="2"/>
        <v/>
      </c>
    </row>
    <row r="27" spans="1:8" x14ac:dyDescent="0.25">
      <c r="A27" s="26"/>
      <c r="B27" s="26" t="s">
        <v>19</v>
      </c>
      <c r="C27" s="26" t="str">
        <f t="shared" si="1"/>
        <v>2.2Viet</v>
      </c>
      <c r="D27" s="6" t="s">
        <v>365</v>
      </c>
      <c r="E27" s="30" t="s">
        <v>3</v>
      </c>
      <c r="F27" s="12" t="str">
        <f t="shared" si="0"/>
        <v/>
      </c>
      <c r="G27" s="9" t="str">
        <f t="shared" si="2"/>
        <v/>
      </c>
    </row>
    <row r="28" spans="1:8" x14ac:dyDescent="0.25">
      <c r="A28" s="26">
        <v>8</v>
      </c>
      <c r="B28" s="26" t="s">
        <v>19</v>
      </c>
      <c r="C28" s="26" t="str">
        <f t="shared" si="1"/>
        <v>2.2Eng</v>
      </c>
      <c r="D28" s="5" t="s">
        <v>67</v>
      </c>
      <c r="E28" s="31" t="s">
        <v>4</v>
      </c>
      <c r="F28" s="14" t="str">
        <f t="shared" si="0"/>
        <v/>
      </c>
      <c r="G28" s="9" t="str">
        <f t="shared" si="2"/>
        <v/>
      </c>
    </row>
    <row r="29" spans="1:8" x14ac:dyDescent="0.25">
      <c r="A29" s="27"/>
      <c r="B29" s="27" t="s">
        <v>19</v>
      </c>
      <c r="C29" s="27" t="str">
        <f t="shared" si="1"/>
        <v>2.2Phon</v>
      </c>
      <c r="D29" s="2" t="s">
        <v>68</v>
      </c>
      <c r="E29" s="32" t="s">
        <v>5</v>
      </c>
      <c r="F29" s="13" t="str">
        <f t="shared" si="0"/>
        <v/>
      </c>
      <c r="G29" s="9" t="str">
        <f t="shared" si="2"/>
        <v/>
      </c>
    </row>
    <row r="30" spans="1:8" x14ac:dyDescent="0.25">
      <c r="A30" s="26"/>
      <c r="B30" s="26" t="s">
        <v>17</v>
      </c>
      <c r="C30" s="26" t="str">
        <f t="shared" si="1"/>
        <v>2.3Viet</v>
      </c>
      <c r="D30" s="6" t="s">
        <v>366</v>
      </c>
      <c r="E30" s="30" t="s">
        <v>3</v>
      </c>
      <c r="F30" s="12" t="str">
        <f t="shared" si="0"/>
        <v/>
      </c>
      <c r="G30" s="9" t="str">
        <f t="shared" si="2"/>
        <v/>
      </c>
    </row>
    <row r="31" spans="1:8" x14ac:dyDescent="0.25">
      <c r="A31" s="26">
        <v>9</v>
      </c>
      <c r="B31" s="26" t="s">
        <v>17</v>
      </c>
      <c r="C31" s="26" t="str">
        <f t="shared" si="1"/>
        <v>2.3Eng</v>
      </c>
      <c r="D31" s="5" t="s">
        <v>69</v>
      </c>
      <c r="E31" s="31" t="s">
        <v>4</v>
      </c>
      <c r="F31" s="14" t="str">
        <f t="shared" si="0"/>
        <v/>
      </c>
      <c r="G31" s="9" t="str">
        <f t="shared" si="2"/>
        <v/>
      </c>
    </row>
    <row r="32" spans="1:8" x14ac:dyDescent="0.25">
      <c r="A32" s="27"/>
      <c r="B32" s="27" t="s">
        <v>17</v>
      </c>
      <c r="C32" s="27" t="str">
        <f t="shared" si="1"/>
        <v>2.3Phon</v>
      </c>
      <c r="D32" s="2" t="s">
        <v>70</v>
      </c>
      <c r="E32" s="32" t="s">
        <v>5</v>
      </c>
      <c r="F32" s="13" t="str">
        <f t="shared" si="0"/>
        <v/>
      </c>
      <c r="G32" s="9" t="str">
        <f t="shared" si="2"/>
        <v/>
      </c>
    </row>
    <row r="33" spans="1:8" x14ac:dyDescent="0.25">
      <c r="A33" s="26"/>
      <c r="B33" s="26" t="s">
        <v>18</v>
      </c>
      <c r="C33" s="26" t="str">
        <f t="shared" si="1"/>
        <v>2.4Viet</v>
      </c>
      <c r="D33" s="6" t="s">
        <v>306</v>
      </c>
      <c r="E33" s="30" t="s">
        <v>3</v>
      </c>
      <c r="F33" s="12" t="str">
        <f t="shared" si="0"/>
        <v/>
      </c>
      <c r="G33" s="9" t="str">
        <f t="shared" si="2"/>
        <v/>
      </c>
    </row>
    <row r="34" spans="1:8" x14ac:dyDescent="0.25">
      <c r="A34" s="26">
        <v>10</v>
      </c>
      <c r="B34" s="26" t="s">
        <v>18</v>
      </c>
      <c r="C34" s="26" t="str">
        <f t="shared" si="1"/>
        <v>2.4Eng</v>
      </c>
      <c r="D34" s="5" t="s">
        <v>71</v>
      </c>
      <c r="E34" s="31" t="s">
        <v>4</v>
      </c>
      <c r="F34" s="14" t="str">
        <f t="shared" si="0"/>
        <v/>
      </c>
      <c r="G34" s="9" t="str">
        <f t="shared" si="2"/>
        <v/>
      </c>
    </row>
    <row r="35" spans="1:8" x14ac:dyDescent="0.25">
      <c r="A35" s="27"/>
      <c r="B35" s="27" t="s">
        <v>18</v>
      </c>
      <c r="C35" s="27" t="str">
        <f t="shared" si="1"/>
        <v>2.4Phon</v>
      </c>
      <c r="D35" s="2" t="s">
        <v>72</v>
      </c>
      <c r="E35" s="32" t="s">
        <v>5</v>
      </c>
      <c r="F35" s="13" t="str">
        <f t="shared" si="0"/>
        <v/>
      </c>
      <c r="G35" s="9" t="str">
        <f t="shared" si="2"/>
        <v/>
      </c>
    </row>
    <row r="36" spans="1:8" s="21" customFormat="1" x14ac:dyDescent="0.25">
      <c r="A36" s="25"/>
      <c r="B36" s="24">
        <v>3</v>
      </c>
      <c r="C36" s="25" t="str">
        <f t="shared" si="1"/>
        <v>3Struc</v>
      </c>
      <c r="D36" s="19" t="s">
        <v>284</v>
      </c>
      <c r="E36" s="29" t="s">
        <v>11</v>
      </c>
      <c r="F36" s="20" t="str">
        <f t="shared" si="0"/>
        <v/>
      </c>
      <c r="G36" s="9" t="str">
        <f t="shared" si="2"/>
        <v/>
      </c>
      <c r="H36"/>
    </row>
    <row r="37" spans="1:8" x14ac:dyDescent="0.25">
      <c r="A37" s="26"/>
      <c r="B37" s="26" t="s">
        <v>20</v>
      </c>
      <c r="C37" s="26" t="str">
        <f t="shared" si="1"/>
        <v>3.1Viet</v>
      </c>
      <c r="D37" s="6" t="s">
        <v>367</v>
      </c>
      <c r="E37" s="30" t="s">
        <v>3</v>
      </c>
      <c r="F37" s="12" t="str">
        <f t="shared" si="0"/>
        <v/>
      </c>
      <c r="G37" s="9" t="str">
        <f t="shared" si="2"/>
        <v/>
      </c>
    </row>
    <row r="38" spans="1:8" x14ac:dyDescent="0.25">
      <c r="A38" s="26">
        <v>11</v>
      </c>
      <c r="B38" s="26" t="s">
        <v>20</v>
      </c>
      <c r="C38" s="26" t="str">
        <f t="shared" si="1"/>
        <v>3.1Eng</v>
      </c>
      <c r="D38" s="5" t="s">
        <v>73</v>
      </c>
      <c r="E38" s="31" t="s">
        <v>4</v>
      </c>
      <c r="F38" s="14" t="str">
        <f t="shared" si="0"/>
        <v/>
      </c>
      <c r="G38" s="9" t="str">
        <f t="shared" si="2"/>
        <v/>
      </c>
    </row>
    <row r="39" spans="1:8" x14ac:dyDescent="0.25">
      <c r="A39" s="27"/>
      <c r="B39" s="27" t="s">
        <v>20</v>
      </c>
      <c r="C39" s="27" t="str">
        <f t="shared" si="1"/>
        <v>3.1Phon</v>
      </c>
      <c r="D39" s="2" t="s">
        <v>74</v>
      </c>
      <c r="E39" s="32" t="s">
        <v>5</v>
      </c>
      <c r="F39" s="13" t="str">
        <f t="shared" si="0"/>
        <v/>
      </c>
      <c r="G39" s="9" t="str">
        <f t="shared" si="2"/>
        <v/>
      </c>
    </row>
    <row r="40" spans="1:8" x14ac:dyDescent="0.25">
      <c r="A40" s="26"/>
      <c r="B40" s="26" t="s">
        <v>21</v>
      </c>
      <c r="C40" s="26" t="str">
        <f t="shared" si="1"/>
        <v>3.2Viet</v>
      </c>
      <c r="D40" s="6" t="s">
        <v>368</v>
      </c>
      <c r="E40" s="30" t="s">
        <v>3</v>
      </c>
      <c r="F40" s="12" t="str">
        <f t="shared" si="0"/>
        <v/>
      </c>
      <c r="G40" s="9" t="str">
        <f t="shared" si="2"/>
        <v/>
      </c>
    </row>
    <row r="41" spans="1:8" x14ac:dyDescent="0.25">
      <c r="A41" s="26">
        <v>12</v>
      </c>
      <c r="B41" s="26" t="s">
        <v>21</v>
      </c>
      <c r="C41" s="26" t="str">
        <f t="shared" si="1"/>
        <v>3.2Eng</v>
      </c>
      <c r="D41" s="5" t="s">
        <v>75</v>
      </c>
      <c r="E41" s="31" t="s">
        <v>4</v>
      </c>
      <c r="F41" s="14" t="str">
        <f t="shared" si="0"/>
        <v/>
      </c>
      <c r="G41" s="9" t="str">
        <f t="shared" si="2"/>
        <v/>
      </c>
    </row>
    <row r="42" spans="1:8" x14ac:dyDescent="0.25">
      <c r="A42" s="27"/>
      <c r="B42" s="27" t="s">
        <v>21</v>
      </c>
      <c r="C42" s="27" t="str">
        <f t="shared" si="1"/>
        <v>3.2Phon</v>
      </c>
      <c r="D42" s="2" t="s">
        <v>76</v>
      </c>
      <c r="E42" s="32" t="s">
        <v>5</v>
      </c>
      <c r="F42" s="13" t="str">
        <f t="shared" si="0"/>
        <v/>
      </c>
      <c r="G42" s="9" t="str">
        <f t="shared" si="2"/>
        <v/>
      </c>
    </row>
    <row r="43" spans="1:8" x14ac:dyDescent="0.25">
      <c r="A43" s="26"/>
      <c r="B43" s="26" t="s">
        <v>22</v>
      </c>
      <c r="C43" s="26" t="str">
        <f t="shared" si="1"/>
        <v>3.3Viet</v>
      </c>
      <c r="D43" s="6" t="s">
        <v>369</v>
      </c>
      <c r="E43" s="30" t="s">
        <v>3</v>
      </c>
      <c r="F43" s="12" t="str">
        <f t="shared" si="0"/>
        <v/>
      </c>
      <c r="G43" s="9" t="str">
        <f t="shared" si="2"/>
        <v/>
      </c>
    </row>
    <row r="44" spans="1:8" x14ac:dyDescent="0.25">
      <c r="A44" s="26">
        <v>13</v>
      </c>
      <c r="B44" s="26" t="s">
        <v>22</v>
      </c>
      <c r="C44" s="26" t="str">
        <f t="shared" si="1"/>
        <v>3.3Eng</v>
      </c>
      <c r="D44" s="5" t="s">
        <v>77</v>
      </c>
      <c r="E44" s="31" t="s">
        <v>4</v>
      </c>
      <c r="F44" s="14" t="str">
        <f t="shared" si="0"/>
        <v/>
      </c>
      <c r="G44" s="9" t="str">
        <f t="shared" si="2"/>
        <v/>
      </c>
    </row>
    <row r="45" spans="1:8" x14ac:dyDescent="0.25">
      <c r="A45" s="27"/>
      <c r="B45" s="27" t="s">
        <v>22</v>
      </c>
      <c r="C45" s="27" t="str">
        <f t="shared" si="1"/>
        <v>3.3Phon</v>
      </c>
      <c r="D45" s="2" t="s">
        <v>78</v>
      </c>
      <c r="E45" s="32" t="s">
        <v>5</v>
      </c>
      <c r="F45" s="13" t="str">
        <f t="shared" si="0"/>
        <v/>
      </c>
      <c r="G45" s="9" t="str">
        <f t="shared" si="2"/>
        <v/>
      </c>
    </row>
    <row r="46" spans="1:8" x14ac:dyDescent="0.25">
      <c r="A46" s="25"/>
      <c r="B46" s="24">
        <v>4</v>
      </c>
      <c r="C46" s="25" t="str">
        <f t="shared" si="1"/>
        <v>4Struc</v>
      </c>
      <c r="D46" s="19" t="s">
        <v>285</v>
      </c>
      <c r="E46" s="29" t="s">
        <v>11</v>
      </c>
      <c r="F46" s="18" t="str">
        <f t="shared" si="0"/>
        <v/>
      </c>
      <c r="G46" s="9" t="str">
        <f t="shared" si="2"/>
        <v/>
      </c>
    </row>
    <row r="47" spans="1:8" x14ac:dyDescent="0.25">
      <c r="A47" s="26"/>
      <c r="B47" s="26" t="s">
        <v>23</v>
      </c>
      <c r="C47" s="26" t="str">
        <f t="shared" si="1"/>
        <v>4.1Viet</v>
      </c>
      <c r="D47" s="6" t="s">
        <v>370</v>
      </c>
      <c r="E47" s="30" t="s">
        <v>3</v>
      </c>
      <c r="F47" s="12" t="str">
        <f t="shared" si="0"/>
        <v/>
      </c>
      <c r="G47" s="9" t="str">
        <f t="shared" si="2"/>
        <v/>
      </c>
    </row>
    <row r="48" spans="1:8" x14ac:dyDescent="0.25">
      <c r="A48" s="26">
        <v>14</v>
      </c>
      <c r="B48" s="26" t="s">
        <v>23</v>
      </c>
      <c r="C48" s="26" t="str">
        <f t="shared" si="1"/>
        <v>4.1Eng</v>
      </c>
      <c r="D48" s="5" t="s">
        <v>371</v>
      </c>
      <c r="E48" s="31" t="s">
        <v>4</v>
      </c>
      <c r="F48" s="14" t="str">
        <f t="shared" si="0"/>
        <v/>
      </c>
      <c r="G48" s="9" t="str">
        <f t="shared" si="2"/>
        <v/>
      </c>
    </row>
    <row r="49" spans="1:7" x14ac:dyDescent="0.25">
      <c r="A49" s="27"/>
      <c r="B49" s="27" t="s">
        <v>23</v>
      </c>
      <c r="C49" s="27" t="str">
        <f t="shared" si="1"/>
        <v>4.1Phon</v>
      </c>
      <c r="D49" s="2" t="s">
        <v>79</v>
      </c>
      <c r="E49" s="32" t="s">
        <v>5</v>
      </c>
      <c r="F49" s="13" t="str">
        <f t="shared" si="0"/>
        <v/>
      </c>
      <c r="G49" s="9" t="str">
        <f t="shared" si="2"/>
        <v/>
      </c>
    </row>
    <row r="50" spans="1:7" x14ac:dyDescent="0.25">
      <c r="A50" s="26"/>
      <c r="B50" s="26" t="s">
        <v>24</v>
      </c>
      <c r="C50" s="26" t="str">
        <f t="shared" si="1"/>
        <v>4.2Viet</v>
      </c>
      <c r="D50" s="6" t="s">
        <v>372</v>
      </c>
      <c r="E50" s="30" t="s">
        <v>3</v>
      </c>
      <c r="F50" s="12" t="str">
        <f t="shared" si="0"/>
        <v/>
      </c>
      <c r="G50" s="9" t="str">
        <f t="shared" si="2"/>
        <v/>
      </c>
    </row>
    <row r="51" spans="1:7" x14ac:dyDescent="0.25">
      <c r="A51" s="26">
        <v>15</v>
      </c>
      <c r="B51" s="26" t="s">
        <v>24</v>
      </c>
      <c r="C51" s="26" t="str">
        <f t="shared" si="1"/>
        <v>4.2Eng</v>
      </c>
      <c r="D51" s="5" t="s">
        <v>373</v>
      </c>
      <c r="E51" s="31" t="s">
        <v>4</v>
      </c>
      <c r="F51" s="14" t="str">
        <f t="shared" si="0"/>
        <v/>
      </c>
      <c r="G51" s="9" t="str">
        <f t="shared" si="2"/>
        <v/>
      </c>
    </row>
    <row r="52" spans="1:7" x14ac:dyDescent="0.25">
      <c r="A52" s="27"/>
      <c r="B52" s="27" t="s">
        <v>24</v>
      </c>
      <c r="C52" s="27" t="str">
        <f t="shared" si="1"/>
        <v>4.2Phon</v>
      </c>
      <c r="D52" s="2" t="s">
        <v>80</v>
      </c>
      <c r="E52" s="32" t="s">
        <v>5</v>
      </c>
      <c r="F52" s="13" t="str">
        <f t="shared" si="0"/>
        <v/>
      </c>
      <c r="G52" s="9" t="str">
        <f t="shared" si="2"/>
        <v/>
      </c>
    </row>
    <row r="53" spans="1:7" x14ac:dyDescent="0.25">
      <c r="A53" s="26"/>
      <c r="B53" s="26" t="s">
        <v>25</v>
      </c>
      <c r="C53" s="26" t="str">
        <f t="shared" si="1"/>
        <v>4.3Viet</v>
      </c>
      <c r="D53" s="2" t="s">
        <v>374</v>
      </c>
      <c r="E53" s="32" t="s">
        <v>3</v>
      </c>
      <c r="F53" s="13" t="str">
        <f t="shared" si="0"/>
        <v/>
      </c>
      <c r="G53" s="9" t="str">
        <f t="shared" si="2"/>
        <v/>
      </c>
    </row>
    <row r="54" spans="1:7" x14ac:dyDescent="0.25">
      <c r="A54" s="26">
        <v>16</v>
      </c>
      <c r="B54" s="26" t="s">
        <v>25</v>
      </c>
      <c r="C54" s="26" t="str">
        <f t="shared" si="1"/>
        <v>4.3Eng</v>
      </c>
      <c r="D54" s="2" t="s">
        <v>375</v>
      </c>
      <c r="E54" s="32" t="s">
        <v>4</v>
      </c>
      <c r="F54" s="13" t="str">
        <f t="shared" si="0"/>
        <v/>
      </c>
      <c r="G54" s="9" t="str">
        <f t="shared" si="2"/>
        <v/>
      </c>
    </row>
    <row r="55" spans="1:7" x14ac:dyDescent="0.25">
      <c r="A55" s="36"/>
      <c r="B55" s="36" t="s">
        <v>25</v>
      </c>
      <c r="C55" s="36" t="str">
        <f t="shared" si="1"/>
        <v>4.3Phon</v>
      </c>
      <c r="D55" s="37" t="s">
        <v>81</v>
      </c>
      <c r="E55" s="32" t="s">
        <v>5</v>
      </c>
      <c r="F55" s="13" t="str">
        <f t="shared" si="0"/>
        <v/>
      </c>
      <c r="G55" s="9" t="str">
        <f t="shared" si="2"/>
        <v/>
      </c>
    </row>
    <row r="56" spans="1:7" x14ac:dyDescent="0.25">
      <c r="A56" s="26"/>
      <c r="B56" s="26" t="s">
        <v>26</v>
      </c>
      <c r="C56" s="26" t="str">
        <f t="shared" si="1"/>
        <v>4.4Viet</v>
      </c>
      <c r="D56" s="35" t="s">
        <v>376</v>
      </c>
      <c r="E56" s="30" t="s">
        <v>3</v>
      </c>
      <c r="F56" s="12" t="str">
        <f t="shared" si="0"/>
        <v/>
      </c>
      <c r="G56" s="9" t="str">
        <f t="shared" si="2"/>
        <v/>
      </c>
    </row>
    <row r="57" spans="1:7" x14ac:dyDescent="0.25">
      <c r="A57" s="26">
        <v>17</v>
      </c>
      <c r="B57" s="26" t="s">
        <v>26</v>
      </c>
      <c r="C57" s="26" t="str">
        <f t="shared" si="1"/>
        <v>4.4Eng</v>
      </c>
      <c r="D57" s="5" t="s">
        <v>377</v>
      </c>
      <c r="E57" s="31" t="s">
        <v>4</v>
      </c>
      <c r="F57" s="14" t="str">
        <f t="shared" si="0"/>
        <v/>
      </c>
      <c r="G57" s="9" t="str">
        <f t="shared" si="2"/>
        <v/>
      </c>
    </row>
    <row r="58" spans="1:7" x14ac:dyDescent="0.25">
      <c r="A58" s="27"/>
      <c r="B58" s="27" t="s">
        <v>26</v>
      </c>
      <c r="C58" s="27" t="str">
        <f t="shared" si="1"/>
        <v>4.4Phon</v>
      </c>
      <c r="D58" s="2" t="s">
        <v>82</v>
      </c>
      <c r="E58" s="32" t="s">
        <v>5</v>
      </c>
      <c r="F58" s="13" t="str">
        <f t="shared" si="0"/>
        <v/>
      </c>
      <c r="G58" s="9" t="str">
        <f t="shared" si="2"/>
        <v/>
      </c>
    </row>
    <row r="59" spans="1:7" x14ac:dyDescent="0.25">
      <c r="A59" s="26"/>
      <c r="B59" s="26" t="s">
        <v>27</v>
      </c>
      <c r="C59" s="26" t="str">
        <f t="shared" si="1"/>
        <v>4.5Viet</v>
      </c>
      <c r="D59" s="6" t="s">
        <v>378</v>
      </c>
      <c r="E59" s="30" t="s">
        <v>3</v>
      </c>
      <c r="F59" s="12" t="str">
        <f t="shared" si="0"/>
        <v/>
      </c>
      <c r="G59" s="9" t="str">
        <f t="shared" si="2"/>
        <v/>
      </c>
    </row>
    <row r="60" spans="1:7" x14ac:dyDescent="0.25">
      <c r="A60" s="26">
        <v>18</v>
      </c>
      <c r="B60" s="26" t="s">
        <v>27</v>
      </c>
      <c r="C60" s="26" t="str">
        <f t="shared" si="1"/>
        <v>4.5Eng</v>
      </c>
      <c r="D60" s="5" t="s">
        <v>379</v>
      </c>
      <c r="E60" s="31" t="s">
        <v>4</v>
      </c>
      <c r="F60" s="14" t="str">
        <f t="shared" si="0"/>
        <v/>
      </c>
      <c r="G60" s="9" t="str">
        <f t="shared" si="2"/>
        <v/>
      </c>
    </row>
    <row r="61" spans="1:7" x14ac:dyDescent="0.25">
      <c r="A61" s="27"/>
      <c r="B61" s="27" t="s">
        <v>27</v>
      </c>
      <c r="C61" s="27" t="str">
        <f t="shared" si="1"/>
        <v>4.5Phon</v>
      </c>
      <c r="D61" s="2" t="s">
        <v>83</v>
      </c>
      <c r="E61" s="32" t="s">
        <v>5</v>
      </c>
      <c r="F61" s="13" t="str">
        <f t="shared" si="0"/>
        <v/>
      </c>
      <c r="G61" s="9" t="str">
        <f t="shared" si="2"/>
        <v/>
      </c>
    </row>
    <row r="62" spans="1:7" x14ac:dyDescent="0.25">
      <c r="A62" s="26"/>
      <c r="B62" s="26" t="s">
        <v>465</v>
      </c>
      <c r="C62" s="26" t="str">
        <f t="shared" si="1"/>
        <v>4.6Viet</v>
      </c>
      <c r="D62" s="6" t="s">
        <v>333</v>
      </c>
      <c r="E62" s="30" t="s">
        <v>3</v>
      </c>
      <c r="F62" s="12" t="str">
        <f t="shared" si="0"/>
        <v/>
      </c>
      <c r="G62" s="9" t="str">
        <f t="shared" si="2"/>
        <v/>
      </c>
    </row>
    <row r="63" spans="1:7" x14ac:dyDescent="0.25">
      <c r="A63" s="26">
        <v>19</v>
      </c>
      <c r="B63" s="26" t="s">
        <v>465</v>
      </c>
      <c r="C63" s="26" t="str">
        <f t="shared" si="1"/>
        <v>4.6Eng</v>
      </c>
      <c r="D63" s="5" t="s">
        <v>380</v>
      </c>
      <c r="E63" s="31" t="s">
        <v>4</v>
      </c>
      <c r="F63" s="14" t="str">
        <f t="shared" si="0"/>
        <v/>
      </c>
      <c r="G63" s="9" t="str">
        <f t="shared" si="2"/>
        <v/>
      </c>
    </row>
    <row r="64" spans="1:7" x14ac:dyDescent="0.25">
      <c r="A64" s="27"/>
      <c r="B64" s="27" t="s">
        <v>465</v>
      </c>
      <c r="C64" s="27" t="str">
        <f t="shared" si="1"/>
        <v>4.6Phon</v>
      </c>
      <c r="D64" s="2" t="s">
        <v>84</v>
      </c>
      <c r="E64" s="32" t="s">
        <v>5</v>
      </c>
      <c r="F64" s="13" t="str">
        <f t="shared" si="0"/>
        <v/>
      </c>
      <c r="G64" s="9" t="str">
        <f t="shared" si="2"/>
        <v/>
      </c>
    </row>
    <row r="65" spans="1:8" s="21" customFormat="1" x14ac:dyDescent="0.25">
      <c r="A65" s="25"/>
      <c r="B65" s="24">
        <v>5</v>
      </c>
      <c r="C65" s="25" t="str">
        <f t="shared" si="1"/>
        <v>5Struc</v>
      </c>
      <c r="D65" s="19" t="s">
        <v>286</v>
      </c>
      <c r="E65" s="29" t="s">
        <v>11</v>
      </c>
      <c r="F65" s="20" t="str">
        <f t="shared" si="0"/>
        <v/>
      </c>
      <c r="G65" s="9" t="str">
        <f t="shared" si="2"/>
        <v/>
      </c>
      <c r="H65"/>
    </row>
    <row r="66" spans="1:8" x14ac:dyDescent="0.25">
      <c r="A66" s="26"/>
      <c r="B66" s="26" t="s">
        <v>28</v>
      </c>
      <c r="C66" s="26" t="str">
        <f t="shared" si="1"/>
        <v>5.1Viet</v>
      </c>
      <c r="D66" s="6" t="s">
        <v>381</v>
      </c>
      <c r="E66" s="30" t="s">
        <v>3</v>
      </c>
      <c r="F66" s="12" t="str">
        <f t="shared" si="0"/>
        <v/>
      </c>
      <c r="G66" s="9" t="str">
        <f t="shared" si="2"/>
        <v/>
      </c>
    </row>
    <row r="67" spans="1:8" x14ac:dyDescent="0.25">
      <c r="A67" s="26">
        <v>20</v>
      </c>
      <c r="B67" s="26" t="s">
        <v>28</v>
      </c>
      <c r="C67" s="26" t="str">
        <f t="shared" si="1"/>
        <v>5.1Eng</v>
      </c>
      <c r="D67" s="5" t="s">
        <v>85</v>
      </c>
      <c r="E67" s="31" t="s">
        <v>4</v>
      </c>
      <c r="F67" s="14" t="str">
        <f t="shared" si="0"/>
        <v/>
      </c>
      <c r="G67" s="9" t="str">
        <f t="shared" si="2"/>
        <v/>
      </c>
    </row>
    <row r="68" spans="1:8" x14ac:dyDescent="0.25">
      <c r="A68" s="27"/>
      <c r="B68" s="27" t="s">
        <v>28</v>
      </c>
      <c r="C68" s="27" t="str">
        <f t="shared" si="1"/>
        <v>5.1Phon</v>
      </c>
      <c r="D68" s="2" t="s">
        <v>86</v>
      </c>
      <c r="E68" s="32" t="s">
        <v>5</v>
      </c>
      <c r="F68" s="13" t="str">
        <f t="shared" ref="F68:F131" si="3">IF(G68="","","https://docs.google.com/uc?export=download&amp;id="&amp;G68)</f>
        <v/>
      </c>
      <c r="G68" s="9" t="str">
        <f t="shared" si="2"/>
        <v/>
      </c>
    </row>
    <row r="69" spans="1:8" x14ac:dyDescent="0.25">
      <c r="A69" s="26"/>
      <c r="B69" s="26" t="s">
        <v>29</v>
      </c>
      <c r="C69" s="26" t="str">
        <f t="shared" ref="C69:C132" si="4">B69&amp;E69</f>
        <v>5.2Viet</v>
      </c>
      <c r="D69" s="6" t="s">
        <v>382</v>
      </c>
      <c r="E69" s="30" t="s">
        <v>3</v>
      </c>
      <c r="F69" s="12" t="str">
        <f t="shared" si="3"/>
        <v/>
      </c>
      <c r="G69" s="9" t="str">
        <f t="shared" ref="G69:G132" si="5">IFERROR(LEFT(RIGHT(H69,LEN(H69)-32),LEN(RIGHT(H69,LEN(H69)-32))-17),"")</f>
        <v/>
      </c>
    </row>
    <row r="70" spans="1:8" x14ac:dyDescent="0.25">
      <c r="A70" s="26">
        <v>21</v>
      </c>
      <c r="B70" s="26" t="s">
        <v>29</v>
      </c>
      <c r="C70" s="26" t="str">
        <f t="shared" si="4"/>
        <v>5.2Eng</v>
      </c>
      <c r="D70" s="5" t="s">
        <v>280</v>
      </c>
      <c r="E70" s="31" t="s">
        <v>4</v>
      </c>
      <c r="F70" s="14" t="str">
        <f t="shared" si="3"/>
        <v/>
      </c>
      <c r="G70" s="9" t="str">
        <f t="shared" si="5"/>
        <v/>
      </c>
    </row>
    <row r="71" spans="1:8" x14ac:dyDescent="0.25">
      <c r="A71" s="27"/>
      <c r="B71" s="27" t="s">
        <v>29</v>
      </c>
      <c r="C71" s="27" t="str">
        <f t="shared" si="4"/>
        <v>5.2Phon</v>
      </c>
      <c r="D71" s="2" t="s">
        <v>87</v>
      </c>
      <c r="E71" s="32" t="s">
        <v>5</v>
      </c>
      <c r="F71" s="13" t="str">
        <f t="shared" si="3"/>
        <v/>
      </c>
      <c r="G71" s="9" t="str">
        <f t="shared" si="5"/>
        <v/>
      </c>
    </row>
    <row r="72" spans="1:8" x14ac:dyDescent="0.25">
      <c r="A72" s="26"/>
      <c r="B72" s="26" t="s">
        <v>30</v>
      </c>
      <c r="C72" s="26" t="str">
        <f t="shared" si="4"/>
        <v>5.3Viet</v>
      </c>
      <c r="D72" s="6" t="s">
        <v>383</v>
      </c>
      <c r="E72" s="30" t="s">
        <v>3</v>
      </c>
      <c r="F72" s="12" t="str">
        <f t="shared" si="3"/>
        <v/>
      </c>
      <c r="G72" s="9" t="str">
        <f t="shared" si="5"/>
        <v/>
      </c>
    </row>
    <row r="73" spans="1:8" x14ac:dyDescent="0.25">
      <c r="A73" s="26">
        <v>22</v>
      </c>
      <c r="B73" s="26" t="s">
        <v>30</v>
      </c>
      <c r="C73" s="26" t="str">
        <f t="shared" si="4"/>
        <v>5.3Eng</v>
      </c>
      <c r="D73" s="5" t="s">
        <v>88</v>
      </c>
      <c r="E73" s="31" t="s">
        <v>4</v>
      </c>
      <c r="F73" s="14" t="str">
        <f t="shared" si="3"/>
        <v/>
      </c>
      <c r="G73" s="9" t="str">
        <f t="shared" si="5"/>
        <v/>
      </c>
    </row>
    <row r="74" spans="1:8" x14ac:dyDescent="0.25">
      <c r="A74" s="27"/>
      <c r="B74" s="27" t="s">
        <v>30</v>
      </c>
      <c r="C74" s="27" t="str">
        <f t="shared" si="4"/>
        <v>5.3Phon</v>
      </c>
      <c r="D74" s="2" t="s">
        <v>89</v>
      </c>
      <c r="E74" s="32" t="s">
        <v>5</v>
      </c>
      <c r="F74" s="13" t="str">
        <f t="shared" si="3"/>
        <v/>
      </c>
      <c r="G74" s="9" t="str">
        <f t="shared" si="5"/>
        <v/>
      </c>
    </row>
    <row r="75" spans="1:8" s="21" customFormat="1" x14ac:dyDescent="0.25">
      <c r="A75" s="25"/>
      <c r="B75" s="24">
        <v>6</v>
      </c>
      <c r="C75" s="25" t="str">
        <f t="shared" si="4"/>
        <v>6Struc</v>
      </c>
      <c r="D75" s="19" t="s">
        <v>287</v>
      </c>
      <c r="E75" s="29" t="s">
        <v>11</v>
      </c>
      <c r="F75" s="20" t="str">
        <f t="shared" si="3"/>
        <v/>
      </c>
      <c r="G75" s="9" t="str">
        <f t="shared" si="5"/>
        <v/>
      </c>
      <c r="H75"/>
    </row>
    <row r="76" spans="1:8" x14ac:dyDescent="0.25">
      <c r="A76" s="26"/>
      <c r="B76" s="26" t="s">
        <v>31</v>
      </c>
      <c r="C76" s="26" t="str">
        <f t="shared" si="4"/>
        <v>6.1Viet</v>
      </c>
      <c r="D76" s="6" t="s">
        <v>384</v>
      </c>
      <c r="E76" s="30" t="s">
        <v>3</v>
      </c>
      <c r="F76" s="12" t="str">
        <f t="shared" si="3"/>
        <v/>
      </c>
      <c r="G76" s="9" t="str">
        <f t="shared" si="5"/>
        <v/>
      </c>
    </row>
    <row r="77" spans="1:8" x14ac:dyDescent="0.25">
      <c r="A77" s="26">
        <v>23</v>
      </c>
      <c r="B77" s="26" t="s">
        <v>31</v>
      </c>
      <c r="C77" s="26" t="str">
        <f t="shared" si="4"/>
        <v>6.1Eng</v>
      </c>
      <c r="D77" s="5" t="s">
        <v>90</v>
      </c>
      <c r="E77" s="31" t="s">
        <v>4</v>
      </c>
      <c r="F77" s="14" t="str">
        <f t="shared" si="3"/>
        <v/>
      </c>
      <c r="G77" s="9" t="str">
        <f t="shared" si="5"/>
        <v/>
      </c>
    </row>
    <row r="78" spans="1:8" x14ac:dyDescent="0.25">
      <c r="A78" s="27"/>
      <c r="B78" s="27" t="s">
        <v>31</v>
      </c>
      <c r="C78" s="27" t="str">
        <f t="shared" si="4"/>
        <v>6.1Phon</v>
      </c>
      <c r="D78" s="2" t="s">
        <v>91</v>
      </c>
      <c r="E78" s="32" t="s">
        <v>5</v>
      </c>
      <c r="F78" s="13" t="str">
        <f t="shared" si="3"/>
        <v/>
      </c>
      <c r="G78" s="9" t="str">
        <f t="shared" si="5"/>
        <v/>
      </c>
    </row>
    <row r="79" spans="1:8" x14ac:dyDescent="0.25">
      <c r="A79" s="26"/>
      <c r="B79" s="26" t="s">
        <v>32</v>
      </c>
      <c r="C79" s="26" t="str">
        <f t="shared" si="4"/>
        <v>6.2Viet</v>
      </c>
      <c r="D79" s="6" t="s">
        <v>385</v>
      </c>
      <c r="E79" s="30" t="s">
        <v>3</v>
      </c>
      <c r="F79" s="12" t="str">
        <f t="shared" si="3"/>
        <v/>
      </c>
      <c r="G79" s="9" t="str">
        <f t="shared" si="5"/>
        <v/>
      </c>
    </row>
    <row r="80" spans="1:8" x14ac:dyDescent="0.25">
      <c r="A80" s="26">
        <v>24</v>
      </c>
      <c r="B80" s="26" t="s">
        <v>32</v>
      </c>
      <c r="C80" s="26" t="str">
        <f t="shared" si="4"/>
        <v>6.2Eng</v>
      </c>
      <c r="D80" s="5" t="s">
        <v>92</v>
      </c>
      <c r="E80" s="31" t="s">
        <v>4</v>
      </c>
      <c r="F80" s="14" t="str">
        <f t="shared" si="3"/>
        <v/>
      </c>
      <c r="G80" s="9" t="str">
        <f t="shared" si="5"/>
        <v/>
      </c>
    </row>
    <row r="81" spans="1:7" x14ac:dyDescent="0.25">
      <c r="A81" s="27"/>
      <c r="B81" s="27" t="s">
        <v>32</v>
      </c>
      <c r="C81" s="27" t="str">
        <f t="shared" si="4"/>
        <v>6.2Phon</v>
      </c>
      <c r="D81" s="2" t="s">
        <v>93</v>
      </c>
      <c r="E81" s="32" t="s">
        <v>5</v>
      </c>
      <c r="F81" s="13" t="str">
        <f t="shared" si="3"/>
        <v/>
      </c>
      <c r="G81" s="9" t="str">
        <f t="shared" si="5"/>
        <v/>
      </c>
    </row>
    <row r="82" spans="1:7" x14ac:dyDescent="0.25">
      <c r="A82" s="26"/>
      <c r="B82" s="26" t="s">
        <v>33</v>
      </c>
      <c r="C82" s="26" t="str">
        <f t="shared" si="4"/>
        <v>6.3Viet</v>
      </c>
      <c r="D82" s="6" t="s">
        <v>386</v>
      </c>
      <c r="E82" s="30" t="s">
        <v>3</v>
      </c>
      <c r="F82" s="12" t="str">
        <f t="shared" si="3"/>
        <v/>
      </c>
      <c r="G82" s="9" t="str">
        <f t="shared" si="5"/>
        <v/>
      </c>
    </row>
    <row r="83" spans="1:7" x14ac:dyDescent="0.25">
      <c r="A83" s="26">
        <v>25</v>
      </c>
      <c r="B83" s="26" t="s">
        <v>33</v>
      </c>
      <c r="C83" s="26" t="str">
        <f t="shared" si="4"/>
        <v>6.3Eng</v>
      </c>
      <c r="D83" s="5" t="s">
        <v>94</v>
      </c>
      <c r="E83" s="31" t="s">
        <v>4</v>
      </c>
      <c r="F83" s="14" t="str">
        <f t="shared" si="3"/>
        <v/>
      </c>
      <c r="G83" s="9" t="str">
        <f t="shared" si="5"/>
        <v/>
      </c>
    </row>
    <row r="84" spans="1:7" x14ac:dyDescent="0.25">
      <c r="A84" s="27"/>
      <c r="B84" s="27" t="s">
        <v>33</v>
      </c>
      <c r="C84" s="27" t="str">
        <f t="shared" si="4"/>
        <v>6.3Phon</v>
      </c>
      <c r="D84" s="2" t="s">
        <v>95</v>
      </c>
      <c r="E84" s="32" t="s">
        <v>5</v>
      </c>
      <c r="F84" s="13" t="str">
        <f t="shared" si="3"/>
        <v/>
      </c>
      <c r="G84" s="9" t="str">
        <f t="shared" si="5"/>
        <v/>
      </c>
    </row>
    <row r="85" spans="1:7" x14ac:dyDescent="0.25">
      <c r="A85" s="26"/>
      <c r="B85" s="26" t="s">
        <v>34</v>
      </c>
      <c r="C85" s="26" t="str">
        <f t="shared" si="4"/>
        <v>6.4Viet</v>
      </c>
      <c r="D85" s="6" t="s">
        <v>307</v>
      </c>
      <c r="E85" s="30" t="s">
        <v>3</v>
      </c>
      <c r="F85" s="12" t="str">
        <f t="shared" si="3"/>
        <v/>
      </c>
      <c r="G85" s="9" t="str">
        <f t="shared" si="5"/>
        <v/>
      </c>
    </row>
    <row r="86" spans="1:7" x14ac:dyDescent="0.25">
      <c r="A86" s="26">
        <v>26</v>
      </c>
      <c r="B86" s="26" t="s">
        <v>34</v>
      </c>
      <c r="C86" s="26" t="str">
        <f t="shared" si="4"/>
        <v>6.4Eng</v>
      </c>
      <c r="D86" s="5" t="s">
        <v>387</v>
      </c>
      <c r="E86" s="31" t="s">
        <v>4</v>
      </c>
      <c r="F86" s="14" t="str">
        <f t="shared" si="3"/>
        <v/>
      </c>
      <c r="G86" s="9" t="str">
        <f t="shared" si="5"/>
        <v/>
      </c>
    </row>
    <row r="87" spans="1:7" x14ac:dyDescent="0.25">
      <c r="A87" s="27"/>
      <c r="B87" s="27" t="s">
        <v>34</v>
      </c>
      <c r="C87" s="27" t="str">
        <f t="shared" si="4"/>
        <v>6.4Phon</v>
      </c>
      <c r="D87" s="2" t="s">
        <v>96</v>
      </c>
      <c r="E87" s="32" t="s">
        <v>5</v>
      </c>
      <c r="F87" s="13" t="str">
        <f t="shared" si="3"/>
        <v/>
      </c>
      <c r="G87" s="9" t="str">
        <f t="shared" si="5"/>
        <v/>
      </c>
    </row>
    <row r="88" spans="1:7" x14ac:dyDescent="0.25">
      <c r="A88" s="26"/>
      <c r="B88" s="26" t="s">
        <v>466</v>
      </c>
      <c r="C88" s="26" t="str">
        <f t="shared" si="4"/>
        <v>6.5Viet</v>
      </c>
      <c r="D88" s="6" t="s">
        <v>322</v>
      </c>
      <c r="E88" s="30" t="s">
        <v>3</v>
      </c>
      <c r="F88" s="12" t="str">
        <f t="shared" si="3"/>
        <v/>
      </c>
      <c r="G88" s="9" t="str">
        <f t="shared" si="5"/>
        <v/>
      </c>
    </row>
    <row r="89" spans="1:7" x14ac:dyDescent="0.25">
      <c r="A89" s="26">
        <v>27</v>
      </c>
      <c r="B89" s="26" t="s">
        <v>466</v>
      </c>
      <c r="C89" s="26" t="str">
        <f t="shared" si="4"/>
        <v>6.5Eng</v>
      </c>
      <c r="D89" s="5" t="s">
        <v>388</v>
      </c>
      <c r="E89" s="31" t="s">
        <v>4</v>
      </c>
      <c r="F89" s="14" t="str">
        <f t="shared" si="3"/>
        <v/>
      </c>
      <c r="G89" s="9" t="str">
        <f t="shared" si="5"/>
        <v/>
      </c>
    </row>
    <row r="90" spans="1:7" x14ac:dyDescent="0.25">
      <c r="A90" s="27"/>
      <c r="B90" s="27" t="s">
        <v>466</v>
      </c>
      <c r="C90" s="27" t="str">
        <f t="shared" si="4"/>
        <v>6.5Phon</v>
      </c>
      <c r="D90" s="2" t="s">
        <v>97</v>
      </c>
      <c r="E90" s="32" t="s">
        <v>5</v>
      </c>
      <c r="F90" s="13" t="str">
        <f t="shared" si="3"/>
        <v/>
      </c>
      <c r="G90" s="9" t="str">
        <f t="shared" si="5"/>
        <v/>
      </c>
    </row>
    <row r="91" spans="1:7" x14ac:dyDescent="0.25">
      <c r="A91" s="26"/>
      <c r="B91" s="26" t="s">
        <v>467</v>
      </c>
      <c r="C91" s="26" t="str">
        <f t="shared" si="4"/>
        <v>6.6Viet</v>
      </c>
      <c r="D91" s="6" t="s">
        <v>334</v>
      </c>
      <c r="E91" s="30" t="s">
        <v>3</v>
      </c>
      <c r="F91" s="12" t="str">
        <f t="shared" si="3"/>
        <v/>
      </c>
      <c r="G91" s="9" t="str">
        <f t="shared" si="5"/>
        <v/>
      </c>
    </row>
    <row r="92" spans="1:7" x14ac:dyDescent="0.25">
      <c r="A92" s="26">
        <v>28</v>
      </c>
      <c r="B92" s="26" t="s">
        <v>467</v>
      </c>
      <c r="C92" s="26" t="str">
        <f t="shared" si="4"/>
        <v>6.6Eng</v>
      </c>
      <c r="D92" s="5" t="s">
        <v>389</v>
      </c>
      <c r="E92" s="31" t="s">
        <v>4</v>
      </c>
      <c r="F92" s="14" t="str">
        <f t="shared" si="3"/>
        <v/>
      </c>
      <c r="G92" s="9" t="str">
        <f t="shared" si="5"/>
        <v/>
      </c>
    </row>
    <row r="93" spans="1:7" x14ac:dyDescent="0.25">
      <c r="A93" s="27"/>
      <c r="B93" s="27" t="s">
        <v>467</v>
      </c>
      <c r="C93" s="27" t="str">
        <f t="shared" si="4"/>
        <v>6.6Phon</v>
      </c>
      <c r="D93" s="2" t="s">
        <v>98</v>
      </c>
      <c r="E93" s="32" t="s">
        <v>5</v>
      </c>
      <c r="F93" s="13" t="str">
        <f t="shared" si="3"/>
        <v/>
      </c>
      <c r="G93" s="9" t="str">
        <f t="shared" si="5"/>
        <v/>
      </c>
    </row>
    <row r="94" spans="1:7" x14ac:dyDescent="0.25">
      <c r="A94" s="26"/>
      <c r="B94" s="26" t="s">
        <v>468</v>
      </c>
      <c r="C94" s="26" t="str">
        <f t="shared" si="4"/>
        <v>6.7Viet</v>
      </c>
      <c r="D94" s="6" t="s">
        <v>341</v>
      </c>
      <c r="E94" s="30" t="s">
        <v>3</v>
      </c>
      <c r="F94" s="12" t="str">
        <f t="shared" si="3"/>
        <v/>
      </c>
      <c r="G94" s="9" t="str">
        <f t="shared" si="5"/>
        <v/>
      </c>
    </row>
    <row r="95" spans="1:7" x14ac:dyDescent="0.25">
      <c r="A95" s="26">
        <v>29</v>
      </c>
      <c r="B95" s="26" t="s">
        <v>468</v>
      </c>
      <c r="C95" s="26" t="str">
        <f t="shared" si="4"/>
        <v>6.7Eng</v>
      </c>
      <c r="D95" s="5" t="s">
        <v>390</v>
      </c>
      <c r="E95" s="31" t="s">
        <v>4</v>
      </c>
      <c r="F95" s="14" t="str">
        <f t="shared" si="3"/>
        <v/>
      </c>
      <c r="G95" s="9" t="str">
        <f t="shared" si="5"/>
        <v/>
      </c>
    </row>
    <row r="96" spans="1:7" x14ac:dyDescent="0.25">
      <c r="A96" s="27"/>
      <c r="B96" s="27" t="s">
        <v>468</v>
      </c>
      <c r="C96" s="27" t="str">
        <f t="shared" si="4"/>
        <v>6.7Phon</v>
      </c>
      <c r="D96" s="2" t="s">
        <v>99</v>
      </c>
      <c r="E96" s="32" t="s">
        <v>5</v>
      </c>
      <c r="F96" s="13" t="str">
        <f t="shared" si="3"/>
        <v/>
      </c>
      <c r="G96" s="9" t="str">
        <f t="shared" si="5"/>
        <v/>
      </c>
    </row>
    <row r="97" spans="1:8" x14ac:dyDescent="0.25">
      <c r="A97" s="26"/>
      <c r="B97" s="26" t="s">
        <v>469</v>
      </c>
      <c r="C97" s="26" t="str">
        <f t="shared" si="4"/>
        <v>6.8Viet</v>
      </c>
      <c r="D97" s="6" t="s">
        <v>346</v>
      </c>
      <c r="E97" s="30" t="s">
        <v>3</v>
      </c>
      <c r="F97" s="12" t="str">
        <f t="shared" si="3"/>
        <v/>
      </c>
      <c r="G97" s="9" t="str">
        <f t="shared" si="5"/>
        <v/>
      </c>
    </row>
    <row r="98" spans="1:8" x14ac:dyDescent="0.25">
      <c r="A98" s="26">
        <v>30</v>
      </c>
      <c r="B98" s="26" t="s">
        <v>469</v>
      </c>
      <c r="C98" s="26" t="str">
        <f t="shared" si="4"/>
        <v>6.8Eng</v>
      </c>
      <c r="D98" s="5" t="s">
        <v>391</v>
      </c>
      <c r="E98" s="31" t="s">
        <v>4</v>
      </c>
      <c r="F98" s="14" t="str">
        <f t="shared" si="3"/>
        <v/>
      </c>
      <c r="G98" s="9" t="str">
        <f t="shared" si="5"/>
        <v/>
      </c>
    </row>
    <row r="99" spans="1:8" x14ac:dyDescent="0.25">
      <c r="A99" s="27"/>
      <c r="B99" s="27" t="s">
        <v>469</v>
      </c>
      <c r="C99" s="27" t="str">
        <f t="shared" si="4"/>
        <v>6.8Phon</v>
      </c>
      <c r="D99" s="2" t="s">
        <v>100</v>
      </c>
      <c r="E99" s="32" t="s">
        <v>5</v>
      </c>
      <c r="F99" s="13" t="str">
        <f t="shared" si="3"/>
        <v/>
      </c>
      <c r="G99" s="9" t="str">
        <f t="shared" si="5"/>
        <v/>
      </c>
    </row>
    <row r="100" spans="1:8" s="21" customFormat="1" x14ac:dyDescent="0.25">
      <c r="A100" s="25"/>
      <c r="B100" s="24">
        <v>7</v>
      </c>
      <c r="C100" s="25" t="str">
        <f t="shared" si="4"/>
        <v>7Struc</v>
      </c>
      <c r="D100" s="19" t="s">
        <v>281</v>
      </c>
      <c r="E100" s="29" t="s">
        <v>11</v>
      </c>
      <c r="F100" s="20" t="str">
        <f t="shared" si="3"/>
        <v/>
      </c>
      <c r="G100" s="9" t="str">
        <f t="shared" si="5"/>
        <v/>
      </c>
      <c r="H100"/>
    </row>
    <row r="101" spans="1:8" x14ac:dyDescent="0.25">
      <c r="A101" s="26"/>
      <c r="B101" s="26" t="s">
        <v>35</v>
      </c>
      <c r="C101" s="26" t="str">
        <f t="shared" si="4"/>
        <v>7.1Viet</v>
      </c>
      <c r="D101" s="6" t="s">
        <v>392</v>
      </c>
      <c r="E101" s="30" t="s">
        <v>3</v>
      </c>
      <c r="F101" s="12" t="str">
        <f t="shared" si="3"/>
        <v/>
      </c>
      <c r="G101" s="9" t="str">
        <f t="shared" si="5"/>
        <v/>
      </c>
    </row>
    <row r="102" spans="1:8" x14ac:dyDescent="0.25">
      <c r="A102" s="26">
        <v>31</v>
      </c>
      <c r="B102" s="26" t="s">
        <v>35</v>
      </c>
      <c r="C102" s="26" t="str">
        <f t="shared" si="4"/>
        <v>7.1Eng</v>
      </c>
      <c r="D102" s="5" t="s">
        <v>101</v>
      </c>
      <c r="E102" s="31" t="s">
        <v>4</v>
      </c>
      <c r="F102" s="14" t="str">
        <f t="shared" si="3"/>
        <v/>
      </c>
      <c r="G102" s="9" t="str">
        <f t="shared" si="5"/>
        <v/>
      </c>
    </row>
    <row r="103" spans="1:8" x14ac:dyDescent="0.25">
      <c r="A103" s="27"/>
      <c r="B103" s="27" t="s">
        <v>35</v>
      </c>
      <c r="C103" s="27" t="str">
        <f t="shared" si="4"/>
        <v>7.1Phon</v>
      </c>
      <c r="D103" s="2" t="s">
        <v>102</v>
      </c>
      <c r="E103" s="32" t="s">
        <v>5</v>
      </c>
      <c r="F103" s="13" t="str">
        <f t="shared" si="3"/>
        <v/>
      </c>
      <c r="G103" s="9" t="str">
        <f t="shared" si="5"/>
        <v/>
      </c>
    </row>
    <row r="104" spans="1:8" x14ac:dyDescent="0.25">
      <c r="A104" s="26"/>
      <c r="B104" s="26" t="s">
        <v>36</v>
      </c>
      <c r="C104" s="26" t="str">
        <f t="shared" si="4"/>
        <v>7.2Viet</v>
      </c>
      <c r="D104" s="6" t="s">
        <v>393</v>
      </c>
      <c r="E104" s="30" t="s">
        <v>3</v>
      </c>
      <c r="F104" s="12" t="str">
        <f t="shared" si="3"/>
        <v/>
      </c>
      <c r="G104" s="9" t="str">
        <f t="shared" si="5"/>
        <v/>
      </c>
    </row>
    <row r="105" spans="1:8" x14ac:dyDescent="0.25">
      <c r="A105" s="26">
        <v>32</v>
      </c>
      <c r="B105" s="26" t="s">
        <v>36</v>
      </c>
      <c r="C105" s="26" t="str">
        <f t="shared" si="4"/>
        <v>7.2Eng</v>
      </c>
      <c r="D105" s="5" t="s">
        <v>103</v>
      </c>
      <c r="E105" s="31" t="s">
        <v>4</v>
      </c>
      <c r="F105" s="14" t="str">
        <f t="shared" si="3"/>
        <v/>
      </c>
      <c r="G105" s="9" t="str">
        <f t="shared" si="5"/>
        <v/>
      </c>
    </row>
    <row r="106" spans="1:8" x14ac:dyDescent="0.25">
      <c r="A106" s="27"/>
      <c r="B106" s="27" t="s">
        <v>36</v>
      </c>
      <c r="C106" s="27" t="str">
        <f t="shared" si="4"/>
        <v>7.2Phon</v>
      </c>
      <c r="D106" s="2" t="s">
        <v>104</v>
      </c>
      <c r="E106" s="32" t="s">
        <v>5</v>
      </c>
      <c r="F106" s="13" t="str">
        <f t="shared" si="3"/>
        <v/>
      </c>
      <c r="G106" s="9" t="str">
        <f t="shared" si="5"/>
        <v/>
      </c>
    </row>
    <row r="107" spans="1:8" x14ac:dyDescent="0.25">
      <c r="A107" s="26"/>
      <c r="B107" s="26" t="s">
        <v>37</v>
      </c>
      <c r="C107" s="26" t="str">
        <f t="shared" si="4"/>
        <v>7.3Viet</v>
      </c>
      <c r="D107" s="6" t="s">
        <v>394</v>
      </c>
      <c r="E107" s="30" t="s">
        <v>3</v>
      </c>
      <c r="F107" s="12" t="str">
        <f t="shared" si="3"/>
        <v/>
      </c>
      <c r="G107" s="9" t="str">
        <f t="shared" si="5"/>
        <v/>
      </c>
    </row>
    <row r="108" spans="1:8" x14ac:dyDescent="0.25">
      <c r="A108" s="26">
        <v>33</v>
      </c>
      <c r="B108" s="26" t="s">
        <v>37</v>
      </c>
      <c r="C108" s="26" t="str">
        <f t="shared" si="4"/>
        <v>7.3Eng</v>
      </c>
      <c r="D108" s="5" t="s">
        <v>105</v>
      </c>
      <c r="E108" s="31" t="s">
        <v>4</v>
      </c>
      <c r="F108" s="14" t="str">
        <f t="shared" si="3"/>
        <v/>
      </c>
      <c r="G108" s="9" t="str">
        <f t="shared" si="5"/>
        <v/>
      </c>
    </row>
    <row r="109" spans="1:8" x14ac:dyDescent="0.25">
      <c r="A109" s="27"/>
      <c r="B109" s="27" t="s">
        <v>37</v>
      </c>
      <c r="C109" s="27" t="str">
        <f t="shared" si="4"/>
        <v>7.3Phon</v>
      </c>
      <c r="D109" s="2" t="s">
        <v>106</v>
      </c>
      <c r="E109" s="32" t="s">
        <v>5</v>
      </c>
      <c r="F109" s="13" t="str">
        <f t="shared" si="3"/>
        <v/>
      </c>
      <c r="G109" s="9" t="str">
        <f t="shared" si="5"/>
        <v/>
      </c>
    </row>
    <row r="110" spans="1:8" x14ac:dyDescent="0.25">
      <c r="A110" s="26"/>
      <c r="B110" s="26" t="s">
        <v>38</v>
      </c>
      <c r="C110" s="26" t="str">
        <f t="shared" si="4"/>
        <v>7.4Viet</v>
      </c>
      <c r="D110" s="6" t="s">
        <v>308</v>
      </c>
      <c r="E110" s="30" t="s">
        <v>3</v>
      </c>
      <c r="F110" s="12" t="str">
        <f t="shared" si="3"/>
        <v/>
      </c>
      <c r="G110" s="9" t="str">
        <f t="shared" si="5"/>
        <v/>
      </c>
    </row>
    <row r="111" spans="1:8" x14ac:dyDescent="0.25">
      <c r="A111" s="26">
        <v>34</v>
      </c>
      <c r="B111" s="26" t="s">
        <v>38</v>
      </c>
      <c r="C111" s="26" t="str">
        <f t="shared" si="4"/>
        <v>7.4Eng</v>
      </c>
      <c r="D111" s="5" t="s">
        <v>107</v>
      </c>
      <c r="E111" s="31" t="s">
        <v>4</v>
      </c>
      <c r="F111" s="14" t="str">
        <f t="shared" si="3"/>
        <v/>
      </c>
      <c r="G111" s="9" t="str">
        <f t="shared" si="5"/>
        <v/>
      </c>
    </row>
    <row r="112" spans="1:8" x14ac:dyDescent="0.25">
      <c r="A112" s="27"/>
      <c r="B112" s="27" t="s">
        <v>38</v>
      </c>
      <c r="C112" s="27" t="str">
        <f t="shared" si="4"/>
        <v>7.4Phon</v>
      </c>
      <c r="D112" s="2" t="s">
        <v>108</v>
      </c>
      <c r="E112" s="32" t="s">
        <v>5</v>
      </c>
      <c r="F112" s="13" t="str">
        <f t="shared" si="3"/>
        <v/>
      </c>
      <c r="G112" s="9" t="str">
        <f t="shared" si="5"/>
        <v/>
      </c>
    </row>
    <row r="113" spans="1:7" x14ac:dyDescent="0.25">
      <c r="A113" s="26"/>
      <c r="B113" s="26" t="s">
        <v>39</v>
      </c>
      <c r="C113" s="26" t="str">
        <f t="shared" si="4"/>
        <v>7.5Viet</v>
      </c>
      <c r="D113" s="6" t="s">
        <v>323</v>
      </c>
      <c r="E113" s="30" t="s">
        <v>3</v>
      </c>
      <c r="F113" s="12" t="str">
        <f t="shared" si="3"/>
        <v/>
      </c>
      <c r="G113" s="9" t="str">
        <f t="shared" si="5"/>
        <v/>
      </c>
    </row>
    <row r="114" spans="1:7" x14ac:dyDescent="0.25">
      <c r="A114" s="26">
        <v>35</v>
      </c>
      <c r="B114" s="26" t="s">
        <v>39</v>
      </c>
      <c r="C114" s="26" t="str">
        <f t="shared" si="4"/>
        <v>7.5Eng</v>
      </c>
      <c r="D114" s="5" t="s">
        <v>109</v>
      </c>
      <c r="E114" s="31" t="s">
        <v>4</v>
      </c>
      <c r="F114" s="14" t="str">
        <f t="shared" si="3"/>
        <v/>
      </c>
      <c r="G114" s="9" t="str">
        <f t="shared" si="5"/>
        <v/>
      </c>
    </row>
    <row r="115" spans="1:7" x14ac:dyDescent="0.25">
      <c r="A115" s="27"/>
      <c r="B115" s="27" t="s">
        <v>39</v>
      </c>
      <c r="C115" s="27" t="str">
        <f t="shared" si="4"/>
        <v>7.5Phon</v>
      </c>
      <c r="D115" s="2" t="s">
        <v>110</v>
      </c>
      <c r="E115" s="32" t="s">
        <v>5</v>
      </c>
      <c r="F115" s="13" t="str">
        <f t="shared" si="3"/>
        <v/>
      </c>
      <c r="G115" s="9" t="str">
        <f t="shared" si="5"/>
        <v/>
      </c>
    </row>
    <row r="116" spans="1:7" x14ac:dyDescent="0.25">
      <c r="A116" s="26"/>
      <c r="B116" s="26" t="s">
        <v>40</v>
      </c>
      <c r="C116" s="26" t="str">
        <f t="shared" si="4"/>
        <v>7.6Viet</v>
      </c>
      <c r="D116" s="6" t="s">
        <v>335</v>
      </c>
      <c r="E116" s="30" t="s">
        <v>3</v>
      </c>
      <c r="F116" s="12" t="str">
        <f t="shared" si="3"/>
        <v/>
      </c>
      <c r="G116" s="9" t="str">
        <f t="shared" si="5"/>
        <v/>
      </c>
    </row>
    <row r="117" spans="1:7" x14ac:dyDescent="0.25">
      <c r="A117" s="26">
        <v>36</v>
      </c>
      <c r="B117" s="26" t="s">
        <v>40</v>
      </c>
      <c r="C117" s="26" t="str">
        <f t="shared" si="4"/>
        <v>7.6Eng</v>
      </c>
      <c r="D117" s="5" t="s">
        <v>111</v>
      </c>
      <c r="E117" s="31" t="s">
        <v>4</v>
      </c>
      <c r="F117" s="14" t="str">
        <f t="shared" si="3"/>
        <v/>
      </c>
      <c r="G117" s="9" t="str">
        <f t="shared" si="5"/>
        <v/>
      </c>
    </row>
    <row r="118" spans="1:7" x14ac:dyDescent="0.25">
      <c r="A118" s="27"/>
      <c r="B118" s="27" t="s">
        <v>40</v>
      </c>
      <c r="C118" s="27" t="str">
        <f t="shared" si="4"/>
        <v>7.6Phon</v>
      </c>
      <c r="D118" s="2" t="s">
        <v>112</v>
      </c>
      <c r="E118" s="32" t="s">
        <v>5</v>
      </c>
      <c r="F118" s="13" t="str">
        <f t="shared" si="3"/>
        <v/>
      </c>
      <c r="G118" s="9" t="str">
        <f t="shared" si="5"/>
        <v/>
      </c>
    </row>
    <row r="119" spans="1:7" x14ac:dyDescent="0.25">
      <c r="A119" s="26"/>
      <c r="B119" s="26" t="s">
        <v>470</v>
      </c>
      <c r="C119" s="26" t="str">
        <f t="shared" si="4"/>
        <v>7.7Viet</v>
      </c>
      <c r="D119" s="6" t="s">
        <v>342</v>
      </c>
      <c r="E119" s="30" t="s">
        <v>3</v>
      </c>
      <c r="F119" s="12" t="str">
        <f t="shared" si="3"/>
        <v/>
      </c>
      <c r="G119" s="9" t="str">
        <f t="shared" si="5"/>
        <v/>
      </c>
    </row>
    <row r="120" spans="1:7" x14ac:dyDescent="0.25">
      <c r="A120" s="26">
        <v>37</v>
      </c>
      <c r="B120" s="26" t="s">
        <v>470</v>
      </c>
      <c r="C120" s="26" t="str">
        <f t="shared" si="4"/>
        <v>7.7Eng</v>
      </c>
      <c r="D120" s="5" t="s">
        <v>113</v>
      </c>
      <c r="E120" s="31" t="s">
        <v>4</v>
      </c>
      <c r="F120" s="14" t="str">
        <f t="shared" si="3"/>
        <v/>
      </c>
      <c r="G120" s="9" t="str">
        <f t="shared" si="5"/>
        <v/>
      </c>
    </row>
    <row r="121" spans="1:7" x14ac:dyDescent="0.25">
      <c r="A121" s="27"/>
      <c r="B121" s="27" t="s">
        <v>470</v>
      </c>
      <c r="C121" s="27" t="str">
        <f t="shared" si="4"/>
        <v>7.7Phon</v>
      </c>
      <c r="D121" s="2" t="s">
        <v>114</v>
      </c>
      <c r="E121" s="32" t="s">
        <v>5</v>
      </c>
      <c r="F121" s="13" t="str">
        <f t="shared" si="3"/>
        <v/>
      </c>
      <c r="G121" s="9" t="str">
        <f t="shared" si="5"/>
        <v/>
      </c>
    </row>
    <row r="122" spans="1:7" x14ac:dyDescent="0.25">
      <c r="A122" s="26"/>
      <c r="B122" s="26" t="s">
        <v>471</v>
      </c>
      <c r="C122" s="26" t="str">
        <f t="shared" si="4"/>
        <v>7.8Viet</v>
      </c>
      <c r="D122" s="6" t="s">
        <v>347</v>
      </c>
      <c r="E122" s="30" t="s">
        <v>3</v>
      </c>
      <c r="F122" s="12" t="str">
        <f t="shared" si="3"/>
        <v/>
      </c>
      <c r="G122" s="9" t="str">
        <f t="shared" si="5"/>
        <v/>
      </c>
    </row>
    <row r="123" spans="1:7" x14ac:dyDescent="0.25">
      <c r="A123" s="26">
        <v>38</v>
      </c>
      <c r="B123" s="26" t="s">
        <v>471</v>
      </c>
      <c r="C123" s="26" t="str">
        <f t="shared" si="4"/>
        <v>7.8Eng</v>
      </c>
      <c r="D123" s="5" t="s">
        <v>115</v>
      </c>
      <c r="E123" s="31" t="s">
        <v>4</v>
      </c>
      <c r="F123" s="14" t="str">
        <f t="shared" si="3"/>
        <v/>
      </c>
      <c r="G123" s="9" t="str">
        <f t="shared" si="5"/>
        <v/>
      </c>
    </row>
    <row r="124" spans="1:7" x14ac:dyDescent="0.25">
      <c r="A124" s="27"/>
      <c r="B124" s="27" t="s">
        <v>471</v>
      </c>
      <c r="C124" s="27" t="str">
        <f t="shared" si="4"/>
        <v>7.8Phon</v>
      </c>
      <c r="D124" s="2" t="s">
        <v>116</v>
      </c>
      <c r="E124" s="32" t="s">
        <v>5</v>
      </c>
      <c r="F124" s="13" t="str">
        <f t="shared" si="3"/>
        <v/>
      </c>
      <c r="G124" s="9" t="str">
        <f t="shared" si="5"/>
        <v/>
      </c>
    </row>
    <row r="125" spans="1:7" x14ac:dyDescent="0.25">
      <c r="A125" s="26"/>
      <c r="B125" s="26" t="s">
        <v>472</v>
      </c>
      <c r="C125" s="26" t="str">
        <f t="shared" si="4"/>
        <v>7.9Viet</v>
      </c>
      <c r="D125" s="6" t="s">
        <v>350</v>
      </c>
      <c r="E125" s="30" t="s">
        <v>3</v>
      </c>
      <c r="F125" s="12" t="str">
        <f t="shared" si="3"/>
        <v/>
      </c>
      <c r="G125" s="9" t="str">
        <f t="shared" si="5"/>
        <v/>
      </c>
    </row>
    <row r="126" spans="1:7" x14ac:dyDescent="0.25">
      <c r="A126" s="26">
        <v>39</v>
      </c>
      <c r="B126" s="26" t="s">
        <v>472</v>
      </c>
      <c r="C126" s="26" t="str">
        <f t="shared" si="4"/>
        <v>7.9Eng</v>
      </c>
      <c r="D126" s="5" t="s">
        <v>117</v>
      </c>
      <c r="E126" s="31" t="s">
        <v>4</v>
      </c>
      <c r="F126" s="14" t="str">
        <f t="shared" si="3"/>
        <v/>
      </c>
      <c r="G126" s="9" t="str">
        <f t="shared" si="5"/>
        <v/>
      </c>
    </row>
    <row r="127" spans="1:7" x14ac:dyDescent="0.25">
      <c r="A127" s="27"/>
      <c r="B127" s="27" t="s">
        <v>472</v>
      </c>
      <c r="C127" s="27" t="str">
        <f t="shared" si="4"/>
        <v>7.9Phon</v>
      </c>
      <c r="D127" s="2" t="s">
        <v>118</v>
      </c>
      <c r="E127" s="32" t="s">
        <v>5</v>
      </c>
      <c r="F127" s="13" t="str">
        <f t="shared" si="3"/>
        <v/>
      </c>
      <c r="G127" s="9" t="str">
        <f t="shared" si="5"/>
        <v/>
      </c>
    </row>
    <row r="128" spans="1:7" x14ac:dyDescent="0.25">
      <c r="A128" s="26"/>
      <c r="B128" s="26" t="s">
        <v>473</v>
      </c>
      <c r="C128" s="26" t="str">
        <f t="shared" si="4"/>
        <v>7.10Viet</v>
      </c>
      <c r="D128" s="6" t="s">
        <v>353</v>
      </c>
      <c r="E128" s="30" t="s">
        <v>3</v>
      </c>
      <c r="F128" s="12" t="str">
        <f t="shared" si="3"/>
        <v/>
      </c>
      <c r="G128" s="9" t="str">
        <f t="shared" si="5"/>
        <v/>
      </c>
    </row>
    <row r="129" spans="1:8" x14ac:dyDescent="0.25">
      <c r="A129" s="26">
        <v>40</v>
      </c>
      <c r="B129" s="26" t="s">
        <v>473</v>
      </c>
      <c r="C129" s="26" t="str">
        <f t="shared" si="4"/>
        <v>7.10Eng</v>
      </c>
      <c r="D129" s="5" t="s">
        <v>119</v>
      </c>
      <c r="E129" s="31" t="s">
        <v>4</v>
      </c>
      <c r="F129" s="14" t="str">
        <f t="shared" si="3"/>
        <v/>
      </c>
      <c r="G129" s="9" t="str">
        <f t="shared" si="5"/>
        <v/>
      </c>
    </row>
    <row r="130" spans="1:8" x14ac:dyDescent="0.25">
      <c r="A130" s="27"/>
      <c r="B130" s="27" t="s">
        <v>473</v>
      </c>
      <c r="C130" s="27" t="str">
        <f t="shared" si="4"/>
        <v>7.10Phon</v>
      </c>
      <c r="D130" s="2" t="s">
        <v>120</v>
      </c>
      <c r="E130" s="32" t="s">
        <v>5</v>
      </c>
      <c r="F130" s="13" t="str">
        <f t="shared" si="3"/>
        <v/>
      </c>
      <c r="G130" s="9" t="str">
        <f t="shared" si="5"/>
        <v/>
      </c>
    </row>
    <row r="131" spans="1:8" x14ac:dyDescent="0.25">
      <c r="A131" s="26"/>
      <c r="B131" s="26" t="s">
        <v>474</v>
      </c>
      <c r="C131" s="26" t="str">
        <f t="shared" si="4"/>
        <v>7.11Viet</v>
      </c>
      <c r="D131" s="6" t="s">
        <v>395</v>
      </c>
      <c r="E131" s="30" t="s">
        <v>3</v>
      </c>
      <c r="F131" s="12" t="str">
        <f t="shared" si="3"/>
        <v/>
      </c>
      <c r="G131" s="9" t="str">
        <f t="shared" si="5"/>
        <v/>
      </c>
    </row>
    <row r="132" spans="1:8" x14ac:dyDescent="0.25">
      <c r="A132" s="26">
        <v>41</v>
      </c>
      <c r="B132" s="26" t="s">
        <v>474</v>
      </c>
      <c r="C132" s="26" t="str">
        <f t="shared" si="4"/>
        <v>7.11Eng</v>
      </c>
      <c r="D132" s="5" t="s">
        <v>396</v>
      </c>
      <c r="E132" s="31" t="s">
        <v>4</v>
      </c>
      <c r="F132" s="14" t="str">
        <f t="shared" ref="F132:F195" si="6">IF(G132="","","https://docs.google.com/uc?export=download&amp;id="&amp;G132)</f>
        <v/>
      </c>
      <c r="G132" s="9" t="str">
        <f t="shared" si="5"/>
        <v/>
      </c>
    </row>
    <row r="133" spans="1:8" x14ac:dyDescent="0.25">
      <c r="A133" s="27"/>
      <c r="B133" s="27" t="s">
        <v>474</v>
      </c>
      <c r="C133" s="27" t="str">
        <f t="shared" ref="C133:C196" si="7">B133&amp;E133</f>
        <v>7.11Phon</v>
      </c>
      <c r="D133" s="2" t="s">
        <v>121</v>
      </c>
      <c r="E133" s="32" t="s">
        <v>5</v>
      </c>
      <c r="F133" s="13" t="str">
        <f t="shared" si="6"/>
        <v/>
      </c>
      <c r="G133" s="9" t="str">
        <f t="shared" ref="G133:G196" si="8">IFERROR(LEFT(RIGHT(H133,LEN(H133)-32),LEN(RIGHT(H133,LEN(H133)-32))-17),"")</f>
        <v/>
      </c>
    </row>
    <row r="134" spans="1:8" s="21" customFormat="1" x14ac:dyDescent="0.25">
      <c r="A134" s="25"/>
      <c r="B134" s="24">
        <v>8</v>
      </c>
      <c r="C134" s="25" t="str">
        <f t="shared" si="7"/>
        <v>8Struc</v>
      </c>
      <c r="D134" s="19" t="s">
        <v>288</v>
      </c>
      <c r="E134" s="29" t="s">
        <v>11</v>
      </c>
      <c r="F134" s="20" t="str">
        <f t="shared" si="6"/>
        <v/>
      </c>
      <c r="G134" s="9" t="str">
        <f t="shared" si="8"/>
        <v/>
      </c>
      <c r="H134"/>
    </row>
    <row r="135" spans="1:8" x14ac:dyDescent="0.25">
      <c r="A135" s="26"/>
      <c r="B135" s="26" t="s">
        <v>41</v>
      </c>
      <c r="C135" s="26" t="str">
        <f t="shared" si="7"/>
        <v>8.1Viet</v>
      </c>
      <c r="D135" s="6" t="s">
        <v>397</v>
      </c>
      <c r="E135" s="30" t="s">
        <v>3</v>
      </c>
      <c r="F135" s="12" t="str">
        <f t="shared" si="6"/>
        <v/>
      </c>
      <c r="G135" s="9" t="str">
        <f t="shared" si="8"/>
        <v/>
      </c>
    </row>
    <row r="136" spans="1:8" x14ac:dyDescent="0.25">
      <c r="A136" s="26">
        <v>42</v>
      </c>
      <c r="B136" s="26" t="s">
        <v>41</v>
      </c>
      <c r="C136" s="26" t="str">
        <f t="shared" si="7"/>
        <v>8.1Eng</v>
      </c>
      <c r="D136" s="5" t="s">
        <v>122</v>
      </c>
      <c r="E136" s="31" t="s">
        <v>4</v>
      </c>
      <c r="F136" s="14" t="str">
        <f t="shared" si="6"/>
        <v/>
      </c>
      <c r="G136" s="9" t="str">
        <f t="shared" si="8"/>
        <v/>
      </c>
    </row>
    <row r="137" spans="1:8" x14ac:dyDescent="0.25">
      <c r="A137" s="27"/>
      <c r="B137" s="27" t="s">
        <v>41</v>
      </c>
      <c r="C137" s="27" t="str">
        <f t="shared" si="7"/>
        <v>8.1Phon</v>
      </c>
      <c r="D137" s="2" t="s">
        <v>123</v>
      </c>
      <c r="E137" s="32" t="s">
        <v>5</v>
      </c>
      <c r="F137" s="13" t="str">
        <f t="shared" si="6"/>
        <v/>
      </c>
      <c r="G137" s="9" t="str">
        <f t="shared" si="8"/>
        <v/>
      </c>
    </row>
    <row r="138" spans="1:8" x14ac:dyDescent="0.25">
      <c r="A138" s="26"/>
      <c r="B138" s="26" t="s">
        <v>42</v>
      </c>
      <c r="C138" s="26" t="str">
        <f t="shared" si="7"/>
        <v>8.2Viet</v>
      </c>
      <c r="D138" s="6" t="s">
        <v>398</v>
      </c>
      <c r="E138" s="30" t="s">
        <v>3</v>
      </c>
      <c r="F138" s="12" t="str">
        <f t="shared" si="6"/>
        <v/>
      </c>
      <c r="G138" s="9" t="str">
        <f t="shared" si="8"/>
        <v/>
      </c>
    </row>
    <row r="139" spans="1:8" x14ac:dyDescent="0.25">
      <c r="A139" s="26">
        <v>43</v>
      </c>
      <c r="B139" s="26" t="s">
        <v>42</v>
      </c>
      <c r="C139" s="26" t="str">
        <f t="shared" si="7"/>
        <v>8.2Eng</v>
      </c>
      <c r="D139" s="5" t="s">
        <v>124</v>
      </c>
      <c r="E139" s="31" t="s">
        <v>4</v>
      </c>
      <c r="F139" s="14" t="str">
        <f t="shared" si="6"/>
        <v/>
      </c>
      <c r="G139" s="9" t="str">
        <f t="shared" si="8"/>
        <v/>
      </c>
    </row>
    <row r="140" spans="1:8" x14ac:dyDescent="0.25">
      <c r="A140" s="27"/>
      <c r="B140" s="27" t="s">
        <v>42</v>
      </c>
      <c r="C140" s="27" t="str">
        <f t="shared" si="7"/>
        <v>8.2Phon</v>
      </c>
      <c r="D140" s="2" t="s">
        <v>125</v>
      </c>
      <c r="E140" s="32" t="s">
        <v>5</v>
      </c>
      <c r="F140" s="13" t="str">
        <f t="shared" si="6"/>
        <v/>
      </c>
      <c r="G140" s="9" t="str">
        <f t="shared" si="8"/>
        <v/>
      </c>
    </row>
    <row r="141" spans="1:8" x14ac:dyDescent="0.25">
      <c r="A141" s="26"/>
      <c r="B141" s="26" t="s">
        <v>43</v>
      </c>
      <c r="C141" s="26" t="str">
        <f t="shared" si="7"/>
        <v>8.3Viet</v>
      </c>
      <c r="D141" s="6" t="s">
        <v>399</v>
      </c>
      <c r="E141" s="30" t="s">
        <v>3</v>
      </c>
      <c r="F141" s="12" t="str">
        <f t="shared" si="6"/>
        <v/>
      </c>
      <c r="G141" s="9" t="str">
        <f t="shared" si="8"/>
        <v/>
      </c>
    </row>
    <row r="142" spans="1:8" x14ac:dyDescent="0.25">
      <c r="A142" s="26">
        <v>44</v>
      </c>
      <c r="B142" s="26" t="s">
        <v>43</v>
      </c>
      <c r="C142" s="26" t="str">
        <f t="shared" si="7"/>
        <v>8.3Eng</v>
      </c>
      <c r="D142" s="5" t="s">
        <v>126</v>
      </c>
      <c r="E142" s="31" t="s">
        <v>4</v>
      </c>
      <c r="F142" s="14" t="str">
        <f t="shared" si="6"/>
        <v/>
      </c>
      <c r="G142" s="9" t="str">
        <f t="shared" si="8"/>
        <v/>
      </c>
    </row>
    <row r="143" spans="1:8" x14ac:dyDescent="0.25">
      <c r="A143" s="27"/>
      <c r="B143" s="27" t="s">
        <v>43</v>
      </c>
      <c r="C143" s="27" t="str">
        <f t="shared" si="7"/>
        <v>8.3Phon</v>
      </c>
      <c r="D143" s="2" t="s">
        <v>127</v>
      </c>
      <c r="E143" s="32" t="s">
        <v>5</v>
      </c>
      <c r="F143" s="13" t="str">
        <f t="shared" si="6"/>
        <v/>
      </c>
      <c r="G143" s="9" t="str">
        <f t="shared" si="8"/>
        <v/>
      </c>
    </row>
    <row r="144" spans="1:8" x14ac:dyDescent="0.25">
      <c r="A144" s="26"/>
      <c r="B144" s="26" t="s">
        <v>44</v>
      </c>
      <c r="C144" s="26" t="str">
        <f t="shared" si="7"/>
        <v>8.4Viet</v>
      </c>
      <c r="D144" s="6" t="s">
        <v>309</v>
      </c>
      <c r="E144" s="30" t="s">
        <v>3</v>
      </c>
      <c r="F144" s="12" t="str">
        <f t="shared" si="6"/>
        <v/>
      </c>
      <c r="G144" s="9" t="str">
        <f t="shared" si="8"/>
        <v/>
      </c>
    </row>
    <row r="145" spans="1:7" x14ac:dyDescent="0.25">
      <c r="A145" s="26">
        <v>45</v>
      </c>
      <c r="B145" s="26" t="s">
        <v>44</v>
      </c>
      <c r="C145" s="26" t="str">
        <f t="shared" si="7"/>
        <v>8.4Eng</v>
      </c>
      <c r="D145" s="5" t="s">
        <v>128</v>
      </c>
      <c r="E145" s="31" t="s">
        <v>4</v>
      </c>
      <c r="F145" s="14" t="str">
        <f t="shared" si="6"/>
        <v/>
      </c>
      <c r="G145" s="9" t="str">
        <f t="shared" si="8"/>
        <v/>
      </c>
    </row>
    <row r="146" spans="1:7" x14ac:dyDescent="0.25">
      <c r="A146" s="27"/>
      <c r="B146" s="27" t="s">
        <v>44</v>
      </c>
      <c r="C146" s="27" t="str">
        <f t="shared" si="7"/>
        <v>8.4Phon</v>
      </c>
      <c r="D146" s="2" t="s">
        <v>129</v>
      </c>
      <c r="E146" s="32" t="s">
        <v>5</v>
      </c>
      <c r="F146" s="13" t="str">
        <f t="shared" si="6"/>
        <v/>
      </c>
      <c r="G146" s="9" t="str">
        <f t="shared" si="8"/>
        <v/>
      </c>
    </row>
    <row r="147" spans="1:7" x14ac:dyDescent="0.25">
      <c r="A147" s="26"/>
      <c r="B147" s="26" t="s">
        <v>475</v>
      </c>
      <c r="C147" s="26" t="str">
        <f t="shared" si="7"/>
        <v>8.5Viet</v>
      </c>
      <c r="D147" s="6" t="s">
        <v>324</v>
      </c>
      <c r="E147" s="30" t="s">
        <v>3</v>
      </c>
      <c r="F147" s="12" t="str">
        <f t="shared" si="6"/>
        <v/>
      </c>
      <c r="G147" s="9" t="str">
        <f t="shared" si="8"/>
        <v/>
      </c>
    </row>
    <row r="148" spans="1:7" x14ac:dyDescent="0.25">
      <c r="A148" s="26">
        <v>46</v>
      </c>
      <c r="B148" s="26" t="s">
        <v>475</v>
      </c>
      <c r="C148" s="26" t="str">
        <f t="shared" si="7"/>
        <v>8.5Eng</v>
      </c>
      <c r="D148" s="5" t="s">
        <v>130</v>
      </c>
      <c r="E148" s="31" t="s">
        <v>4</v>
      </c>
      <c r="F148" s="14" t="str">
        <f t="shared" si="6"/>
        <v/>
      </c>
      <c r="G148" s="9" t="str">
        <f t="shared" si="8"/>
        <v/>
      </c>
    </row>
    <row r="149" spans="1:7" x14ac:dyDescent="0.25">
      <c r="A149" s="27"/>
      <c r="B149" s="27" t="s">
        <v>475</v>
      </c>
      <c r="C149" s="27" t="str">
        <f t="shared" si="7"/>
        <v>8.5Phon</v>
      </c>
      <c r="D149" s="2" t="s">
        <v>131</v>
      </c>
      <c r="E149" s="32" t="s">
        <v>5</v>
      </c>
      <c r="F149" s="13" t="str">
        <f t="shared" si="6"/>
        <v/>
      </c>
      <c r="G149" s="9" t="str">
        <f t="shared" si="8"/>
        <v/>
      </c>
    </row>
    <row r="150" spans="1:7" x14ac:dyDescent="0.25">
      <c r="A150" s="26"/>
      <c r="B150" s="26" t="s">
        <v>476</v>
      </c>
      <c r="C150" s="26" t="str">
        <f t="shared" si="7"/>
        <v>8.6Viet</v>
      </c>
      <c r="D150" s="6" t="s">
        <v>336</v>
      </c>
      <c r="E150" s="30" t="s">
        <v>3</v>
      </c>
      <c r="F150" s="12" t="str">
        <f t="shared" si="6"/>
        <v/>
      </c>
      <c r="G150" s="9" t="str">
        <f t="shared" si="8"/>
        <v/>
      </c>
    </row>
    <row r="151" spans="1:7" x14ac:dyDescent="0.25">
      <c r="A151" s="26">
        <v>47</v>
      </c>
      <c r="B151" s="26" t="s">
        <v>476</v>
      </c>
      <c r="C151" s="26" t="str">
        <f t="shared" si="7"/>
        <v>8.6Eng</v>
      </c>
      <c r="D151" s="5" t="s">
        <v>132</v>
      </c>
      <c r="E151" s="31" t="s">
        <v>4</v>
      </c>
      <c r="F151" s="14" t="str">
        <f t="shared" si="6"/>
        <v/>
      </c>
      <c r="G151" s="9" t="str">
        <f t="shared" si="8"/>
        <v/>
      </c>
    </row>
    <row r="152" spans="1:7" x14ac:dyDescent="0.25">
      <c r="A152" s="27"/>
      <c r="B152" s="27" t="s">
        <v>476</v>
      </c>
      <c r="C152" s="27" t="str">
        <f t="shared" si="7"/>
        <v>8.6Phon</v>
      </c>
      <c r="D152" s="2" t="s">
        <v>133</v>
      </c>
      <c r="E152" s="32" t="s">
        <v>5</v>
      </c>
      <c r="F152" s="13" t="str">
        <f t="shared" si="6"/>
        <v/>
      </c>
      <c r="G152" s="9" t="str">
        <f t="shared" si="8"/>
        <v/>
      </c>
    </row>
    <row r="153" spans="1:7" x14ac:dyDescent="0.25">
      <c r="A153" s="26"/>
      <c r="B153" s="26" t="s">
        <v>477</v>
      </c>
      <c r="C153" s="26" t="str">
        <f t="shared" si="7"/>
        <v>8.7Viet</v>
      </c>
      <c r="D153" s="6" t="s">
        <v>343</v>
      </c>
      <c r="E153" s="30" t="s">
        <v>3</v>
      </c>
      <c r="F153" s="12" t="str">
        <f t="shared" si="6"/>
        <v/>
      </c>
      <c r="G153" s="9" t="str">
        <f t="shared" si="8"/>
        <v/>
      </c>
    </row>
    <row r="154" spans="1:7" x14ac:dyDescent="0.25">
      <c r="A154" s="26">
        <v>48</v>
      </c>
      <c r="B154" s="26" t="s">
        <v>477</v>
      </c>
      <c r="C154" s="26" t="str">
        <f t="shared" si="7"/>
        <v>8.7Eng</v>
      </c>
      <c r="D154" s="5" t="s">
        <v>134</v>
      </c>
      <c r="E154" s="31" t="s">
        <v>4</v>
      </c>
      <c r="F154" s="14" t="str">
        <f t="shared" si="6"/>
        <v/>
      </c>
      <c r="G154" s="9" t="str">
        <f t="shared" si="8"/>
        <v/>
      </c>
    </row>
    <row r="155" spans="1:7" x14ac:dyDescent="0.25">
      <c r="A155" s="27"/>
      <c r="B155" s="27" t="s">
        <v>477</v>
      </c>
      <c r="C155" s="27" t="str">
        <f t="shared" si="7"/>
        <v>8.7Phon</v>
      </c>
      <c r="D155" s="2" t="s">
        <v>135</v>
      </c>
      <c r="E155" s="32" t="s">
        <v>5</v>
      </c>
      <c r="F155" s="13" t="str">
        <f t="shared" si="6"/>
        <v/>
      </c>
      <c r="G155" s="9" t="str">
        <f t="shared" si="8"/>
        <v/>
      </c>
    </row>
    <row r="156" spans="1:7" x14ac:dyDescent="0.25">
      <c r="A156" s="26"/>
      <c r="B156" s="26" t="s">
        <v>478</v>
      </c>
      <c r="C156" s="26" t="str">
        <f t="shared" si="7"/>
        <v>8.8Viet</v>
      </c>
      <c r="D156" s="6" t="s">
        <v>348</v>
      </c>
      <c r="E156" s="30" t="s">
        <v>3</v>
      </c>
      <c r="F156" s="12" t="str">
        <f t="shared" si="6"/>
        <v/>
      </c>
      <c r="G156" s="9" t="str">
        <f t="shared" si="8"/>
        <v/>
      </c>
    </row>
    <row r="157" spans="1:7" x14ac:dyDescent="0.25">
      <c r="A157" s="26">
        <v>49</v>
      </c>
      <c r="B157" s="26" t="s">
        <v>478</v>
      </c>
      <c r="C157" s="26" t="str">
        <f t="shared" si="7"/>
        <v>8.8Eng</v>
      </c>
      <c r="D157" s="5" t="s">
        <v>136</v>
      </c>
      <c r="E157" s="31" t="s">
        <v>4</v>
      </c>
      <c r="F157" s="14" t="str">
        <f t="shared" si="6"/>
        <v/>
      </c>
      <c r="G157" s="9" t="str">
        <f t="shared" si="8"/>
        <v/>
      </c>
    </row>
    <row r="158" spans="1:7" x14ac:dyDescent="0.25">
      <c r="A158" s="27"/>
      <c r="B158" s="27" t="s">
        <v>478</v>
      </c>
      <c r="C158" s="27" t="str">
        <f t="shared" si="7"/>
        <v>8.8Phon</v>
      </c>
      <c r="D158" s="2" t="s">
        <v>137</v>
      </c>
      <c r="E158" s="32" t="s">
        <v>5</v>
      </c>
      <c r="F158" s="13" t="str">
        <f t="shared" si="6"/>
        <v/>
      </c>
      <c r="G158" s="9" t="str">
        <f t="shared" si="8"/>
        <v/>
      </c>
    </row>
    <row r="159" spans="1:7" x14ac:dyDescent="0.25">
      <c r="A159" s="26"/>
      <c r="B159" s="26" t="s">
        <v>479</v>
      </c>
      <c r="C159" s="26" t="str">
        <f t="shared" si="7"/>
        <v>8.9Viet</v>
      </c>
      <c r="D159" s="6" t="s">
        <v>351</v>
      </c>
      <c r="E159" s="30" t="s">
        <v>3</v>
      </c>
      <c r="F159" s="12" t="str">
        <f t="shared" si="6"/>
        <v/>
      </c>
      <c r="G159" s="9" t="str">
        <f t="shared" si="8"/>
        <v/>
      </c>
    </row>
    <row r="160" spans="1:7" x14ac:dyDescent="0.25">
      <c r="A160" s="26">
        <v>50</v>
      </c>
      <c r="B160" s="26" t="s">
        <v>479</v>
      </c>
      <c r="C160" s="26" t="str">
        <f t="shared" si="7"/>
        <v>8.9Eng</v>
      </c>
      <c r="D160" s="5" t="s">
        <v>138</v>
      </c>
      <c r="E160" s="31" t="s">
        <v>4</v>
      </c>
      <c r="F160" s="14" t="str">
        <f t="shared" si="6"/>
        <v/>
      </c>
      <c r="G160" s="9" t="str">
        <f t="shared" si="8"/>
        <v/>
      </c>
    </row>
    <row r="161" spans="1:8" x14ac:dyDescent="0.25">
      <c r="A161" s="27"/>
      <c r="B161" s="27" t="s">
        <v>479</v>
      </c>
      <c r="C161" s="27" t="str">
        <f t="shared" si="7"/>
        <v>8.9Phon</v>
      </c>
      <c r="D161" s="2" t="s">
        <v>139</v>
      </c>
      <c r="E161" s="32" t="s">
        <v>5</v>
      </c>
      <c r="F161" s="13" t="str">
        <f t="shared" si="6"/>
        <v/>
      </c>
      <c r="G161" s="9" t="str">
        <f t="shared" si="8"/>
        <v/>
      </c>
    </row>
    <row r="162" spans="1:8" x14ac:dyDescent="0.25">
      <c r="A162" s="26"/>
      <c r="B162" s="26" t="s">
        <v>480</v>
      </c>
      <c r="C162" s="26" t="str">
        <f t="shared" si="7"/>
        <v>8.10Viet</v>
      </c>
      <c r="D162" s="6" t="s">
        <v>354</v>
      </c>
      <c r="E162" s="30" t="s">
        <v>3</v>
      </c>
      <c r="F162" s="12" t="str">
        <f t="shared" si="6"/>
        <v/>
      </c>
      <c r="G162" s="9" t="str">
        <f t="shared" si="8"/>
        <v/>
      </c>
    </row>
    <row r="163" spans="1:8" x14ac:dyDescent="0.25">
      <c r="A163" s="26">
        <v>51</v>
      </c>
      <c r="B163" s="26" t="s">
        <v>480</v>
      </c>
      <c r="C163" s="26" t="str">
        <f t="shared" si="7"/>
        <v>8.10Eng</v>
      </c>
      <c r="D163" s="5" t="s">
        <v>140</v>
      </c>
      <c r="E163" s="31" t="s">
        <v>4</v>
      </c>
      <c r="F163" s="14" t="str">
        <f t="shared" si="6"/>
        <v/>
      </c>
      <c r="G163" s="9" t="str">
        <f t="shared" si="8"/>
        <v/>
      </c>
    </row>
    <row r="164" spans="1:8" x14ac:dyDescent="0.25">
      <c r="A164" s="27"/>
      <c r="B164" s="27" t="s">
        <v>480</v>
      </c>
      <c r="C164" s="27" t="str">
        <f t="shared" si="7"/>
        <v>8.10Phon</v>
      </c>
      <c r="D164" s="2" t="s">
        <v>141</v>
      </c>
      <c r="E164" s="32" t="s">
        <v>5</v>
      </c>
      <c r="F164" s="13" t="str">
        <f t="shared" si="6"/>
        <v/>
      </c>
      <c r="G164" s="9" t="str">
        <f t="shared" si="8"/>
        <v/>
      </c>
    </row>
    <row r="165" spans="1:8" s="21" customFormat="1" x14ac:dyDescent="0.25">
      <c r="A165" s="25"/>
      <c r="B165" s="24">
        <v>9</v>
      </c>
      <c r="C165" s="25" t="str">
        <f t="shared" si="7"/>
        <v>9Struc</v>
      </c>
      <c r="D165" s="19" t="s">
        <v>289</v>
      </c>
      <c r="E165" s="29" t="s">
        <v>11</v>
      </c>
      <c r="F165" s="20" t="str">
        <f t="shared" si="6"/>
        <v/>
      </c>
      <c r="G165" s="9" t="str">
        <f t="shared" si="8"/>
        <v/>
      </c>
      <c r="H165"/>
    </row>
    <row r="166" spans="1:8" x14ac:dyDescent="0.25">
      <c r="A166" s="26"/>
      <c r="B166" s="26" t="s">
        <v>45</v>
      </c>
      <c r="C166" s="26" t="str">
        <f t="shared" si="7"/>
        <v>9.1Viet</v>
      </c>
      <c r="D166" s="6" t="s">
        <v>400</v>
      </c>
      <c r="E166" s="30" t="s">
        <v>3</v>
      </c>
      <c r="F166" s="12" t="str">
        <f t="shared" si="6"/>
        <v/>
      </c>
      <c r="G166" s="9" t="str">
        <f t="shared" si="8"/>
        <v/>
      </c>
    </row>
    <row r="167" spans="1:8" x14ac:dyDescent="0.25">
      <c r="A167" s="26">
        <v>52</v>
      </c>
      <c r="B167" s="26" t="s">
        <v>45</v>
      </c>
      <c r="C167" s="26" t="str">
        <f t="shared" si="7"/>
        <v>9.1Eng</v>
      </c>
      <c r="D167" s="5" t="s">
        <v>401</v>
      </c>
      <c r="E167" s="31" t="s">
        <v>4</v>
      </c>
      <c r="F167" s="14" t="str">
        <f t="shared" si="6"/>
        <v/>
      </c>
      <c r="G167" s="9" t="str">
        <f t="shared" si="8"/>
        <v/>
      </c>
    </row>
    <row r="168" spans="1:8" x14ac:dyDescent="0.25">
      <c r="A168" s="27"/>
      <c r="B168" s="27" t="s">
        <v>45</v>
      </c>
      <c r="C168" s="27" t="str">
        <f t="shared" si="7"/>
        <v>9.1Phon</v>
      </c>
      <c r="D168" s="2" t="s">
        <v>142</v>
      </c>
      <c r="E168" s="32" t="s">
        <v>5</v>
      </c>
      <c r="F168" s="13" t="str">
        <f t="shared" si="6"/>
        <v/>
      </c>
      <c r="G168" s="9" t="str">
        <f t="shared" si="8"/>
        <v/>
      </c>
    </row>
    <row r="169" spans="1:8" x14ac:dyDescent="0.25">
      <c r="A169" s="26"/>
      <c r="B169" s="26" t="s">
        <v>46</v>
      </c>
      <c r="C169" s="26" t="str">
        <f t="shared" si="7"/>
        <v>9.2Viet</v>
      </c>
      <c r="D169" s="6" t="s">
        <v>402</v>
      </c>
      <c r="E169" s="30" t="s">
        <v>3</v>
      </c>
      <c r="F169" s="12" t="str">
        <f t="shared" si="6"/>
        <v/>
      </c>
      <c r="G169" s="9" t="str">
        <f t="shared" si="8"/>
        <v/>
      </c>
    </row>
    <row r="170" spans="1:8" x14ac:dyDescent="0.25">
      <c r="A170" s="26">
        <v>53</v>
      </c>
      <c r="B170" s="26" t="s">
        <v>46</v>
      </c>
      <c r="C170" s="26" t="str">
        <f t="shared" si="7"/>
        <v>9.2Eng</v>
      </c>
      <c r="D170" s="5" t="s">
        <v>403</v>
      </c>
      <c r="E170" s="31" t="s">
        <v>4</v>
      </c>
      <c r="F170" s="14" t="str">
        <f t="shared" si="6"/>
        <v/>
      </c>
      <c r="G170" s="9" t="str">
        <f t="shared" si="8"/>
        <v/>
      </c>
    </row>
    <row r="171" spans="1:8" x14ac:dyDescent="0.25">
      <c r="A171" s="27"/>
      <c r="B171" s="27" t="s">
        <v>46</v>
      </c>
      <c r="C171" s="27" t="str">
        <f t="shared" si="7"/>
        <v>9.2Phon</v>
      </c>
      <c r="D171" s="2" t="s">
        <v>143</v>
      </c>
      <c r="E171" s="32" t="s">
        <v>5</v>
      </c>
      <c r="F171" s="13" t="str">
        <f t="shared" si="6"/>
        <v/>
      </c>
      <c r="G171" s="9" t="str">
        <f t="shared" si="8"/>
        <v/>
      </c>
    </row>
    <row r="172" spans="1:8" x14ac:dyDescent="0.25">
      <c r="A172" s="26"/>
      <c r="B172" s="26" t="s">
        <v>47</v>
      </c>
      <c r="C172" s="26" t="str">
        <f t="shared" si="7"/>
        <v>9.3Viet</v>
      </c>
      <c r="D172" s="6" t="s">
        <v>404</v>
      </c>
      <c r="E172" s="30" t="s">
        <v>3</v>
      </c>
      <c r="F172" s="12" t="str">
        <f t="shared" si="6"/>
        <v/>
      </c>
      <c r="G172" s="9" t="str">
        <f t="shared" si="8"/>
        <v/>
      </c>
    </row>
    <row r="173" spans="1:8" x14ac:dyDescent="0.25">
      <c r="A173" s="26">
        <v>54</v>
      </c>
      <c r="B173" s="26" t="s">
        <v>47</v>
      </c>
      <c r="C173" s="26" t="str">
        <f t="shared" si="7"/>
        <v>9.3Eng</v>
      </c>
      <c r="D173" s="5" t="s">
        <v>405</v>
      </c>
      <c r="E173" s="31" t="s">
        <v>4</v>
      </c>
      <c r="F173" s="14" t="str">
        <f t="shared" si="6"/>
        <v/>
      </c>
      <c r="G173" s="9" t="str">
        <f t="shared" si="8"/>
        <v/>
      </c>
    </row>
    <row r="174" spans="1:8" x14ac:dyDescent="0.25">
      <c r="A174" s="27"/>
      <c r="B174" s="27" t="s">
        <v>47</v>
      </c>
      <c r="C174" s="27" t="str">
        <f t="shared" si="7"/>
        <v>9.3Phon</v>
      </c>
      <c r="D174" s="2" t="s">
        <v>144</v>
      </c>
      <c r="E174" s="32" t="s">
        <v>5</v>
      </c>
      <c r="F174" s="13" t="str">
        <f t="shared" si="6"/>
        <v/>
      </c>
      <c r="G174" s="9" t="str">
        <f t="shared" si="8"/>
        <v/>
      </c>
    </row>
    <row r="175" spans="1:8" x14ac:dyDescent="0.25">
      <c r="A175" s="26"/>
      <c r="B175" s="26" t="s">
        <v>48</v>
      </c>
      <c r="C175" s="26" t="str">
        <f t="shared" si="7"/>
        <v>9.4Viet</v>
      </c>
      <c r="D175" s="6" t="s">
        <v>310</v>
      </c>
      <c r="E175" s="30" t="s">
        <v>3</v>
      </c>
      <c r="F175" s="12" t="str">
        <f t="shared" si="6"/>
        <v/>
      </c>
      <c r="G175" s="9" t="str">
        <f t="shared" si="8"/>
        <v/>
      </c>
    </row>
    <row r="176" spans="1:8" x14ac:dyDescent="0.25">
      <c r="A176" s="26">
        <v>55</v>
      </c>
      <c r="B176" s="26" t="s">
        <v>48</v>
      </c>
      <c r="C176" s="26" t="str">
        <f t="shared" si="7"/>
        <v>9.4Eng</v>
      </c>
      <c r="D176" s="5" t="s">
        <v>406</v>
      </c>
      <c r="E176" s="31" t="s">
        <v>4</v>
      </c>
      <c r="F176" s="14" t="str">
        <f t="shared" si="6"/>
        <v/>
      </c>
      <c r="G176" s="9" t="str">
        <f t="shared" si="8"/>
        <v/>
      </c>
    </row>
    <row r="177" spans="1:8" x14ac:dyDescent="0.25">
      <c r="A177" s="27"/>
      <c r="B177" s="27" t="s">
        <v>48</v>
      </c>
      <c r="C177" s="27" t="str">
        <f t="shared" si="7"/>
        <v>9.4Phon</v>
      </c>
      <c r="D177" s="2" t="s">
        <v>145</v>
      </c>
      <c r="E177" s="32" t="s">
        <v>5</v>
      </c>
      <c r="F177" s="13" t="str">
        <f t="shared" si="6"/>
        <v/>
      </c>
      <c r="G177" s="9" t="str">
        <f t="shared" si="8"/>
        <v/>
      </c>
    </row>
    <row r="178" spans="1:8" x14ac:dyDescent="0.25">
      <c r="A178" s="26"/>
      <c r="B178" s="26" t="s">
        <v>49</v>
      </c>
      <c r="C178" s="26" t="str">
        <f t="shared" si="7"/>
        <v>9.5Viet</v>
      </c>
      <c r="D178" s="6" t="s">
        <v>325</v>
      </c>
      <c r="E178" s="30" t="s">
        <v>3</v>
      </c>
      <c r="F178" s="12" t="str">
        <f t="shared" si="6"/>
        <v/>
      </c>
      <c r="G178" s="9" t="str">
        <f t="shared" si="8"/>
        <v/>
      </c>
    </row>
    <row r="179" spans="1:8" x14ac:dyDescent="0.25">
      <c r="A179" s="26">
        <v>56</v>
      </c>
      <c r="B179" s="26" t="s">
        <v>49</v>
      </c>
      <c r="C179" s="26" t="str">
        <f t="shared" si="7"/>
        <v>9.5Eng</v>
      </c>
      <c r="D179" s="5" t="s">
        <v>407</v>
      </c>
      <c r="E179" s="31" t="s">
        <v>4</v>
      </c>
      <c r="F179" s="14" t="str">
        <f t="shared" si="6"/>
        <v/>
      </c>
      <c r="G179" s="9" t="str">
        <f t="shared" si="8"/>
        <v/>
      </c>
    </row>
    <row r="180" spans="1:8" x14ac:dyDescent="0.25">
      <c r="A180" s="27"/>
      <c r="B180" s="27" t="s">
        <v>49</v>
      </c>
      <c r="C180" s="27" t="str">
        <f t="shared" si="7"/>
        <v>9.5Phon</v>
      </c>
      <c r="D180" s="2" t="s">
        <v>146</v>
      </c>
      <c r="E180" s="32" t="s">
        <v>5</v>
      </c>
      <c r="F180" s="13" t="str">
        <f t="shared" si="6"/>
        <v/>
      </c>
      <c r="G180" s="9" t="str">
        <f t="shared" si="8"/>
        <v/>
      </c>
    </row>
    <row r="181" spans="1:8" x14ac:dyDescent="0.25">
      <c r="A181" s="26"/>
      <c r="B181" s="26" t="s">
        <v>481</v>
      </c>
      <c r="C181" s="26" t="str">
        <f t="shared" si="7"/>
        <v>9.6Viet</v>
      </c>
      <c r="D181" s="6" t="s">
        <v>337</v>
      </c>
      <c r="E181" s="30" t="s">
        <v>3</v>
      </c>
      <c r="F181" s="12" t="str">
        <f t="shared" si="6"/>
        <v/>
      </c>
      <c r="G181" s="9" t="str">
        <f t="shared" si="8"/>
        <v/>
      </c>
    </row>
    <row r="182" spans="1:8" x14ac:dyDescent="0.25">
      <c r="A182" s="26">
        <v>57</v>
      </c>
      <c r="B182" s="26" t="s">
        <v>481</v>
      </c>
      <c r="C182" s="26" t="str">
        <f t="shared" si="7"/>
        <v>9.6Eng</v>
      </c>
      <c r="D182" s="5" t="s">
        <v>408</v>
      </c>
      <c r="E182" s="31" t="s">
        <v>4</v>
      </c>
      <c r="F182" s="14" t="str">
        <f t="shared" si="6"/>
        <v/>
      </c>
      <c r="G182" s="9" t="str">
        <f t="shared" si="8"/>
        <v/>
      </c>
    </row>
    <row r="183" spans="1:8" x14ac:dyDescent="0.25">
      <c r="A183" s="27"/>
      <c r="B183" s="27" t="s">
        <v>481</v>
      </c>
      <c r="C183" s="27" t="str">
        <f t="shared" si="7"/>
        <v>9.6Phon</v>
      </c>
      <c r="D183" s="2" t="s">
        <v>147</v>
      </c>
      <c r="E183" s="32" t="s">
        <v>5</v>
      </c>
      <c r="F183" s="13" t="str">
        <f t="shared" si="6"/>
        <v/>
      </c>
      <c r="G183" s="9" t="str">
        <f t="shared" si="8"/>
        <v/>
      </c>
    </row>
    <row r="184" spans="1:8" s="21" customFormat="1" x14ac:dyDescent="0.25">
      <c r="A184" s="25"/>
      <c r="B184" s="24">
        <v>10</v>
      </c>
      <c r="C184" s="25" t="str">
        <f t="shared" si="7"/>
        <v>10Struc</v>
      </c>
      <c r="D184" s="19" t="s">
        <v>290</v>
      </c>
      <c r="E184" s="29" t="s">
        <v>11</v>
      </c>
      <c r="F184" s="20" t="str">
        <f t="shared" si="6"/>
        <v/>
      </c>
      <c r="G184" s="9" t="str">
        <f t="shared" si="8"/>
        <v/>
      </c>
      <c r="H184"/>
    </row>
    <row r="185" spans="1:8" x14ac:dyDescent="0.25">
      <c r="A185" s="26"/>
      <c r="B185" s="26" t="s">
        <v>50</v>
      </c>
      <c r="C185" s="26" t="str">
        <f t="shared" si="7"/>
        <v>10.1Viet</v>
      </c>
      <c r="D185" s="6" t="s">
        <v>409</v>
      </c>
      <c r="E185" s="30" t="s">
        <v>3</v>
      </c>
      <c r="F185" s="12" t="str">
        <f t="shared" si="6"/>
        <v/>
      </c>
      <c r="G185" s="9" t="str">
        <f t="shared" si="8"/>
        <v/>
      </c>
    </row>
    <row r="186" spans="1:8" x14ac:dyDescent="0.25">
      <c r="A186" s="26">
        <v>58</v>
      </c>
      <c r="B186" s="26" t="s">
        <v>50</v>
      </c>
      <c r="C186" s="26" t="str">
        <f t="shared" si="7"/>
        <v>10.1Eng</v>
      </c>
      <c r="D186" s="5" t="s">
        <v>410</v>
      </c>
      <c r="E186" s="31" t="s">
        <v>4</v>
      </c>
      <c r="F186" s="14" t="str">
        <f t="shared" si="6"/>
        <v/>
      </c>
      <c r="G186" s="9" t="str">
        <f t="shared" si="8"/>
        <v/>
      </c>
    </row>
    <row r="187" spans="1:8" x14ac:dyDescent="0.25">
      <c r="A187" s="27"/>
      <c r="B187" s="27" t="s">
        <v>50</v>
      </c>
      <c r="C187" s="27" t="str">
        <f t="shared" si="7"/>
        <v>10.1Phon</v>
      </c>
      <c r="D187" s="2" t="s">
        <v>148</v>
      </c>
      <c r="E187" s="32" t="s">
        <v>5</v>
      </c>
      <c r="F187" s="13" t="str">
        <f t="shared" si="6"/>
        <v/>
      </c>
      <c r="G187" s="9" t="str">
        <f t="shared" si="8"/>
        <v/>
      </c>
    </row>
    <row r="188" spans="1:8" x14ac:dyDescent="0.25">
      <c r="A188" s="26"/>
      <c r="B188" s="26" t="s">
        <v>51</v>
      </c>
      <c r="C188" s="26" t="str">
        <f t="shared" si="7"/>
        <v>10.2Viet</v>
      </c>
      <c r="D188" s="6" t="s">
        <v>411</v>
      </c>
      <c r="E188" s="30" t="s">
        <v>3</v>
      </c>
      <c r="F188" s="12" t="str">
        <f t="shared" si="6"/>
        <v/>
      </c>
      <c r="G188" s="9" t="str">
        <f t="shared" si="8"/>
        <v/>
      </c>
    </row>
    <row r="189" spans="1:8" x14ac:dyDescent="0.25">
      <c r="A189" s="26">
        <v>59</v>
      </c>
      <c r="B189" s="26" t="s">
        <v>51</v>
      </c>
      <c r="C189" s="26" t="str">
        <f t="shared" si="7"/>
        <v>10.2Eng</v>
      </c>
      <c r="D189" s="5" t="s">
        <v>412</v>
      </c>
      <c r="E189" s="31" t="s">
        <v>4</v>
      </c>
      <c r="F189" s="14" t="str">
        <f t="shared" si="6"/>
        <v/>
      </c>
      <c r="G189" s="9" t="str">
        <f t="shared" si="8"/>
        <v/>
      </c>
    </row>
    <row r="190" spans="1:8" x14ac:dyDescent="0.25">
      <c r="A190" s="27"/>
      <c r="B190" s="27" t="s">
        <v>51</v>
      </c>
      <c r="C190" s="27" t="str">
        <f t="shared" si="7"/>
        <v>10.2Phon</v>
      </c>
      <c r="D190" s="2" t="s">
        <v>149</v>
      </c>
      <c r="E190" s="32" t="s">
        <v>5</v>
      </c>
      <c r="F190" s="13" t="str">
        <f t="shared" si="6"/>
        <v/>
      </c>
      <c r="G190" s="9" t="str">
        <f t="shared" si="8"/>
        <v/>
      </c>
    </row>
    <row r="191" spans="1:8" x14ac:dyDescent="0.25">
      <c r="A191" s="26"/>
      <c r="B191" s="26" t="s">
        <v>52</v>
      </c>
      <c r="C191" s="26" t="str">
        <f t="shared" si="7"/>
        <v>10.3Viet</v>
      </c>
      <c r="D191" s="6" t="s">
        <v>413</v>
      </c>
      <c r="E191" s="30" t="s">
        <v>3</v>
      </c>
      <c r="F191" s="12" t="str">
        <f t="shared" si="6"/>
        <v/>
      </c>
      <c r="G191" s="9" t="str">
        <f t="shared" si="8"/>
        <v/>
      </c>
    </row>
    <row r="192" spans="1:8" x14ac:dyDescent="0.25">
      <c r="A192" s="26">
        <v>60</v>
      </c>
      <c r="B192" s="26" t="s">
        <v>52</v>
      </c>
      <c r="C192" s="26" t="str">
        <f t="shared" si="7"/>
        <v>10.3Eng</v>
      </c>
      <c r="D192" s="5" t="s">
        <v>150</v>
      </c>
      <c r="E192" s="31" t="s">
        <v>4</v>
      </c>
      <c r="F192" s="14" t="str">
        <f t="shared" si="6"/>
        <v/>
      </c>
      <c r="G192" s="9" t="str">
        <f t="shared" si="8"/>
        <v/>
      </c>
    </row>
    <row r="193" spans="1:8" x14ac:dyDescent="0.25">
      <c r="A193" s="27"/>
      <c r="B193" s="27" t="s">
        <v>52</v>
      </c>
      <c r="C193" s="27" t="str">
        <f t="shared" si="7"/>
        <v>10.3Phon</v>
      </c>
      <c r="D193" s="2" t="s">
        <v>151</v>
      </c>
      <c r="E193" s="32" t="s">
        <v>5</v>
      </c>
      <c r="F193" s="13" t="str">
        <f t="shared" si="6"/>
        <v/>
      </c>
      <c r="G193" s="9" t="str">
        <f t="shared" si="8"/>
        <v/>
      </c>
    </row>
    <row r="194" spans="1:8" x14ac:dyDescent="0.25">
      <c r="A194" s="26"/>
      <c r="B194" s="26" t="s">
        <v>53</v>
      </c>
      <c r="C194" s="26" t="str">
        <f t="shared" si="7"/>
        <v>10.4Viet</v>
      </c>
      <c r="D194" s="6" t="s">
        <v>311</v>
      </c>
      <c r="E194" s="30" t="s">
        <v>3</v>
      </c>
      <c r="F194" s="12" t="str">
        <f t="shared" si="6"/>
        <v/>
      </c>
      <c r="G194" s="9" t="str">
        <f t="shared" si="8"/>
        <v/>
      </c>
    </row>
    <row r="195" spans="1:8" x14ac:dyDescent="0.25">
      <c r="A195" s="26">
        <v>61</v>
      </c>
      <c r="B195" s="26" t="s">
        <v>53</v>
      </c>
      <c r="C195" s="26" t="str">
        <f t="shared" si="7"/>
        <v>10.4Eng</v>
      </c>
      <c r="D195" s="5" t="s">
        <v>414</v>
      </c>
      <c r="E195" s="31" t="s">
        <v>4</v>
      </c>
      <c r="F195" s="14" t="str">
        <f t="shared" si="6"/>
        <v/>
      </c>
      <c r="G195" s="9" t="str">
        <f t="shared" si="8"/>
        <v/>
      </c>
    </row>
    <row r="196" spans="1:8" x14ac:dyDescent="0.25">
      <c r="A196" s="27"/>
      <c r="B196" s="27" t="s">
        <v>53</v>
      </c>
      <c r="C196" s="27" t="str">
        <f t="shared" si="7"/>
        <v>10.4Phon</v>
      </c>
      <c r="D196" s="2" t="s">
        <v>152</v>
      </c>
      <c r="E196" s="32" t="s">
        <v>5</v>
      </c>
      <c r="F196" s="13" t="str">
        <f t="shared" ref="F196:F259" si="9">IF(G196="","","https://docs.google.com/uc?export=download&amp;id="&amp;G196)</f>
        <v/>
      </c>
      <c r="G196" s="9" t="str">
        <f t="shared" si="8"/>
        <v/>
      </c>
    </row>
    <row r="197" spans="1:8" x14ac:dyDescent="0.25">
      <c r="A197" s="26"/>
      <c r="B197" s="26" t="s">
        <v>54</v>
      </c>
      <c r="C197" s="26" t="str">
        <f t="shared" ref="C197:C260" si="10">B197&amp;E197</f>
        <v>10.5Viet</v>
      </c>
      <c r="D197" s="6" t="s">
        <v>326</v>
      </c>
      <c r="E197" s="30" t="s">
        <v>3</v>
      </c>
      <c r="F197" s="12" t="str">
        <f t="shared" si="9"/>
        <v/>
      </c>
      <c r="G197" s="9" t="str">
        <f t="shared" ref="G197:G260" si="11">IFERROR(LEFT(RIGHT(H197,LEN(H197)-32),LEN(RIGHT(H197,LEN(H197)-32))-17),"")</f>
        <v/>
      </c>
    </row>
    <row r="198" spans="1:8" x14ac:dyDescent="0.25">
      <c r="A198" s="26">
        <v>62</v>
      </c>
      <c r="B198" s="26" t="s">
        <v>54</v>
      </c>
      <c r="C198" s="26" t="str">
        <f t="shared" si="10"/>
        <v>10.5Eng</v>
      </c>
      <c r="D198" s="5" t="s">
        <v>153</v>
      </c>
      <c r="E198" s="31" t="s">
        <v>4</v>
      </c>
      <c r="F198" s="14" t="str">
        <f t="shared" si="9"/>
        <v/>
      </c>
      <c r="G198" s="9" t="str">
        <f t="shared" si="11"/>
        <v/>
      </c>
    </row>
    <row r="199" spans="1:8" x14ac:dyDescent="0.25">
      <c r="A199" s="27"/>
      <c r="B199" s="27" t="s">
        <v>54</v>
      </c>
      <c r="C199" s="27" t="str">
        <f t="shared" si="10"/>
        <v>10.5Phon</v>
      </c>
      <c r="D199" s="2" t="s">
        <v>154</v>
      </c>
      <c r="E199" s="32" t="s">
        <v>5</v>
      </c>
      <c r="F199" s="13" t="str">
        <f t="shared" si="9"/>
        <v/>
      </c>
      <c r="G199" s="9" t="str">
        <f t="shared" si="11"/>
        <v/>
      </c>
    </row>
    <row r="200" spans="1:8" x14ac:dyDescent="0.25">
      <c r="A200" s="26"/>
      <c r="B200" s="26" t="s">
        <v>482</v>
      </c>
      <c r="C200" s="26" t="str">
        <f t="shared" si="10"/>
        <v>10.6Viet</v>
      </c>
      <c r="D200" s="6" t="s">
        <v>338</v>
      </c>
      <c r="E200" s="30" t="s">
        <v>3</v>
      </c>
      <c r="F200" s="12" t="str">
        <f t="shared" si="9"/>
        <v/>
      </c>
      <c r="G200" s="9" t="str">
        <f t="shared" si="11"/>
        <v/>
      </c>
    </row>
    <row r="201" spans="1:8" x14ac:dyDescent="0.25">
      <c r="A201" s="26">
        <v>63</v>
      </c>
      <c r="B201" s="26" t="s">
        <v>482</v>
      </c>
      <c r="C201" s="26" t="str">
        <f t="shared" si="10"/>
        <v>10.6Eng</v>
      </c>
      <c r="D201" s="5" t="s">
        <v>155</v>
      </c>
      <c r="E201" s="31" t="s">
        <v>4</v>
      </c>
      <c r="F201" s="14" t="str">
        <f t="shared" si="9"/>
        <v/>
      </c>
      <c r="G201" s="9" t="str">
        <f t="shared" si="11"/>
        <v/>
      </c>
    </row>
    <row r="202" spans="1:8" x14ac:dyDescent="0.25">
      <c r="A202" s="27"/>
      <c r="B202" s="27" t="s">
        <v>482</v>
      </c>
      <c r="C202" s="27" t="str">
        <f t="shared" si="10"/>
        <v>10.6Phon</v>
      </c>
      <c r="D202" s="2" t="s">
        <v>156</v>
      </c>
      <c r="E202" s="32" t="s">
        <v>5</v>
      </c>
      <c r="F202" s="13" t="str">
        <f t="shared" si="9"/>
        <v/>
      </c>
      <c r="G202" s="9" t="str">
        <f t="shared" si="11"/>
        <v/>
      </c>
    </row>
    <row r="203" spans="1:8" x14ac:dyDescent="0.25">
      <c r="A203" s="26"/>
      <c r="B203" s="26" t="s">
        <v>483</v>
      </c>
      <c r="C203" s="26" t="str">
        <f t="shared" si="10"/>
        <v>10.7Viet</v>
      </c>
      <c r="D203" s="6" t="s">
        <v>344</v>
      </c>
      <c r="E203" s="30" t="s">
        <v>3</v>
      </c>
      <c r="F203" s="12" t="str">
        <f t="shared" si="9"/>
        <v/>
      </c>
      <c r="G203" s="9" t="str">
        <f t="shared" si="11"/>
        <v/>
      </c>
    </row>
    <row r="204" spans="1:8" x14ac:dyDescent="0.25">
      <c r="A204" s="26">
        <v>64</v>
      </c>
      <c r="B204" s="26" t="s">
        <v>483</v>
      </c>
      <c r="C204" s="26" t="str">
        <f t="shared" si="10"/>
        <v>10.7Eng</v>
      </c>
      <c r="D204" s="5" t="s">
        <v>157</v>
      </c>
      <c r="E204" s="31" t="s">
        <v>4</v>
      </c>
      <c r="F204" s="14" t="str">
        <f t="shared" si="9"/>
        <v/>
      </c>
      <c r="G204" s="9" t="str">
        <f t="shared" si="11"/>
        <v/>
      </c>
    </row>
    <row r="205" spans="1:8" x14ac:dyDescent="0.25">
      <c r="A205" s="27"/>
      <c r="B205" s="27" t="s">
        <v>483</v>
      </c>
      <c r="C205" s="27" t="str">
        <f t="shared" si="10"/>
        <v>10.7Phon</v>
      </c>
      <c r="D205" s="2" t="s">
        <v>158</v>
      </c>
      <c r="E205" s="32" t="s">
        <v>5</v>
      </c>
      <c r="F205" s="13" t="str">
        <f t="shared" si="9"/>
        <v/>
      </c>
      <c r="G205" s="9" t="str">
        <f t="shared" si="11"/>
        <v/>
      </c>
    </row>
    <row r="206" spans="1:8" s="21" customFormat="1" x14ac:dyDescent="0.25">
      <c r="A206" s="25"/>
      <c r="B206" s="24">
        <v>11</v>
      </c>
      <c r="C206" s="25" t="str">
        <f t="shared" si="10"/>
        <v>11Struc</v>
      </c>
      <c r="D206" s="19" t="s">
        <v>304</v>
      </c>
      <c r="E206" s="29" t="s">
        <v>11</v>
      </c>
      <c r="F206" s="20" t="str">
        <f t="shared" si="9"/>
        <v/>
      </c>
      <c r="G206" s="9" t="str">
        <f t="shared" si="11"/>
        <v/>
      </c>
      <c r="H206"/>
    </row>
    <row r="207" spans="1:8" x14ac:dyDescent="0.25">
      <c r="A207" s="26"/>
      <c r="B207" s="26" t="s">
        <v>484</v>
      </c>
      <c r="C207" s="26" t="str">
        <f t="shared" si="10"/>
        <v>11.1Viet</v>
      </c>
      <c r="D207" s="6" t="s">
        <v>415</v>
      </c>
      <c r="E207" s="30" t="s">
        <v>3</v>
      </c>
      <c r="F207" s="12" t="str">
        <f t="shared" si="9"/>
        <v/>
      </c>
      <c r="G207" s="9" t="str">
        <f t="shared" si="11"/>
        <v/>
      </c>
    </row>
    <row r="208" spans="1:8" x14ac:dyDescent="0.25">
      <c r="A208" s="26">
        <v>65</v>
      </c>
      <c r="B208" s="26" t="s">
        <v>484</v>
      </c>
      <c r="C208" s="26" t="str">
        <f t="shared" si="10"/>
        <v>11.1Eng</v>
      </c>
      <c r="D208" s="5" t="s">
        <v>159</v>
      </c>
      <c r="E208" s="31" t="s">
        <v>4</v>
      </c>
      <c r="F208" s="14" t="str">
        <f t="shared" si="9"/>
        <v/>
      </c>
      <c r="G208" s="9" t="str">
        <f t="shared" si="11"/>
        <v/>
      </c>
    </row>
    <row r="209" spans="1:7" x14ac:dyDescent="0.25">
      <c r="A209" s="27"/>
      <c r="B209" s="27" t="s">
        <v>484</v>
      </c>
      <c r="C209" s="27" t="str">
        <f t="shared" si="10"/>
        <v>11.1Phon</v>
      </c>
      <c r="D209" s="2" t="s">
        <v>160</v>
      </c>
      <c r="E209" s="32" t="s">
        <v>5</v>
      </c>
      <c r="F209" s="13" t="str">
        <f t="shared" si="9"/>
        <v/>
      </c>
      <c r="G209" s="9" t="str">
        <f t="shared" si="11"/>
        <v/>
      </c>
    </row>
    <row r="210" spans="1:7" x14ac:dyDescent="0.25">
      <c r="A210" s="26"/>
      <c r="B210" s="26" t="s">
        <v>485</v>
      </c>
      <c r="C210" s="26" t="str">
        <f t="shared" si="10"/>
        <v>11.2Viet</v>
      </c>
      <c r="D210" s="6" t="s">
        <v>416</v>
      </c>
      <c r="E210" s="30" t="s">
        <v>3</v>
      </c>
      <c r="F210" s="12" t="str">
        <f t="shared" si="9"/>
        <v/>
      </c>
      <c r="G210" s="9" t="str">
        <f t="shared" si="11"/>
        <v/>
      </c>
    </row>
    <row r="211" spans="1:7" x14ac:dyDescent="0.25">
      <c r="A211" s="26">
        <v>66</v>
      </c>
      <c r="B211" s="26" t="s">
        <v>485</v>
      </c>
      <c r="C211" s="26" t="str">
        <f t="shared" si="10"/>
        <v>11.2Eng</v>
      </c>
      <c r="D211" s="5" t="s">
        <v>161</v>
      </c>
      <c r="E211" s="31" t="s">
        <v>4</v>
      </c>
      <c r="F211" s="14" t="str">
        <f t="shared" si="9"/>
        <v/>
      </c>
      <c r="G211" s="9" t="str">
        <f t="shared" si="11"/>
        <v/>
      </c>
    </row>
    <row r="212" spans="1:7" x14ac:dyDescent="0.25">
      <c r="A212" s="27"/>
      <c r="B212" s="27" t="s">
        <v>485</v>
      </c>
      <c r="C212" s="27" t="str">
        <f t="shared" si="10"/>
        <v>11.2Phon</v>
      </c>
      <c r="D212" s="2" t="s">
        <v>162</v>
      </c>
      <c r="E212" s="32" t="s">
        <v>5</v>
      </c>
      <c r="F212" s="13" t="str">
        <f t="shared" si="9"/>
        <v/>
      </c>
      <c r="G212" s="9" t="str">
        <f t="shared" si="11"/>
        <v/>
      </c>
    </row>
    <row r="213" spans="1:7" x14ac:dyDescent="0.25">
      <c r="A213" s="26"/>
      <c r="B213" s="26" t="s">
        <v>486</v>
      </c>
      <c r="C213" s="26" t="str">
        <f t="shared" si="10"/>
        <v>11.3Viet</v>
      </c>
      <c r="D213" s="6" t="s">
        <v>417</v>
      </c>
      <c r="E213" s="30" t="s">
        <v>3</v>
      </c>
      <c r="F213" s="12" t="str">
        <f t="shared" si="9"/>
        <v/>
      </c>
      <c r="G213" s="9" t="str">
        <f t="shared" si="11"/>
        <v/>
      </c>
    </row>
    <row r="214" spans="1:7" x14ac:dyDescent="0.25">
      <c r="A214" s="26">
        <v>67</v>
      </c>
      <c r="B214" s="26" t="s">
        <v>486</v>
      </c>
      <c r="C214" s="26" t="str">
        <f t="shared" si="10"/>
        <v>11.3Eng</v>
      </c>
      <c r="D214" s="5" t="s">
        <v>163</v>
      </c>
      <c r="E214" s="31" t="s">
        <v>4</v>
      </c>
      <c r="F214" s="14" t="str">
        <f t="shared" si="9"/>
        <v/>
      </c>
      <c r="G214" s="9" t="str">
        <f t="shared" si="11"/>
        <v/>
      </c>
    </row>
    <row r="215" spans="1:7" x14ac:dyDescent="0.25">
      <c r="A215" s="27"/>
      <c r="B215" s="27" t="s">
        <v>486</v>
      </c>
      <c r="C215" s="27" t="str">
        <f t="shared" si="10"/>
        <v>11.3Phon</v>
      </c>
      <c r="D215" s="2" t="s">
        <v>164</v>
      </c>
      <c r="E215" s="32" t="s">
        <v>5</v>
      </c>
      <c r="F215" s="13" t="str">
        <f t="shared" si="9"/>
        <v/>
      </c>
      <c r="G215" s="9" t="str">
        <f t="shared" si="11"/>
        <v/>
      </c>
    </row>
    <row r="216" spans="1:7" x14ac:dyDescent="0.25">
      <c r="A216" s="26"/>
      <c r="B216" s="26" t="s">
        <v>487</v>
      </c>
      <c r="C216" s="26" t="str">
        <f t="shared" si="10"/>
        <v>11.4Viet</v>
      </c>
      <c r="D216" s="6" t="s">
        <v>312</v>
      </c>
      <c r="E216" s="30" t="s">
        <v>3</v>
      </c>
      <c r="F216" s="12" t="str">
        <f t="shared" si="9"/>
        <v/>
      </c>
      <c r="G216" s="9" t="str">
        <f t="shared" si="11"/>
        <v/>
      </c>
    </row>
    <row r="217" spans="1:7" x14ac:dyDescent="0.25">
      <c r="A217" s="26">
        <v>68</v>
      </c>
      <c r="B217" s="26" t="s">
        <v>487</v>
      </c>
      <c r="C217" s="26" t="str">
        <f t="shared" si="10"/>
        <v>11.4Eng</v>
      </c>
      <c r="D217" s="5" t="s">
        <v>165</v>
      </c>
      <c r="E217" s="31" t="s">
        <v>4</v>
      </c>
      <c r="F217" s="14" t="str">
        <f t="shared" si="9"/>
        <v/>
      </c>
      <c r="G217" s="9" t="str">
        <f t="shared" si="11"/>
        <v/>
      </c>
    </row>
    <row r="218" spans="1:7" x14ac:dyDescent="0.25">
      <c r="A218" s="27"/>
      <c r="B218" s="27" t="s">
        <v>487</v>
      </c>
      <c r="C218" s="27" t="str">
        <f t="shared" si="10"/>
        <v>11.4Phon</v>
      </c>
      <c r="D218" s="2" t="s">
        <v>166</v>
      </c>
      <c r="E218" s="32" t="s">
        <v>5</v>
      </c>
      <c r="F218" s="13" t="str">
        <f t="shared" si="9"/>
        <v/>
      </c>
      <c r="G218" s="9" t="str">
        <f t="shared" si="11"/>
        <v/>
      </c>
    </row>
    <row r="219" spans="1:7" x14ac:dyDescent="0.25">
      <c r="A219" s="26"/>
      <c r="B219" s="26" t="s">
        <v>488</v>
      </c>
      <c r="C219" s="26" t="str">
        <f t="shared" si="10"/>
        <v>11.5Viet</v>
      </c>
      <c r="D219" s="6" t="s">
        <v>327</v>
      </c>
      <c r="E219" s="30" t="s">
        <v>3</v>
      </c>
      <c r="F219" s="12" t="str">
        <f t="shared" si="9"/>
        <v/>
      </c>
      <c r="G219" s="9" t="str">
        <f t="shared" si="11"/>
        <v/>
      </c>
    </row>
    <row r="220" spans="1:7" x14ac:dyDescent="0.25">
      <c r="A220" s="26">
        <v>69</v>
      </c>
      <c r="B220" s="26" t="s">
        <v>488</v>
      </c>
      <c r="C220" s="26" t="str">
        <f t="shared" si="10"/>
        <v>11.5Eng</v>
      </c>
      <c r="D220" s="5" t="s">
        <v>167</v>
      </c>
      <c r="E220" s="31" t="s">
        <v>4</v>
      </c>
      <c r="F220" s="14" t="str">
        <f t="shared" si="9"/>
        <v/>
      </c>
      <c r="G220" s="9" t="str">
        <f t="shared" si="11"/>
        <v/>
      </c>
    </row>
    <row r="221" spans="1:7" x14ac:dyDescent="0.25">
      <c r="A221" s="27"/>
      <c r="B221" s="27" t="s">
        <v>488</v>
      </c>
      <c r="C221" s="27" t="str">
        <f t="shared" si="10"/>
        <v>11.5Phon</v>
      </c>
      <c r="D221" s="2" t="s">
        <v>168</v>
      </c>
      <c r="E221" s="32" t="s">
        <v>5</v>
      </c>
      <c r="F221" s="13" t="str">
        <f t="shared" si="9"/>
        <v/>
      </c>
      <c r="G221" s="9" t="str">
        <f t="shared" si="11"/>
        <v/>
      </c>
    </row>
    <row r="222" spans="1:7" x14ac:dyDescent="0.25">
      <c r="A222" s="26"/>
      <c r="B222" s="26" t="s">
        <v>489</v>
      </c>
      <c r="C222" s="26" t="str">
        <f t="shared" si="10"/>
        <v>11.6Viet</v>
      </c>
      <c r="D222" s="6" t="s">
        <v>339</v>
      </c>
      <c r="E222" s="30" t="s">
        <v>3</v>
      </c>
      <c r="F222" s="12" t="str">
        <f t="shared" si="9"/>
        <v/>
      </c>
      <c r="G222" s="9" t="str">
        <f t="shared" si="11"/>
        <v/>
      </c>
    </row>
    <row r="223" spans="1:7" x14ac:dyDescent="0.25">
      <c r="A223" s="26">
        <v>70</v>
      </c>
      <c r="B223" s="26" t="s">
        <v>489</v>
      </c>
      <c r="C223" s="26" t="str">
        <f t="shared" si="10"/>
        <v>11.6Eng</v>
      </c>
      <c r="D223" s="5" t="s">
        <v>169</v>
      </c>
      <c r="E223" s="31" t="s">
        <v>4</v>
      </c>
      <c r="F223" s="14" t="str">
        <f t="shared" si="9"/>
        <v/>
      </c>
      <c r="G223" s="9" t="str">
        <f t="shared" si="11"/>
        <v/>
      </c>
    </row>
    <row r="224" spans="1:7" x14ac:dyDescent="0.25">
      <c r="A224" s="27"/>
      <c r="B224" s="27" t="s">
        <v>489</v>
      </c>
      <c r="C224" s="27" t="str">
        <f t="shared" si="10"/>
        <v>11.6Phon</v>
      </c>
      <c r="D224" s="2" t="s">
        <v>170</v>
      </c>
      <c r="E224" s="32" t="s">
        <v>5</v>
      </c>
      <c r="F224" s="13" t="str">
        <f t="shared" si="9"/>
        <v/>
      </c>
      <c r="G224" s="9" t="str">
        <f t="shared" si="11"/>
        <v/>
      </c>
    </row>
    <row r="225" spans="1:8" s="21" customFormat="1" x14ac:dyDescent="0.25">
      <c r="A225" s="25"/>
      <c r="B225" s="24">
        <v>12</v>
      </c>
      <c r="C225" s="25" t="str">
        <f t="shared" si="10"/>
        <v>12Struc</v>
      </c>
      <c r="D225" s="19" t="s">
        <v>303</v>
      </c>
      <c r="E225" s="29" t="s">
        <v>11</v>
      </c>
      <c r="F225" s="20" t="str">
        <f t="shared" si="9"/>
        <v/>
      </c>
      <c r="G225" s="9" t="str">
        <f t="shared" si="11"/>
        <v/>
      </c>
      <c r="H225"/>
    </row>
    <row r="226" spans="1:8" x14ac:dyDescent="0.25">
      <c r="A226" s="26"/>
      <c r="B226" s="26" t="s">
        <v>491</v>
      </c>
      <c r="C226" s="26" t="str">
        <f t="shared" si="10"/>
        <v>12.1Viet</v>
      </c>
      <c r="D226" s="6" t="s">
        <v>418</v>
      </c>
      <c r="E226" s="30" t="s">
        <v>3</v>
      </c>
      <c r="F226" s="12" t="str">
        <f t="shared" si="9"/>
        <v/>
      </c>
      <c r="G226" s="9" t="str">
        <f t="shared" si="11"/>
        <v/>
      </c>
    </row>
    <row r="227" spans="1:8" x14ac:dyDescent="0.25">
      <c r="A227" s="26">
        <v>71</v>
      </c>
      <c r="B227" s="26" t="s">
        <v>491</v>
      </c>
      <c r="C227" s="26" t="str">
        <f t="shared" si="10"/>
        <v>12.1Eng</v>
      </c>
      <c r="D227" s="5" t="s">
        <v>171</v>
      </c>
      <c r="E227" s="31" t="s">
        <v>4</v>
      </c>
      <c r="F227" s="14" t="str">
        <f t="shared" si="9"/>
        <v/>
      </c>
      <c r="G227" s="9" t="str">
        <f t="shared" si="11"/>
        <v/>
      </c>
    </row>
    <row r="228" spans="1:8" x14ac:dyDescent="0.25">
      <c r="A228" s="27"/>
      <c r="B228" s="27" t="s">
        <v>491</v>
      </c>
      <c r="C228" s="27" t="str">
        <f t="shared" si="10"/>
        <v>12.1Phon</v>
      </c>
      <c r="D228" s="2" t="s">
        <v>172</v>
      </c>
      <c r="E228" s="32" t="s">
        <v>5</v>
      </c>
      <c r="F228" s="13" t="str">
        <f t="shared" si="9"/>
        <v/>
      </c>
      <c r="G228" s="9" t="str">
        <f t="shared" si="11"/>
        <v/>
      </c>
    </row>
    <row r="229" spans="1:8" x14ac:dyDescent="0.25">
      <c r="A229" s="26"/>
      <c r="B229" s="26" t="s">
        <v>492</v>
      </c>
      <c r="C229" s="26" t="str">
        <f t="shared" si="10"/>
        <v>12.2Viet</v>
      </c>
      <c r="D229" s="6" t="s">
        <v>419</v>
      </c>
      <c r="E229" s="30" t="s">
        <v>3</v>
      </c>
      <c r="F229" s="12" t="str">
        <f t="shared" si="9"/>
        <v/>
      </c>
      <c r="G229" s="9" t="str">
        <f t="shared" si="11"/>
        <v/>
      </c>
    </row>
    <row r="230" spans="1:8" x14ac:dyDescent="0.25">
      <c r="A230" s="26">
        <v>72</v>
      </c>
      <c r="B230" s="26" t="s">
        <v>492</v>
      </c>
      <c r="C230" s="26" t="str">
        <f t="shared" si="10"/>
        <v>12.2Eng</v>
      </c>
      <c r="D230" s="5" t="s">
        <v>173</v>
      </c>
      <c r="E230" s="31" t="s">
        <v>4</v>
      </c>
      <c r="F230" s="14" t="str">
        <f t="shared" si="9"/>
        <v/>
      </c>
      <c r="G230" s="9" t="str">
        <f t="shared" si="11"/>
        <v/>
      </c>
    </row>
    <row r="231" spans="1:8" x14ac:dyDescent="0.25">
      <c r="A231" s="27"/>
      <c r="B231" s="27" t="s">
        <v>492</v>
      </c>
      <c r="C231" s="27" t="str">
        <f t="shared" si="10"/>
        <v>12.2Phon</v>
      </c>
      <c r="D231" s="2" t="s">
        <v>174</v>
      </c>
      <c r="E231" s="32" t="s">
        <v>5</v>
      </c>
      <c r="F231" s="13" t="str">
        <f t="shared" si="9"/>
        <v/>
      </c>
      <c r="G231" s="9" t="str">
        <f t="shared" si="11"/>
        <v/>
      </c>
    </row>
    <row r="232" spans="1:8" x14ac:dyDescent="0.25">
      <c r="A232" s="26"/>
      <c r="B232" s="26" t="s">
        <v>493</v>
      </c>
      <c r="C232" s="26" t="str">
        <f t="shared" si="10"/>
        <v>12.3Viet</v>
      </c>
      <c r="D232" s="6" t="s">
        <v>420</v>
      </c>
      <c r="E232" s="30" t="s">
        <v>3</v>
      </c>
      <c r="F232" s="12" t="str">
        <f t="shared" si="9"/>
        <v/>
      </c>
      <c r="G232" s="9" t="str">
        <f t="shared" si="11"/>
        <v/>
      </c>
    </row>
    <row r="233" spans="1:8" x14ac:dyDescent="0.25">
      <c r="A233" s="26">
        <v>73</v>
      </c>
      <c r="B233" s="26" t="s">
        <v>493</v>
      </c>
      <c r="C233" s="26" t="str">
        <f t="shared" si="10"/>
        <v>12.3Eng</v>
      </c>
      <c r="D233" s="5" t="s">
        <v>421</v>
      </c>
      <c r="E233" s="31" t="s">
        <v>4</v>
      </c>
      <c r="F233" s="14" t="str">
        <f t="shared" si="9"/>
        <v/>
      </c>
      <c r="G233" s="9" t="str">
        <f t="shared" si="11"/>
        <v/>
      </c>
    </row>
    <row r="234" spans="1:8" x14ac:dyDescent="0.25">
      <c r="A234" s="27"/>
      <c r="B234" s="27" t="s">
        <v>493</v>
      </c>
      <c r="C234" s="27" t="str">
        <f t="shared" si="10"/>
        <v>12.3Phon</v>
      </c>
      <c r="D234" s="2" t="s">
        <v>175</v>
      </c>
      <c r="E234" s="32" t="s">
        <v>5</v>
      </c>
      <c r="F234" s="13" t="str">
        <f t="shared" si="9"/>
        <v/>
      </c>
      <c r="G234" s="9" t="str">
        <f t="shared" si="11"/>
        <v/>
      </c>
    </row>
    <row r="235" spans="1:8" x14ac:dyDescent="0.25">
      <c r="A235" s="26"/>
      <c r="B235" s="26" t="s">
        <v>494</v>
      </c>
      <c r="C235" s="26" t="str">
        <f t="shared" si="10"/>
        <v>12.4Viet</v>
      </c>
      <c r="D235" s="6" t="s">
        <v>313</v>
      </c>
      <c r="E235" s="30" t="s">
        <v>3</v>
      </c>
      <c r="F235" s="12" t="str">
        <f t="shared" si="9"/>
        <v/>
      </c>
      <c r="G235" s="9" t="str">
        <f t="shared" si="11"/>
        <v/>
      </c>
    </row>
    <row r="236" spans="1:8" x14ac:dyDescent="0.25">
      <c r="A236" s="26">
        <v>74</v>
      </c>
      <c r="B236" s="26" t="s">
        <v>494</v>
      </c>
      <c r="C236" s="26" t="str">
        <f t="shared" si="10"/>
        <v>12.4Eng</v>
      </c>
      <c r="D236" s="5" t="s">
        <v>422</v>
      </c>
      <c r="E236" s="31" t="s">
        <v>4</v>
      </c>
      <c r="F236" s="14" t="str">
        <f t="shared" si="9"/>
        <v/>
      </c>
      <c r="G236" s="9" t="str">
        <f t="shared" si="11"/>
        <v/>
      </c>
    </row>
    <row r="237" spans="1:8" x14ac:dyDescent="0.25">
      <c r="A237" s="27"/>
      <c r="B237" s="27" t="s">
        <v>494</v>
      </c>
      <c r="C237" s="27" t="str">
        <f t="shared" si="10"/>
        <v>12.4Phon</v>
      </c>
      <c r="D237" s="2" t="s">
        <v>176</v>
      </c>
      <c r="E237" s="32" t="s">
        <v>5</v>
      </c>
      <c r="F237" s="13" t="str">
        <f t="shared" si="9"/>
        <v/>
      </c>
      <c r="G237" s="9" t="str">
        <f t="shared" si="11"/>
        <v/>
      </c>
    </row>
    <row r="238" spans="1:8" x14ac:dyDescent="0.25">
      <c r="A238" s="26"/>
      <c r="B238" s="26" t="s">
        <v>495</v>
      </c>
      <c r="C238" s="26" t="str">
        <f t="shared" si="10"/>
        <v>12.5Viet</v>
      </c>
      <c r="D238" s="6" t="s">
        <v>328</v>
      </c>
      <c r="E238" s="30" t="s">
        <v>3</v>
      </c>
      <c r="F238" s="12" t="str">
        <f t="shared" si="9"/>
        <v/>
      </c>
      <c r="G238" s="9" t="str">
        <f t="shared" si="11"/>
        <v/>
      </c>
    </row>
    <row r="239" spans="1:8" x14ac:dyDescent="0.25">
      <c r="A239" s="26">
        <v>75</v>
      </c>
      <c r="B239" s="26" t="s">
        <v>495</v>
      </c>
      <c r="C239" s="26" t="str">
        <f t="shared" si="10"/>
        <v>12.5Eng</v>
      </c>
      <c r="D239" s="5" t="s">
        <v>423</v>
      </c>
      <c r="E239" s="31" t="s">
        <v>4</v>
      </c>
      <c r="F239" s="14" t="str">
        <f t="shared" si="9"/>
        <v/>
      </c>
      <c r="G239" s="9" t="str">
        <f t="shared" si="11"/>
        <v/>
      </c>
    </row>
    <row r="240" spans="1:8" x14ac:dyDescent="0.25">
      <c r="A240" s="27"/>
      <c r="B240" s="27" t="s">
        <v>495</v>
      </c>
      <c r="C240" s="27" t="str">
        <f t="shared" si="10"/>
        <v>12.5Phon</v>
      </c>
      <c r="D240" s="2" t="s">
        <v>177</v>
      </c>
      <c r="E240" s="32" t="s">
        <v>5</v>
      </c>
      <c r="F240" s="13" t="str">
        <f t="shared" si="9"/>
        <v/>
      </c>
      <c r="G240" s="9" t="str">
        <f t="shared" si="11"/>
        <v/>
      </c>
    </row>
    <row r="241" spans="1:8" s="21" customFormat="1" x14ac:dyDescent="0.25">
      <c r="A241" s="25"/>
      <c r="B241" s="24">
        <v>13</v>
      </c>
      <c r="C241" s="25" t="str">
        <f t="shared" si="10"/>
        <v>13Struc</v>
      </c>
      <c r="D241" s="19" t="s">
        <v>302</v>
      </c>
      <c r="E241" s="29" t="s">
        <v>11</v>
      </c>
      <c r="F241" s="20" t="str">
        <f t="shared" si="9"/>
        <v/>
      </c>
      <c r="G241" s="9" t="str">
        <f t="shared" si="11"/>
        <v/>
      </c>
      <c r="H241"/>
    </row>
    <row r="242" spans="1:8" x14ac:dyDescent="0.25">
      <c r="A242" s="26"/>
      <c r="B242" s="26" t="s">
        <v>496</v>
      </c>
      <c r="C242" s="26" t="str">
        <f t="shared" si="10"/>
        <v>13.1Viet</v>
      </c>
      <c r="D242" s="6" t="s">
        <v>424</v>
      </c>
      <c r="E242" s="30" t="s">
        <v>3</v>
      </c>
      <c r="F242" s="12" t="str">
        <f t="shared" si="9"/>
        <v/>
      </c>
      <c r="G242" s="9" t="str">
        <f t="shared" si="11"/>
        <v/>
      </c>
    </row>
    <row r="243" spans="1:8" x14ac:dyDescent="0.25">
      <c r="A243" s="26">
        <v>76</v>
      </c>
      <c r="B243" s="26" t="s">
        <v>496</v>
      </c>
      <c r="C243" s="26" t="str">
        <f t="shared" si="10"/>
        <v>13.1Eng</v>
      </c>
      <c r="D243" s="5" t="s">
        <v>178</v>
      </c>
      <c r="E243" s="31" t="s">
        <v>4</v>
      </c>
      <c r="F243" s="14" t="str">
        <f t="shared" si="9"/>
        <v/>
      </c>
      <c r="G243" s="9" t="str">
        <f t="shared" si="11"/>
        <v/>
      </c>
    </row>
    <row r="244" spans="1:8" x14ac:dyDescent="0.25">
      <c r="A244" s="27"/>
      <c r="B244" s="27" t="s">
        <v>496</v>
      </c>
      <c r="C244" s="27" t="str">
        <f t="shared" si="10"/>
        <v>13.1Phon</v>
      </c>
      <c r="D244" s="2" t="s">
        <v>179</v>
      </c>
      <c r="E244" s="32" t="s">
        <v>5</v>
      </c>
      <c r="F244" s="13" t="str">
        <f t="shared" si="9"/>
        <v/>
      </c>
      <c r="G244" s="9" t="str">
        <f t="shared" si="11"/>
        <v/>
      </c>
    </row>
    <row r="245" spans="1:8" x14ac:dyDescent="0.25">
      <c r="A245" s="26"/>
      <c r="B245" s="26" t="s">
        <v>497</v>
      </c>
      <c r="C245" s="26" t="str">
        <f t="shared" si="10"/>
        <v>13.2Viet</v>
      </c>
      <c r="D245" s="6" t="s">
        <v>425</v>
      </c>
      <c r="E245" s="30" t="s">
        <v>3</v>
      </c>
      <c r="F245" s="12" t="str">
        <f t="shared" si="9"/>
        <v/>
      </c>
      <c r="G245" s="9" t="str">
        <f t="shared" si="11"/>
        <v/>
      </c>
    </row>
    <row r="246" spans="1:8" x14ac:dyDescent="0.25">
      <c r="A246" s="26">
        <v>77</v>
      </c>
      <c r="B246" s="26" t="s">
        <v>497</v>
      </c>
      <c r="C246" s="26" t="str">
        <f t="shared" si="10"/>
        <v>13.2Eng</v>
      </c>
      <c r="D246" s="5" t="s">
        <v>180</v>
      </c>
      <c r="E246" s="31" t="s">
        <v>4</v>
      </c>
      <c r="F246" s="14" t="str">
        <f t="shared" si="9"/>
        <v/>
      </c>
      <c r="G246" s="9" t="str">
        <f t="shared" si="11"/>
        <v/>
      </c>
    </row>
    <row r="247" spans="1:8" x14ac:dyDescent="0.25">
      <c r="A247" s="27"/>
      <c r="B247" s="27" t="s">
        <v>497</v>
      </c>
      <c r="C247" s="27" t="str">
        <f t="shared" si="10"/>
        <v>13.2Phon</v>
      </c>
      <c r="D247" s="2" t="s">
        <v>181</v>
      </c>
      <c r="E247" s="32" t="s">
        <v>5</v>
      </c>
      <c r="F247" s="13" t="str">
        <f t="shared" si="9"/>
        <v/>
      </c>
      <c r="G247" s="9" t="str">
        <f t="shared" si="11"/>
        <v/>
      </c>
    </row>
    <row r="248" spans="1:8" x14ac:dyDescent="0.25">
      <c r="A248" s="26"/>
      <c r="B248" s="26" t="s">
        <v>498</v>
      </c>
      <c r="C248" s="26" t="str">
        <f t="shared" si="10"/>
        <v>13.3Viet</v>
      </c>
      <c r="D248" s="6" t="s">
        <v>426</v>
      </c>
      <c r="E248" s="30" t="s">
        <v>3</v>
      </c>
      <c r="F248" s="12" t="str">
        <f t="shared" si="9"/>
        <v/>
      </c>
      <c r="G248" s="9" t="str">
        <f t="shared" si="11"/>
        <v/>
      </c>
    </row>
    <row r="249" spans="1:8" x14ac:dyDescent="0.25">
      <c r="A249" s="26">
        <v>78</v>
      </c>
      <c r="B249" s="26" t="s">
        <v>498</v>
      </c>
      <c r="C249" s="26" t="str">
        <f t="shared" si="10"/>
        <v>13.3Eng</v>
      </c>
      <c r="D249" s="5" t="s">
        <v>182</v>
      </c>
      <c r="E249" s="31" t="s">
        <v>4</v>
      </c>
      <c r="F249" s="14" t="str">
        <f t="shared" si="9"/>
        <v/>
      </c>
      <c r="G249" s="9" t="str">
        <f t="shared" si="11"/>
        <v/>
      </c>
    </row>
    <row r="250" spans="1:8" x14ac:dyDescent="0.25">
      <c r="A250" s="27"/>
      <c r="B250" s="27" t="s">
        <v>498</v>
      </c>
      <c r="C250" s="27" t="str">
        <f t="shared" si="10"/>
        <v>13.3Phon</v>
      </c>
      <c r="D250" s="2" t="s">
        <v>183</v>
      </c>
      <c r="E250" s="32" t="s">
        <v>5</v>
      </c>
      <c r="F250" s="13" t="str">
        <f t="shared" si="9"/>
        <v/>
      </c>
      <c r="G250" s="9" t="str">
        <f t="shared" si="11"/>
        <v/>
      </c>
    </row>
    <row r="251" spans="1:8" x14ac:dyDescent="0.25">
      <c r="A251" s="26"/>
      <c r="B251" s="26" t="s">
        <v>499</v>
      </c>
      <c r="C251" s="26" t="str">
        <f t="shared" si="10"/>
        <v>13.4Viet</v>
      </c>
      <c r="D251" s="6" t="s">
        <v>314</v>
      </c>
      <c r="E251" s="30" t="s">
        <v>3</v>
      </c>
      <c r="F251" s="12" t="str">
        <f t="shared" si="9"/>
        <v/>
      </c>
      <c r="G251" s="9" t="str">
        <f t="shared" si="11"/>
        <v/>
      </c>
    </row>
    <row r="252" spans="1:8" x14ac:dyDescent="0.25">
      <c r="A252" s="26">
        <v>79</v>
      </c>
      <c r="B252" s="26" t="s">
        <v>499</v>
      </c>
      <c r="C252" s="26" t="str">
        <f t="shared" si="10"/>
        <v>13.4Eng</v>
      </c>
      <c r="D252" s="5" t="s">
        <v>184</v>
      </c>
      <c r="E252" s="31" t="s">
        <v>4</v>
      </c>
      <c r="F252" s="14" t="str">
        <f t="shared" si="9"/>
        <v/>
      </c>
      <c r="G252" s="9" t="str">
        <f t="shared" si="11"/>
        <v/>
      </c>
    </row>
    <row r="253" spans="1:8" x14ac:dyDescent="0.25">
      <c r="A253" s="27"/>
      <c r="B253" s="27" t="s">
        <v>499</v>
      </c>
      <c r="C253" s="27" t="str">
        <f t="shared" si="10"/>
        <v>13.4Phon</v>
      </c>
      <c r="D253" s="2" t="s">
        <v>185</v>
      </c>
      <c r="E253" s="32" t="s">
        <v>5</v>
      </c>
      <c r="F253" s="13" t="str">
        <f t="shared" si="9"/>
        <v/>
      </c>
      <c r="G253" s="9" t="str">
        <f t="shared" si="11"/>
        <v/>
      </c>
    </row>
    <row r="254" spans="1:8" s="21" customFormat="1" x14ac:dyDescent="0.25">
      <c r="A254" s="25"/>
      <c r="B254" s="24">
        <v>14</v>
      </c>
      <c r="C254" s="25" t="str">
        <f t="shared" si="10"/>
        <v>14Struc</v>
      </c>
      <c r="D254" s="19" t="s">
        <v>301</v>
      </c>
      <c r="E254" s="29" t="s">
        <v>11</v>
      </c>
      <c r="F254" s="20" t="str">
        <f t="shared" si="9"/>
        <v/>
      </c>
      <c r="G254" s="9" t="str">
        <f t="shared" si="11"/>
        <v/>
      </c>
      <c r="H254"/>
    </row>
    <row r="255" spans="1:8" x14ac:dyDescent="0.25">
      <c r="A255" s="26"/>
      <c r="B255" s="26" t="s">
        <v>500</v>
      </c>
      <c r="C255" s="26" t="str">
        <f t="shared" si="10"/>
        <v>14.1Viet</v>
      </c>
      <c r="D255" s="6" t="s">
        <v>427</v>
      </c>
      <c r="E255" s="30" t="s">
        <v>3</v>
      </c>
      <c r="F255" s="12" t="str">
        <f t="shared" si="9"/>
        <v/>
      </c>
      <c r="G255" s="9" t="str">
        <f t="shared" si="11"/>
        <v/>
      </c>
    </row>
    <row r="256" spans="1:8" x14ac:dyDescent="0.25">
      <c r="A256" s="26">
        <v>80</v>
      </c>
      <c r="B256" s="26" t="s">
        <v>500</v>
      </c>
      <c r="C256" s="26" t="str">
        <f t="shared" si="10"/>
        <v>14.1Eng</v>
      </c>
      <c r="D256" s="5" t="s">
        <v>186</v>
      </c>
      <c r="E256" s="31" t="s">
        <v>4</v>
      </c>
      <c r="F256" s="14" t="str">
        <f t="shared" si="9"/>
        <v/>
      </c>
      <c r="G256" s="9" t="str">
        <f t="shared" si="11"/>
        <v/>
      </c>
    </row>
    <row r="257" spans="1:8" x14ac:dyDescent="0.25">
      <c r="A257" s="27"/>
      <c r="B257" s="27" t="s">
        <v>500</v>
      </c>
      <c r="C257" s="27" t="str">
        <f t="shared" si="10"/>
        <v>14.1Phon</v>
      </c>
      <c r="D257" s="2" t="s">
        <v>187</v>
      </c>
      <c r="E257" s="32" t="s">
        <v>5</v>
      </c>
      <c r="F257" s="13" t="str">
        <f t="shared" si="9"/>
        <v/>
      </c>
      <c r="G257" s="9" t="str">
        <f t="shared" si="11"/>
        <v/>
      </c>
    </row>
    <row r="258" spans="1:8" x14ac:dyDescent="0.25">
      <c r="A258" s="26"/>
      <c r="B258" s="26" t="s">
        <v>501</v>
      </c>
      <c r="C258" s="26" t="str">
        <f t="shared" si="10"/>
        <v>14.2Viet</v>
      </c>
      <c r="D258" s="6" t="s">
        <v>428</v>
      </c>
      <c r="E258" s="30" t="s">
        <v>3</v>
      </c>
      <c r="F258" s="12" t="str">
        <f t="shared" si="9"/>
        <v/>
      </c>
      <c r="G258" s="9" t="str">
        <f t="shared" si="11"/>
        <v/>
      </c>
    </row>
    <row r="259" spans="1:8" x14ac:dyDescent="0.25">
      <c r="A259" s="26">
        <v>81</v>
      </c>
      <c r="B259" s="26" t="s">
        <v>501</v>
      </c>
      <c r="C259" s="26" t="str">
        <f t="shared" si="10"/>
        <v>14.2Eng</v>
      </c>
      <c r="D259" s="5" t="s">
        <v>188</v>
      </c>
      <c r="E259" s="31" t="s">
        <v>4</v>
      </c>
      <c r="F259" s="14" t="str">
        <f t="shared" si="9"/>
        <v/>
      </c>
      <c r="G259" s="9" t="str">
        <f t="shared" si="11"/>
        <v/>
      </c>
    </row>
    <row r="260" spans="1:8" x14ac:dyDescent="0.25">
      <c r="A260" s="27"/>
      <c r="B260" s="27" t="s">
        <v>501</v>
      </c>
      <c r="C260" s="27" t="str">
        <f t="shared" si="10"/>
        <v>14.2Phon</v>
      </c>
      <c r="D260" s="2" t="s">
        <v>189</v>
      </c>
      <c r="E260" s="32" t="s">
        <v>5</v>
      </c>
      <c r="F260" s="13" t="str">
        <f t="shared" ref="F260:F323" si="12">IF(G260="","","https://docs.google.com/uc?export=download&amp;id="&amp;G260)</f>
        <v/>
      </c>
      <c r="G260" s="9" t="str">
        <f t="shared" si="11"/>
        <v/>
      </c>
    </row>
    <row r="261" spans="1:8" x14ac:dyDescent="0.25">
      <c r="A261" s="26"/>
      <c r="B261" s="26" t="s">
        <v>502</v>
      </c>
      <c r="C261" s="26" t="str">
        <f t="shared" ref="C261:C324" si="13">B261&amp;E261</f>
        <v>14.3Viet</v>
      </c>
      <c r="D261" s="6" t="s">
        <v>429</v>
      </c>
      <c r="E261" s="30" t="s">
        <v>3</v>
      </c>
      <c r="F261" s="12" t="str">
        <f t="shared" si="12"/>
        <v/>
      </c>
      <c r="G261" s="9" t="str">
        <f t="shared" ref="G261:G324" si="14">IFERROR(LEFT(RIGHT(H261,LEN(H261)-32),LEN(RIGHT(H261,LEN(H261)-32))-17),"")</f>
        <v/>
      </c>
    </row>
    <row r="262" spans="1:8" x14ac:dyDescent="0.25">
      <c r="A262" s="26">
        <v>82</v>
      </c>
      <c r="B262" s="26" t="s">
        <v>502</v>
      </c>
      <c r="C262" s="26" t="str">
        <f t="shared" si="13"/>
        <v>14.3Eng</v>
      </c>
      <c r="D262" s="5" t="s">
        <v>190</v>
      </c>
      <c r="E262" s="31" t="s">
        <v>4</v>
      </c>
      <c r="F262" s="14" t="str">
        <f t="shared" si="12"/>
        <v/>
      </c>
      <c r="G262" s="9" t="str">
        <f t="shared" si="14"/>
        <v/>
      </c>
    </row>
    <row r="263" spans="1:8" x14ac:dyDescent="0.25">
      <c r="A263" s="27"/>
      <c r="B263" s="27" t="s">
        <v>502</v>
      </c>
      <c r="C263" s="27" t="str">
        <f t="shared" si="13"/>
        <v>14.3Phon</v>
      </c>
      <c r="D263" s="2" t="s">
        <v>191</v>
      </c>
      <c r="E263" s="32" t="s">
        <v>5</v>
      </c>
      <c r="F263" s="13" t="str">
        <f t="shared" si="12"/>
        <v/>
      </c>
      <c r="G263" s="9" t="str">
        <f t="shared" si="14"/>
        <v/>
      </c>
    </row>
    <row r="264" spans="1:8" x14ac:dyDescent="0.25">
      <c r="A264" s="26"/>
      <c r="B264" s="26" t="s">
        <v>503</v>
      </c>
      <c r="C264" s="26" t="str">
        <f t="shared" si="13"/>
        <v>14.4Viet</v>
      </c>
      <c r="D264" s="6" t="s">
        <v>315</v>
      </c>
      <c r="E264" s="30" t="s">
        <v>3</v>
      </c>
      <c r="F264" s="12" t="str">
        <f t="shared" si="12"/>
        <v/>
      </c>
      <c r="G264" s="9" t="str">
        <f t="shared" si="14"/>
        <v/>
      </c>
    </row>
    <row r="265" spans="1:8" x14ac:dyDescent="0.25">
      <c r="A265" s="26">
        <v>83</v>
      </c>
      <c r="B265" s="26" t="s">
        <v>503</v>
      </c>
      <c r="C265" s="26" t="str">
        <f t="shared" si="13"/>
        <v>14.4Eng</v>
      </c>
      <c r="D265" s="5" t="s">
        <v>192</v>
      </c>
      <c r="E265" s="31" t="s">
        <v>4</v>
      </c>
      <c r="F265" s="14" t="str">
        <f t="shared" si="12"/>
        <v/>
      </c>
      <c r="G265" s="9" t="str">
        <f t="shared" si="14"/>
        <v/>
      </c>
    </row>
    <row r="266" spans="1:8" x14ac:dyDescent="0.25">
      <c r="A266" s="27"/>
      <c r="B266" s="27" t="s">
        <v>503</v>
      </c>
      <c r="C266" s="27" t="str">
        <f t="shared" si="13"/>
        <v>14.4Phon</v>
      </c>
      <c r="D266" s="2" t="s">
        <v>193</v>
      </c>
      <c r="E266" s="32" t="s">
        <v>5</v>
      </c>
      <c r="F266" s="13" t="str">
        <f t="shared" si="12"/>
        <v/>
      </c>
      <c r="G266" s="9" t="str">
        <f t="shared" si="14"/>
        <v/>
      </c>
    </row>
    <row r="267" spans="1:8" s="21" customFormat="1" x14ac:dyDescent="0.25">
      <c r="A267" s="25"/>
      <c r="B267" s="24">
        <v>15</v>
      </c>
      <c r="C267" s="25" t="str">
        <f t="shared" si="13"/>
        <v>15Struc</v>
      </c>
      <c r="D267" s="19" t="s">
        <v>300</v>
      </c>
      <c r="E267" s="29" t="s">
        <v>11</v>
      </c>
      <c r="F267" s="20" t="str">
        <f t="shared" si="12"/>
        <v/>
      </c>
      <c r="G267" s="9" t="str">
        <f t="shared" si="14"/>
        <v/>
      </c>
      <c r="H267"/>
    </row>
    <row r="268" spans="1:8" x14ac:dyDescent="0.25">
      <c r="A268" s="26"/>
      <c r="B268" s="26" t="s">
        <v>504</v>
      </c>
      <c r="C268" s="26" t="str">
        <f t="shared" si="13"/>
        <v>15.1Viet</v>
      </c>
      <c r="D268" s="6" t="s">
        <v>430</v>
      </c>
      <c r="E268" s="30" t="s">
        <v>3</v>
      </c>
      <c r="F268" s="12" t="str">
        <f t="shared" si="12"/>
        <v/>
      </c>
      <c r="G268" s="9" t="str">
        <f t="shared" si="14"/>
        <v/>
      </c>
    </row>
    <row r="269" spans="1:8" x14ac:dyDescent="0.25">
      <c r="A269" s="26">
        <v>84</v>
      </c>
      <c r="B269" s="26" t="s">
        <v>504</v>
      </c>
      <c r="C269" s="26" t="str">
        <f t="shared" si="13"/>
        <v>15.1Eng</v>
      </c>
      <c r="D269" s="5" t="s">
        <v>194</v>
      </c>
      <c r="E269" s="31" t="s">
        <v>4</v>
      </c>
      <c r="F269" s="14" t="str">
        <f t="shared" si="12"/>
        <v/>
      </c>
      <c r="G269" s="9" t="str">
        <f t="shared" si="14"/>
        <v/>
      </c>
    </row>
    <row r="270" spans="1:8" x14ac:dyDescent="0.25">
      <c r="A270" s="27"/>
      <c r="B270" s="27" t="s">
        <v>504</v>
      </c>
      <c r="C270" s="27" t="str">
        <f t="shared" si="13"/>
        <v>15.1Phon</v>
      </c>
      <c r="D270" s="2" t="s">
        <v>195</v>
      </c>
      <c r="E270" s="32" t="s">
        <v>5</v>
      </c>
      <c r="F270" s="13" t="str">
        <f t="shared" si="12"/>
        <v/>
      </c>
      <c r="G270" s="9" t="str">
        <f t="shared" si="14"/>
        <v/>
      </c>
    </row>
    <row r="271" spans="1:8" x14ac:dyDescent="0.25">
      <c r="A271" s="26"/>
      <c r="B271" s="26" t="s">
        <v>505</v>
      </c>
      <c r="C271" s="26" t="str">
        <f t="shared" si="13"/>
        <v>15.2Viet</v>
      </c>
      <c r="D271" s="6" t="s">
        <v>431</v>
      </c>
      <c r="E271" s="30" t="s">
        <v>3</v>
      </c>
      <c r="F271" s="12" t="str">
        <f t="shared" si="12"/>
        <v/>
      </c>
      <c r="G271" s="9" t="str">
        <f t="shared" si="14"/>
        <v/>
      </c>
    </row>
    <row r="272" spans="1:8" x14ac:dyDescent="0.25">
      <c r="A272" s="26">
        <v>85</v>
      </c>
      <c r="B272" s="26" t="s">
        <v>505</v>
      </c>
      <c r="C272" s="26" t="str">
        <f t="shared" si="13"/>
        <v>15.2Eng</v>
      </c>
      <c r="D272" s="5" t="s">
        <v>196</v>
      </c>
      <c r="E272" s="31" t="s">
        <v>4</v>
      </c>
      <c r="F272" s="14" t="str">
        <f t="shared" si="12"/>
        <v/>
      </c>
      <c r="G272" s="9" t="str">
        <f t="shared" si="14"/>
        <v/>
      </c>
    </row>
    <row r="273" spans="1:8" x14ac:dyDescent="0.25">
      <c r="A273" s="27"/>
      <c r="B273" s="27" t="s">
        <v>505</v>
      </c>
      <c r="C273" s="27" t="str">
        <f t="shared" si="13"/>
        <v>15.2Phon</v>
      </c>
      <c r="D273" s="2" t="s">
        <v>197</v>
      </c>
      <c r="E273" s="32" t="s">
        <v>5</v>
      </c>
      <c r="F273" s="13" t="str">
        <f t="shared" si="12"/>
        <v/>
      </c>
      <c r="G273" s="9" t="str">
        <f t="shared" si="14"/>
        <v/>
      </c>
    </row>
    <row r="274" spans="1:8" x14ac:dyDescent="0.25">
      <c r="A274" s="26"/>
      <c r="B274" s="26" t="s">
        <v>506</v>
      </c>
      <c r="C274" s="26" t="str">
        <f t="shared" si="13"/>
        <v>15.3Viet</v>
      </c>
      <c r="D274" s="6" t="s">
        <v>432</v>
      </c>
      <c r="E274" s="30" t="s">
        <v>3</v>
      </c>
      <c r="F274" s="12" t="str">
        <f t="shared" si="12"/>
        <v/>
      </c>
      <c r="G274" s="9" t="str">
        <f t="shared" si="14"/>
        <v/>
      </c>
    </row>
    <row r="275" spans="1:8" x14ac:dyDescent="0.25">
      <c r="A275" s="26">
        <v>86</v>
      </c>
      <c r="B275" s="26" t="s">
        <v>506</v>
      </c>
      <c r="C275" s="26" t="str">
        <f t="shared" si="13"/>
        <v>15.3Eng</v>
      </c>
      <c r="D275" s="5" t="s">
        <v>198</v>
      </c>
      <c r="E275" s="31" t="s">
        <v>4</v>
      </c>
      <c r="F275" s="14" t="str">
        <f t="shared" si="12"/>
        <v/>
      </c>
      <c r="G275" s="9" t="str">
        <f t="shared" si="14"/>
        <v/>
      </c>
    </row>
    <row r="276" spans="1:8" x14ac:dyDescent="0.25">
      <c r="A276" s="27"/>
      <c r="B276" s="27" t="s">
        <v>506</v>
      </c>
      <c r="C276" s="27" t="str">
        <f t="shared" si="13"/>
        <v>15.3Phon</v>
      </c>
      <c r="D276" s="2" t="s">
        <v>199</v>
      </c>
      <c r="E276" s="32" t="s">
        <v>5</v>
      </c>
      <c r="F276" s="13" t="str">
        <f t="shared" si="12"/>
        <v/>
      </c>
      <c r="G276" s="9" t="str">
        <f t="shared" si="14"/>
        <v/>
      </c>
    </row>
    <row r="277" spans="1:8" x14ac:dyDescent="0.25">
      <c r="A277" s="26"/>
      <c r="B277" s="26" t="s">
        <v>507</v>
      </c>
      <c r="C277" s="26" t="str">
        <f t="shared" si="13"/>
        <v>15.4Viet</v>
      </c>
      <c r="D277" s="6" t="s">
        <v>316</v>
      </c>
      <c r="E277" s="30" t="s">
        <v>3</v>
      </c>
      <c r="F277" s="12" t="str">
        <f t="shared" si="12"/>
        <v/>
      </c>
      <c r="G277" s="9" t="str">
        <f t="shared" si="14"/>
        <v/>
      </c>
    </row>
    <row r="278" spans="1:8" x14ac:dyDescent="0.25">
      <c r="A278" s="26">
        <v>87</v>
      </c>
      <c r="B278" s="26" t="s">
        <v>507</v>
      </c>
      <c r="C278" s="26" t="str">
        <f t="shared" si="13"/>
        <v>15.4Eng</v>
      </c>
      <c r="D278" s="5" t="s">
        <v>200</v>
      </c>
      <c r="E278" s="31" t="s">
        <v>4</v>
      </c>
      <c r="F278" s="14" t="str">
        <f t="shared" si="12"/>
        <v/>
      </c>
      <c r="G278" s="9" t="str">
        <f t="shared" si="14"/>
        <v/>
      </c>
    </row>
    <row r="279" spans="1:8" x14ac:dyDescent="0.25">
      <c r="A279" s="27"/>
      <c r="B279" s="27" t="s">
        <v>507</v>
      </c>
      <c r="C279" s="27" t="str">
        <f t="shared" si="13"/>
        <v>15.4Phon</v>
      </c>
      <c r="D279" s="2" t="s">
        <v>201</v>
      </c>
      <c r="E279" s="32" t="s">
        <v>5</v>
      </c>
      <c r="F279" s="13" t="str">
        <f t="shared" si="12"/>
        <v/>
      </c>
      <c r="G279" s="9" t="str">
        <f t="shared" si="14"/>
        <v/>
      </c>
    </row>
    <row r="280" spans="1:8" s="21" customFormat="1" x14ac:dyDescent="0.25">
      <c r="A280" s="25"/>
      <c r="B280" s="24">
        <v>16</v>
      </c>
      <c r="C280" s="25" t="str">
        <f t="shared" si="13"/>
        <v>16Struc</v>
      </c>
      <c r="D280" s="19" t="s">
        <v>299</v>
      </c>
      <c r="E280" s="29" t="s">
        <v>11</v>
      </c>
      <c r="F280" s="20" t="str">
        <f t="shared" si="12"/>
        <v/>
      </c>
      <c r="G280" s="9" t="str">
        <f t="shared" si="14"/>
        <v/>
      </c>
      <c r="H280"/>
    </row>
    <row r="281" spans="1:8" x14ac:dyDescent="0.25">
      <c r="A281" s="26"/>
      <c r="B281" s="26" t="s">
        <v>508</v>
      </c>
      <c r="C281" s="26" t="str">
        <f t="shared" si="13"/>
        <v>16.1Viet</v>
      </c>
      <c r="D281" s="6" t="s">
        <v>433</v>
      </c>
      <c r="E281" s="30" t="s">
        <v>3</v>
      </c>
      <c r="F281" s="12" t="str">
        <f t="shared" si="12"/>
        <v/>
      </c>
      <c r="G281" s="9" t="str">
        <f t="shared" si="14"/>
        <v/>
      </c>
    </row>
    <row r="282" spans="1:8" x14ac:dyDescent="0.25">
      <c r="A282" s="26">
        <v>88</v>
      </c>
      <c r="B282" s="26" t="s">
        <v>508</v>
      </c>
      <c r="C282" s="26" t="str">
        <f t="shared" si="13"/>
        <v>16.1Eng</v>
      </c>
      <c r="D282" s="5" t="s">
        <v>202</v>
      </c>
      <c r="E282" s="31" t="s">
        <v>4</v>
      </c>
      <c r="F282" s="14" t="str">
        <f t="shared" si="12"/>
        <v/>
      </c>
      <c r="G282" s="9" t="str">
        <f t="shared" si="14"/>
        <v/>
      </c>
    </row>
    <row r="283" spans="1:8" x14ac:dyDescent="0.25">
      <c r="A283" s="27"/>
      <c r="B283" s="27" t="s">
        <v>508</v>
      </c>
      <c r="C283" s="27" t="str">
        <f t="shared" si="13"/>
        <v>16.1Phon</v>
      </c>
      <c r="D283" s="2" t="s">
        <v>203</v>
      </c>
      <c r="E283" s="32" t="s">
        <v>5</v>
      </c>
      <c r="F283" s="13" t="str">
        <f t="shared" si="12"/>
        <v/>
      </c>
      <c r="G283" s="9" t="str">
        <f t="shared" si="14"/>
        <v/>
      </c>
    </row>
    <row r="284" spans="1:8" x14ac:dyDescent="0.25">
      <c r="A284" s="26"/>
      <c r="B284" s="26" t="s">
        <v>509</v>
      </c>
      <c r="C284" s="26" t="str">
        <f t="shared" si="13"/>
        <v>16.2Viet</v>
      </c>
      <c r="D284" s="6" t="s">
        <v>434</v>
      </c>
      <c r="E284" s="30" t="s">
        <v>3</v>
      </c>
      <c r="F284" s="12" t="str">
        <f t="shared" si="12"/>
        <v/>
      </c>
      <c r="G284" s="9" t="str">
        <f t="shared" si="14"/>
        <v/>
      </c>
    </row>
    <row r="285" spans="1:8" x14ac:dyDescent="0.25">
      <c r="A285" s="26">
        <v>89</v>
      </c>
      <c r="B285" s="26" t="s">
        <v>509</v>
      </c>
      <c r="C285" s="26" t="str">
        <f t="shared" si="13"/>
        <v>16.2Eng</v>
      </c>
      <c r="D285" s="5" t="s">
        <v>204</v>
      </c>
      <c r="E285" s="31" t="s">
        <v>4</v>
      </c>
      <c r="F285" s="14" t="str">
        <f t="shared" si="12"/>
        <v/>
      </c>
      <c r="G285" s="9" t="str">
        <f t="shared" si="14"/>
        <v/>
      </c>
    </row>
    <row r="286" spans="1:8" x14ac:dyDescent="0.25">
      <c r="A286" s="27"/>
      <c r="B286" s="27" t="s">
        <v>509</v>
      </c>
      <c r="C286" s="27" t="str">
        <f t="shared" si="13"/>
        <v>16.2Phon</v>
      </c>
      <c r="D286" s="2" t="s">
        <v>205</v>
      </c>
      <c r="E286" s="32" t="s">
        <v>5</v>
      </c>
      <c r="F286" s="13" t="str">
        <f t="shared" si="12"/>
        <v/>
      </c>
      <c r="G286" s="9" t="str">
        <f t="shared" si="14"/>
        <v/>
      </c>
    </row>
    <row r="287" spans="1:8" x14ac:dyDescent="0.25">
      <c r="A287" s="26"/>
      <c r="B287" s="26" t="s">
        <v>510</v>
      </c>
      <c r="C287" s="26" t="str">
        <f t="shared" si="13"/>
        <v>16.3Viet</v>
      </c>
      <c r="D287" s="6" t="s">
        <v>435</v>
      </c>
      <c r="E287" s="30" t="s">
        <v>3</v>
      </c>
      <c r="F287" s="12" t="str">
        <f t="shared" si="12"/>
        <v/>
      </c>
      <c r="G287" s="9" t="str">
        <f t="shared" si="14"/>
        <v/>
      </c>
    </row>
    <row r="288" spans="1:8" x14ac:dyDescent="0.25">
      <c r="A288" s="26">
        <v>90</v>
      </c>
      <c r="B288" s="26" t="s">
        <v>510</v>
      </c>
      <c r="C288" s="26" t="str">
        <f t="shared" si="13"/>
        <v>16.3Eng</v>
      </c>
      <c r="D288" s="5" t="s">
        <v>206</v>
      </c>
      <c r="E288" s="31" t="s">
        <v>4</v>
      </c>
      <c r="F288" s="14" t="str">
        <f t="shared" si="12"/>
        <v/>
      </c>
      <c r="G288" s="9" t="str">
        <f t="shared" si="14"/>
        <v/>
      </c>
    </row>
    <row r="289" spans="1:8" x14ac:dyDescent="0.25">
      <c r="A289" s="27"/>
      <c r="B289" s="27" t="s">
        <v>510</v>
      </c>
      <c r="C289" s="27" t="str">
        <f t="shared" si="13"/>
        <v>16.3Phon</v>
      </c>
      <c r="D289" s="2" t="s">
        <v>207</v>
      </c>
      <c r="E289" s="32" t="s">
        <v>5</v>
      </c>
      <c r="F289" s="13" t="str">
        <f t="shared" si="12"/>
        <v/>
      </c>
      <c r="G289" s="9" t="str">
        <f t="shared" si="14"/>
        <v/>
      </c>
    </row>
    <row r="290" spans="1:8" x14ac:dyDescent="0.25">
      <c r="A290" s="26"/>
      <c r="B290" s="26" t="s">
        <v>511</v>
      </c>
      <c r="C290" s="26" t="str">
        <f t="shared" si="13"/>
        <v>16.4Viet</v>
      </c>
      <c r="D290" s="6" t="s">
        <v>317</v>
      </c>
      <c r="E290" s="30" t="s">
        <v>3</v>
      </c>
      <c r="F290" s="12" t="str">
        <f t="shared" si="12"/>
        <v/>
      </c>
      <c r="G290" s="9" t="str">
        <f t="shared" si="14"/>
        <v/>
      </c>
    </row>
    <row r="291" spans="1:8" x14ac:dyDescent="0.25">
      <c r="A291" s="26">
        <v>91</v>
      </c>
      <c r="B291" s="26" t="s">
        <v>511</v>
      </c>
      <c r="C291" s="26" t="str">
        <f t="shared" si="13"/>
        <v>16.4Eng</v>
      </c>
      <c r="D291" s="5" t="s">
        <v>208</v>
      </c>
      <c r="E291" s="31" t="s">
        <v>4</v>
      </c>
      <c r="F291" s="14" t="str">
        <f t="shared" si="12"/>
        <v/>
      </c>
      <c r="G291" s="9" t="str">
        <f t="shared" si="14"/>
        <v/>
      </c>
    </row>
    <row r="292" spans="1:8" x14ac:dyDescent="0.25">
      <c r="A292" s="27"/>
      <c r="B292" s="27" t="s">
        <v>511</v>
      </c>
      <c r="C292" s="27" t="str">
        <f t="shared" si="13"/>
        <v>16.4Phon</v>
      </c>
      <c r="D292" s="2" t="s">
        <v>209</v>
      </c>
      <c r="E292" s="32" t="s">
        <v>5</v>
      </c>
      <c r="F292" s="13" t="str">
        <f t="shared" si="12"/>
        <v/>
      </c>
      <c r="G292" s="9" t="str">
        <f t="shared" si="14"/>
        <v/>
      </c>
    </row>
    <row r="293" spans="1:8" s="21" customFormat="1" x14ac:dyDescent="0.25">
      <c r="A293" s="25"/>
      <c r="B293" s="24">
        <v>17</v>
      </c>
      <c r="C293" s="25" t="str">
        <f t="shared" si="13"/>
        <v>17Struc</v>
      </c>
      <c r="D293" s="19" t="s">
        <v>298</v>
      </c>
      <c r="E293" s="29" t="s">
        <v>11</v>
      </c>
      <c r="F293" s="20" t="str">
        <f t="shared" si="12"/>
        <v/>
      </c>
      <c r="G293" s="9" t="str">
        <f t="shared" si="14"/>
        <v/>
      </c>
      <c r="H293"/>
    </row>
    <row r="294" spans="1:8" x14ac:dyDescent="0.25">
      <c r="A294" s="26"/>
      <c r="B294" s="26" t="s">
        <v>512</v>
      </c>
      <c r="C294" s="26" t="str">
        <f t="shared" si="13"/>
        <v>17.1Viet</v>
      </c>
      <c r="D294" s="6" t="s">
        <v>436</v>
      </c>
      <c r="E294" s="30" t="s">
        <v>3</v>
      </c>
      <c r="F294" s="12" t="str">
        <f t="shared" si="12"/>
        <v/>
      </c>
      <c r="G294" s="9" t="str">
        <f t="shared" si="14"/>
        <v/>
      </c>
    </row>
    <row r="295" spans="1:8" x14ac:dyDescent="0.25">
      <c r="A295" s="26">
        <v>92</v>
      </c>
      <c r="B295" s="26" t="s">
        <v>512</v>
      </c>
      <c r="C295" s="26" t="str">
        <f t="shared" si="13"/>
        <v>17.1Eng</v>
      </c>
      <c r="D295" s="5" t="s">
        <v>210</v>
      </c>
      <c r="E295" s="31" t="s">
        <v>4</v>
      </c>
      <c r="F295" s="14" t="str">
        <f t="shared" si="12"/>
        <v/>
      </c>
      <c r="G295" s="9" t="str">
        <f t="shared" si="14"/>
        <v/>
      </c>
    </row>
    <row r="296" spans="1:8" x14ac:dyDescent="0.25">
      <c r="A296" s="27"/>
      <c r="B296" s="27" t="s">
        <v>512</v>
      </c>
      <c r="C296" s="27" t="str">
        <f t="shared" si="13"/>
        <v>17.1Phon</v>
      </c>
      <c r="D296" s="2" t="s">
        <v>211</v>
      </c>
      <c r="E296" s="32" t="s">
        <v>5</v>
      </c>
      <c r="F296" s="13" t="str">
        <f t="shared" si="12"/>
        <v/>
      </c>
      <c r="G296" s="9" t="str">
        <f t="shared" si="14"/>
        <v/>
      </c>
    </row>
    <row r="297" spans="1:8" x14ac:dyDescent="0.25">
      <c r="A297" s="26"/>
      <c r="B297" s="26" t="s">
        <v>513</v>
      </c>
      <c r="C297" s="26" t="str">
        <f t="shared" si="13"/>
        <v>17.2Viet</v>
      </c>
      <c r="D297" s="6" t="s">
        <v>437</v>
      </c>
      <c r="E297" s="30" t="s">
        <v>3</v>
      </c>
      <c r="F297" s="12" t="str">
        <f t="shared" si="12"/>
        <v/>
      </c>
      <c r="G297" s="9" t="str">
        <f t="shared" si="14"/>
        <v/>
      </c>
    </row>
    <row r="298" spans="1:8" x14ac:dyDescent="0.25">
      <c r="A298" s="26">
        <v>93</v>
      </c>
      <c r="B298" s="26" t="s">
        <v>513</v>
      </c>
      <c r="C298" s="26" t="str">
        <f t="shared" si="13"/>
        <v>17.2Eng</v>
      </c>
      <c r="D298" s="5" t="s">
        <v>438</v>
      </c>
      <c r="E298" s="31" t="s">
        <v>4</v>
      </c>
      <c r="F298" s="14" t="str">
        <f t="shared" si="12"/>
        <v/>
      </c>
      <c r="G298" s="9" t="str">
        <f t="shared" si="14"/>
        <v/>
      </c>
    </row>
    <row r="299" spans="1:8" x14ac:dyDescent="0.25">
      <c r="A299" s="27"/>
      <c r="B299" s="27" t="s">
        <v>513</v>
      </c>
      <c r="C299" s="27" t="str">
        <f t="shared" si="13"/>
        <v>17.2Phon</v>
      </c>
      <c r="D299" s="2" t="s">
        <v>212</v>
      </c>
      <c r="E299" s="32" t="s">
        <v>5</v>
      </c>
      <c r="F299" s="13" t="str">
        <f t="shared" si="12"/>
        <v/>
      </c>
      <c r="G299" s="9" t="str">
        <f t="shared" si="14"/>
        <v/>
      </c>
    </row>
    <row r="300" spans="1:8" x14ac:dyDescent="0.25">
      <c r="A300" s="26"/>
      <c r="B300" s="26" t="s">
        <v>514</v>
      </c>
      <c r="C300" s="26" t="str">
        <f t="shared" si="13"/>
        <v>17.3Viet</v>
      </c>
      <c r="D300" s="6" t="s">
        <v>439</v>
      </c>
      <c r="E300" s="30" t="s">
        <v>3</v>
      </c>
      <c r="F300" s="12" t="str">
        <f t="shared" si="12"/>
        <v/>
      </c>
      <c r="G300" s="9" t="str">
        <f t="shared" si="14"/>
        <v/>
      </c>
    </row>
    <row r="301" spans="1:8" x14ac:dyDescent="0.25">
      <c r="A301" s="26">
        <v>94</v>
      </c>
      <c r="B301" s="26" t="s">
        <v>514</v>
      </c>
      <c r="C301" s="26" t="str">
        <f t="shared" si="13"/>
        <v>17.3Eng</v>
      </c>
      <c r="D301" s="5" t="s">
        <v>440</v>
      </c>
      <c r="E301" s="31" t="s">
        <v>4</v>
      </c>
      <c r="F301" s="14" t="str">
        <f t="shared" si="12"/>
        <v/>
      </c>
      <c r="G301" s="9" t="str">
        <f t="shared" si="14"/>
        <v/>
      </c>
    </row>
    <row r="302" spans="1:8" x14ac:dyDescent="0.25">
      <c r="A302" s="27"/>
      <c r="B302" s="27" t="s">
        <v>514</v>
      </c>
      <c r="C302" s="27" t="str">
        <f t="shared" si="13"/>
        <v>17.3Phon</v>
      </c>
      <c r="D302" s="2" t="s">
        <v>213</v>
      </c>
      <c r="E302" s="32" t="s">
        <v>5</v>
      </c>
      <c r="F302" s="13" t="str">
        <f t="shared" si="12"/>
        <v/>
      </c>
      <c r="G302" s="9" t="str">
        <f t="shared" si="14"/>
        <v/>
      </c>
    </row>
    <row r="303" spans="1:8" s="21" customFormat="1" x14ac:dyDescent="0.25">
      <c r="A303" s="25"/>
      <c r="B303" s="24">
        <v>18</v>
      </c>
      <c r="C303" s="25" t="str">
        <f t="shared" si="13"/>
        <v>18Struc</v>
      </c>
      <c r="D303" s="19" t="s">
        <v>297</v>
      </c>
      <c r="E303" s="29" t="s">
        <v>11</v>
      </c>
      <c r="F303" s="20" t="str">
        <f t="shared" si="12"/>
        <v/>
      </c>
      <c r="G303" s="9" t="str">
        <f t="shared" si="14"/>
        <v/>
      </c>
      <c r="H303"/>
    </row>
    <row r="304" spans="1:8" x14ac:dyDescent="0.25">
      <c r="A304" s="26"/>
      <c r="B304" s="26" t="s">
        <v>515</v>
      </c>
      <c r="C304" s="26" t="str">
        <f t="shared" si="13"/>
        <v>18.1Viet</v>
      </c>
      <c r="D304" s="6" t="s">
        <v>441</v>
      </c>
      <c r="E304" s="30" t="s">
        <v>3</v>
      </c>
      <c r="F304" s="12" t="str">
        <f t="shared" si="12"/>
        <v/>
      </c>
      <c r="G304" s="9" t="str">
        <f t="shared" si="14"/>
        <v/>
      </c>
    </row>
    <row r="305" spans="1:7" x14ac:dyDescent="0.25">
      <c r="A305" s="26">
        <v>95</v>
      </c>
      <c r="B305" s="26" t="s">
        <v>515</v>
      </c>
      <c r="C305" s="26" t="str">
        <f t="shared" si="13"/>
        <v>18.1Eng</v>
      </c>
      <c r="D305" s="5" t="s">
        <v>214</v>
      </c>
      <c r="E305" s="31" t="s">
        <v>4</v>
      </c>
      <c r="F305" s="14" t="str">
        <f t="shared" si="12"/>
        <v/>
      </c>
      <c r="G305" s="9" t="str">
        <f t="shared" si="14"/>
        <v/>
      </c>
    </row>
    <row r="306" spans="1:7" x14ac:dyDescent="0.25">
      <c r="A306" s="27"/>
      <c r="B306" s="27" t="s">
        <v>515</v>
      </c>
      <c r="C306" s="27" t="str">
        <f t="shared" si="13"/>
        <v>18.1Phon</v>
      </c>
      <c r="D306" s="2" t="s">
        <v>215</v>
      </c>
      <c r="E306" s="32" t="s">
        <v>5</v>
      </c>
      <c r="F306" s="13" t="str">
        <f t="shared" si="12"/>
        <v/>
      </c>
      <c r="G306" s="9" t="str">
        <f t="shared" si="14"/>
        <v/>
      </c>
    </row>
    <row r="307" spans="1:7" x14ac:dyDescent="0.25">
      <c r="A307" s="26"/>
      <c r="B307" s="26" t="s">
        <v>516</v>
      </c>
      <c r="C307" s="26" t="str">
        <f t="shared" si="13"/>
        <v>18.2Viet</v>
      </c>
      <c r="D307" s="6" t="s">
        <v>442</v>
      </c>
      <c r="E307" s="30" t="s">
        <v>3</v>
      </c>
      <c r="F307" s="12" t="str">
        <f t="shared" si="12"/>
        <v/>
      </c>
      <c r="G307" s="9" t="str">
        <f t="shared" si="14"/>
        <v/>
      </c>
    </row>
    <row r="308" spans="1:7" x14ac:dyDescent="0.25">
      <c r="A308" s="26">
        <v>96</v>
      </c>
      <c r="B308" s="26" t="s">
        <v>516</v>
      </c>
      <c r="C308" s="26" t="str">
        <f t="shared" si="13"/>
        <v>18.2Eng</v>
      </c>
      <c r="D308" s="5" t="s">
        <v>216</v>
      </c>
      <c r="E308" s="31" t="s">
        <v>4</v>
      </c>
      <c r="F308" s="14" t="str">
        <f t="shared" si="12"/>
        <v/>
      </c>
      <c r="G308" s="9" t="str">
        <f t="shared" si="14"/>
        <v/>
      </c>
    </row>
    <row r="309" spans="1:7" x14ac:dyDescent="0.25">
      <c r="A309" s="27"/>
      <c r="B309" s="27" t="s">
        <v>516</v>
      </c>
      <c r="C309" s="27" t="str">
        <f t="shared" si="13"/>
        <v>18.2Phon</v>
      </c>
      <c r="D309" s="2" t="s">
        <v>217</v>
      </c>
      <c r="E309" s="32" t="s">
        <v>5</v>
      </c>
      <c r="F309" s="13" t="str">
        <f t="shared" si="12"/>
        <v/>
      </c>
      <c r="G309" s="9" t="str">
        <f t="shared" si="14"/>
        <v/>
      </c>
    </row>
    <row r="310" spans="1:7" x14ac:dyDescent="0.25">
      <c r="A310" s="26"/>
      <c r="B310" s="26" t="s">
        <v>517</v>
      </c>
      <c r="C310" s="26" t="str">
        <f t="shared" si="13"/>
        <v>18.3Viet</v>
      </c>
      <c r="D310" s="6" t="s">
        <v>443</v>
      </c>
      <c r="E310" s="30" t="s">
        <v>3</v>
      </c>
      <c r="F310" s="12" t="str">
        <f t="shared" si="12"/>
        <v/>
      </c>
      <c r="G310" s="9" t="str">
        <f t="shared" si="14"/>
        <v/>
      </c>
    </row>
    <row r="311" spans="1:7" x14ac:dyDescent="0.25">
      <c r="A311" s="26">
        <v>97</v>
      </c>
      <c r="B311" s="26" t="s">
        <v>517</v>
      </c>
      <c r="C311" s="26" t="str">
        <f t="shared" si="13"/>
        <v>18.3Eng</v>
      </c>
      <c r="D311" s="5" t="s">
        <v>218</v>
      </c>
      <c r="E311" s="31" t="s">
        <v>4</v>
      </c>
      <c r="F311" s="14" t="str">
        <f t="shared" si="12"/>
        <v/>
      </c>
      <c r="G311" s="9" t="str">
        <f t="shared" si="14"/>
        <v/>
      </c>
    </row>
    <row r="312" spans="1:7" x14ac:dyDescent="0.25">
      <c r="A312" s="27"/>
      <c r="B312" s="27" t="s">
        <v>517</v>
      </c>
      <c r="C312" s="27" t="str">
        <f t="shared" si="13"/>
        <v>18.3Phon</v>
      </c>
      <c r="D312" s="2" t="s">
        <v>219</v>
      </c>
      <c r="E312" s="32" t="s">
        <v>5</v>
      </c>
      <c r="F312" s="13" t="str">
        <f t="shared" si="12"/>
        <v/>
      </c>
      <c r="G312" s="9" t="str">
        <f t="shared" si="14"/>
        <v/>
      </c>
    </row>
    <row r="313" spans="1:7" x14ac:dyDescent="0.25">
      <c r="A313" s="26"/>
      <c r="B313" s="26" t="s">
        <v>518</v>
      </c>
      <c r="C313" s="26" t="str">
        <f t="shared" si="13"/>
        <v>18.4Viet</v>
      </c>
      <c r="D313" s="6" t="s">
        <v>318</v>
      </c>
      <c r="E313" s="30" t="s">
        <v>3</v>
      </c>
      <c r="F313" s="12" t="str">
        <f t="shared" si="12"/>
        <v/>
      </c>
      <c r="G313" s="9" t="str">
        <f t="shared" si="14"/>
        <v/>
      </c>
    </row>
    <row r="314" spans="1:7" x14ac:dyDescent="0.25">
      <c r="A314" s="26">
        <v>98</v>
      </c>
      <c r="B314" s="26" t="s">
        <v>518</v>
      </c>
      <c r="C314" s="26" t="str">
        <f t="shared" si="13"/>
        <v>18.4Eng</v>
      </c>
      <c r="D314" s="5" t="s">
        <v>220</v>
      </c>
      <c r="E314" s="31" t="s">
        <v>4</v>
      </c>
      <c r="F314" s="14" t="str">
        <f t="shared" si="12"/>
        <v/>
      </c>
      <c r="G314" s="9" t="str">
        <f t="shared" si="14"/>
        <v/>
      </c>
    </row>
    <row r="315" spans="1:7" x14ac:dyDescent="0.25">
      <c r="A315" s="27"/>
      <c r="B315" s="27" t="s">
        <v>518</v>
      </c>
      <c r="C315" s="27" t="str">
        <f t="shared" si="13"/>
        <v>18.4Phon</v>
      </c>
      <c r="D315" s="2" t="s">
        <v>221</v>
      </c>
      <c r="E315" s="32" t="s">
        <v>5</v>
      </c>
      <c r="F315" s="13" t="str">
        <f t="shared" si="12"/>
        <v/>
      </c>
      <c r="G315" s="9" t="str">
        <f t="shared" si="14"/>
        <v/>
      </c>
    </row>
    <row r="316" spans="1:7" x14ac:dyDescent="0.25">
      <c r="A316" s="26"/>
      <c r="B316" s="26" t="s">
        <v>519</v>
      </c>
      <c r="C316" s="26" t="str">
        <f t="shared" si="13"/>
        <v>18.5Viet</v>
      </c>
      <c r="D316" s="6" t="s">
        <v>329</v>
      </c>
      <c r="E316" s="30" t="s">
        <v>3</v>
      </c>
      <c r="F316" s="12" t="str">
        <f t="shared" si="12"/>
        <v/>
      </c>
      <c r="G316" s="9" t="str">
        <f t="shared" si="14"/>
        <v/>
      </c>
    </row>
    <row r="317" spans="1:7" x14ac:dyDescent="0.25">
      <c r="A317" s="26">
        <v>99</v>
      </c>
      <c r="B317" s="26" t="s">
        <v>519</v>
      </c>
      <c r="C317" s="26" t="str">
        <f t="shared" si="13"/>
        <v>18.5Eng</v>
      </c>
      <c r="D317" s="5" t="s">
        <v>222</v>
      </c>
      <c r="E317" s="31" t="s">
        <v>4</v>
      </c>
      <c r="F317" s="14" t="str">
        <f t="shared" si="12"/>
        <v/>
      </c>
      <c r="G317" s="9" t="str">
        <f t="shared" si="14"/>
        <v/>
      </c>
    </row>
    <row r="318" spans="1:7" x14ac:dyDescent="0.25">
      <c r="A318" s="27"/>
      <c r="B318" s="27" t="s">
        <v>519</v>
      </c>
      <c r="C318" s="27" t="str">
        <f t="shared" si="13"/>
        <v>18.5Phon</v>
      </c>
      <c r="D318" s="2" t="s">
        <v>223</v>
      </c>
      <c r="E318" s="32" t="s">
        <v>5</v>
      </c>
      <c r="F318" s="13" t="str">
        <f t="shared" si="12"/>
        <v/>
      </c>
      <c r="G318" s="9" t="str">
        <f t="shared" si="14"/>
        <v/>
      </c>
    </row>
    <row r="319" spans="1:7" x14ac:dyDescent="0.25">
      <c r="A319" s="26"/>
      <c r="B319" s="26" t="s">
        <v>520</v>
      </c>
      <c r="C319" s="26" t="str">
        <f t="shared" si="13"/>
        <v>18.6Viet</v>
      </c>
      <c r="D319" s="6" t="s">
        <v>340</v>
      </c>
      <c r="E319" s="30" t="s">
        <v>3</v>
      </c>
      <c r="F319" s="12" t="str">
        <f t="shared" si="12"/>
        <v/>
      </c>
      <c r="G319" s="9" t="str">
        <f t="shared" si="14"/>
        <v/>
      </c>
    </row>
    <row r="320" spans="1:7" x14ac:dyDescent="0.25">
      <c r="A320" s="26">
        <v>100</v>
      </c>
      <c r="B320" s="26" t="s">
        <v>520</v>
      </c>
      <c r="C320" s="26" t="str">
        <f t="shared" si="13"/>
        <v>18.6Eng</v>
      </c>
      <c r="D320" s="5" t="s">
        <v>224</v>
      </c>
      <c r="E320" s="31" t="s">
        <v>4</v>
      </c>
      <c r="F320" s="14" t="str">
        <f t="shared" si="12"/>
        <v/>
      </c>
      <c r="G320" s="9" t="str">
        <f t="shared" si="14"/>
        <v/>
      </c>
    </row>
    <row r="321" spans="1:7" x14ac:dyDescent="0.25">
      <c r="A321" s="27"/>
      <c r="B321" s="27" t="s">
        <v>520</v>
      </c>
      <c r="C321" s="27" t="str">
        <f t="shared" si="13"/>
        <v>18.6Phon</v>
      </c>
      <c r="D321" s="2" t="s">
        <v>225</v>
      </c>
      <c r="E321" s="32" t="s">
        <v>5</v>
      </c>
      <c r="F321" s="13" t="str">
        <f t="shared" si="12"/>
        <v/>
      </c>
      <c r="G321" s="9" t="str">
        <f t="shared" si="14"/>
        <v/>
      </c>
    </row>
    <row r="322" spans="1:7" x14ac:dyDescent="0.25">
      <c r="A322" s="26"/>
      <c r="B322" s="26" t="s">
        <v>521</v>
      </c>
      <c r="C322" s="26" t="str">
        <f t="shared" si="13"/>
        <v>18.7Viet</v>
      </c>
      <c r="D322" s="6" t="s">
        <v>345</v>
      </c>
      <c r="E322" s="30" t="s">
        <v>3</v>
      </c>
      <c r="F322" s="12" t="str">
        <f t="shared" si="12"/>
        <v/>
      </c>
      <c r="G322" s="9" t="str">
        <f t="shared" si="14"/>
        <v/>
      </c>
    </row>
    <row r="323" spans="1:7" x14ac:dyDescent="0.25">
      <c r="A323" s="26">
        <v>101</v>
      </c>
      <c r="B323" s="26" t="s">
        <v>521</v>
      </c>
      <c r="C323" s="26" t="str">
        <f t="shared" si="13"/>
        <v>18.7Eng</v>
      </c>
      <c r="D323" s="5" t="s">
        <v>226</v>
      </c>
      <c r="E323" s="31" t="s">
        <v>4</v>
      </c>
      <c r="F323" s="14" t="str">
        <f t="shared" si="12"/>
        <v/>
      </c>
      <c r="G323" s="9" t="str">
        <f t="shared" si="14"/>
        <v/>
      </c>
    </row>
    <row r="324" spans="1:7" x14ac:dyDescent="0.25">
      <c r="A324" s="27"/>
      <c r="B324" s="27" t="s">
        <v>521</v>
      </c>
      <c r="C324" s="27" t="str">
        <f t="shared" si="13"/>
        <v>18.7Phon</v>
      </c>
      <c r="D324" s="2" t="s">
        <v>227</v>
      </c>
      <c r="E324" s="32" t="s">
        <v>5</v>
      </c>
      <c r="F324" s="13" t="str">
        <f t="shared" ref="F324:F387" si="15">IF(G324="","","https://docs.google.com/uc?export=download&amp;id="&amp;G324)</f>
        <v/>
      </c>
      <c r="G324" s="9" t="str">
        <f t="shared" si="14"/>
        <v/>
      </c>
    </row>
    <row r="325" spans="1:7" x14ac:dyDescent="0.25">
      <c r="A325" s="26"/>
      <c r="B325" s="26" t="s">
        <v>522</v>
      </c>
      <c r="C325" s="26" t="str">
        <f t="shared" ref="C325:C388" si="16">B325&amp;E325</f>
        <v>18.8Viet</v>
      </c>
      <c r="D325" s="6" t="s">
        <v>349</v>
      </c>
      <c r="E325" s="30" t="s">
        <v>3</v>
      </c>
      <c r="F325" s="12" t="str">
        <f t="shared" si="15"/>
        <v/>
      </c>
      <c r="G325" s="9" t="str">
        <f t="shared" ref="G325:G388" si="17">IFERROR(LEFT(RIGHT(H325,LEN(H325)-32),LEN(RIGHT(H325,LEN(H325)-32))-17),"")</f>
        <v/>
      </c>
    </row>
    <row r="326" spans="1:7" x14ac:dyDescent="0.25">
      <c r="A326" s="26">
        <v>102</v>
      </c>
      <c r="B326" s="26" t="s">
        <v>522</v>
      </c>
      <c r="C326" s="26" t="str">
        <f t="shared" si="16"/>
        <v>18.8Eng</v>
      </c>
      <c r="D326" s="5" t="s">
        <v>228</v>
      </c>
      <c r="E326" s="31" t="s">
        <v>4</v>
      </c>
      <c r="F326" s="14" t="str">
        <f t="shared" si="15"/>
        <v/>
      </c>
      <c r="G326" s="9" t="str">
        <f t="shared" si="17"/>
        <v/>
      </c>
    </row>
    <row r="327" spans="1:7" x14ac:dyDescent="0.25">
      <c r="A327" s="27"/>
      <c r="B327" s="27" t="s">
        <v>522</v>
      </c>
      <c r="C327" s="27" t="str">
        <f t="shared" si="16"/>
        <v>18.8Phon</v>
      </c>
      <c r="D327" s="2" t="s">
        <v>229</v>
      </c>
      <c r="E327" s="32" t="s">
        <v>5</v>
      </c>
      <c r="F327" s="13" t="str">
        <f t="shared" si="15"/>
        <v/>
      </c>
      <c r="G327" s="9" t="str">
        <f t="shared" si="17"/>
        <v/>
      </c>
    </row>
    <row r="328" spans="1:7" x14ac:dyDescent="0.25">
      <c r="A328" s="26"/>
      <c r="B328" s="26" t="s">
        <v>523</v>
      </c>
      <c r="C328" s="26" t="str">
        <f t="shared" si="16"/>
        <v>18.9Viet</v>
      </c>
      <c r="D328" s="6" t="s">
        <v>352</v>
      </c>
      <c r="E328" s="30" t="s">
        <v>3</v>
      </c>
      <c r="F328" s="12" t="str">
        <f t="shared" si="15"/>
        <v/>
      </c>
      <c r="G328" s="9" t="str">
        <f t="shared" si="17"/>
        <v/>
      </c>
    </row>
    <row r="329" spans="1:7" x14ac:dyDescent="0.25">
      <c r="A329" s="26">
        <v>103</v>
      </c>
      <c r="B329" s="26" t="s">
        <v>523</v>
      </c>
      <c r="C329" s="26" t="str">
        <f t="shared" si="16"/>
        <v>18.9Eng</v>
      </c>
      <c r="D329" s="5" t="s">
        <v>230</v>
      </c>
      <c r="E329" s="31" t="s">
        <v>4</v>
      </c>
      <c r="F329" s="14" t="str">
        <f t="shared" si="15"/>
        <v/>
      </c>
      <c r="G329" s="9" t="str">
        <f t="shared" si="17"/>
        <v/>
      </c>
    </row>
    <row r="330" spans="1:7" x14ac:dyDescent="0.25">
      <c r="A330" s="27"/>
      <c r="B330" s="27" t="s">
        <v>523</v>
      </c>
      <c r="C330" s="27" t="str">
        <f t="shared" si="16"/>
        <v>18.9Phon</v>
      </c>
      <c r="D330" s="2" t="s">
        <v>231</v>
      </c>
      <c r="E330" s="32" t="s">
        <v>5</v>
      </c>
      <c r="F330" s="13" t="str">
        <f t="shared" si="15"/>
        <v/>
      </c>
      <c r="G330" s="9" t="str">
        <f t="shared" si="17"/>
        <v/>
      </c>
    </row>
    <row r="331" spans="1:7" x14ac:dyDescent="0.25">
      <c r="A331" s="26"/>
      <c r="B331" s="26" t="s">
        <v>524</v>
      </c>
      <c r="C331" s="26" t="str">
        <f t="shared" si="16"/>
        <v>18.10Viet</v>
      </c>
      <c r="D331" s="6" t="s">
        <v>355</v>
      </c>
      <c r="E331" s="30" t="s">
        <v>3</v>
      </c>
      <c r="F331" s="12" t="str">
        <f t="shared" si="15"/>
        <v/>
      </c>
      <c r="G331" s="9" t="str">
        <f t="shared" si="17"/>
        <v/>
      </c>
    </row>
    <row r="332" spans="1:7" x14ac:dyDescent="0.25">
      <c r="A332" s="26">
        <v>104</v>
      </c>
      <c r="B332" s="26" t="s">
        <v>524</v>
      </c>
      <c r="C332" s="26" t="str">
        <f t="shared" si="16"/>
        <v>18.10Eng</v>
      </c>
      <c r="D332" s="5" t="s">
        <v>232</v>
      </c>
      <c r="E332" s="31" t="s">
        <v>4</v>
      </c>
      <c r="F332" s="14" t="str">
        <f t="shared" si="15"/>
        <v/>
      </c>
      <c r="G332" s="9" t="str">
        <f t="shared" si="17"/>
        <v/>
      </c>
    </row>
    <row r="333" spans="1:7" x14ac:dyDescent="0.25">
      <c r="A333" s="27"/>
      <c r="B333" s="27" t="s">
        <v>524</v>
      </c>
      <c r="C333" s="27" t="str">
        <f t="shared" si="16"/>
        <v>18.10Phon</v>
      </c>
      <c r="D333" s="2" t="s">
        <v>233</v>
      </c>
      <c r="E333" s="32" t="s">
        <v>5</v>
      </c>
      <c r="F333" s="13" t="str">
        <f t="shared" si="15"/>
        <v/>
      </c>
      <c r="G333" s="9" t="str">
        <f t="shared" si="17"/>
        <v/>
      </c>
    </row>
    <row r="334" spans="1:7" x14ac:dyDescent="0.25">
      <c r="A334" s="26"/>
      <c r="B334" s="26" t="s">
        <v>525</v>
      </c>
      <c r="C334" s="26" t="str">
        <f t="shared" si="16"/>
        <v>18.11Viet</v>
      </c>
      <c r="D334" s="6" t="s">
        <v>444</v>
      </c>
      <c r="E334" s="30" t="s">
        <v>3</v>
      </c>
      <c r="F334" s="12" t="str">
        <f t="shared" si="15"/>
        <v/>
      </c>
      <c r="G334" s="9" t="str">
        <f t="shared" si="17"/>
        <v/>
      </c>
    </row>
    <row r="335" spans="1:7" x14ac:dyDescent="0.25">
      <c r="A335" s="26">
        <v>105</v>
      </c>
      <c r="B335" s="26" t="s">
        <v>525</v>
      </c>
      <c r="C335" s="26" t="str">
        <f t="shared" si="16"/>
        <v>18.11Eng</v>
      </c>
      <c r="D335" s="5" t="s">
        <v>234</v>
      </c>
      <c r="E335" s="31" t="s">
        <v>4</v>
      </c>
      <c r="F335" s="14" t="str">
        <f t="shared" si="15"/>
        <v/>
      </c>
      <c r="G335" s="9" t="str">
        <f t="shared" si="17"/>
        <v/>
      </c>
    </row>
    <row r="336" spans="1:7" x14ac:dyDescent="0.25">
      <c r="A336" s="27"/>
      <c r="B336" s="27" t="s">
        <v>525</v>
      </c>
      <c r="C336" s="27" t="str">
        <f t="shared" si="16"/>
        <v>18.11Phon</v>
      </c>
      <c r="D336" s="2" t="s">
        <v>235</v>
      </c>
      <c r="E336" s="32" t="s">
        <v>5</v>
      </c>
      <c r="F336" s="13" t="str">
        <f t="shared" si="15"/>
        <v/>
      </c>
      <c r="G336" s="9" t="str">
        <f t="shared" si="17"/>
        <v/>
      </c>
    </row>
    <row r="337" spans="1:7" x14ac:dyDescent="0.25">
      <c r="A337" s="26"/>
      <c r="B337" s="26" t="s">
        <v>526</v>
      </c>
      <c r="C337" s="26" t="str">
        <f t="shared" si="16"/>
        <v>18.12Viet</v>
      </c>
      <c r="D337" s="6" t="s">
        <v>445</v>
      </c>
      <c r="E337" s="30" t="s">
        <v>3</v>
      </c>
      <c r="F337" s="12" t="str">
        <f t="shared" si="15"/>
        <v/>
      </c>
      <c r="G337" s="9" t="str">
        <f t="shared" si="17"/>
        <v/>
      </c>
    </row>
    <row r="338" spans="1:7" x14ac:dyDescent="0.25">
      <c r="A338" s="26">
        <v>106</v>
      </c>
      <c r="B338" s="26" t="s">
        <v>526</v>
      </c>
      <c r="C338" s="26" t="str">
        <f t="shared" si="16"/>
        <v>18.12Eng</v>
      </c>
      <c r="D338" s="5" t="s">
        <v>236</v>
      </c>
      <c r="E338" s="31" t="s">
        <v>4</v>
      </c>
      <c r="F338" s="14" t="str">
        <f t="shared" si="15"/>
        <v/>
      </c>
      <c r="G338" s="9" t="str">
        <f t="shared" si="17"/>
        <v/>
      </c>
    </row>
    <row r="339" spans="1:7" x14ac:dyDescent="0.25">
      <c r="A339" s="27"/>
      <c r="B339" s="27" t="s">
        <v>526</v>
      </c>
      <c r="C339" s="27" t="str">
        <f t="shared" si="16"/>
        <v>18.12Phon</v>
      </c>
      <c r="D339" s="2" t="s">
        <v>237</v>
      </c>
      <c r="E339" s="32" t="s">
        <v>5</v>
      </c>
      <c r="F339" s="13" t="str">
        <f t="shared" si="15"/>
        <v/>
      </c>
      <c r="G339" s="9" t="str">
        <f t="shared" si="17"/>
        <v/>
      </c>
    </row>
    <row r="340" spans="1:7" x14ac:dyDescent="0.25">
      <c r="A340" s="25"/>
      <c r="B340" s="24">
        <v>19</v>
      </c>
      <c r="C340" s="25" t="str">
        <f t="shared" si="16"/>
        <v>19Struc</v>
      </c>
      <c r="D340" s="19" t="s">
        <v>296</v>
      </c>
      <c r="E340" s="29" t="s">
        <v>11</v>
      </c>
      <c r="F340" s="20" t="str">
        <f t="shared" si="15"/>
        <v/>
      </c>
      <c r="G340" s="9" t="str">
        <f t="shared" si="17"/>
        <v/>
      </c>
    </row>
    <row r="341" spans="1:7" x14ac:dyDescent="0.25">
      <c r="A341" s="26"/>
      <c r="B341" s="26" t="s">
        <v>527</v>
      </c>
      <c r="C341" s="26" t="str">
        <f t="shared" si="16"/>
        <v>19.1Viet</v>
      </c>
      <c r="D341" s="6" t="s">
        <v>446</v>
      </c>
      <c r="E341" s="30" t="s">
        <v>3</v>
      </c>
      <c r="F341" s="12" t="str">
        <f t="shared" si="15"/>
        <v/>
      </c>
      <c r="G341" s="9" t="str">
        <f t="shared" si="17"/>
        <v/>
      </c>
    </row>
    <row r="342" spans="1:7" x14ac:dyDescent="0.25">
      <c r="A342" s="26">
        <v>107</v>
      </c>
      <c r="B342" s="26" t="s">
        <v>527</v>
      </c>
      <c r="C342" s="26" t="str">
        <f t="shared" si="16"/>
        <v>19.1Eng</v>
      </c>
      <c r="D342" s="5" t="s">
        <v>238</v>
      </c>
      <c r="E342" s="31" t="s">
        <v>4</v>
      </c>
      <c r="F342" s="14" t="str">
        <f t="shared" si="15"/>
        <v/>
      </c>
      <c r="G342" s="9" t="str">
        <f t="shared" si="17"/>
        <v/>
      </c>
    </row>
    <row r="343" spans="1:7" x14ac:dyDescent="0.25">
      <c r="A343" s="27"/>
      <c r="B343" s="27" t="s">
        <v>527</v>
      </c>
      <c r="C343" s="27" t="str">
        <f t="shared" si="16"/>
        <v>19.1Phon</v>
      </c>
      <c r="D343" s="2" t="s">
        <v>239</v>
      </c>
      <c r="E343" s="32" t="s">
        <v>5</v>
      </c>
      <c r="F343" s="13" t="str">
        <f t="shared" si="15"/>
        <v/>
      </c>
      <c r="G343" s="9" t="str">
        <f t="shared" si="17"/>
        <v/>
      </c>
    </row>
    <row r="344" spans="1:7" x14ac:dyDescent="0.25">
      <c r="A344" s="26"/>
      <c r="B344" s="26" t="s">
        <v>528</v>
      </c>
      <c r="C344" s="26" t="str">
        <f t="shared" si="16"/>
        <v>19.2Viet</v>
      </c>
      <c r="D344" s="6" t="s">
        <v>447</v>
      </c>
      <c r="E344" s="30" t="s">
        <v>3</v>
      </c>
      <c r="F344" s="12" t="str">
        <f t="shared" si="15"/>
        <v/>
      </c>
      <c r="G344" s="9" t="str">
        <f t="shared" si="17"/>
        <v/>
      </c>
    </row>
    <row r="345" spans="1:7" x14ac:dyDescent="0.25">
      <c r="A345" s="26">
        <v>108</v>
      </c>
      <c r="B345" s="26" t="s">
        <v>528</v>
      </c>
      <c r="C345" s="26" t="str">
        <f t="shared" si="16"/>
        <v>19.2Eng</v>
      </c>
      <c r="D345" s="5" t="s">
        <v>240</v>
      </c>
      <c r="E345" s="31" t="s">
        <v>4</v>
      </c>
      <c r="F345" s="14" t="str">
        <f t="shared" si="15"/>
        <v/>
      </c>
      <c r="G345" s="9" t="str">
        <f t="shared" si="17"/>
        <v/>
      </c>
    </row>
    <row r="346" spans="1:7" x14ac:dyDescent="0.25">
      <c r="A346" s="27"/>
      <c r="B346" s="27" t="s">
        <v>528</v>
      </c>
      <c r="C346" s="27" t="str">
        <f t="shared" si="16"/>
        <v>19.2Phon</v>
      </c>
      <c r="D346" s="2" t="s">
        <v>241</v>
      </c>
      <c r="E346" s="32" t="s">
        <v>5</v>
      </c>
      <c r="F346" s="13" t="str">
        <f t="shared" si="15"/>
        <v/>
      </c>
      <c r="G346" s="9" t="str">
        <f t="shared" si="17"/>
        <v/>
      </c>
    </row>
    <row r="347" spans="1:7" x14ac:dyDescent="0.25">
      <c r="A347" s="26"/>
      <c r="B347" s="26" t="s">
        <v>529</v>
      </c>
      <c r="C347" s="26" t="str">
        <f t="shared" si="16"/>
        <v>19.3Viet</v>
      </c>
      <c r="D347" s="6" t="s">
        <v>448</v>
      </c>
      <c r="E347" s="30" t="s">
        <v>3</v>
      </c>
      <c r="F347" s="12" t="str">
        <f t="shared" si="15"/>
        <v/>
      </c>
      <c r="G347" s="9" t="str">
        <f t="shared" si="17"/>
        <v/>
      </c>
    </row>
    <row r="348" spans="1:7" x14ac:dyDescent="0.25">
      <c r="A348" s="26">
        <v>109</v>
      </c>
      <c r="B348" s="26" t="s">
        <v>529</v>
      </c>
      <c r="C348" s="26" t="str">
        <f t="shared" si="16"/>
        <v>19.3Eng</v>
      </c>
      <c r="D348" s="5" t="s">
        <v>242</v>
      </c>
      <c r="E348" s="31" t="s">
        <v>4</v>
      </c>
      <c r="F348" s="14" t="str">
        <f t="shared" si="15"/>
        <v/>
      </c>
      <c r="G348" s="9" t="str">
        <f t="shared" si="17"/>
        <v/>
      </c>
    </row>
    <row r="349" spans="1:7" x14ac:dyDescent="0.25">
      <c r="A349" s="27"/>
      <c r="B349" s="27" t="s">
        <v>529</v>
      </c>
      <c r="C349" s="27" t="str">
        <f t="shared" si="16"/>
        <v>19.3Phon</v>
      </c>
      <c r="D349" s="2" t="s">
        <v>243</v>
      </c>
      <c r="E349" s="32" t="s">
        <v>5</v>
      </c>
      <c r="F349" s="13" t="str">
        <f t="shared" si="15"/>
        <v/>
      </c>
      <c r="G349" s="9" t="str">
        <f t="shared" si="17"/>
        <v/>
      </c>
    </row>
    <row r="350" spans="1:7" x14ac:dyDescent="0.25">
      <c r="A350" s="26"/>
      <c r="B350" s="26" t="s">
        <v>530</v>
      </c>
      <c r="C350" s="26" t="str">
        <f t="shared" si="16"/>
        <v>19.4Viet</v>
      </c>
      <c r="D350" s="6" t="s">
        <v>319</v>
      </c>
      <c r="E350" s="30" t="s">
        <v>3</v>
      </c>
      <c r="F350" s="12" t="str">
        <f t="shared" si="15"/>
        <v/>
      </c>
      <c r="G350" s="9" t="str">
        <f t="shared" si="17"/>
        <v/>
      </c>
    </row>
    <row r="351" spans="1:7" x14ac:dyDescent="0.25">
      <c r="A351" s="26">
        <v>110</v>
      </c>
      <c r="B351" s="26" t="s">
        <v>530</v>
      </c>
      <c r="C351" s="26" t="str">
        <f t="shared" si="16"/>
        <v>19.4Eng</v>
      </c>
      <c r="D351" s="5" t="s">
        <v>244</v>
      </c>
      <c r="E351" s="31" t="s">
        <v>4</v>
      </c>
      <c r="F351" s="14" t="str">
        <f t="shared" si="15"/>
        <v/>
      </c>
      <c r="G351" s="9" t="str">
        <f t="shared" si="17"/>
        <v/>
      </c>
    </row>
    <row r="352" spans="1:7" x14ac:dyDescent="0.25">
      <c r="A352" s="27"/>
      <c r="B352" s="27" t="s">
        <v>530</v>
      </c>
      <c r="C352" s="27" t="str">
        <f t="shared" si="16"/>
        <v>19.4Phon</v>
      </c>
      <c r="D352" s="2" t="s">
        <v>245</v>
      </c>
      <c r="E352" s="32" t="s">
        <v>5</v>
      </c>
      <c r="F352" s="13" t="str">
        <f t="shared" si="15"/>
        <v/>
      </c>
      <c r="G352" s="9" t="str">
        <f t="shared" si="17"/>
        <v/>
      </c>
    </row>
    <row r="353" spans="1:7" x14ac:dyDescent="0.25">
      <c r="A353" s="26"/>
      <c r="B353" s="26" t="s">
        <v>531</v>
      </c>
      <c r="C353" s="26" t="str">
        <f t="shared" si="16"/>
        <v>19.5Viet</v>
      </c>
      <c r="D353" s="6" t="s">
        <v>330</v>
      </c>
      <c r="E353" s="30" t="s">
        <v>3</v>
      </c>
      <c r="F353" s="12" t="str">
        <f t="shared" si="15"/>
        <v/>
      </c>
      <c r="G353" s="9" t="str">
        <f t="shared" si="17"/>
        <v/>
      </c>
    </row>
    <row r="354" spans="1:7" x14ac:dyDescent="0.25">
      <c r="A354" s="26">
        <v>111</v>
      </c>
      <c r="B354" s="26" t="s">
        <v>531</v>
      </c>
      <c r="C354" s="26" t="str">
        <f t="shared" si="16"/>
        <v>19.5Eng</v>
      </c>
      <c r="D354" s="5" t="s">
        <v>246</v>
      </c>
      <c r="E354" s="31" t="s">
        <v>4</v>
      </c>
      <c r="F354" s="14" t="str">
        <f t="shared" si="15"/>
        <v/>
      </c>
      <c r="G354" s="9" t="str">
        <f t="shared" si="17"/>
        <v/>
      </c>
    </row>
    <row r="355" spans="1:7" x14ac:dyDescent="0.25">
      <c r="A355" s="27"/>
      <c r="B355" s="27" t="s">
        <v>531</v>
      </c>
      <c r="C355" s="27" t="str">
        <f t="shared" si="16"/>
        <v>19.5Phon</v>
      </c>
      <c r="D355" s="2" t="s">
        <v>247</v>
      </c>
      <c r="E355" s="32" t="s">
        <v>5</v>
      </c>
      <c r="F355" s="13" t="str">
        <f t="shared" si="15"/>
        <v/>
      </c>
      <c r="G355" s="9" t="str">
        <f t="shared" si="17"/>
        <v/>
      </c>
    </row>
    <row r="356" spans="1:7" x14ac:dyDescent="0.25">
      <c r="A356" s="25"/>
      <c r="B356" s="24">
        <v>20</v>
      </c>
      <c r="C356" s="25" t="str">
        <f t="shared" si="16"/>
        <v>20Struc</v>
      </c>
      <c r="D356" s="19" t="s">
        <v>295</v>
      </c>
      <c r="E356" s="29" t="s">
        <v>11</v>
      </c>
      <c r="F356" s="20" t="str">
        <f t="shared" si="15"/>
        <v/>
      </c>
      <c r="G356" s="9" t="str">
        <f t="shared" si="17"/>
        <v/>
      </c>
    </row>
    <row r="357" spans="1:7" x14ac:dyDescent="0.25">
      <c r="A357" s="26"/>
      <c r="B357" s="26" t="s">
        <v>532</v>
      </c>
      <c r="C357" s="26" t="str">
        <f t="shared" si="16"/>
        <v>20.1Viet</v>
      </c>
      <c r="D357" s="6" t="s">
        <v>449</v>
      </c>
      <c r="E357" s="30" t="s">
        <v>3</v>
      </c>
      <c r="F357" s="12" t="str">
        <f t="shared" si="15"/>
        <v/>
      </c>
      <c r="G357" s="9" t="str">
        <f t="shared" si="17"/>
        <v/>
      </c>
    </row>
    <row r="358" spans="1:7" x14ac:dyDescent="0.25">
      <c r="A358" s="26">
        <v>112</v>
      </c>
      <c r="B358" s="26" t="s">
        <v>532</v>
      </c>
      <c r="C358" s="26" t="str">
        <f t="shared" si="16"/>
        <v>20.1Eng</v>
      </c>
      <c r="D358" s="5" t="s">
        <v>248</v>
      </c>
      <c r="E358" s="31" t="s">
        <v>4</v>
      </c>
      <c r="F358" s="14" t="str">
        <f t="shared" si="15"/>
        <v/>
      </c>
      <c r="G358" s="9" t="str">
        <f t="shared" si="17"/>
        <v/>
      </c>
    </row>
    <row r="359" spans="1:7" x14ac:dyDescent="0.25">
      <c r="A359" s="27"/>
      <c r="B359" s="27" t="s">
        <v>532</v>
      </c>
      <c r="C359" s="27" t="str">
        <f t="shared" si="16"/>
        <v>20.1Phon</v>
      </c>
      <c r="D359" s="2" t="s">
        <v>249</v>
      </c>
      <c r="E359" s="32" t="s">
        <v>5</v>
      </c>
      <c r="F359" s="13" t="str">
        <f t="shared" si="15"/>
        <v/>
      </c>
      <c r="G359" s="9" t="str">
        <f t="shared" si="17"/>
        <v/>
      </c>
    </row>
    <row r="360" spans="1:7" x14ac:dyDescent="0.25">
      <c r="A360" s="26"/>
      <c r="B360" s="26" t="s">
        <v>533</v>
      </c>
      <c r="C360" s="26" t="str">
        <f t="shared" si="16"/>
        <v>20.2Viet</v>
      </c>
      <c r="D360" s="6" t="s">
        <v>450</v>
      </c>
      <c r="E360" s="30" t="s">
        <v>3</v>
      </c>
      <c r="F360" s="12" t="str">
        <f t="shared" si="15"/>
        <v/>
      </c>
      <c r="G360" s="9" t="str">
        <f t="shared" si="17"/>
        <v/>
      </c>
    </row>
    <row r="361" spans="1:7" x14ac:dyDescent="0.25">
      <c r="A361" s="26">
        <v>113</v>
      </c>
      <c r="B361" s="26" t="s">
        <v>533</v>
      </c>
      <c r="C361" s="26" t="str">
        <f t="shared" si="16"/>
        <v>20.2Eng</v>
      </c>
      <c r="D361" s="5" t="s">
        <v>250</v>
      </c>
      <c r="E361" s="31" t="s">
        <v>4</v>
      </c>
      <c r="F361" s="14" t="str">
        <f t="shared" si="15"/>
        <v/>
      </c>
      <c r="G361" s="9" t="str">
        <f t="shared" si="17"/>
        <v/>
      </c>
    </row>
    <row r="362" spans="1:7" x14ac:dyDescent="0.25">
      <c r="A362" s="27"/>
      <c r="B362" s="27" t="s">
        <v>533</v>
      </c>
      <c r="C362" s="27" t="str">
        <f t="shared" si="16"/>
        <v>20.2Phon</v>
      </c>
      <c r="D362" s="2" t="s">
        <v>251</v>
      </c>
      <c r="E362" s="32" t="s">
        <v>5</v>
      </c>
      <c r="F362" s="13" t="str">
        <f t="shared" si="15"/>
        <v/>
      </c>
      <c r="G362" s="9" t="str">
        <f t="shared" si="17"/>
        <v/>
      </c>
    </row>
    <row r="363" spans="1:7" x14ac:dyDescent="0.25">
      <c r="A363" s="25"/>
      <c r="B363" s="24">
        <v>21</v>
      </c>
      <c r="C363" s="25" t="str">
        <f t="shared" si="16"/>
        <v>21Struc</v>
      </c>
      <c r="D363" s="19" t="s">
        <v>294</v>
      </c>
      <c r="E363" s="29" t="s">
        <v>11</v>
      </c>
      <c r="F363" s="20" t="str">
        <f t="shared" si="15"/>
        <v/>
      </c>
      <c r="G363" s="9" t="str">
        <f t="shared" si="17"/>
        <v/>
      </c>
    </row>
    <row r="364" spans="1:7" x14ac:dyDescent="0.25">
      <c r="A364" s="26"/>
      <c r="B364" s="26" t="s">
        <v>534</v>
      </c>
      <c r="C364" s="26" t="str">
        <f t="shared" si="16"/>
        <v>21.1Viet</v>
      </c>
      <c r="D364" s="6" t="s">
        <v>451</v>
      </c>
      <c r="E364" s="30" t="s">
        <v>3</v>
      </c>
      <c r="F364" s="12" t="str">
        <f t="shared" si="15"/>
        <v/>
      </c>
      <c r="G364" s="9" t="str">
        <f t="shared" si="17"/>
        <v/>
      </c>
    </row>
    <row r="365" spans="1:7" x14ac:dyDescent="0.25">
      <c r="A365" s="26">
        <v>114</v>
      </c>
      <c r="B365" s="26" t="s">
        <v>534</v>
      </c>
      <c r="C365" s="26" t="str">
        <f t="shared" si="16"/>
        <v>21.1Eng</v>
      </c>
      <c r="D365" s="5" t="s">
        <v>252</v>
      </c>
      <c r="E365" s="31" t="s">
        <v>4</v>
      </c>
      <c r="F365" s="14" t="str">
        <f t="shared" si="15"/>
        <v/>
      </c>
      <c r="G365" s="9" t="str">
        <f t="shared" si="17"/>
        <v/>
      </c>
    </row>
    <row r="366" spans="1:7" x14ac:dyDescent="0.25">
      <c r="A366" s="27"/>
      <c r="B366" s="27" t="s">
        <v>534</v>
      </c>
      <c r="C366" s="27" t="str">
        <f t="shared" si="16"/>
        <v>21.1Phon</v>
      </c>
      <c r="D366" s="2" t="s">
        <v>253</v>
      </c>
      <c r="E366" s="32" t="s">
        <v>5</v>
      </c>
      <c r="F366" s="13" t="str">
        <f t="shared" si="15"/>
        <v/>
      </c>
      <c r="G366" s="9" t="str">
        <f t="shared" si="17"/>
        <v/>
      </c>
    </row>
    <row r="367" spans="1:7" x14ac:dyDescent="0.25">
      <c r="A367" s="26"/>
      <c r="B367" s="26" t="s">
        <v>535</v>
      </c>
      <c r="C367" s="26" t="str">
        <f t="shared" si="16"/>
        <v>21.2Viet</v>
      </c>
      <c r="D367" s="6" t="s">
        <v>452</v>
      </c>
      <c r="E367" s="30" t="s">
        <v>3</v>
      </c>
      <c r="F367" s="12" t="str">
        <f t="shared" si="15"/>
        <v/>
      </c>
      <c r="G367" s="9" t="str">
        <f t="shared" si="17"/>
        <v/>
      </c>
    </row>
    <row r="368" spans="1:7" x14ac:dyDescent="0.25">
      <c r="A368" s="26">
        <v>115</v>
      </c>
      <c r="B368" s="26" t="s">
        <v>535</v>
      </c>
      <c r="C368" s="26" t="str">
        <f t="shared" si="16"/>
        <v>21.2Eng</v>
      </c>
      <c r="D368" s="5" t="s">
        <v>254</v>
      </c>
      <c r="E368" s="31" t="s">
        <v>4</v>
      </c>
      <c r="F368" s="14" t="str">
        <f t="shared" si="15"/>
        <v/>
      </c>
      <c r="G368" s="9" t="str">
        <f t="shared" si="17"/>
        <v/>
      </c>
    </row>
    <row r="369" spans="1:7" x14ac:dyDescent="0.25">
      <c r="A369" s="27"/>
      <c r="B369" s="27" t="s">
        <v>535</v>
      </c>
      <c r="C369" s="27" t="str">
        <f t="shared" si="16"/>
        <v>21.2Phon</v>
      </c>
      <c r="D369" s="2" t="s">
        <v>255</v>
      </c>
      <c r="E369" s="32" t="s">
        <v>5</v>
      </c>
      <c r="F369" s="13" t="str">
        <f t="shared" si="15"/>
        <v/>
      </c>
      <c r="G369" s="9" t="str">
        <f t="shared" si="17"/>
        <v/>
      </c>
    </row>
    <row r="370" spans="1:7" x14ac:dyDescent="0.25">
      <c r="A370" s="26"/>
      <c r="B370" s="26" t="s">
        <v>536</v>
      </c>
      <c r="C370" s="26" t="str">
        <f t="shared" si="16"/>
        <v>21.3Viet</v>
      </c>
      <c r="D370" s="6" t="s">
        <v>453</v>
      </c>
      <c r="E370" s="30" t="s">
        <v>3</v>
      </c>
      <c r="F370" s="12" t="str">
        <f t="shared" si="15"/>
        <v/>
      </c>
      <c r="G370" s="9" t="str">
        <f t="shared" si="17"/>
        <v/>
      </c>
    </row>
    <row r="371" spans="1:7" x14ac:dyDescent="0.25">
      <c r="A371" s="26">
        <v>116</v>
      </c>
      <c r="B371" s="26" t="s">
        <v>536</v>
      </c>
      <c r="C371" s="26" t="str">
        <f t="shared" si="16"/>
        <v>21.3Eng</v>
      </c>
      <c r="D371" s="5" t="s">
        <v>256</v>
      </c>
      <c r="E371" s="31" t="s">
        <v>4</v>
      </c>
      <c r="F371" s="14" t="str">
        <f t="shared" si="15"/>
        <v/>
      </c>
      <c r="G371" s="9" t="str">
        <f t="shared" si="17"/>
        <v/>
      </c>
    </row>
    <row r="372" spans="1:7" x14ac:dyDescent="0.25">
      <c r="A372" s="27"/>
      <c r="B372" s="27" t="s">
        <v>536</v>
      </c>
      <c r="C372" s="27" t="str">
        <f t="shared" si="16"/>
        <v>21.3Phon</v>
      </c>
      <c r="D372" s="2" t="s">
        <v>257</v>
      </c>
      <c r="E372" s="32" t="s">
        <v>5</v>
      </c>
      <c r="F372" s="13" t="str">
        <f t="shared" si="15"/>
        <v/>
      </c>
      <c r="G372" s="9" t="str">
        <f t="shared" si="17"/>
        <v/>
      </c>
    </row>
    <row r="373" spans="1:7" x14ac:dyDescent="0.25">
      <c r="A373" s="25"/>
      <c r="B373" s="24">
        <v>22</v>
      </c>
      <c r="C373" s="25" t="str">
        <f t="shared" si="16"/>
        <v>22Struc</v>
      </c>
      <c r="D373" s="19" t="s">
        <v>293</v>
      </c>
      <c r="E373" s="29" t="s">
        <v>11</v>
      </c>
      <c r="F373" s="20" t="str">
        <f t="shared" si="15"/>
        <v/>
      </c>
      <c r="G373" s="9" t="str">
        <f t="shared" si="17"/>
        <v/>
      </c>
    </row>
    <row r="374" spans="1:7" x14ac:dyDescent="0.25">
      <c r="A374" s="26"/>
      <c r="B374" s="26" t="s">
        <v>537</v>
      </c>
      <c r="C374" s="26" t="str">
        <f t="shared" si="16"/>
        <v>22.1Viet</v>
      </c>
      <c r="D374" s="6" t="s">
        <v>454</v>
      </c>
      <c r="E374" s="30" t="s">
        <v>3</v>
      </c>
      <c r="F374" s="12" t="str">
        <f t="shared" si="15"/>
        <v/>
      </c>
      <c r="G374" s="9" t="str">
        <f t="shared" si="17"/>
        <v/>
      </c>
    </row>
    <row r="375" spans="1:7" x14ac:dyDescent="0.25">
      <c r="A375" s="26">
        <v>117</v>
      </c>
      <c r="B375" s="26" t="s">
        <v>537</v>
      </c>
      <c r="C375" s="26" t="str">
        <f t="shared" si="16"/>
        <v>22.1Eng</v>
      </c>
      <c r="D375" s="5" t="s">
        <v>258</v>
      </c>
      <c r="E375" s="31" t="s">
        <v>4</v>
      </c>
      <c r="F375" s="14" t="str">
        <f t="shared" si="15"/>
        <v/>
      </c>
      <c r="G375" s="9" t="str">
        <f t="shared" si="17"/>
        <v/>
      </c>
    </row>
    <row r="376" spans="1:7" x14ac:dyDescent="0.25">
      <c r="A376" s="27"/>
      <c r="B376" s="27" t="s">
        <v>537</v>
      </c>
      <c r="C376" s="27" t="str">
        <f t="shared" si="16"/>
        <v>22.1Phon</v>
      </c>
      <c r="D376" s="2" t="s">
        <v>259</v>
      </c>
      <c r="E376" s="32" t="s">
        <v>5</v>
      </c>
      <c r="F376" s="13" t="str">
        <f t="shared" si="15"/>
        <v/>
      </c>
      <c r="G376" s="9" t="str">
        <f t="shared" si="17"/>
        <v/>
      </c>
    </row>
    <row r="377" spans="1:7" x14ac:dyDescent="0.25">
      <c r="A377" s="26"/>
      <c r="B377" s="26" t="s">
        <v>538</v>
      </c>
      <c r="C377" s="26" t="str">
        <f t="shared" si="16"/>
        <v>22.2Viet</v>
      </c>
      <c r="D377" s="6" t="s">
        <v>455</v>
      </c>
      <c r="E377" s="30" t="s">
        <v>3</v>
      </c>
      <c r="F377" s="12" t="str">
        <f t="shared" si="15"/>
        <v/>
      </c>
      <c r="G377" s="9" t="str">
        <f t="shared" si="17"/>
        <v/>
      </c>
    </row>
    <row r="378" spans="1:7" x14ac:dyDescent="0.25">
      <c r="A378" s="26">
        <v>118</v>
      </c>
      <c r="B378" s="26" t="s">
        <v>538</v>
      </c>
      <c r="C378" s="26" t="str">
        <f t="shared" si="16"/>
        <v>22.2Eng</v>
      </c>
      <c r="D378" s="5" t="s">
        <v>260</v>
      </c>
      <c r="E378" s="31" t="s">
        <v>4</v>
      </c>
      <c r="F378" s="14" t="str">
        <f t="shared" si="15"/>
        <v/>
      </c>
      <c r="G378" s="9" t="str">
        <f t="shared" si="17"/>
        <v/>
      </c>
    </row>
    <row r="379" spans="1:7" x14ac:dyDescent="0.25">
      <c r="A379" s="27"/>
      <c r="B379" s="27" t="s">
        <v>538</v>
      </c>
      <c r="C379" s="27" t="str">
        <f t="shared" si="16"/>
        <v>22.2Phon</v>
      </c>
      <c r="D379" s="2" t="s">
        <v>261</v>
      </c>
      <c r="E379" s="32" t="s">
        <v>5</v>
      </c>
      <c r="F379" s="13" t="str">
        <f t="shared" si="15"/>
        <v/>
      </c>
      <c r="G379" s="9" t="str">
        <f t="shared" si="17"/>
        <v/>
      </c>
    </row>
    <row r="380" spans="1:7" x14ac:dyDescent="0.25">
      <c r="A380" s="26"/>
      <c r="B380" s="26" t="s">
        <v>539</v>
      </c>
      <c r="C380" s="26" t="str">
        <f t="shared" si="16"/>
        <v>22.3Viet</v>
      </c>
      <c r="D380" s="6" t="s">
        <v>456</v>
      </c>
      <c r="E380" s="30" t="s">
        <v>3</v>
      </c>
      <c r="F380" s="12" t="str">
        <f t="shared" si="15"/>
        <v/>
      </c>
      <c r="G380" s="9" t="str">
        <f t="shared" si="17"/>
        <v/>
      </c>
    </row>
    <row r="381" spans="1:7" x14ac:dyDescent="0.25">
      <c r="A381" s="26">
        <v>119</v>
      </c>
      <c r="B381" s="26" t="s">
        <v>539</v>
      </c>
      <c r="C381" s="26" t="str">
        <f t="shared" si="16"/>
        <v>22.3Eng</v>
      </c>
      <c r="D381" s="5" t="s">
        <v>262</v>
      </c>
      <c r="E381" s="31" t="s">
        <v>4</v>
      </c>
      <c r="F381" s="14" t="str">
        <f t="shared" si="15"/>
        <v/>
      </c>
      <c r="G381" s="9" t="str">
        <f t="shared" si="17"/>
        <v/>
      </c>
    </row>
    <row r="382" spans="1:7" x14ac:dyDescent="0.25">
      <c r="A382" s="27"/>
      <c r="B382" s="27" t="s">
        <v>539</v>
      </c>
      <c r="C382" s="27" t="str">
        <f t="shared" si="16"/>
        <v>22.3Phon</v>
      </c>
      <c r="D382" s="2" t="s">
        <v>263</v>
      </c>
      <c r="E382" s="32" t="s">
        <v>5</v>
      </c>
      <c r="F382" s="13" t="str">
        <f t="shared" si="15"/>
        <v/>
      </c>
      <c r="G382" s="9" t="str">
        <f t="shared" si="17"/>
        <v/>
      </c>
    </row>
    <row r="383" spans="1:7" x14ac:dyDescent="0.25">
      <c r="A383" s="25"/>
      <c r="B383" s="24">
        <v>23</v>
      </c>
      <c r="C383" s="25" t="str">
        <f t="shared" si="16"/>
        <v>23Struc</v>
      </c>
      <c r="D383" s="19" t="s">
        <v>292</v>
      </c>
      <c r="E383" s="29" t="s">
        <v>11</v>
      </c>
      <c r="F383" s="20" t="str">
        <f t="shared" si="15"/>
        <v/>
      </c>
      <c r="G383" s="9" t="str">
        <f t="shared" si="17"/>
        <v/>
      </c>
    </row>
    <row r="384" spans="1:7" x14ac:dyDescent="0.25">
      <c r="A384" s="26"/>
      <c r="B384" s="26" t="s">
        <v>540</v>
      </c>
      <c r="C384" s="26" t="str">
        <f t="shared" si="16"/>
        <v>23.1Viet</v>
      </c>
      <c r="D384" s="6" t="s">
        <v>457</v>
      </c>
      <c r="E384" s="30" t="s">
        <v>3</v>
      </c>
      <c r="F384" s="12" t="str">
        <f t="shared" si="15"/>
        <v/>
      </c>
      <c r="G384" s="9" t="str">
        <f t="shared" si="17"/>
        <v/>
      </c>
    </row>
    <row r="385" spans="1:7" x14ac:dyDescent="0.25">
      <c r="A385" s="26">
        <v>120</v>
      </c>
      <c r="B385" s="26" t="s">
        <v>540</v>
      </c>
      <c r="C385" s="26" t="str">
        <f t="shared" si="16"/>
        <v>23.1Eng</v>
      </c>
      <c r="D385" s="5" t="s">
        <v>264</v>
      </c>
      <c r="E385" s="31" t="s">
        <v>4</v>
      </c>
      <c r="F385" s="14" t="str">
        <f t="shared" si="15"/>
        <v/>
      </c>
      <c r="G385" s="9" t="str">
        <f t="shared" si="17"/>
        <v/>
      </c>
    </row>
    <row r="386" spans="1:7" x14ac:dyDescent="0.25">
      <c r="A386" s="27"/>
      <c r="B386" s="27" t="s">
        <v>540</v>
      </c>
      <c r="C386" s="27" t="str">
        <f t="shared" si="16"/>
        <v>23.1Phon</v>
      </c>
      <c r="D386" s="2" t="s">
        <v>265</v>
      </c>
      <c r="E386" s="32" t="s">
        <v>5</v>
      </c>
      <c r="F386" s="13" t="str">
        <f t="shared" si="15"/>
        <v/>
      </c>
      <c r="G386" s="9" t="str">
        <f t="shared" si="17"/>
        <v/>
      </c>
    </row>
    <row r="387" spans="1:7" x14ac:dyDescent="0.25">
      <c r="A387" s="26"/>
      <c r="B387" s="26" t="s">
        <v>541</v>
      </c>
      <c r="C387" s="26" t="str">
        <f t="shared" si="16"/>
        <v>23.2Viet</v>
      </c>
      <c r="D387" s="6" t="s">
        <v>458</v>
      </c>
      <c r="E387" s="30" t="s">
        <v>3</v>
      </c>
      <c r="F387" s="12" t="str">
        <f t="shared" si="15"/>
        <v/>
      </c>
      <c r="G387" s="9" t="str">
        <f t="shared" si="17"/>
        <v/>
      </c>
    </row>
    <row r="388" spans="1:7" x14ac:dyDescent="0.25">
      <c r="A388" s="26">
        <v>121</v>
      </c>
      <c r="B388" s="26" t="s">
        <v>541</v>
      </c>
      <c r="C388" s="26" t="str">
        <f t="shared" si="16"/>
        <v>23.2Eng</v>
      </c>
      <c r="D388" s="5" t="s">
        <v>266</v>
      </c>
      <c r="E388" s="31" t="s">
        <v>4</v>
      </c>
      <c r="F388" s="14" t="str">
        <f t="shared" ref="F388:F408" si="18">IF(G388="","","https://docs.google.com/uc?export=download&amp;id="&amp;G388)</f>
        <v/>
      </c>
      <c r="G388" s="9" t="str">
        <f t="shared" si="17"/>
        <v/>
      </c>
    </row>
    <row r="389" spans="1:7" x14ac:dyDescent="0.25">
      <c r="A389" s="27"/>
      <c r="B389" s="27" t="s">
        <v>541</v>
      </c>
      <c r="C389" s="27" t="str">
        <f t="shared" ref="C389:C408" si="19">B389&amp;E389</f>
        <v>23.2Phon</v>
      </c>
      <c r="D389" s="2" t="s">
        <v>267</v>
      </c>
      <c r="E389" s="32" t="s">
        <v>5</v>
      </c>
      <c r="F389" s="13" t="str">
        <f t="shared" si="18"/>
        <v/>
      </c>
      <c r="G389" s="9" t="str">
        <f t="shared" ref="G389:G408" si="20">IFERROR(LEFT(RIGHT(H389,LEN(H389)-32),LEN(RIGHT(H389,LEN(H389)-32))-17),"")</f>
        <v/>
      </c>
    </row>
    <row r="390" spans="1:7" x14ac:dyDescent="0.25">
      <c r="A390" s="26"/>
      <c r="B390" s="26" t="s">
        <v>542</v>
      </c>
      <c r="C390" s="26" t="str">
        <f t="shared" si="19"/>
        <v>23.3Viet</v>
      </c>
      <c r="D390" s="6" t="s">
        <v>459</v>
      </c>
      <c r="E390" s="30" t="s">
        <v>3</v>
      </c>
      <c r="F390" s="12" t="str">
        <f t="shared" si="18"/>
        <v/>
      </c>
      <c r="G390" s="9" t="str">
        <f t="shared" si="20"/>
        <v/>
      </c>
    </row>
    <row r="391" spans="1:7" x14ac:dyDescent="0.25">
      <c r="A391" s="26">
        <v>122</v>
      </c>
      <c r="B391" s="26" t="s">
        <v>542</v>
      </c>
      <c r="C391" s="26" t="str">
        <f t="shared" si="19"/>
        <v>23.3Eng</v>
      </c>
      <c r="D391" s="5" t="s">
        <v>268</v>
      </c>
      <c r="E391" s="31" t="s">
        <v>4</v>
      </c>
      <c r="F391" s="14" t="str">
        <f t="shared" si="18"/>
        <v/>
      </c>
      <c r="G391" s="9" t="str">
        <f t="shared" si="20"/>
        <v/>
      </c>
    </row>
    <row r="392" spans="1:7" x14ac:dyDescent="0.25">
      <c r="A392" s="27"/>
      <c r="B392" s="27" t="s">
        <v>542</v>
      </c>
      <c r="C392" s="27" t="str">
        <f t="shared" si="19"/>
        <v>23.3Phon</v>
      </c>
      <c r="D392" s="2" t="s">
        <v>269</v>
      </c>
      <c r="E392" s="32" t="s">
        <v>5</v>
      </c>
      <c r="F392" s="13" t="str">
        <f t="shared" si="18"/>
        <v/>
      </c>
      <c r="G392" s="9" t="str">
        <f t="shared" si="20"/>
        <v/>
      </c>
    </row>
    <row r="393" spans="1:7" x14ac:dyDescent="0.25">
      <c r="A393" s="26"/>
      <c r="B393" s="26" t="s">
        <v>543</v>
      </c>
      <c r="C393" s="26" t="str">
        <f t="shared" si="19"/>
        <v>23.4Viet</v>
      </c>
      <c r="D393" s="6" t="s">
        <v>320</v>
      </c>
      <c r="E393" s="30" t="s">
        <v>3</v>
      </c>
      <c r="F393" s="12" t="str">
        <f t="shared" si="18"/>
        <v/>
      </c>
      <c r="G393" s="9" t="str">
        <f t="shared" si="20"/>
        <v/>
      </c>
    </row>
    <row r="394" spans="1:7" x14ac:dyDescent="0.25">
      <c r="A394" s="26">
        <v>123</v>
      </c>
      <c r="B394" s="26" t="s">
        <v>543</v>
      </c>
      <c r="C394" s="26" t="str">
        <f t="shared" si="19"/>
        <v>23.4Eng</v>
      </c>
      <c r="D394" s="5" t="s">
        <v>270</v>
      </c>
      <c r="E394" s="31" t="s">
        <v>4</v>
      </c>
      <c r="F394" s="14" t="str">
        <f t="shared" si="18"/>
        <v/>
      </c>
      <c r="G394" s="9" t="str">
        <f t="shared" si="20"/>
        <v/>
      </c>
    </row>
    <row r="395" spans="1:7" x14ac:dyDescent="0.25">
      <c r="A395" s="27"/>
      <c r="B395" s="27" t="s">
        <v>543</v>
      </c>
      <c r="C395" s="27" t="str">
        <f t="shared" si="19"/>
        <v>23.4Phon</v>
      </c>
      <c r="D395" s="2" t="s">
        <v>271</v>
      </c>
      <c r="E395" s="32" t="s">
        <v>5</v>
      </c>
      <c r="F395" s="13" t="str">
        <f t="shared" si="18"/>
        <v/>
      </c>
      <c r="G395" s="9" t="str">
        <f t="shared" si="20"/>
        <v/>
      </c>
    </row>
    <row r="396" spans="1:7" x14ac:dyDescent="0.25">
      <c r="A396" s="26"/>
      <c r="B396" s="26" t="s">
        <v>544</v>
      </c>
      <c r="C396" s="26" t="str">
        <f t="shared" si="19"/>
        <v>23.5Viet</v>
      </c>
      <c r="D396" s="6" t="s">
        <v>331</v>
      </c>
      <c r="E396" s="30" t="s">
        <v>3</v>
      </c>
      <c r="F396" s="12" t="str">
        <f t="shared" si="18"/>
        <v/>
      </c>
      <c r="G396" s="9" t="str">
        <f t="shared" si="20"/>
        <v/>
      </c>
    </row>
    <row r="397" spans="1:7" x14ac:dyDescent="0.25">
      <c r="A397" s="26">
        <v>124</v>
      </c>
      <c r="B397" s="26" t="s">
        <v>544</v>
      </c>
      <c r="C397" s="26" t="str">
        <f t="shared" si="19"/>
        <v>23.5Eng</v>
      </c>
      <c r="D397" s="5" t="s">
        <v>272</v>
      </c>
      <c r="E397" s="31" t="s">
        <v>4</v>
      </c>
      <c r="F397" s="14" t="str">
        <f t="shared" si="18"/>
        <v/>
      </c>
      <c r="G397" s="9" t="str">
        <f t="shared" si="20"/>
        <v/>
      </c>
    </row>
    <row r="398" spans="1:7" x14ac:dyDescent="0.25">
      <c r="A398" s="27"/>
      <c r="B398" s="27" t="s">
        <v>544</v>
      </c>
      <c r="C398" s="27" t="str">
        <f t="shared" si="19"/>
        <v>23.5Phon</v>
      </c>
      <c r="D398" s="2" t="s">
        <v>273</v>
      </c>
      <c r="E398" s="32" t="s">
        <v>5</v>
      </c>
      <c r="F398" s="13" t="str">
        <f t="shared" si="18"/>
        <v/>
      </c>
      <c r="G398" s="9" t="str">
        <f t="shared" si="20"/>
        <v/>
      </c>
    </row>
    <row r="399" spans="1:7" x14ac:dyDescent="0.25">
      <c r="A399" s="25"/>
      <c r="B399" s="24">
        <v>24</v>
      </c>
      <c r="C399" s="25" t="str">
        <f t="shared" si="19"/>
        <v>24Struc</v>
      </c>
      <c r="D399" s="19" t="s">
        <v>291</v>
      </c>
      <c r="E399" s="29" t="s">
        <v>11</v>
      </c>
      <c r="F399" s="20" t="str">
        <f t="shared" si="18"/>
        <v/>
      </c>
      <c r="G399" s="9" t="str">
        <f t="shared" si="20"/>
        <v/>
      </c>
    </row>
    <row r="400" spans="1:7" x14ac:dyDescent="0.25">
      <c r="A400" s="26"/>
      <c r="B400" s="26" t="s">
        <v>545</v>
      </c>
      <c r="C400" s="26" t="str">
        <f t="shared" si="19"/>
        <v>24.1Viet</v>
      </c>
      <c r="D400" s="6" t="s">
        <v>460</v>
      </c>
      <c r="E400" s="30" t="s">
        <v>3</v>
      </c>
      <c r="F400" s="12" t="str">
        <f t="shared" si="18"/>
        <v/>
      </c>
      <c r="G400" s="9" t="str">
        <f t="shared" si="20"/>
        <v/>
      </c>
    </row>
    <row r="401" spans="1:7" x14ac:dyDescent="0.25">
      <c r="A401" s="26">
        <v>125</v>
      </c>
      <c r="B401" s="26" t="s">
        <v>545</v>
      </c>
      <c r="C401" s="26" t="str">
        <f t="shared" si="19"/>
        <v>24.1Eng</v>
      </c>
      <c r="D401" s="5" t="s">
        <v>274</v>
      </c>
      <c r="E401" s="31" t="s">
        <v>4</v>
      </c>
      <c r="F401" s="14" t="str">
        <f t="shared" si="18"/>
        <v/>
      </c>
      <c r="G401" s="9" t="str">
        <f t="shared" si="20"/>
        <v/>
      </c>
    </row>
    <row r="402" spans="1:7" x14ac:dyDescent="0.25">
      <c r="A402" s="27"/>
      <c r="B402" s="27" t="s">
        <v>545</v>
      </c>
      <c r="C402" s="27" t="str">
        <f t="shared" si="19"/>
        <v>24.1Phon</v>
      </c>
      <c r="D402" s="2" t="s">
        <v>275</v>
      </c>
      <c r="E402" s="32" t="s">
        <v>5</v>
      </c>
      <c r="F402" s="13" t="str">
        <f t="shared" si="18"/>
        <v/>
      </c>
      <c r="G402" s="9" t="str">
        <f t="shared" si="20"/>
        <v/>
      </c>
    </row>
    <row r="403" spans="1:7" x14ac:dyDescent="0.25">
      <c r="A403" s="26"/>
      <c r="B403" s="26" t="s">
        <v>546</v>
      </c>
      <c r="C403" s="26" t="str">
        <f t="shared" si="19"/>
        <v>24.2Viet</v>
      </c>
      <c r="D403" s="6" t="s">
        <v>461</v>
      </c>
      <c r="E403" s="30" t="s">
        <v>3</v>
      </c>
      <c r="F403" s="12" t="str">
        <f t="shared" si="18"/>
        <v/>
      </c>
      <c r="G403" s="9" t="str">
        <f t="shared" si="20"/>
        <v/>
      </c>
    </row>
    <row r="404" spans="1:7" x14ac:dyDescent="0.25">
      <c r="A404" s="26">
        <v>126</v>
      </c>
      <c r="B404" s="26" t="s">
        <v>546</v>
      </c>
      <c r="C404" s="26" t="str">
        <f t="shared" si="19"/>
        <v>24.2Eng</v>
      </c>
      <c r="D404" s="5" t="s">
        <v>276</v>
      </c>
      <c r="E404" s="31" t="s">
        <v>4</v>
      </c>
      <c r="F404" s="14" t="str">
        <f t="shared" si="18"/>
        <v/>
      </c>
      <c r="G404" s="9" t="str">
        <f t="shared" si="20"/>
        <v/>
      </c>
    </row>
    <row r="405" spans="1:7" x14ac:dyDescent="0.25">
      <c r="A405" s="27"/>
      <c r="B405" s="27" t="s">
        <v>546</v>
      </c>
      <c r="C405" s="27" t="str">
        <f t="shared" si="19"/>
        <v>24.2Phon</v>
      </c>
      <c r="D405" s="2" t="s">
        <v>277</v>
      </c>
      <c r="E405" s="32" t="s">
        <v>5</v>
      </c>
      <c r="F405" s="13" t="str">
        <f t="shared" si="18"/>
        <v/>
      </c>
      <c r="G405" s="9" t="str">
        <f t="shared" si="20"/>
        <v/>
      </c>
    </row>
    <row r="406" spans="1:7" x14ac:dyDescent="0.25">
      <c r="A406" s="26"/>
      <c r="B406" s="26" t="s">
        <v>547</v>
      </c>
      <c r="C406" s="26" t="str">
        <f t="shared" si="19"/>
        <v>24.3Viet</v>
      </c>
      <c r="D406" s="6" t="s">
        <v>462</v>
      </c>
      <c r="E406" s="30" t="s">
        <v>3</v>
      </c>
      <c r="F406" s="12" t="str">
        <f t="shared" si="18"/>
        <v/>
      </c>
      <c r="G406" s="9" t="str">
        <f t="shared" si="20"/>
        <v/>
      </c>
    </row>
    <row r="407" spans="1:7" x14ac:dyDescent="0.25">
      <c r="A407" s="26">
        <v>127</v>
      </c>
      <c r="B407" s="26" t="s">
        <v>547</v>
      </c>
      <c r="C407" s="26" t="str">
        <f t="shared" si="19"/>
        <v>24.3Eng</v>
      </c>
      <c r="D407" s="5" t="s">
        <v>278</v>
      </c>
      <c r="E407" s="31" t="s">
        <v>4</v>
      </c>
      <c r="F407" s="14" t="str">
        <f t="shared" si="18"/>
        <v/>
      </c>
      <c r="G407" s="9" t="str">
        <f t="shared" si="20"/>
        <v/>
      </c>
    </row>
    <row r="408" spans="1:7" x14ac:dyDescent="0.25">
      <c r="A408" s="27"/>
      <c r="B408" s="27" t="s">
        <v>547</v>
      </c>
      <c r="C408" s="27" t="str">
        <f t="shared" si="19"/>
        <v>24.3Phon</v>
      </c>
      <c r="D408" s="2" t="s">
        <v>279</v>
      </c>
      <c r="E408" s="32" t="s">
        <v>5</v>
      </c>
      <c r="F408" s="13" t="str">
        <f t="shared" si="18"/>
        <v/>
      </c>
      <c r="G408" s="9" t="str">
        <f t="shared" si="20"/>
        <v/>
      </c>
    </row>
  </sheetData>
  <autoFilter ref="B3:I408" xr:uid="{409C9D1B-A452-401C-9733-8750E50DAAF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13"/>
  <sheetViews>
    <sheetView workbookViewId="0">
      <selection activeCell="C3" sqref="C3"/>
    </sheetView>
  </sheetViews>
  <sheetFormatPr defaultRowHeight="13.8" x14ac:dyDescent="0.25"/>
  <cols>
    <col min="2" max="2" width="12.19921875" style="1" bestFit="1" customWidth="1"/>
    <col min="3" max="3" width="75.8984375" bestFit="1" customWidth="1"/>
    <col min="5" max="5" width="74.296875" bestFit="1" customWidth="1"/>
  </cols>
  <sheetData>
    <row r="2" spans="2:5" x14ac:dyDescent="0.25">
      <c r="B2" s="3" t="s">
        <v>0</v>
      </c>
      <c r="C2" s="11" t="s">
        <v>9</v>
      </c>
      <c r="D2" s="1" t="s">
        <v>8</v>
      </c>
      <c r="E2" s="7" t="s">
        <v>10</v>
      </c>
    </row>
    <row r="3" spans="2:5" x14ac:dyDescent="0.25">
      <c r="B3" s="17" t="s">
        <v>55</v>
      </c>
      <c r="C3" s="15" t="str">
        <f>IF(D3="","","https://docs.google.com/uc?export=download&amp;id="&amp;D3)</f>
        <v>https://docs.google.com/uc?export=download&amp;id=10qlQB8tF1gSzl-Gparsrm3F74hox0hNG</v>
      </c>
      <c r="D3" s="16" t="str">
        <f t="shared" ref="D3:D13" si="0">IFERROR(LEFT(RIGHT(E3,LEN(E3)-32),LEN(RIGHT(E3,LEN(E3)-32))-17),"")</f>
        <v>10qlQB8tF1gSzl-Gparsrm3F74hox0hNG</v>
      </c>
      <c r="E3" s="16" t="s">
        <v>553</v>
      </c>
    </row>
    <row r="4" spans="2:5" x14ac:dyDescent="0.25">
      <c r="B4" s="17" t="s">
        <v>548</v>
      </c>
      <c r="C4" s="15" t="str">
        <f t="shared" ref="C4:C9" si="1">IF(D4="","","https://docs.google.com/uc?export=download&amp;id="&amp;D4)</f>
        <v>https://docs.google.com/uc?export=download&amp;id=1Vi4ilNsXavOYA4rGbm8nJTp5VFzAs0UV</v>
      </c>
      <c r="D4" s="16" t="str">
        <f t="shared" si="0"/>
        <v>1Vi4ilNsXavOYA4rGbm8nJTp5VFzAs0UV</v>
      </c>
      <c r="E4" s="16" t="s">
        <v>554</v>
      </c>
    </row>
    <row r="5" spans="2:5" x14ac:dyDescent="0.25">
      <c r="B5" s="17" t="s">
        <v>549</v>
      </c>
      <c r="C5" s="15" t="str">
        <f t="shared" si="1"/>
        <v>https://docs.google.com/uc?export=download&amp;id=1X9vWN4cPRHgq7tfiAtFUjVab8gEbmf00</v>
      </c>
      <c r="D5" s="16" t="str">
        <f t="shared" si="0"/>
        <v>1X9vWN4cPRHgq7tfiAtFUjVab8gEbmf00</v>
      </c>
      <c r="E5" s="16" t="s">
        <v>555</v>
      </c>
    </row>
    <row r="6" spans="2:5" x14ac:dyDescent="0.25">
      <c r="B6" s="17" t="s">
        <v>550</v>
      </c>
      <c r="C6" s="15" t="str">
        <f t="shared" si="1"/>
        <v>https://docs.google.com/uc?export=download&amp;id=1B6EGBHrpPExAP-vSBue6lemxDKWsxGt8</v>
      </c>
      <c r="D6" s="16" t="str">
        <f t="shared" si="0"/>
        <v>1B6EGBHrpPExAP-vSBue6lemxDKWsxGt8</v>
      </c>
      <c r="E6" s="16" t="s">
        <v>556</v>
      </c>
    </row>
    <row r="7" spans="2:5" x14ac:dyDescent="0.25">
      <c r="B7" s="17" t="s">
        <v>552</v>
      </c>
      <c r="C7" s="15" t="str">
        <f t="shared" si="1"/>
        <v>https://docs.google.com/uc?export=download&amp;id=1kwNhZIe_DzRHthoTyhWJe0j2i5nHyWWU</v>
      </c>
      <c r="D7" s="16" t="str">
        <f t="shared" si="0"/>
        <v>1kwNhZIe_DzRHthoTyhWJe0j2i5nHyWWU</v>
      </c>
      <c r="E7" s="16" t="s">
        <v>557</v>
      </c>
    </row>
    <row r="8" spans="2:5" x14ac:dyDescent="0.25">
      <c r="B8" s="39" t="s">
        <v>558</v>
      </c>
      <c r="C8" s="40" t="str">
        <f t="shared" si="1"/>
        <v>https://docs.google.com/uc?export=download&amp;id=1q0XTHO24c0hsmHTpb-hu8VS-vP5w5-zT</v>
      </c>
      <c r="D8" s="16" t="str">
        <f t="shared" si="0"/>
        <v>1q0XTHO24c0hsmHTpb-hu8VS-vP5w5-zT</v>
      </c>
      <c r="E8" s="16" t="s">
        <v>559</v>
      </c>
    </row>
    <row r="9" spans="2:5" x14ac:dyDescent="0.25">
      <c r="B9" s="17"/>
      <c r="C9" s="15" t="str">
        <f t="shared" si="1"/>
        <v/>
      </c>
      <c r="D9" s="16" t="str">
        <f t="shared" si="0"/>
        <v/>
      </c>
      <c r="E9" s="16"/>
    </row>
    <row r="10" spans="2:5" x14ac:dyDescent="0.25">
      <c r="B10" s="17"/>
      <c r="C10" s="15" t="str">
        <f t="shared" ref="C10:C13" si="2">IF(D10="","","https://docs.google.com/uc?export=download&amp;id="&amp;D10&amp;"""")</f>
        <v/>
      </c>
      <c r="D10" s="16" t="str">
        <f t="shared" si="0"/>
        <v/>
      </c>
      <c r="E10" s="16"/>
    </row>
    <row r="11" spans="2:5" x14ac:dyDescent="0.25">
      <c r="B11" s="17"/>
      <c r="C11" s="15" t="str">
        <f t="shared" si="2"/>
        <v/>
      </c>
      <c r="D11" s="16" t="str">
        <f t="shared" si="0"/>
        <v/>
      </c>
      <c r="E11" s="16"/>
    </row>
    <row r="12" spans="2:5" x14ac:dyDescent="0.25">
      <c r="B12" s="17"/>
      <c r="C12" s="15" t="str">
        <f t="shared" si="2"/>
        <v/>
      </c>
      <c r="D12" s="16" t="str">
        <f t="shared" si="0"/>
        <v/>
      </c>
      <c r="E12" s="16"/>
    </row>
    <row r="13" spans="2:5" x14ac:dyDescent="0.25">
      <c r="B13" s="17"/>
      <c r="C13" s="15" t="str">
        <f t="shared" si="2"/>
        <v/>
      </c>
      <c r="D13" s="16" t="str">
        <f t="shared" si="0"/>
        <v/>
      </c>
      <c r="E13" s="16"/>
    </row>
  </sheetData>
  <phoneticPr fontId="3" type="noConversion"/>
  <pageMargins left="0.7" right="0.7" top="0.75" bottom="0.75" header="0.3" footer="0.3"/>
  <ignoredErrors>
    <ignoredError sqref="B5 B8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5089-671B-487D-87F4-1B9F55A5E2EB}">
  <dimension ref="A1:E14"/>
  <sheetViews>
    <sheetView tabSelected="1" workbookViewId="0">
      <selection activeCell="B19" sqref="B19"/>
    </sheetView>
  </sheetViews>
  <sheetFormatPr defaultRowHeight="13.8" x14ac:dyDescent="0.25"/>
  <cols>
    <col min="1" max="1" width="9.296875" customWidth="1"/>
    <col min="2" max="2" width="79.69921875" bestFit="1" customWidth="1"/>
    <col min="3" max="3" width="53.19921875" customWidth="1"/>
    <col min="4" max="4" width="127.19921875" bestFit="1" customWidth="1"/>
  </cols>
  <sheetData>
    <row r="1" spans="1:5" x14ac:dyDescent="0.25">
      <c r="A1" s="11"/>
      <c r="B1" s="11" t="s">
        <v>9</v>
      </c>
      <c r="C1" s="1" t="s">
        <v>8</v>
      </c>
      <c r="D1" s="7" t="s">
        <v>10</v>
      </c>
    </row>
    <row r="2" spans="1:5" x14ac:dyDescent="0.25">
      <c r="A2" s="15" t="s">
        <v>561</v>
      </c>
      <c r="B2" s="15" t="str">
        <f>IF(C2="","","https://drive.google.com/uc?export=download&amp;id="&amp;C2)</f>
        <v>https://drive.google.com/uc?export=download&amp;id=1yaA5HNAs5jzu20OKyo1SkR34A4jYyxKX</v>
      </c>
      <c r="C2" s="16" t="str">
        <f t="shared" ref="C2" si="0">IFERROR(LEFT(RIGHT(D2,LEN(D2)-32),LEN(RIGHT(D2,LEN(D2)-32))-17),"")</f>
        <v>1yaA5HNAs5jzu20OKyo1SkR34A4jYyxKX</v>
      </c>
      <c r="D2" s="16" t="s">
        <v>560</v>
      </c>
    </row>
    <row r="3" spans="1:5" x14ac:dyDescent="0.25">
      <c r="A3" s="15" t="s">
        <v>562</v>
      </c>
      <c r="B3" s="15" t="str">
        <f>IF(C3="","","https://docs.google.com/uc?export=download&amp;id="&amp;C3)</f>
        <v>https://docs.google.com/uc?export=download&amp;id=1PocnX9spWHbLaRjmD7yL-UBA2nWHUACi</v>
      </c>
      <c r="C3" s="16" t="str">
        <f t="shared" ref="C3:C4" si="1">IFERROR(LEFT(RIGHT(D3,LEN(D3)-32),LEN(RIGHT(D3,LEN(D3)-32))-17),"")</f>
        <v>1PocnX9spWHbLaRjmD7yL-UBA2nWHUACi</v>
      </c>
      <c r="D3" s="16" t="s">
        <v>563</v>
      </c>
    </row>
    <row r="4" spans="1:5" x14ac:dyDescent="0.25">
      <c r="A4" t="s">
        <v>564</v>
      </c>
      <c r="B4" s="15" t="str">
        <f>IF(C4="","","https://drive.google.com/uc?export=download&amp;id="&amp;C4)</f>
        <v>https://drive.google.com/uc?export=download&amp;id=1KZ01z4pXaLP6Kpue8tVY9GXqoWlHMLXm</v>
      </c>
      <c r="C4" s="16" t="str">
        <f>IFERROR(LEFT(RIGHT(D4,LEN(D4)-35),LEN(RIGHT(D4,LEN(D4)-35))-63),"")</f>
        <v>1KZ01z4pXaLP6Kpue8tVY9GXqoWlHMLXm</v>
      </c>
      <c r="D4" s="9" t="s">
        <v>565</v>
      </c>
    </row>
    <row r="5" spans="1:5" x14ac:dyDescent="0.25">
      <c r="A5" t="s">
        <v>566</v>
      </c>
      <c r="B5" s="15" t="str">
        <f>IF(C5="","","https://drive.google.com/uc?export=download&amp;id="&amp;C5)</f>
        <v>https://drive.google.com/uc?export=download&amp;id=1i2QMI0nI-nZnnUSfRzwDmPv0wE62ZwVp</v>
      </c>
      <c r="C5" s="16" t="str">
        <f>IFERROR(LEFT(RIGHT(D5,LEN(D5)-39),LEN(RIGHT(D5,LEN(D5)-39))-63),"")</f>
        <v>1i2QMI0nI-nZnnUSfRzwDmPv0wE62ZwVp</v>
      </c>
      <c r="D5" s="9" t="s">
        <v>567</v>
      </c>
    </row>
    <row r="14" spans="1:5" x14ac:dyDescent="0.25">
      <c r="E14">
        <f>LEN(D14)</f>
        <v>0</v>
      </c>
    </row>
  </sheetData>
  <hyperlinks>
    <hyperlink ref="D4" r:id="rId1" xr:uid="{41C686DF-E85F-46CA-922C-F92134CC2110}"/>
    <hyperlink ref="D5" r:id="rId2" xr:uid="{132DB456-EA48-48BA-86A6-88554C6031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3"/>
  <sheetViews>
    <sheetView workbookViewId="0">
      <selection activeCell="C10" sqref="C10"/>
    </sheetView>
  </sheetViews>
  <sheetFormatPr defaultRowHeight="13.8" x14ac:dyDescent="0.25"/>
  <cols>
    <col min="3" max="3" width="75.69921875" bestFit="1" customWidth="1"/>
    <col min="5" max="5" width="74.796875" bestFit="1" customWidth="1"/>
  </cols>
  <sheetData>
    <row r="2" spans="2:5" x14ac:dyDescent="0.25">
      <c r="B2" s="3" t="s">
        <v>0</v>
      </c>
      <c r="C2" s="11" t="s">
        <v>9</v>
      </c>
      <c r="D2" s="1" t="s">
        <v>8</v>
      </c>
      <c r="E2" s="7" t="s">
        <v>10</v>
      </c>
    </row>
    <row r="3" spans="2:5" x14ac:dyDescent="0.25">
      <c r="B3" s="17" t="s">
        <v>56</v>
      </c>
      <c r="C3" s="15" t="str">
        <f>IF(D3="","","https://docs.google.com/uc?export=download&amp;id="&amp;D3)</f>
        <v>https://docs.google.com/uc?export=download&amp;id=1fJ1hB_tsAt-bFM29YOwbWqusGHDcgbIZ</v>
      </c>
      <c r="D3" s="16" t="str">
        <f t="shared" ref="D3" si="0">IFERROR(LEFT(RIGHT(E3,LEN(E3)-32),LEN(RIGHT(E3,LEN(E3)-32))-17),"")</f>
        <v>1fJ1hB_tsAt-bFM29YOwbWqusGHDcgbIZ</v>
      </c>
      <c r="E3" s="1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J432"/>
  <sheetViews>
    <sheetView topLeftCell="C1" zoomScale="86" zoomScaleNormal="86" workbookViewId="0">
      <selection activeCell="E4" sqref="E4:E28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61.8984375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33">
        <v>95</v>
      </c>
      <c r="D1" s="7"/>
    </row>
    <row r="2" spans="1:10" x14ac:dyDescent="0.25">
      <c r="B2" t="s">
        <v>7</v>
      </c>
      <c r="C2" s="33">
        <v>119</v>
      </c>
      <c r="D2" s="7"/>
    </row>
    <row r="3" spans="1:10" x14ac:dyDescent="0.25">
      <c r="C3" s="34" t="s">
        <v>1</v>
      </c>
      <c r="D3" s="8" t="s">
        <v>1</v>
      </c>
      <c r="E3" s="8" t="s">
        <v>3</v>
      </c>
      <c r="F3" s="8" t="s">
        <v>4</v>
      </c>
    </row>
    <row r="4" spans="1:10" x14ac:dyDescent="0.25">
      <c r="A4">
        <f>C1</f>
        <v>95</v>
      </c>
      <c r="B4">
        <f t="shared" ref="B4:B67" ca="1" si="0">IF(A4="","",RANDBETWEEN($C$1,$C$2))</f>
        <v>106</v>
      </c>
      <c r="C4" s="1">
        <f ca="1">IFERROR($C$1-1+_xlfn.RANK.EQ(B4,$B$4:$B$130)+COUNTIF(B$4:$B4,B4)-1,"")</f>
        <v>104</v>
      </c>
      <c r="D4" s="1" t="str">
        <f ca="1">IFERROR(VLOOKUP(C4,'About me'!A:B,2,0),"")</f>
        <v>18.10</v>
      </c>
      <c r="E4" t="str">
        <f ca="1">IFERROR(VLOOKUP(D4&amp;"Viet",'About me'!C:D,2,0),"")</f>
        <v>Hầu hết bạn bè của tôi nói tôi là người hướng ngoại.</v>
      </c>
      <c r="F4" t="str">
        <f ca="1">IFERROR(VLOOKUP(D4&amp;"Eng",'About me'!C:D,2,0),"")</f>
        <v>Most of my friends would say I am an extroverted person.</v>
      </c>
    </row>
    <row r="5" spans="1:10" x14ac:dyDescent="0.25">
      <c r="A5">
        <f>IFERROR(IF(A4+1&gt;$C$2,"",A4+1),"")</f>
        <v>96</v>
      </c>
      <c r="B5">
        <f t="shared" ca="1" si="0"/>
        <v>107</v>
      </c>
      <c r="C5" s="1">
        <f ca="1">IFERROR($C$1-1+_xlfn.RANK.EQ(B5,$B$4:$B$72)+COUNTIF(B$4:$B5,B5)-1,"")</f>
        <v>102</v>
      </c>
      <c r="D5" s="1" t="str">
        <f ca="1">IFERROR(VLOOKUP(C5,'About me'!A:B,2,0),"")</f>
        <v>18.8</v>
      </c>
      <c r="E5" t="str">
        <f ca="1">IFERROR(VLOOKUP(D5&amp;"Viet",'About me'!C:D,2,0),"")</f>
        <v>Hầu hết bạn bè của tôi nói tôi là người thực tế.</v>
      </c>
      <c r="F5" t="str">
        <f ca="1">IFERROR(VLOOKUP(D5&amp;"Eng",'About me'!C:D,2,0),"")</f>
        <v>Most of my friends would say I am a down-to-earth person.</v>
      </c>
    </row>
    <row r="6" spans="1:10" x14ac:dyDescent="0.25">
      <c r="A6">
        <f t="shared" ref="A6:A69" si="1">IFERROR(IF(A5+1&gt;$C$2,"",A5+1),"")</f>
        <v>97</v>
      </c>
      <c r="B6">
        <f t="shared" ca="1" si="0"/>
        <v>103</v>
      </c>
      <c r="C6" s="1">
        <f ca="1">IFERROR($C$1-1+_xlfn.RANK.EQ(B6,$B$4:$B$72)+COUNTIF(B$4:$B6,B6)-1,"")</f>
        <v>109</v>
      </c>
      <c r="D6" s="1" t="str">
        <f ca="1">IFERROR(VLOOKUP(C6,'About me'!A:B,2,0),"")</f>
        <v>19.3</v>
      </c>
      <c r="E6" t="str">
        <f ca="1">IFERROR(VLOOKUP(D6&amp;"Viet",'About me'!C:D,2,0),"")</f>
        <v>Châm ngôn ưa thích của tôi là “Hãy nỗ lực hết mình”.</v>
      </c>
      <c r="F6" t="str">
        <f ca="1">IFERROR(VLOOKUP(D6&amp;"Eng",'About me'!C:D,2,0),"")</f>
        <v>My favorite motto is “Do my best”.</v>
      </c>
    </row>
    <row r="7" spans="1:10" x14ac:dyDescent="0.25">
      <c r="A7">
        <f t="shared" si="1"/>
        <v>98</v>
      </c>
      <c r="B7">
        <f t="shared" ca="1" si="0"/>
        <v>109</v>
      </c>
      <c r="C7" s="1">
        <f ca="1">IFERROR($C$1-1+_xlfn.RANK.EQ(B7,$B$4:$B$72)+COUNTIF(B$4:$B7,B7)-1,"")</f>
        <v>99</v>
      </c>
      <c r="D7" s="1" t="str">
        <f ca="1">IFERROR(VLOOKUP(C7,'About me'!A:B,2,0),"")</f>
        <v>18.5</v>
      </c>
      <c r="E7" t="str">
        <f ca="1">IFERROR(VLOOKUP(D7&amp;"Viet",'About me'!C:D,2,0),"")</f>
        <v>Hầu hết bạn bè của tôi nói tôi là người dễ xúc động.</v>
      </c>
      <c r="F7" t="str">
        <f ca="1">IFERROR(VLOOKUP(D7&amp;"Eng",'About me'!C:D,2,0),"")</f>
        <v>Most of my friends would say I am an emotive person.</v>
      </c>
    </row>
    <row r="8" spans="1:10" x14ac:dyDescent="0.25">
      <c r="A8">
        <f t="shared" si="1"/>
        <v>99</v>
      </c>
      <c r="B8">
        <f t="shared" ca="1" si="0"/>
        <v>107</v>
      </c>
      <c r="C8" s="1">
        <f ca="1">IFERROR($C$1-1+_xlfn.RANK.EQ(B8,$B$4:$B$72)+COUNTIF(B$4:$B8,B8)-1,"")</f>
        <v>103</v>
      </c>
      <c r="D8" s="1" t="str">
        <f ca="1">IFERROR(VLOOKUP(C8,'About me'!A:B,2,0),"")</f>
        <v>18.9</v>
      </c>
      <c r="E8" t="str">
        <f ca="1">IFERROR(VLOOKUP(D8&amp;"Viet",'About me'!C:D,2,0),"")</f>
        <v>Hầu hết bạn bè của tôi nói tôi là người hướng nội.</v>
      </c>
      <c r="F8" t="str">
        <f ca="1">IFERROR(VLOOKUP(D8&amp;"Eng",'About me'!C:D,2,0),"")</f>
        <v>Most of my friends would say I am an introverted person.</v>
      </c>
    </row>
    <row r="9" spans="1:10" x14ac:dyDescent="0.25">
      <c r="A9">
        <f t="shared" si="1"/>
        <v>100</v>
      </c>
      <c r="B9">
        <f t="shared" ca="1" si="0"/>
        <v>109</v>
      </c>
      <c r="C9" s="1">
        <f ca="1">IFERROR($C$1-1+_xlfn.RANK.EQ(B9,$B$4:$B$72)+COUNTIF(B$4:$B9,B9)-1,"")</f>
        <v>100</v>
      </c>
      <c r="D9" s="1" t="str">
        <f ca="1">IFERROR(VLOOKUP(C9,'About me'!A:B,2,0),"")</f>
        <v>18.6</v>
      </c>
      <c r="E9" t="str">
        <f ca="1">IFERROR(VLOOKUP(D9&amp;"Viet",'About me'!C:D,2,0),"")</f>
        <v>Hầu hết bạn bè của tôi nói tôi là người ôn hoà.</v>
      </c>
      <c r="F9" t="str">
        <f ca="1">IFERROR(VLOOKUP(D9&amp;"Eng",'About me'!C:D,2,0),"")</f>
        <v>Most of my friends would say I am a mild person.</v>
      </c>
    </row>
    <row r="10" spans="1:10" x14ac:dyDescent="0.25">
      <c r="A10">
        <f t="shared" si="1"/>
        <v>101</v>
      </c>
      <c r="B10">
        <f t="shared" ca="1" si="0"/>
        <v>98</v>
      </c>
      <c r="C10" s="1">
        <f ca="1">IFERROR($C$1-1+_xlfn.RANK.EQ(B10,$B$4:$B$72)+COUNTIF(B$4:$B10,B10)-1,"")</f>
        <v>117</v>
      </c>
      <c r="D10" s="1" t="str">
        <f ca="1">IFERROR(VLOOKUP(C10,'About me'!A:B,2,0),"")</f>
        <v>22.1</v>
      </c>
      <c r="E10" t="str">
        <f ca="1">IFERROR(VLOOKUP(D10&amp;"Viet",'About me'!C:D,2,0),"")</f>
        <v>Tôi đã sống ở London được 3 năm.</v>
      </c>
      <c r="F10" t="str">
        <f ca="1">IFERROR(VLOOKUP(D10&amp;"Eng",'About me'!C:D,2,0),"")</f>
        <v>I’ve been living in London for 3 years.</v>
      </c>
    </row>
    <row r="11" spans="1:10" x14ac:dyDescent="0.25">
      <c r="A11">
        <f t="shared" si="1"/>
        <v>102</v>
      </c>
      <c r="B11">
        <f t="shared" ca="1" si="0"/>
        <v>104</v>
      </c>
      <c r="C11" s="1">
        <f ca="1">IFERROR($C$1-1+_xlfn.RANK.EQ(B11,$B$4:$B$72)+COUNTIF(B$4:$B11,B11)-1,"")</f>
        <v>107</v>
      </c>
      <c r="D11" s="1" t="str">
        <f ca="1">IFERROR(VLOOKUP(C11,'About me'!A:B,2,0),"")</f>
        <v>19.1</v>
      </c>
      <c r="E11" t="str">
        <f ca="1">IFERROR(VLOOKUP(D11&amp;"Viet",'About me'!C:D,2,0),"")</f>
        <v>Châm ngôn ưa thích của tôi là “Không gì là không thể”.</v>
      </c>
      <c r="F11" t="str">
        <f ca="1">IFERROR(VLOOKUP(D11&amp;"Eng",'About me'!C:D,2,0),"")</f>
        <v>My favorite motto is “Nothing is impossible”.</v>
      </c>
    </row>
    <row r="12" spans="1:10" x14ac:dyDescent="0.25">
      <c r="A12">
        <f t="shared" si="1"/>
        <v>103</v>
      </c>
      <c r="B12">
        <f t="shared" ca="1" si="0"/>
        <v>96</v>
      </c>
      <c r="C12" s="1">
        <f ca="1">IFERROR($C$1-1+_xlfn.RANK.EQ(B12,$B$4:$B$72)+COUNTIF(B$4:$B12,B12)-1,"")</f>
        <v>118</v>
      </c>
      <c r="D12" s="1" t="str">
        <f ca="1">IFERROR(VLOOKUP(C12,'About me'!A:B,2,0),"")</f>
        <v>22.2</v>
      </c>
      <c r="E12" t="str">
        <f ca="1">IFERROR(VLOOKUP(D12&amp;"Viet",'About me'!C:D,2,0),"")</f>
        <v>Tôi đã sống ở Hà Nội được 5 năm.</v>
      </c>
      <c r="F12" t="str">
        <f ca="1">IFERROR(VLOOKUP(D12&amp;"Eng",'About me'!C:D,2,0),"")</f>
        <v>I’ve been living in Ha Noi for 5 years.</v>
      </c>
    </row>
    <row r="13" spans="1:10" x14ac:dyDescent="0.25">
      <c r="A13">
        <f t="shared" si="1"/>
        <v>104</v>
      </c>
      <c r="B13">
        <f t="shared" ca="1" si="0"/>
        <v>105</v>
      </c>
      <c r="C13" s="1">
        <f ca="1">IFERROR($C$1-1+_xlfn.RANK.EQ(B13,$B$4:$B$72)+COUNTIF(B$4:$B13,B13)-1,"")</f>
        <v>105</v>
      </c>
      <c r="D13" s="1" t="str">
        <f ca="1">IFERROR(VLOOKUP(C13,'About me'!A:B,2,0),"")</f>
        <v>18.11</v>
      </c>
      <c r="E13" t="str">
        <f ca="1">IFERROR(VLOOKUP(D13&amp;"Viet",'About me'!C:D,2,0),"")</f>
        <v>Hầu hết bạn bè của tôi nói tôi là người thận trọng.</v>
      </c>
      <c r="F13" t="str">
        <f ca="1">IFERROR(VLOOKUP(D13&amp;"Eng",'About me'!C:D,2,0),"")</f>
        <v>Most of my friends would say I am a cautious person.</v>
      </c>
      <c r="J13">
        <v>5</v>
      </c>
    </row>
    <row r="14" spans="1:10" x14ac:dyDescent="0.25">
      <c r="A14">
        <f t="shared" si="1"/>
        <v>105</v>
      </c>
      <c r="B14">
        <f t="shared" ca="1" si="0"/>
        <v>104</v>
      </c>
      <c r="C14" s="1">
        <f ca="1">IFERROR($C$1-1+_xlfn.RANK.EQ(B14,$B$4:$B$72)+COUNTIF(B$4:$B14,B14)-1,"")</f>
        <v>108</v>
      </c>
      <c r="D14" s="1" t="str">
        <f ca="1">IFERROR(VLOOKUP(C14,'About me'!A:B,2,0),"")</f>
        <v>19.2</v>
      </c>
      <c r="E14" t="str">
        <f ca="1">IFERROR(VLOOKUP(D14&amp;"Viet",'About me'!C:D,2,0),"")</f>
        <v>Châm ngôn ưa thích của tôi là “Hãy hành động”.</v>
      </c>
      <c r="F14" t="str">
        <f ca="1">IFERROR(VLOOKUP(D14&amp;"Eng",'About me'!C:D,2,0),"")</f>
        <v>My favorite motto is “Take action”.</v>
      </c>
      <c r="J14" s="38"/>
    </row>
    <row r="15" spans="1:10" x14ac:dyDescent="0.25">
      <c r="A15">
        <f t="shared" si="1"/>
        <v>106</v>
      </c>
      <c r="B15">
        <f t="shared" ca="1" si="0"/>
        <v>101</v>
      </c>
      <c r="C15" s="1">
        <f ca="1">IFERROR($C$1-1+_xlfn.RANK.EQ(B15,$B$4:$B$72)+COUNTIF(B$4:$B15,B15)-1,"")</f>
        <v>111</v>
      </c>
      <c r="D15" s="1" t="str">
        <f ca="1">IFERROR(VLOOKUP(C15,'About me'!A:B,2,0),"")</f>
        <v>19.5</v>
      </c>
      <c r="E15" t="str">
        <f ca="1">IFERROR(VLOOKUP(D15&amp;"Viet",'About me'!C:D,2,0),"")</f>
        <v>Châm ngôn ưa thích của tôi là “Cuộc sống là sự lựa chọn”.</v>
      </c>
      <c r="F15" t="str">
        <f ca="1">IFERROR(VLOOKUP(D15&amp;"Eng",'About me'!C:D,2,0),"")</f>
        <v>My favorite motto is “Life is a choice”.</v>
      </c>
    </row>
    <row r="16" spans="1:10" x14ac:dyDescent="0.25">
      <c r="A16">
        <f t="shared" si="1"/>
        <v>107</v>
      </c>
      <c r="B16">
        <f t="shared" ca="1" si="0"/>
        <v>99</v>
      </c>
      <c r="C16" s="1">
        <f ca="1">IFERROR($C$1-1+_xlfn.RANK.EQ(B16,$B$4:$B$72)+COUNTIF(B$4:$B16,B16)-1,"")</f>
        <v>115</v>
      </c>
      <c r="D16" s="1" t="str">
        <f ca="1">IFERROR(VLOOKUP(C16,'About me'!A:B,2,0),"")</f>
        <v>21.2</v>
      </c>
      <c r="E16" t="str">
        <f ca="1">IFERROR(VLOOKUP(D16&amp;"Viet",'About me'!C:D,2,0),"")</f>
        <v>Tôi đến từ Đà Lạt, nhưng giờ thì tôi sống ở TP. HCM.</v>
      </c>
      <c r="F16" t="str">
        <f ca="1">IFERROR(VLOOKUP(D16&amp;"Eng",'About me'!C:D,2,0),"")</f>
        <v>I am originally from Da Lat, but now I’m based in HCM city.</v>
      </c>
    </row>
    <row r="17" spans="1:10" x14ac:dyDescent="0.25">
      <c r="A17">
        <f t="shared" si="1"/>
        <v>108</v>
      </c>
      <c r="B17">
        <f t="shared" ca="1" si="0"/>
        <v>100</v>
      </c>
      <c r="C17" s="1">
        <f ca="1">IFERROR($C$1-1+_xlfn.RANK.EQ(B17,$B$4:$B$72)+COUNTIF(B$4:$B17,B17)-1,"")</f>
        <v>114</v>
      </c>
      <c r="D17" s="1" t="str">
        <f ca="1">IFERROR(VLOOKUP(C17,'About me'!A:B,2,0),"")</f>
        <v>21.1</v>
      </c>
      <c r="E17" t="str">
        <f ca="1">IFERROR(VLOOKUP(D17&amp;"Viet",'About me'!C:D,2,0),"")</f>
        <v>Tôi đến từ Hà Nội, nhưng giờ thì tôi sống ở TP. HCM.</v>
      </c>
      <c r="F17" t="str">
        <f ca="1">IFERROR(VLOOKUP(D17&amp;"Eng",'About me'!C:D,2,0),"")</f>
        <v>I am originally from Ha Noi, but now I’m based in HCM city.</v>
      </c>
    </row>
    <row r="18" spans="1:10" ht="12.6" customHeight="1" x14ac:dyDescent="0.25">
      <c r="A18">
        <f t="shared" si="1"/>
        <v>109</v>
      </c>
      <c r="B18">
        <f t="shared" ca="1" si="0"/>
        <v>113</v>
      </c>
      <c r="C18" s="1">
        <f ca="1">IFERROR($C$1-1+_xlfn.RANK.EQ(B18,$B$4:$B$72)+COUNTIF(B$4:$B18,B18)-1,"")</f>
        <v>97</v>
      </c>
      <c r="D18" s="1" t="str">
        <f ca="1">IFERROR(VLOOKUP(C18,'About me'!A:B,2,0),"")</f>
        <v>18.3</v>
      </c>
      <c r="E18" t="str">
        <f ca="1">IFERROR(VLOOKUP(D18&amp;"Viet",'About me'!C:D,2,0),"")</f>
        <v>Hầu hết bạn bè của tôi nói tôi là người thân thiện.</v>
      </c>
      <c r="F18" t="str">
        <f ca="1">IFERROR(VLOOKUP(D18&amp;"Eng",'About me'!C:D,2,0),"")</f>
        <v>Most of my friends would say I am a friendly person.</v>
      </c>
    </row>
    <row r="19" spans="1:10" x14ac:dyDescent="0.25">
      <c r="A19">
        <f t="shared" si="1"/>
        <v>110</v>
      </c>
      <c r="B19">
        <f t="shared" ca="1" si="0"/>
        <v>118</v>
      </c>
      <c r="C19" s="1">
        <f ca="1">IFERROR($C$1-1+_xlfn.RANK.EQ(B19,$B$4:$B$72)+COUNTIF(B$4:$B19,B19)-1,"")</f>
        <v>95</v>
      </c>
      <c r="D19" s="1" t="str">
        <f ca="1">IFERROR(VLOOKUP(C19,'About me'!A:B,2,0),"")</f>
        <v>18.1</v>
      </c>
      <c r="E19" t="str">
        <f ca="1">IFERROR(VLOOKUP(D19&amp;"Viet",'About me'!C:D,2,0),"")</f>
        <v>Hầu hết bạn bè của tôi nói tôi là người năng động.</v>
      </c>
      <c r="F19" t="str">
        <f ca="1">IFERROR(VLOOKUP(D19&amp;"Eng",'About me'!C:D,2,0),"")</f>
        <v>Most of my friends would say I am an active person.</v>
      </c>
      <c r="J19" t="s">
        <v>551</v>
      </c>
    </row>
    <row r="20" spans="1:10" x14ac:dyDescent="0.25">
      <c r="A20">
        <f t="shared" si="1"/>
        <v>111</v>
      </c>
      <c r="B20">
        <f t="shared" ca="1" si="0"/>
        <v>99</v>
      </c>
      <c r="C20" s="1">
        <f ca="1">IFERROR($C$1-1+_xlfn.RANK.EQ(B20,$B$4:$B$72)+COUNTIF(B$4:$B20,B20)-1,"")</f>
        <v>116</v>
      </c>
      <c r="D20" s="1" t="str">
        <f ca="1">IFERROR(VLOOKUP(C20,'About me'!A:B,2,0),"")</f>
        <v>21.3</v>
      </c>
      <c r="E20" t="str">
        <f ca="1">IFERROR(VLOOKUP(D20&amp;"Viet",'About me'!C:D,2,0),"")</f>
        <v>Tôi đến từ Hà Nội, nhưng giờ thì tôi sống ở TP. Đà Nẵng.</v>
      </c>
      <c r="F20" t="str">
        <f ca="1">IFERROR(VLOOKUP(D20&amp;"Eng",'About me'!C:D,2,0),"")</f>
        <v>I am originally from Ha Noi, but now I’m based in Da Nang city.</v>
      </c>
    </row>
    <row r="21" spans="1:10" x14ac:dyDescent="0.25">
      <c r="A21">
        <f t="shared" si="1"/>
        <v>112</v>
      </c>
      <c r="B21">
        <f t="shared" ca="1" si="0"/>
        <v>96</v>
      </c>
      <c r="C21" s="1">
        <f ca="1">IFERROR($C$1-1+_xlfn.RANK.EQ(B21,$B$4:$B$72)+COUNTIF(B$4:$B21,B21)-1,"")</f>
        <v>119</v>
      </c>
      <c r="D21" s="1" t="str">
        <f ca="1">IFERROR(VLOOKUP(C21,'About me'!A:B,2,0),"")</f>
        <v>22.3</v>
      </c>
      <c r="E21" t="str">
        <f ca="1">IFERROR(VLOOKUP(D21&amp;"Viet",'About me'!C:D,2,0),"")</f>
        <v>Tôi đã sống ở TP. HCM được 10 năm.</v>
      </c>
      <c r="F21" t="str">
        <f ca="1">IFERROR(VLOOKUP(D21&amp;"Eng",'About me'!C:D,2,0),"")</f>
        <v>I’ve been living in HCM city for 10 years.</v>
      </c>
    </row>
    <row r="22" spans="1:10" x14ac:dyDescent="0.25">
      <c r="A22">
        <f t="shared" si="1"/>
        <v>113</v>
      </c>
      <c r="B22">
        <f t="shared" ca="1" si="0"/>
        <v>101</v>
      </c>
      <c r="C22" s="1">
        <f ca="1">IFERROR($C$1-1+_xlfn.RANK.EQ(B22,$B$4:$B$72)+COUNTIF(B$4:$B22,B22)-1,"")</f>
        <v>112</v>
      </c>
      <c r="D22" s="1" t="str">
        <f ca="1">IFERROR(VLOOKUP(C22,'About me'!A:B,2,0),"")</f>
        <v>20.1</v>
      </c>
      <c r="E22" t="str">
        <f ca="1">IFERROR(VLOOKUP(D22&amp;"Viet",'About me'!C:D,2,0),"")</f>
        <v>Tôi sinh ra và lớn lên ở Đồng Nai.</v>
      </c>
      <c r="F22" t="str">
        <f ca="1">IFERROR(VLOOKUP(D22&amp;"Eng",'About me'!C:D,2,0),"")</f>
        <v>I was born and raised in Dong Nai.</v>
      </c>
    </row>
    <row r="23" spans="1:10" x14ac:dyDescent="0.25">
      <c r="A23">
        <f t="shared" si="1"/>
        <v>114</v>
      </c>
      <c r="B23">
        <f t="shared" ca="1" si="0"/>
        <v>105</v>
      </c>
      <c r="C23" s="1">
        <f ca="1">IFERROR($C$1-1+_xlfn.RANK.EQ(B23,$B$4:$B$72)+COUNTIF(B$4:$B23,B23)-1,"")</f>
        <v>106</v>
      </c>
      <c r="D23" s="1" t="str">
        <f ca="1">IFERROR(VLOOKUP(C23,'About me'!A:B,2,0),"")</f>
        <v>18.12</v>
      </c>
      <c r="E23" t="str">
        <f ca="1">IFERROR(VLOOKUP(D23&amp;"Viet",'About me'!C:D,2,0),"")</f>
        <v>Hầu hết bạn bè của tôi nói tôi là người ít nói.</v>
      </c>
      <c r="F23" t="str">
        <f ca="1">IFERROR(VLOOKUP(D23&amp;"Eng",'About me'!C:D,2,0),"")</f>
        <v>Most of my friends would say I am a quiet person.</v>
      </c>
    </row>
    <row r="24" spans="1:10" x14ac:dyDescent="0.25">
      <c r="A24">
        <f t="shared" si="1"/>
        <v>115</v>
      </c>
      <c r="B24">
        <f t="shared" ca="1" si="0"/>
        <v>101</v>
      </c>
      <c r="C24" s="1">
        <f ca="1">IFERROR($C$1-1+_xlfn.RANK.EQ(B24,$B$4:$B$72)+COUNTIF(B$4:$B24,B24)-1,"")</f>
        <v>113</v>
      </c>
      <c r="D24" s="1" t="str">
        <f ca="1">IFERROR(VLOOKUP(C24,'About me'!A:B,2,0),"")</f>
        <v>20.2</v>
      </c>
      <c r="E24" t="str">
        <f ca="1">IFERROR(VLOOKUP(D24&amp;"Viet",'About me'!C:D,2,0),"")</f>
        <v>Tôi sinh ra và lớn lên ở Lâm Đồng.</v>
      </c>
      <c r="F24" t="str">
        <f ca="1">IFERROR(VLOOKUP(D24&amp;"Eng",'About me'!C:D,2,0),"")</f>
        <v>I was born and raised in Lam Dong.</v>
      </c>
    </row>
    <row r="25" spans="1:10" x14ac:dyDescent="0.25">
      <c r="A25">
        <f t="shared" si="1"/>
        <v>116</v>
      </c>
      <c r="B25">
        <f t="shared" ca="1" si="0"/>
        <v>112</v>
      </c>
      <c r="C25" s="1">
        <f ca="1">IFERROR($C$1-1+_xlfn.RANK.EQ(B25,$B$4:$B$72)+COUNTIF(B$4:$B25,B25)-1,"")</f>
        <v>98</v>
      </c>
      <c r="D25" s="1" t="str">
        <f ca="1">IFERROR(VLOOKUP(C25,'About me'!A:B,2,0),"")</f>
        <v>18.4</v>
      </c>
      <c r="E25" t="str">
        <f ca="1">IFERROR(VLOOKUP(D25&amp;"Viet",'About me'!C:D,2,0),"")</f>
        <v>Hầu hết bạn bè của tôi nói tôi là người hiền hậu.</v>
      </c>
      <c r="F25" t="str">
        <f ca="1">IFERROR(VLOOKUP(D25&amp;"Eng",'About me'!C:D,2,0),"")</f>
        <v>Most of my friends would say I am a gentle person.</v>
      </c>
    </row>
    <row r="26" spans="1:10" x14ac:dyDescent="0.25">
      <c r="A26">
        <f t="shared" si="1"/>
        <v>117</v>
      </c>
      <c r="B26">
        <f t="shared" ca="1" si="0"/>
        <v>103</v>
      </c>
      <c r="C26" s="1">
        <f ca="1">IFERROR($C$1-1+_xlfn.RANK.EQ(B26,$B$4:$B$72)+COUNTIF(B$4:$B26,B26)-1,"")</f>
        <v>110</v>
      </c>
      <c r="D26" s="1" t="str">
        <f ca="1">IFERROR(VLOOKUP(C26,'About me'!A:B,2,0),"")</f>
        <v>19.4</v>
      </c>
      <c r="E26" t="str">
        <f ca="1">IFERROR(VLOOKUP(D26&amp;"Viet",'About me'!C:D,2,0),"")</f>
        <v>Châm ngôn ưa thích của tôi là “Không bao giờ bỏ cuộc”.</v>
      </c>
      <c r="F26" t="str">
        <f ca="1">IFERROR(VLOOKUP(D26&amp;"Eng",'About me'!C:D,2,0),"")</f>
        <v>My favorite motto is “Never give up”.</v>
      </c>
    </row>
    <row r="27" spans="1:10" x14ac:dyDescent="0.25">
      <c r="A27">
        <f t="shared" si="1"/>
        <v>118</v>
      </c>
      <c r="B27">
        <f t="shared" ca="1" si="0"/>
        <v>108</v>
      </c>
      <c r="C27" s="1">
        <f ca="1">IFERROR($C$1-1+_xlfn.RANK.EQ(B27,$B$4:$B$72)+COUNTIF(B$4:$B27,B27)-1,"")</f>
        <v>101</v>
      </c>
      <c r="D27" s="1" t="str">
        <f ca="1">IFERROR(VLOOKUP(C27,'About me'!A:B,2,0),"")</f>
        <v>18.7</v>
      </c>
      <c r="E27" t="str">
        <f ca="1">IFERROR(VLOOKUP(D27&amp;"Viet",'About me'!C:D,2,0),"")</f>
        <v>Hầu hết bạn bè của tôi nói tôi là người lạc quan.</v>
      </c>
      <c r="F27" t="str">
        <f ca="1">IFERROR(VLOOKUP(D27&amp;"Eng",'About me'!C:D,2,0),"")</f>
        <v>Most of my friends would say I am an optimistic person.</v>
      </c>
    </row>
    <row r="28" spans="1:10" x14ac:dyDescent="0.25">
      <c r="A28">
        <f t="shared" si="1"/>
        <v>119</v>
      </c>
      <c r="B28">
        <f t="shared" ca="1" si="0"/>
        <v>116</v>
      </c>
      <c r="C28" s="1">
        <f ca="1">IFERROR($C$1-1+_xlfn.RANK.EQ(B28,$B$4:$B$72)+COUNTIF(B$4:$B28,B28)-1,"")</f>
        <v>96</v>
      </c>
      <c r="D28" s="1" t="str">
        <f ca="1">IFERROR(VLOOKUP(C28,'About me'!A:B,2,0),"")</f>
        <v>18.2</v>
      </c>
      <c r="E28" t="str">
        <f ca="1">IFERROR(VLOOKUP(D28&amp;"Viet",'About me'!C:D,2,0),"")</f>
        <v>Hầu hết bạn bè của tôi nói tôi là người nhút nhát.</v>
      </c>
      <c r="F28" t="str">
        <f ca="1">IFERROR(VLOOKUP(D28&amp;"Eng",'About me'!C:D,2,0),"")</f>
        <v>Most of my friends would say I am a shy person.</v>
      </c>
    </row>
    <row r="29" spans="1:10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IFERROR($C$1-1+_xlfn.RANK.EQ(B29,$B$4:$B$72)+COUNTIF(B$4:$B29,B29)-1,"")</f>
        <v/>
      </c>
      <c r="D29" s="1" t="str">
        <f ca="1">IFERROR(VLOOKUP(C29,'About me'!A:B,2,0),"")</f>
        <v/>
      </c>
      <c r="E29" t="str">
        <f ca="1">IFERROR(VLOOKUP(D29&amp;"Viet",'About me'!C:D,2,0),"")</f>
        <v/>
      </c>
      <c r="F29" t="str">
        <f ca="1">IFERROR(VLOOKUP(D29&amp;"Eng",'About me'!C:D,2,0),"")</f>
        <v/>
      </c>
    </row>
    <row r="30" spans="1:10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IFERROR($C$1-1+_xlfn.RANK.EQ(B30,$B$4:$B$72)+COUNTIF(B$4:$B30,B30)-1,"")</f>
        <v/>
      </c>
      <c r="D30" s="1" t="str">
        <f ca="1">IFERROR(VLOOKUP(C30,'About me'!A:B,2,0),"")</f>
        <v/>
      </c>
      <c r="E30" t="str">
        <f ca="1">IFERROR(VLOOKUP(D30&amp;"Viet",'About me'!C:D,2,0),"")</f>
        <v/>
      </c>
      <c r="F30" t="str">
        <f ca="1">IFERROR(VLOOKUP(D30&amp;"Eng",'About me'!C:D,2,0),"")</f>
        <v/>
      </c>
    </row>
    <row r="31" spans="1:10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IFERROR($C$1-1+_xlfn.RANK.EQ(B31,$B$4:$B$72)+COUNTIF(B$4:$B31,B31)-1,"")</f>
        <v/>
      </c>
      <c r="D31" s="1" t="str">
        <f ca="1">IFERROR(VLOOKUP(C31,'About me'!A:B,2,0),"")</f>
        <v/>
      </c>
      <c r="E31" t="str">
        <f ca="1">IFERROR(VLOOKUP(D31&amp;"Viet",'About me'!C:D,2,0),"")</f>
        <v/>
      </c>
      <c r="F31" t="str">
        <f ca="1">IFERROR(VLOOKUP(D31&amp;"Eng",'About me'!C:D,2,0),"")</f>
        <v/>
      </c>
    </row>
    <row r="32" spans="1:10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IFERROR($C$1-1+_xlfn.RANK.EQ(B32,$B$4:$B$72)+COUNTIF(B$4:$B32,B32)-1,"")</f>
        <v/>
      </c>
      <c r="D32" s="1" t="str">
        <f ca="1">IFERROR(VLOOKUP(C32,'About me'!A:B,2,0),"")</f>
        <v/>
      </c>
      <c r="E32" t="str">
        <f ca="1">IFERROR(VLOOKUP(D32&amp;"Viet",'About me'!C:D,2,0),"")</f>
        <v/>
      </c>
      <c r="F32" t="str">
        <f ca="1">IFERROR(VLOOKUP(D32&amp;"Eng",'About me'!C:D,2,0),"")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IFERROR($C$1-1+_xlfn.RANK.EQ(B33,$B$4:$B$72)+COUNTIF(B$4:$B33,B33)-1,"")</f>
        <v/>
      </c>
      <c r="D33" s="1" t="str">
        <f ca="1">IFERROR(VLOOKUP(C33,'About me'!A:B,2,0),"")</f>
        <v/>
      </c>
      <c r="E33" t="str">
        <f ca="1">IFERROR(VLOOKUP(D33&amp;"Viet",'About me'!C:D,2,0),"")</f>
        <v/>
      </c>
      <c r="F33" t="str">
        <f ca="1">IFERROR(VLOOKUP(D33&amp;"Eng",'About me'!C:D,2,0),"")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IFERROR($C$1-1+_xlfn.RANK.EQ(B34,$B$4:$B$72)+COUNTIF(B$4:$B34,B34)-1,"")</f>
        <v/>
      </c>
      <c r="D34" s="1" t="str">
        <f ca="1">IFERROR(VLOOKUP(C34,'About me'!A:B,2,0),"")</f>
        <v/>
      </c>
      <c r="E34" t="str">
        <f ca="1">IFERROR(VLOOKUP(D34&amp;"Viet",'About me'!C:D,2,0),"")</f>
        <v/>
      </c>
      <c r="F34" t="str">
        <f ca="1">IFERROR(VLOOKUP(D34&amp;"Eng",'About me'!C:D,2,0),"")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IFERROR($C$1-1+_xlfn.RANK.EQ(B35,$B$4:$B$72)+COUNTIF(B$4:$B35,B35)-1,"")</f>
        <v/>
      </c>
      <c r="D35" s="1" t="str">
        <f ca="1">IFERROR(VLOOKUP(C35,'About me'!A:B,2,0),"")</f>
        <v/>
      </c>
      <c r="E35" t="str">
        <f ca="1">IFERROR(VLOOKUP(D35&amp;"Viet",'About me'!C:D,2,0),"")</f>
        <v/>
      </c>
      <c r="F35" t="str">
        <f ca="1">IFERROR(VLOOKUP(D35&amp;"Eng",'About me'!C:D,2,0),"")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IFERROR($C$1-1+_xlfn.RANK.EQ(B36,$B$4:$B$72)+COUNTIF(B$4:$B36,B36)-1,"")</f>
        <v/>
      </c>
      <c r="D36" s="1" t="str">
        <f ca="1">IFERROR(VLOOKUP(C36,'About me'!A:B,2,0),"")</f>
        <v/>
      </c>
      <c r="E36" t="str">
        <f ca="1">IFERROR(VLOOKUP(D36&amp;"Viet",'About me'!C:D,2,0),"")</f>
        <v/>
      </c>
      <c r="F36" t="str">
        <f ca="1">IFERROR(VLOOKUP(D36&amp;"Eng",'About me'!C:D,2,0),"")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IFERROR($C$1-1+_xlfn.RANK.EQ(B37,$B$4:$B$72)+COUNTIF(B$4:$B37,B37)-1,"")</f>
        <v/>
      </c>
      <c r="D37" s="1" t="str">
        <f ca="1">IFERROR(VLOOKUP(C37,'About me'!A:B,2,0),"")</f>
        <v/>
      </c>
      <c r="E37" t="str">
        <f ca="1">IFERROR(VLOOKUP(D37&amp;"Viet",'About me'!C:D,2,0),"")</f>
        <v/>
      </c>
      <c r="F37" t="str">
        <f ca="1">IFERROR(VLOOKUP(D37&amp;"Eng",'About me'!C:D,2,0),"")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IFERROR($C$1-1+_xlfn.RANK.EQ(B38,$B$4:$B$72)+COUNTIF(B$4:$B38,B38)-1,"")</f>
        <v/>
      </c>
      <c r="D38" s="1" t="str">
        <f ca="1">IFERROR(VLOOKUP(C38,'About me'!A:B,2,0),"")</f>
        <v/>
      </c>
      <c r="E38" t="str">
        <f ca="1">IFERROR(VLOOKUP(D38&amp;"Viet",'About me'!C:D,2,0),"")</f>
        <v/>
      </c>
      <c r="F38" t="str">
        <f ca="1">IFERROR(VLOOKUP(D38&amp;"Eng",'About me'!C:D,2,0),"")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IFERROR($C$1-1+_xlfn.RANK.EQ(B39,$B$4:$B$72)+COUNTIF(B$4:$B39,B39)-1,"")</f>
        <v/>
      </c>
      <c r="D39" s="1" t="str">
        <f ca="1">IFERROR(VLOOKUP(C39,'About me'!A:B,2,0),"")</f>
        <v/>
      </c>
      <c r="E39" t="str">
        <f ca="1">IFERROR(VLOOKUP(D39&amp;"Viet",'About me'!C:D,2,0),"")</f>
        <v/>
      </c>
      <c r="F39" t="str">
        <f ca="1">IFERROR(VLOOKUP(D39&amp;"Eng",'About me'!C:D,2,0),"")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IFERROR($C$1-1+_xlfn.RANK.EQ(B40,$B$4:$B$72)+COUNTIF(B$4:$B40,B40)-1,"")</f>
        <v/>
      </c>
      <c r="D40" s="1" t="str">
        <f ca="1">IFERROR(VLOOKUP(C40,'About me'!A:B,2,0),"")</f>
        <v/>
      </c>
      <c r="E40" t="str">
        <f ca="1">IFERROR(VLOOKUP(D40&amp;"Viet",'About me'!C:D,2,0),"")</f>
        <v/>
      </c>
      <c r="F40" t="str">
        <f ca="1">IFERROR(VLOOKUP(D40&amp;"Eng",'About me'!C:D,2,0),"")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IFERROR($C$1-1+_xlfn.RANK.EQ(B41,$B$4:$B$72)+COUNTIF(B$4:$B41,B41)-1,"")</f>
        <v/>
      </c>
      <c r="D41" s="1" t="str">
        <f ca="1">IFERROR(VLOOKUP(C41,'About me'!A:B,2,0),"")</f>
        <v/>
      </c>
      <c r="E41" t="str">
        <f ca="1">IFERROR(VLOOKUP(D41&amp;"Viet",'About me'!C:D,2,0),"")</f>
        <v/>
      </c>
      <c r="F41" t="str">
        <f ca="1">IFERROR(VLOOKUP(D41&amp;"Eng",'About me'!C:D,2,0),"")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IFERROR($C$1-1+_xlfn.RANK.EQ(B42,$B$4:$B$72)+COUNTIF(B$4:$B42,B42)-1,"")</f>
        <v/>
      </c>
      <c r="D42" s="1" t="str">
        <f ca="1">IFERROR(VLOOKUP(C42,'About me'!A:B,2,0),"")</f>
        <v/>
      </c>
      <c r="E42" t="str">
        <f ca="1">IFERROR(VLOOKUP(D42&amp;"Viet",'About me'!C:D,2,0),"")</f>
        <v/>
      </c>
      <c r="F42" t="str">
        <f ca="1">IFERROR(VLOOKUP(D42&amp;"Eng",'About me'!C:D,2,0),"")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IFERROR($C$1-1+_xlfn.RANK.EQ(B43,$B$4:$B$72)+COUNTIF(B$4:$B43,B43)-1,"")</f>
        <v/>
      </c>
      <c r="D43" s="1" t="str">
        <f ca="1">IFERROR(VLOOKUP(C43,'About me'!A:B,2,0),"")</f>
        <v/>
      </c>
      <c r="E43" t="str">
        <f ca="1">IFERROR(VLOOKUP(D43&amp;"Viet",'About me'!C:D,2,0),"")</f>
        <v/>
      </c>
      <c r="F43" t="str">
        <f ca="1">IFERROR(VLOOKUP(D43&amp;"Eng",'About me'!C:D,2,0),"")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IFERROR($C$1-1+_xlfn.RANK.EQ(B44,$B$4:$B$72)+COUNTIF(B$4:$B44,B44)-1,"")</f>
        <v/>
      </c>
      <c r="D44" s="1" t="str">
        <f ca="1">IFERROR(VLOOKUP(C44,'About me'!A:B,2,0),"")</f>
        <v/>
      </c>
      <c r="E44" t="str">
        <f ca="1">IFERROR(VLOOKUP(D44&amp;"Viet",'About me'!C:D,2,0),"")</f>
        <v/>
      </c>
      <c r="F44" t="str">
        <f ca="1">IFERROR(VLOOKUP(D44&amp;"Eng",'About me'!C:D,2,0),"")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IFERROR($C$1-1+_xlfn.RANK.EQ(B45,$B$4:$B$72)+COUNTIF(B$4:$B45,B45)-1,"")</f>
        <v/>
      </c>
      <c r="D45" s="1" t="str">
        <f ca="1">IFERROR(VLOOKUP(C45,'About me'!A:B,2,0),"")</f>
        <v/>
      </c>
      <c r="E45" t="str">
        <f ca="1">IFERROR(VLOOKUP(D45&amp;"Viet",'About me'!C:D,2,0),"")</f>
        <v/>
      </c>
      <c r="F45" t="str">
        <f ca="1">IFERROR(VLOOKUP(D45&amp;"Eng",'About me'!C:D,2,0),"")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IFERROR($C$1-1+_xlfn.RANK.EQ(B46,$B$4:$B$72)+COUNTIF(B$4:$B46,B46)-1,"")</f>
        <v/>
      </c>
      <c r="D46" s="1" t="str">
        <f ca="1">IFERROR(VLOOKUP(C46,'About me'!A:B,2,0),"")</f>
        <v/>
      </c>
      <c r="E46" t="str">
        <f ca="1">IFERROR(VLOOKUP(D46&amp;"Viet",'About me'!C:D,2,0),"")</f>
        <v/>
      </c>
      <c r="F46" t="str">
        <f ca="1">IFERROR(VLOOKUP(D46&amp;"Eng",'About me'!C:D,2,0),"")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IFERROR($C$1-1+_xlfn.RANK.EQ(B47,$B$4:$B$72)+COUNTIF(B$4:$B47,B47)-1,"")</f>
        <v/>
      </c>
      <c r="D47" s="1" t="str">
        <f ca="1">IFERROR(VLOOKUP(C47,'About me'!A:B,2,0),"")</f>
        <v/>
      </c>
      <c r="E47" t="str">
        <f ca="1">IFERROR(VLOOKUP(D47&amp;"Viet",'About me'!C:D,2,0),"")</f>
        <v/>
      </c>
      <c r="F47" t="str">
        <f ca="1">IFERROR(VLOOKUP(D47&amp;"Eng",'About me'!C:D,2,0),"")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IFERROR($C$1-1+_xlfn.RANK.EQ(B48,$B$4:$B$72)+COUNTIF(B$4:$B48,B48)-1,"")</f>
        <v/>
      </c>
      <c r="D48" s="1" t="str">
        <f ca="1">IFERROR(VLOOKUP(C48,'About me'!A:B,2,0),"")</f>
        <v/>
      </c>
      <c r="E48" t="str">
        <f ca="1">IFERROR(VLOOKUP(D48&amp;"Viet",'About me'!C:D,2,0),"")</f>
        <v/>
      </c>
      <c r="F48" t="str">
        <f ca="1">IFERROR(VLOOKUP(D48&amp;"Eng",'About me'!C:D,2,0),"")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IFERROR($C$1-1+_xlfn.RANK.EQ(B49,$B$4:$B$72)+COUNTIF(B$4:$B49,B49)-1,"")</f>
        <v/>
      </c>
      <c r="D49" s="1" t="str">
        <f ca="1">IFERROR(VLOOKUP(C49,'About me'!A:B,2,0),"")</f>
        <v/>
      </c>
      <c r="E49" t="str">
        <f ca="1">IFERROR(VLOOKUP(D49&amp;"Viet",'About me'!C:D,2,0),"")</f>
        <v/>
      </c>
      <c r="F49" t="str">
        <f ca="1">IFERROR(VLOOKUP(D49&amp;"Eng",'About me'!C:D,2,0),"")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IFERROR($C$1-1+_xlfn.RANK.EQ(B50,$B$4:$B$72)+COUNTIF(B$4:$B50,B50)-1,"")</f>
        <v/>
      </c>
      <c r="D50" s="1" t="str">
        <f ca="1">IFERROR(VLOOKUP(C50,'About me'!A:B,2,0),"")</f>
        <v/>
      </c>
      <c r="E50" t="str">
        <f ca="1">IFERROR(VLOOKUP(D50&amp;"Viet",'About me'!C:D,2,0),"")</f>
        <v/>
      </c>
      <c r="F50" t="str">
        <f ca="1">IFERROR(VLOOKUP(D50&amp;"Eng",'About me'!C:D,2,0),"")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IFERROR($C$1-1+_xlfn.RANK.EQ(B51,$B$4:$B$72)+COUNTIF(B$4:$B51,B51)-1,"")</f>
        <v/>
      </c>
      <c r="D51" s="1" t="str">
        <f ca="1">IFERROR(VLOOKUP(C51,'About me'!A:B,2,0),"")</f>
        <v/>
      </c>
      <c r="E51" t="str">
        <f ca="1">IFERROR(VLOOKUP(D51&amp;"Viet",'About me'!C:D,2,0),"")</f>
        <v/>
      </c>
      <c r="F51" t="str">
        <f ca="1">IFERROR(VLOOKUP(D51&amp;"Eng",'About me'!C:D,2,0),"")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IFERROR($C$1-1+_xlfn.RANK.EQ(B52,$B$4:$B$72)+COUNTIF(B$4:$B52,B52)-1,"")</f>
        <v/>
      </c>
      <c r="D52" s="1" t="str">
        <f ca="1">IFERROR(VLOOKUP(C52,'About me'!A:B,2,0),"")</f>
        <v/>
      </c>
      <c r="E52" t="str">
        <f ca="1">IFERROR(VLOOKUP(D52&amp;"Viet",'About me'!C:D,2,0),"")</f>
        <v/>
      </c>
      <c r="F52" t="str">
        <f ca="1">IFERROR(VLOOKUP(D52&amp;"Eng",'About me'!C:D,2,0),"")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IFERROR($C$1-1+_xlfn.RANK.EQ(B53,$B$4:$B$72)+COUNTIF(B$4:$B53,B53)-1,"")</f>
        <v/>
      </c>
      <c r="D53" s="1" t="str">
        <f ca="1">IFERROR(VLOOKUP(C53,'About me'!A:B,2,0),"")</f>
        <v/>
      </c>
      <c r="E53" t="str">
        <f ca="1">IFERROR(VLOOKUP(D53&amp;"Viet",'About me'!C:D,2,0),"")</f>
        <v/>
      </c>
      <c r="F53" t="str">
        <f ca="1">IFERROR(VLOOKUP(D53&amp;"Eng",'About me'!C:D,2,0),"")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IFERROR($C$1-1+_xlfn.RANK.EQ(B54,$B$4:$B$72)+COUNTIF(B$4:$B54,B54)-1,"")</f>
        <v/>
      </c>
      <c r="D54" s="1" t="str">
        <f ca="1">IFERROR(VLOOKUP(C54,'About me'!A:B,2,0),"")</f>
        <v/>
      </c>
      <c r="E54" t="str">
        <f ca="1">IFERROR(VLOOKUP(D54&amp;"Viet",'About me'!C:D,2,0),"")</f>
        <v/>
      </c>
      <c r="F54" t="str">
        <f ca="1">IFERROR(VLOOKUP(D54&amp;"Eng",'About me'!C:D,2,0),"")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IFERROR($C$1-1+_xlfn.RANK.EQ(B55,$B$4:$B$72)+COUNTIF(B$4:$B55,B55)-1,"")</f>
        <v/>
      </c>
      <c r="D55" s="1" t="str">
        <f ca="1">IFERROR(VLOOKUP(C55,'About me'!A:B,2,0),"")</f>
        <v/>
      </c>
      <c r="E55" t="str">
        <f ca="1">IFERROR(VLOOKUP(D55&amp;"Viet",'About me'!C:D,2,0),"")</f>
        <v/>
      </c>
      <c r="F55" t="str">
        <f ca="1">IFERROR(VLOOKUP(D55&amp;"Eng",'About me'!C:D,2,0),"")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IFERROR($C$1-1+_xlfn.RANK.EQ(B56,$B$4:$B$72)+COUNTIF(B$4:$B56,B56)-1,"")</f>
        <v/>
      </c>
      <c r="D56" s="1" t="str">
        <f ca="1">IFERROR(VLOOKUP(C56,'About me'!A:B,2,0),"")</f>
        <v/>
      </c>
      <c r="E56" t="str">
        <f ca="1">IFERROR(VLOOKUP(D56&amp;"Viet",'About me'!C:D,2,0),"")</f>
        <v/>
      </c>
      <c r="F56" t="str">
        <f ca="1">IFERROR(VLOOKUP(D56&amp;"Eng",'About me'!C:D,2,0),"")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IFERROR($C$1-1+_xlfn.RANK.EQ(B57,$B$4:$B$72)+COUNTIF(B$4:$B57,B57)-1,"")</f>
        <v/>
      </c>
      <c r="D57" s="1" t="str">
        <f ca="1">IFERROR(VLOOKUP(C57,'About me'!A:B,2,0),"")</f>
        <v/>
      </c>
      <c r="E57" t="str">
        <f ca="1">IFERROR(VLOOKUP(D57&amp;"Viet",'About me'!C:D,2,0),"")</f>
        <v/>
      </c>
      <c r="F57" t="str">
        <f ca="1">IFERROR(VLOOKUP(D57&amp;"Eng",'About me'!C:D,2,0),"")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IFERROR($C$1-1+_xlfn.RANK.EQ(B58,$B$4:$B$72)+COUNTIF(B$4:$B58,B58)-1,"")</f>
        <v/>
      </c>
      <c r="D58" s="1" t="str">
        <f ca="1">IFERROR(VLOOKUP(C58,'About me'!A:B,2,0),"")</f>
        <v/>
      </c>
      <c r="E58" t="str">
        <f ca="1">IFERROR(VLOOKUP(D58&amp;"Viet",'About me'!C:D,2,0),"")</f>
        <v/>
      </c>
      <c r="F58" t="str">
        <f ca="1">IFERROR(VLOOKUP(D58&amp;"Eng",'About me'!C:D,2,0),"")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IFERROR($C$1-1+_xlfn.RANK.EQ(B59,$B$4:$B$72)+COUNTIF(B$4:$B59,B59)-1,"")</f>
        <v/>
      </c>
      <c r="D59" s="1" t="str">
        <f ca="1">IFERROR(VLOOKUP(C59,'About me'!A:B,2,0),"")</f>
        <v/>
      </c>
      <c r="E59" t="str">
        <f ca="1">IFERROR(VLOOKUP(D59&amp;"Viet",'About me'!C:D,2,0),"")</f>
        <v/>
      </c>
      <c r="F59" t="str">
        <f ca="1">IFERROR(VLOOKUP(D59&amp;"Eng",'About me'!C:D,2,0),"")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IFERROR($C$1-1+_xlfn.RANK.EQ(B60,$B$4:$B$72)+COUNTIF(B$4:$B60,B60)-1,"")</f>
        <v/>
      </c>
      <c r="D60" s="1" t="str">
        <f ca="1">IFERROR(VLOOKUP(C60,'About me'!A:B,2,0),"")</f>
        <v/>
      </c>
      <c r="E60" t="str">
        <f ca="1">IFERROR(VLOOKUP(D60&amp;"Viet",'About me'!C:D,2,0),"")</f>
        <v/>
      </c>
      <c r="F60" t="str">
        <f ca="1">IFERROR(VLOOKUP(D60&amp;"Eng",'About me'!C:D,2,0),"")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IFERROR($C$1-1+_xlfn.RANK.EQ(B61,$B$4:$B$72)+COUNTIF(B$4:$B61,B61)-1,"")</f>
        <v/>
      </c>
      <c r="D61" s="1" t="str">
        <f ca="1">IFERROR(VLOOKUP(C61,'About me'!A:B,2,0),"")</f>
        <v/>
      </c>
      <c r="E61" t="str">
        <f ca="1">IFERROR(VLOOKUP(D61&amp;"Viet",'About me'!C:D,2,0),"")</f>
        <v/>
      </c>
      <c r="F61" t="str">
        <f ca="1">IFERROR(VLOOKUP(D61&amp;"Eng",'About me'!C:D,2,0),"")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IFERROR($C$1-1+_xlfn.RANK.EQ(B62,$B$4:$B$72)+COUNTIF(B$4:$B62,B62)-1,"")</f>
        <v/>
      </c>
      <c r="D62" s="1" t="str">
        <f ca="1">IFERROR(VLOOKUP(C62,'About me'!A:B,2,0),"")</f>
        <v/>
      </c>
      <c r="E62" t="str">
        <f ca="1">IFERROR(VLOOKUP(D62&amp;"Viet",'About me'!C:D,2,0),"")</f>
        <v/>
      </c>
      <c r="F62" t="str">
        <f ca="1">IFERROR(VLOOKUP(D62&amp;"Eng",'About me'!C:D,2,0),"")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IFERROR($C$1-1+_xlfn.RANK.EQ(B63,$B$4:$B$72)+COUNTIF(B$4:$B63,B63)-1,"")</f>
        <v/>
      </c>
      <c r="D63" s="1" t="str">
        <f ca="1">IFERROR(VLOOKUP(C63,'About me'!A:B,2,0),"")</f>
        <v/>
      </c>
      <c r="E63" t="str">
        <f ca="1">IFERROR(VLOOKUP(D63&amp;"Viet",'About me'!C:D,2,0),"")</f>
        <v/>
      </c>
      <c r="F63" t="str">
        <f ca="1">IFERROR(VLOOKUP(D63&amp;"Eng",'About me'!C:D,2,0),"")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IFERROR($C$1-1+_xlfn.RANK.EQ(B64,$B$4:$B$72)+COUNTIF(B$4:$B64,B64)-1,"")</f>
        <v/>
      </c>
      <c r="D64" s="1" t="str">
        <f ca="1">IFERROR(VLOOKUP(C64,'About me'!A:B,2,0),"")</f>
        <v/>
      </c>
      <c r="E64" t="str">
        <f ca="1">IFERROR(VLOOKUP(D64&amp;"Viet",'About me'!C:D,2,0),"")</f>
        <v/>
      </c>
      <c r="F64" t="str">
        <f ca="1">IFERROR(VLOOKUP(D64&amp;"Eng",'About me'!C:D,2,0),"")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IFERROR($C$1-1+_xlfn.RANK.EQ(B65,$B$4:$B$72)+COUNTIF(B$4:$B65,B65)-1,"")</f>
        <v/>
      </c>
      <c r="D65" s="1" t="str">
        <f ca="1">IFERROR(VLOOKUP(C65,'About me'!A:B,2,0),"")</f>
        <v/>
      </c>
      <c r="E65" t="str">
        <f ca="1">IFERROR(VLOOKUP(D65&amp;"Viet",'About me'!C:D,2,0),"")</f>
        <v/>
      </c>
      <c r="F65" t="str">
        <f ca="1">IFERROR(VLOOKUP(D65&amp;"Eng",'About me'!C:D,2,0),"")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IFERROR($C$1-1+_xlfn.RANK.EQ(B66,$B$4:$B$72)+COUNTIF(B$4:$B66,B66)-1,"")</f>
        <v/>
      </c>
      <c r="D66" s="1" t="str">
        <f ca="1">IFERROR(VLOOKUP(C66,'About me'!A:B,2,0),"")</f>
        <v/>
      </c>
      <c r="E66" t="str">
        <f ca="1">IFERROR(VLOOKUP(D66&amp;"Viet",'About me'!C:D,2,0),"")</f>
        <v/>
      </c>
      <c r="F66" t="str">
        <f ca="1">IFERROR(VLOOKUP(D66&amp;"Eng",'About me'!C:D,2,0),"")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IFERROR($C$1-1+_xlfn.RANK.EQ(B67,$B$4:$B$72)+COUNTIF(B$4:$B67,B67)-1,"")</f>
        <v/>
      </c>
      <c r="D67" s="1" t="str">
        <f ca="1">IFERROR(VLOOKUP(C67,'About me'!A:B,2,0),"")</f>
        <v/>
      </c>
      <c r="E67" t="str">
        <f ca="1">IFERROR(VLOOKUP(D67&amp;"Viet",'About me'!C:D,2,0),"")</f>
        <v/>
      </c>
      <c r="F67" t="str">
        <f ca="1">IFERROR(VLOOKUP(D67&amp;"Eng",'About me'!C:D,2,0),"")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IFERROR($C$1-1+_xlfn.RANK.EQ(B68,$B$4:$B$72)+COUNTIF(B$4:$B68,B68)-1,"")</f>
        <v/>
      </c>
      <c r="D68" s="1" t="str">
        <f ca="1">IFERROR(VLOOKUP(C68,'About me'!A:B,2,0),"")</f>
        <v/>
      </c>
      <c r="E68" t="str">
        <f ca="1">IFERROR(VLOOKUP(D68&amp;"Viet",'About me'!C:D,2,0),"")</f>
        <v/>
      </c>
      <c r="F68" t="str">
        <f ca="1">IFERROR(VLOOKUP(D68&amp;"Eng",'About me'!C:D,2,0),"")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IFERROR($C$1-1+_xlfn.RANK.EQ(B69,$B$4:$B$72)+COUNTIF(B$4:$B69,B69)-1,"")</f>
        <v/>
      </c>
      <c r="D69" s="1" t="str">
        <f ca="1">IFERROR(VLOOKUP(C69,'About me'!A:B,2,0),"")</f>
        <v/>
      </c>
      <c r="E69" t="str">
        <f ca="1">IFERROR(VLOOKUP(D69&amp;"Viet",'About me'!C:D,2,0),"")</f>
        <v/>
      </c>
      <c r="F69" t="str">
        <f ca="1">IFERROR(VLOOKUP(D69&amp;"Eng",'About me'!C:D,2,0),"")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IFERROR($C$1-1+_xlfn.RANK.EQ(B70,$B$4:$B$72)+COUNTIF(B$4:$B70,B70)-1,"")</f>
        <v/>
      </c>
      <c r="D70" s="1" t="str">
        <f ca="1">IFERROR(VLOOKUP(C70,'About me'!A:B,2,0),"")</f>
        <v/>
      </c>
      <c r="E70" t="str">
        <f ca="1">IFERROR(VLOOKUP(D70&amp;"Viet",'About me'!C:D,2,0),"")</f>
        <v/>
      </c>
      <c r="F70" t="str">
        <f ca="1">IFERROR(VLOOKUP(D70&amp;"Eng",'About me'!C:D,2,0),"")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IFERROR($C$1-1+_xlfn.RANK.EQ(B71,$B$4:$B$72)+COUNTIF(B$4:$B71,B71)-1,"")</f>
        <v/>
      </c>
      <c r="D71" s="1" t="str">
        <f ca="1">IFERROR(VLOOKUP(C71,'About me'!A:B,2,0),"")</f>
        <v/>
      </c>
      <c r="E71" t="str">
        <f ca="1">IFERROR(VLOOKUP(D71&amp;"Viet",'About me'!C:D,2,0),"")</f>
        <v/>
      </c>
      <c r="F71" t="str">
        <f ca="1">IFERROR(VLOOKUP(D71&amp;"Eng",'About me'!C:D,2,0),"")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IFERROR($C$1-1+_xlfn.RANK.EQ(B72,$B$4:$B$72)+COUNTIF(B$4:$B72,B72)-1,"")</f>
        <v/>
      </c>
      <c r="D72" s="1" t="str">
        <f ca="1">IFERROR(VLOOKUP(C72,'About me'!A:B,2,0),"")</f>
        <v/>
      </c>
      <c r="E72" t="str">
        <f ca="1">IFERROR(VLOOKUP(D72&amp;"Viet",'About me'!C:D,2,0),"")</f>
        <v/>
      </c>
      <c r="F72" t="str">
        <f ca="1">IFERROR(VLOOKUP(D72&amp;"Eng",'About me'!C:D,2,0),"")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IFERROR($C$1-1+_xlfn.RANK.EQ(B73,$B$4:$B$72)+COUNTIF(B$4:$B73,B73)-1,"")</f>
        <v/>
      </c>
      <c r="D73" s="1" t="str">
        <f ca="1">IFERROR(VLOOKUP(C73,'About me'!A:B,2,0),"")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IFERROR($C$1-1+_xlfn.RANK.EQ(B74,$B$4:$B$72)+COUNTIF(B$4:$B74,B74)-1,"")</f>
        <v/>
      </c>
      <c r="D74" s="1" t="str">
        <f ca="1">IFERROR(VLOOKUP(C74,'About me'!A:B,2,0),"")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IFERROR($C$1-1+_xlfn.RANK.EQ(B75,$B$4:$B$72)+COUNTIF(B$4:$B75,B75)-1,"")</f>
        <v/>
      </c>
      <c r="D75" s="1" t="str">
        <f ca="1">IFERROR(VLOOKUP(C75,'About me'!A:B,2,0),"")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IFERROR($C$1-1+_xlfn.RANK.EQ(B76,$B$4:$B$72)+COUNTIF(B$4:$B76,B76)-1,"")</f>
        <v/>
      </c>
      <c r="D76" s="1" t="str">
        <f ca="1">IFERROR(VLOOKUP(C76,'About me'!A:B,2,0),"")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IFERROR($C$1-1+_xlfn.RANK.EQ(B77,$B$4:$B$72)+COUNTIF(B$4:$B77,B77)-1,"")</f>
        <v/>
      </c>
      <c r="D77" s="1" t="str">
        <f ca="1">IFERROR(VLOOKUP(C77,'About me'!A:B,2,0),"")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IFERROR($C$1-1+_xlfn.RANK.EQ(B78,$B$4:$B$72)+COUNTIF(B$4:$B78,B78)-1,"")</f>
        <v/>
      </c>
      <c r="D78" s="1" t="str">
        <f ca="1">IFERROR(VLOOKUP(C78,'About me'!A:B,2,0),"")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IFERROR($C$1-1+_xlfn.RANK.EQ(B79,$B$4:$B$72)+COUNTIF(B$4:$B79,B79)-1,"")</f>
        <v/>
      </c>
      <c r="D79" s="1" t="str">
        <f ca="1">IFERROR(VLOOKUP(C79,'About me'!A:B,2,0),"")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IFERROR($C$1-1+_xlfn.RANK.EQ(B80,$B$4:$B$72)+COUNTIF(B$4:$B80,B80)-1,"")</f>
        <v/>
      </c>
      <c r="D80" s="1" t="str">
        <f ca="1">IFERROR(VLOOKUP(C80,'About me'!A:B,2,0),"")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IFERROR($C$1-1+_xlfn.RANK.EQ(B81,$B$4:$B$72)+COUNTIF(B$4:$B81,B81)-1,"")</f>
        <v/>
      </c>
      <c r="D81" s="1" t="str">
        <f ca="1">IFERROR(VLOOKUP(C81,'About me'!A:B,2,0),"")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IFERROR($C$1-1+_xlfn.RANK.EQ(B82,$B$4:$B$72)+COUNTIF(B$4:$B82,B82)-1,"")</f>
        <v/>
      </c>
      <c r="D82" s="1" t="str">
        <f ca="1">IFERROR(VLOOKUP(C82,'About me'!A:B,2,0),"")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IFERROR($C$1-1+_xlfn.RANK.EQ(B83,$B$4:$B$72)+COUNTIF(B$4:$B83,B83)-1,"")</f>
        <v/>
      </c>
      <c r="D83" s="1" t="str">
        <f ca="1">IFERROR(VLOOKUP(C83,'About me'!A:B,2,0),"")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IFERROR($C$1-1+_xlfn.RANK.EQ(B84,$B$4:$B$72)+COUNTIF(B$4:$B84,B84)-1,"")</f>
        <v/>
      </c>
      <c r="D84" s="1" t="str">
        <f ca="1">IFERROR(VLOOKUP(C84,'About me'!A:B,2,0),"")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IFERROR($C$1-1+_xlfn.RANK.EQ(B85,$B$4:$B$72)+COUNTIF(B$4:$B85,B85)-1,"")</f>
        <v/>
      </c>
      <c r="D85" s="1" t="str">
        <f ca="1">IFERROR(VLOOKUP(C85,'About me'!A:B,2,0),"")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IFERROR($C$1-1+_xlfn.RANK.EQ(B86,$B$4:$B$72)+COUNTIF(B$4:$B86,B86)-1,"")</f>
        <v/>
      </c>
      <c r="D86" s="1" t="str">
        <f ca="1">IFERROR(VLOOKUP(C86,'About me'!A:B,2,0),"")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IFERROR($C$1-1+_xlfn.RANK.EQ(B87,$B$4:$B$72)+COUNTIF(B$4:$B87,B87)-1,"")</f>
        <v/>
      </c>
      <c r="D87" s="1" t="str">
        <f ca="1">IFERROR(VLOOKUP(C87,'About me'!A:B,2,0),"")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IFERROR($C$1-1+_xlfn.RANK.EQ(B88,$B$4:$B$72)+COUNTIF(B$4:$B88,B88)-1,"")</f>
        <v/>
      </c>
      <c r="D88" s="1" t="str">
        <f ca="1">IFERROR(VLOOKUP(C88,'About me'!A:B,2,0),"")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IFERROR($C$1-1+_xlfn.RANK.EQ(B89,$B$4:$B$72)+COUNTIF(B$4:$B89,B89)-1,"")</f>
        <v/>
      </c>
      <c r="D89" s="1" t="str">
        <f ca="1">IFERROR(VLOOKUP(C89,'About me'!A:B,2,0),"")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IFERROR($C$1-1+_xlfn.RANK.EQ(B90,$B$4:$B$72)+COUNTIF(B$4:$B90,B90)-1,"")</f>
        <v/>
      </c>
      <c r="D90" s="1" t="str">
        <f ca="1">IFERROR(VLOOKUP(C90,'About me'!A:B,2,0),"")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IFERROR($C$1-1+_xlfn.RANK.EQ(B91,$B$4:$B$72)+COUNTIF(B$4:$B91,B91)-1,"")</f>
        <v/>
      </c>
      <c r="D91" s="1" t="str">
        <f ca="1">IFERROR(VLOOKUP(C91,'About me'!A:B,2,0),"")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IFERROR($C$1-1+_xlfn.RANK.EQ(B92,$B$4:$B$72)+COUNTIF(B$4:$B92,B92)-1,"")</f>
        <v/>
      </c>
      <c r="D92" s="1" t="str">
        <f ca="1">IFERROR(VLOOKUP(C92,'About me'!A:B,2,0),"")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IFERROR($C$1-1+_xlfn.RANK.EQ(B93,$B$4:$B$72)+COUNTIF(B$4:$B93,B93)-1,"")</f>
        <v/>
      </c>
      <c r="D93" s="1" t="str">
        <f ca="1">IFERROR(VLOOKUP(C93,'About me'!A:B,2,0),"")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IFERROR($C$1-1+_xlfn.RANK.EQ(B94,$B$4:$B$72)+COUNTIF(B$4:$B94,B94)-1,"")</f>
        <v/>
      </c>
      <c r="D94" s="1" t="str">
        <f ca="1">IFERROR(VLOOKUP(C94,'About me'!A:B,2,0),"")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IFERROR($C$1-1+_xlfn.RANK.EQ(B95,$B$4:$B$72)+COUNTIF(B$4:$B95,B95)-1,"")</f>
        <v/>
      </c>
      <c r="D95" s="1" t="str">
        <f ca="1">IFERROR(VLOOKUP(C95,'About me'!A:B,2,0),"")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IFERROR($C$1-1+_xlfn.RANK.EQ(B96,$B$4:$B$72)+COUNTIF(B$4:$B96,B96)-1,"")</f>
        <v/>
      </c>
      <c r="D96" s="1" t="str">
        <f ca="1">IFERROR(VLOOKUP(C96,'About me'!A:B,2,0),"")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IFERROR($C$1-1+_xlfn.RANK.EQ(B97,$B$4:$B$72)+COUNTIF(B$4:$B97,B97)-1,"")</f>
        <v/>
      </c>
      <c r="D97" s="1" t="str">
        <f ca="1">IFERROR(VLOOKUP(C97,'About me'!A:B,2,0),"")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IFERROR($C$1-1+_xlfn.RANK.EQ(B98,$B$4:$B$72)+COUNTIF(B$4:$B98,B98)-1,"")</f>
        <v/>
      </c>
      <c r="D98" s="1" t="str">
        <f ca="1">IFERROR(VLOOKUP(C98,'About me'!A:B,2,0),"")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IFERROR($C$1-1+_xlfn.RANK.EQ(B99,$B$4:$B$72)+COUNTIF(B$4:$B99,B99)-1,"")</f>
        <v/>
      </c>
      <c r="D99" s="1" t="str">
        <f ca="1">IFERROR(VLOOKUP(C99,'About me'!A:B,2,0),"")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IFERROR($C$1-1+_xlfn.RANK.EQ(B100,$B$4:$B$72)+COUNTIF(B$4:$B100,B100)-1,"")</f>
        <v/>
      </c>
      <c r="D100" s="1" t="str">
        <f ca="1">IFERROR(VLOOKUP(C100,'About me'!A:B,2,0),"")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IFERROR($C$1-1+_xlfn.RANK.EQ(B101,$B$4:$B$72)+COUNTIF(B$4:$B101,B101)-1,"")</f>
        <v/>
      </c>
      <c r="D101" s="1" t="str">
        <f ca="1">IFERROR(VLOOKUP(C101,'About me'!A:B,2,0),"")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IFERROR($C$1-1+_xlfn.RANK.EQ(B102,$B$4:$B$72)+COUNTIF(B$4:$B102,B102)-1,"")</f>
        <v/>
      </c>
      <c r="D102" s="1" t="str">
        <f ca="1">IFERROR(VLOOKUP(C102,'About me'!A:B,2,0),"")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IFERROR($C$1-1+_xlfn.RANK.EQ(B103,$B$4:$B$72)+COUNTIF(B$4:$B103,B103)-1,"")</f>
        <v/>
      </c>
      <c r="D103" s="1" t="str">
        <f ca="1">IFERROR(VLOOKUP(C103,'About me'!A:B,2,0),"")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IFERROR($C$1-1+_xlfn.RANK.EQ(B104,$B$4:$B$72)+COUNTIF(B$4:$B104,B104)-1,"")</f>
        <v/>
      </c>
      <c r="D104" s="1" t="str">
        <f ca="1">IFERROR(VLOOKUP(C104,'About me'!A:B,2,0),"")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IFERROR($C$1-1+_xlfn.RANK.EQ(B105,$B$4:$B$72)+COUNTIF(B$4:$B105,B105)-1,"")</f>
        <v/>
      </c>
      <c r="D105" s="1" t="str">
        <f ca="1">IFERROR(VLOOKUP(C105,'About me'!A:B,2,0),"")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IFERROR($C$1-1+_xlfn.RANK.EQ(B106,$B$4:$B$72)+COUNTIF(B$4:$B106,B106)-1,"")</f>
        <v/>
      </c>
      <c r="D106" s="1" t="str">
        <f ca="1">IFERROR(VLOOKUP(C106,'About me'!A:B,2,0),"")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IFERROR($C$1-1+_xlfn.RANK.EQ(B107,$B$4:$B$72)+COUNTIF(B$4:$B107,B107)-1,"")</f>
        <v/>
      </c>
      <c r="D107" s="1" t="str">
        <f ca="1">IFERROR(VLOOKUP(C107,'About me'!A:B,2,0),"")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IFERROR($C$1-1+_xlfn.RANK.EQ(B108,$B$4:$B$72)+COUNTIF(B$4:$B108,B108)-1,"")</f>
        <v/>
      </c>
      <c r="D108" s="1" t="str">
        <f ca="1">IFERROR(VLOOKUP(C108,'About me'!A:B,2,0),"")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IFERROR($C$1-1+_xlfn.RANK.EQ(B109,$B$4:$B$72)+COUNTIF(B$4:$B109,B109)-1,"")</f>
        <v/>
      </c>
      <c r="D109" s="1" t="str">
        <f ca="1">IFERROR(VLOOKUP(C109,'About me'!A:B,2,0),"")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IFERROR($C$1-1+_xlfn.RANK.EQ(B110,$B$4:$B$72)+COUNTIF(B$4:$B110,B110)-1,"")</f>
        <v/>
      </c>
      <c r="D110" s="1" t="str">
        <f ca="1">IFERROR(VLOOKUP(C110,'About me'!A:B,2,0),"")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IFERROR($C$1-1+_xlfn.RANK.EQ(B111,$B$4:$B$72)+COUNTIF(B$4:$B111,B111)-1,"")</f>
        <v/>
      </c>
      <c r="D111" s="1" t="str">
        <f ca="1">IFERROR(VLOOKUP(C111,'About me'!A:B,2,0),"")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IFERROR($C$1-1+_xlfn.RANK.EQ(B112,$B$4:$B$72)+COUNTIF(B$4:$B112,B112)-1,"")</f>
        <v/>
      </c>
      <c r="D112" s="1" t="str">
        <f ca="1">IFERROR(VLOOKUP(C112,'About me'!A:B,2,0),"")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IFERROR($C$1-1+_xlfn.RANK.EQ(B113,$B$4:$B$72)+COUNTIF(B$4:$B113,B113)-1,"")</f>
        <v/>
      </c>
      <c r="D113" s="1" t="str">
        <f ca="1">IFERROR(VLOOKUP(C113,'About me'!A:B,2,0),"")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IFERROR($C$1-1+_xlfn.RANK.EQ(B114,$B$4:$B$72)+COUNTIF(B$4:$B114,B114)-1,"")</f>
        <v/>
      </c>
      <c r="D114" s="1" t="str">
        <f ca="1">IFERROR(VLOOKUP(C114,'About me'!A:B,2,0),"")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IFERROR($C$1-1+_xlfn.RANK.EQ(B115,$B$4:$B$72)+COUNTIF(B$4:$B115,B115)-1,"")</f>
        <v/>
      </c>
      <c r="D115" s="1" t="str">
        <f ca="1">IFERROR(VLOOKUP(C115,'About me'!A:B,2,0),"")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IFERROR($C$1-1+_xlfn.RANK.EQ(B116,$B$4:$B$72)+COUNTIF(B$4:$B116,B116)-1,"")</f>
        <v/>
      </c>
      <c r="D116" s="1" t="str">
        <f ca="1">IFERROR(VLOOKUP(C116,'About me'!A:B,2,0),"")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IFERROR($C$1-1+_xlfn.RANK.EQ(B117,$B$4:$B$72)+COUNTIF(B$4:$B117,B117)-1,"")</f>
        <v/>
      </c>
      <c r="D117" s="1" t="str">
        <f ca="1">IFERROR(VLOOKUP(C117,'About me'!A:B,2,0),"")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IFERROR($C$1-1+_xlfn.RANK.EQ(B118,$B$4:$B$72)+COUNTIF(B$4:$B118,B118)-1,"")</f>
        <v/>
      </c>
      <c r="D118" s="1" t="str">
        <f ca="1">IFERROR(VLOOKUP(C118,'About me'!A:B,2,0),"")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IFERROR($C$1-1+_xlfn.RANK.EQ(B119,$B$4:$B$72)+COUNTIF(B$4:$B119,B119)-1,"")</f>
        <v/>
      </c>
      <c r="D119" s="1" t="str">
        <f ca="1">IFERROR(VLOOKUP(C119,'About me'!A:B,2,0),"")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IFERROR($C$1-1+_xlfn.RANK.EQ(B120,$B$4:$B$72)+COUNTIF(B$4:$B120,B120)-1,"")</f>
        <v/>
      </c>
      <c r="D120" s="1" t="str">
        <f ca="1">IFERROR(VLOOKUP(C120,'About me'!A:B,2,0),"")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IFERROR($C$1-1+_xlfn.RANK.EQ(B121,$B$4:$B$72)+COUNTIF(B$4:$B121,B121)-1,"")</f>
        <v/>
      </c>
      <c r="D121" s="1" t="str">
        <f ca="1">IFERROR(VLOOKUP(C121,'About me'!A:B,2,0),"")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IFERROR($C$1-1+_xlfn.RANK.EQ(B122,$B$4:$B$72)+COUNTIF(B$4:$B122,B122)-1,"")</f>
        <v/>
      </c>
      <c r="D122" s="1" t="str">
        <f ca="1">IFERROR(VLOOKUP(C122,'About me'!A:B,2,0),"")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IFERROR($C$1-1+_xlfn.RANK.EQ(B123,$B$4:$B$72)+COUNTIF(B$4:$B123,B123)-1,"")</f>
        <v/>
      </c>
      <c r="D123" s="1" t="str">
        <f ca="1">IFERROR(VLOOKUP(C123,'About me'!A:B,2,0),"")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IFERROR($C$1-1+_xlfn.RANK.EQ(B124,$B$4:$B$72)+COUNTIF(B$4:$B124,B124)-1,"")</f>
        <v/>
      </c>
      <c r="D124" s="1" t="str">
        <f ca="1">IFERROR(VLOOKUP(C124,'About me'!A:B,2,0),"")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IFERROR($C$1-1+_xlfn.RANK.EQ(B125,$B$4:$B$72)+COUNTIF(B$4:$B125,B125)-1,"")</f>
        <v/>
      </c>
      <c r="D125" s="1" t="str">
        <f ca="1">IFERROR(VLOOKUP(C125,'About me'!A:B,2,0),"")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IFERROR($C$1-1+_xlfn.RANK.EQ(B126,$B$4:$B$72)+COUNTIF(B$4:$B126,B126)-1,"")</f>
        <v/>
      </c>
      <c r="D126" s="1" t="str">
        <f ca="1">IFERROR(VLOOKUP(C126,'About me'!A:B,2,0),"")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IFERROR($C$1-1+_xlfn.RANK.EQ(B127,$B$4:$B$72)+COUNTIF(B$4:$B127,B127)-1,"")</f>
        <v/>
      </c>
      <c r="D127" s="1" t="str">
        <f ca="1">IFERROR(VLOOKUP(C127,'About me'!A:B,2,0),"")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IFERROR($C$1-1+_xlfn.RANK.EQ(B128,$B$4:$B$72)+COUNTIF(B$4:$B128,B128)-1,"")</f>
        <v/>
      </c>
      <c r="D128" s="1" t="str">
        <f ca="1">IFERROR(VLOOKUP(C128,'About me'!A:B,2,0),"")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IFERROR($C$1-1+_xlfn.RANK.EQ(B129,$B$4:$B$72)+COUNTIF(B$4:$B129,B129)-1,"")</f>
        <v/>
      </c>
      <c r="D129" s="1" t="str">
        <f ca="1">IFERROR(VLOOKUP(C129,'About me'!A:B,2,0),"")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IFERROR($C$1-1+_xlfn.RANK.EQ(B130,$B$4:$B$72)+COUNTIF(B$4:$B130,B130)-1,"")</f>
        <v/>
      </c>
      <c r="D130" s="1" t="str">
        <f ca="1">IFERROR(VLOOKUP(C130,'About me'!A:B,2,0),"")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IFERROR($C$1-1+_xlfn.RANK.EQ(B131,$B$4:$B$72)+COUNTIF(B$4:$B131,B131)-1,"")</f>
        <v/>
      </c>
      <c r="D131" s="1" t="str">
        <f ca="1">IFERROR(VLOOKUP(C131,'About me'!A:B,2,0),"")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IFERROR($C$1-1+_xlfn.RANK.EQ(B132,$B$4:$B$72)+COUNTIF(B$4:$B132,B132)-1,"")</f>
        <v/>
      </c>
      <c r="D132" s="1" t="str">
        <f ca="1">IFERROR(VLOOKUP(C132,'About me'!A:B,2,0),"")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IFERROR($C$1-1+_xlfn.RANK.EQ(B133,$B$4:$B$72)+COUNTIF(B$4:$B133,B133)-1,"")</f>
        <v/>
      </c>
      <c r="D133" s="1" t="str">
        <f ca="1">IFERROR(VLOOKUP(C133,'About me'!A:B,2,0),"")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IFERROR($C$1-1+_xlfn.RANK.EQ(B134,$B$4:$B$72)+COUNTIF(B$4:$B134,B134)-1,"")</f>
        <v/>
      </c>
      <c r="D134" s="1" t="str">
        <f ca="1">IFERROR(VLOOKUP(C134,'About me'!A:B,2,0),"")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IFERROR($C$1-1+_xlfn.RANK.EQ(B135,$B$4:$B$72)+COUNTIF(B$4:$B135,B135)-1,"")</f>
        <v/>
      </c>
      <c r="D135" s="1" t="str">
        <f ca="1">IFERROR(VLOOKUP(C135,'About me'!A:B,2,0),"")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IFERROR($C$1-1+_xlfn.RANK.EQ(B136,$B$4:$B$72)+COUNTIF(B$4:$B136,B136)-1,"")</f>
        <v/>
      </c>
      <c r="D136" s="1" t="str">
        <f ca="1">IFERROR(VLOOKUP(C136,'About me'!A:B,2,0),"")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IFERROR($C$1-1+_xlfn.RANK.EQ(B137,$B$4:$B$72)+COUNTIF(B$4:$B137,B137)-1,"")</f>
        <v/>
      </c>
      <c r="D137" s="1" t="str">
        <f ca="1">IFERROR(VLOOKUP(C137,'About me'!A:B,2,0),"")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IFERROR($C$1-1+_xlfn.RANK.EQ(B138,$B$4:$B$72)+COUNTIF(B$4:$B138,B138)-1,"")</f>
        <v/>
      </c>
      <c r="D138" s="1" t="str">
        <f ca="1">IFERROR(VLOOKUP(C138,'About me'!A:B,2,0),"")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IFERROR($C$1-1+_xlfn.RANK.EQ(B139,$B$4:$B$72)+COUNTIF(B$4:$B139,B139)-1,"")</f>
        <v/>
      </c>
      <c r="D139" s="1" t="str">
        <f ca="1">IFERROR(VLOOKUP(C139,'About me'!A:B,2,0),"")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IFERROR($C$1-1+_xlfn.RANK.EQ(B140,$B$4:$B$72)+COUNTIF(B$4:$B140,B140)-1,"")</f>
        <v/>
      </c>
      <c r="D140" s="1" t="str">
        <f ca="1">IFERROR(VLOOKUP(C140,'About me'!A:B,2,0),"")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IFERROR($C$1-1+_xlfn.RANK.EQ(B141,$B$4:$B$72)+COUNTIF(B$4:$B141,B141)-1,"")</f>
        <v/>
      </c>
      <c r="D141" s="1" t="str">
        <f ca="1">IFERROR(VLOOKUP(C141,'About me'!A:B,2,0),"")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IFERROR($C$1-1+_xlfn.RANK.EQ(B142,$B$4:$B$72)+COUNTIF(B$4:$B142,B142)-1,"")</f>
        <v/>
      </c>
      <c r="D142" s="1" t="str">
        <f ca="1">IFERROR(VLOOKUP(C142,'About me'!A:B,2,0),"")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C143" s="1" t="str">
        <f ca="1">IFERROR($C$1-1+_xlfn.RANK.EQ(B143,$B$4:$B$72)+COUNTIF(B$4:$B143,B143)-1,"")</f>
        <v/>
      </c>
      <c r="D143" s="1" t="str">
        <f ca="1">IFERROR(VLOOKUP(C143,'About me'!A:B,2,0),"")</f>
        <v/>
      </c>
    </row>
    <row r="144" spans="1:4" x14ac:dyDescent="0.25">
      <c r="A144" t="str">
        <f t="shared" si="5"/>
        <v/>
      </c>
      <c r="B144" t="str">
        <f t="shared" ca="1" si="4"/>
        <v/>
      </c>
      <c r="C144" s="1" t="str">
        <f ca="1">IFERROR($C$1-1+_xlfn.RANK.EQ(B144,$B$4:$B$72)+COUNTIF(B$4:$B144,B144)-1,"")</f>
        <v/>
      </c>
      <c r="D144" s="1" t="str">
        <f ca="1">IFERROR(VLOOKUP(C144,'About me'!A:B,2,0),"")</f>
        <v/>
      </c>
    </row>
    <row r="145" spans="1:4" x14ac:dyDescent="0.25">
      <c r="A145" t="str">
        <f t="shared" si="5"/>
        <v/>
      </c>
      <c r="B145" t="str">
        <f t="shared" ca="1" si="4"/>
        <v/>
      </c>
      <c r="C145" s="1" t="str">
        <f ca="1">IFERROR($C$1-1+_xlfn.RANK.EQ(B145,$B$4:$B$72)+COUNTIF(B$4:$B145,B145)-1,"")</f>
        <v/>
      </c>
      <c r="D145" s="1" t="str">
        <f ca="1">IFERROR(VLOOKUP(C145,'About me'!A:B,2,0),"")</f>
        <v/>
      </c>
    </row>
    <row r="146" spans="1:4" x14ac:dyDescent="0.25">
      <c r="A146" t="str">
        <f t="shared" si="5"/>
        <v/>
      </c>
      <c r="B146" t="str">
        <f t="shared" ca="1" si="4"/>
        <v/>
      </c>
      <c r="C146" s="1" t="str">
        <f ca="1">IFERROR($C$1-1+_xlfn.RANK.EQ(B146,$B$4:$B$72)+COUNTIF(B$4:$B146,B146)-1,"")</f>
        <v/>
      </c>
      <c r="D146" s="1" t="str">
        <f ca="1">IFERROR(VLOOKUP(C146,'About me'!A:B,2,0),"")</f>
        <v/>
      </c>
    </row>
    <row r="147" spans="1:4" x14ac:dyDescent="0.25">
      <c r="A147" t="str">
        <f t="shared" si="5"/>
        <v/>
      </c>
      <c r="B147" t="str">
        <f t="shared" ca="1" si="4"/>
        <v/>
      </c>
      <c r="C147" s="1" t="str">
        <f ca="1">IFERROR($C$1-1+_xlfn.RANK.EQ(B147,$B$4:$B$72)+COUNTIF(B$4:$B147,B147)-1,"")</f>
        <v/>
      </c>
      <c r="D147" s="1" t="str">
        <f ca="1">IFERROR(VLOOKUP(C147,'About me'!A:B,2,0),"")</f>
        <v/>
      </c>
    </row>
    <row r="148" spans="1:4" x14ac:dyDescent="0.25">
      <c r="A148" t="str">
        <f t="shared" si="5"/>
        <v/>
      </c>
      <c r="B148" t="str">
        <f t="shared" ca="1" si="4"/>
        <v/>
      </c>
      <c r="C148" s="1" t="str">
        <f ca="1">IFERROR($C$1-1+_xlfn.RANK.EQ(B148,$B$4:$B$72)+COUNTIF(B$4:$B148,B148)-1,"")</f>
        <v/>
      </c>
      <c r="D148" s="1" t="str">
        <f ca="1">IFERROR(VLOOKUP(C148,'About me'!A:B,2,0),"")</f>
        <v/>
      </c>
    </row>
    <row r="149" spans="1:4" x14ac:dyDescent="0.25">
      <c r="A149" t="str">
        <f t="shared" si="5"/>
        <v/>
      </c>
      <c r="B149" t="str">
        <f t="shared" ca="1" si="4"/>
        <v/>
      </c>
      <c r="C149" s="1" t="str">
        <f ca="1">IFERROR($C$1-1+_xlfn.RANK.EQ(B149,$B$4:$B$72)+COUNTIF(B$4:$B149,B149)-1,"")</f>
        <v/>
      </c>
      <c r="D149" s="1" t="str">
        <f ca="1">IFERROR(VLOOKUP(C149,'About me'!A:B,2,0),"")</f>
        <v/>
      </c>
    </row>
    <row r="150" spans="1:4" x14ac:dyDescent="0.25">
      <c r="A150" t="str">
        <f t="shared" si="5"/>
        <v/>
      </c>
      <c r="B150" t="str">
        <f t="shared" ca="1" si="4"/>
        <v/>
      </c>
      <c r="C150" s="1" t="str">
        <f ca="1">IFERROR($C$1-1+_xlfn.RANK.EQ(B150,$B$4:$B$72)+COUNTIF(B$4:$B150,B150)-1,"")</f>
        <v/>
      </c>
      <c r="D150" s="1" t="str">
        <f ca="1">IFERROR(VLOOKUP(C150,'About me'!A:B,2,0),"")</f>
        <v/>
      </c>
    </row>
    <row r="151" spans="1:4" x14ac:dyDescent="0.25">
      <c r="A151" t="str">
        <f t="shared" si="5"/>
        <v/>
      </c>
      <c r="B151" t="str">
        <f t="shared" ca="1" si="4"/>
        <v/>
      </c>
      <c r="C151" s="1" t="str">
        <f ca="1">IFERROR($C$1-1+_xlfn.RANK.EQ(B151,$B$4:$B$72)+COUNTIF(B$4:$B151,B151)-1,"")</f>
        <v/>
      </c>
      <c r="D151" s="1" t="str">
        <f ca="1">IFERROR(VLOOKUP(C151,'About me'!A:B,2,0),"")</f>
        <v/>
      </c>
    </row>
    <row r="152" spans="1:4" x14ac:dyDescent="0.25">
      <c r="A152" t="str">
        <f t="shared" si="5"/>
        <v/>
      </c>
      <c r="B152" t="str">
        <f t="shared" ca="1" si="4"/>
        <v/>
      </c>
      <c r="C152" s="1" t="str">
        <f ca="1">IFERROR($C$1-1+_xlfn.RANK.EQ(B152,$B$4:$B$72)+COUNTIF(B$4:$B152,B152)-1,"")</f>
        <v/>
      </c>
      <c r="D152" s="1" t="str">
        <f ca="1">IFERROR(VLOOKUP(C152,'About me'!A:B,2,0),"")</f>
        <v/>
      </c>
    </row>
    <row r="153" spans="1:4" x14ac:dyDescent="0.25">
      <c r="A153" t="str">
        <f t="shared" si="5"/>
        <v/>
      </c>
      <c r="B153" t="str">
        <f t="shared" ca="1" si="4"/>
        <v/>
      </c>
      <c r="C153" s="1" t="str">
        <f ca="1">IFERROR($C$1-1+_xlfn.RANK.EQ(B153,$B$4:$B$72)+COUNTIF(B$4:$B153,B153)-1,"")</f>
        <v/>
      </c>
      <c r="D153" s="1" t="str">
        <f ca="1">IFERROR(VLOOKUP(C153,'About me'!A:B,2,0),"")</f>
        <v/>
      </c>
    </row>
    <row r="154" spans="1:4" x14ac:dyDescent="0.25">
      <c r="A154" t="str">
        <f t="shared" si="5"/>
        <v/>
      </c>
      <c r="B154" t="str">
        <f t="shared" ca="1" si="4"/>
        <v/>
      </c>
      <c r="C154" s="1" t="str">
        <f ca="1">IFERROR($C$1-1+_xlfn.RANK.EQ(B154,$B$4:$B$72)+COUNTIF(B$4:$B154,B154)-1,"")</f>
        <v/>
      </c>
      <c r="D154" s="1" t="str">
        <f ca="1">IFERROR(VLOOKUP(C154,'About me'!A:B,2,0),"")</f>
        <v/>
      </c>
    </row>
    <row r="155" spans="1:4" x14ac:dyDescent="0.25">
      <c r="A155" t="str">
        <f t="shared" si="5"/>
        <v/>
      </c>
      <c r="B155" t="str">
        <f t="shared" ca="1" si="4"/>
        <v/>
      </c>
      <c r="C155" s="1" t="str">
        <f ca="1">IFERROR($C$1-1+_xlfn.RANK.EQ(B155,$B$4:$B$72)+COUNTIF(B$4:$B155,B155)-1,"")</f>
        <v/>
      </c>
      <c r="D155" s="1" t="str">
        <f ca="1">IFERROR(VLOOKUP(C155,'About me'!A:B,2,0),"")</f>
        <v/>
      </c>
    </row>
    <row r="156" spans="1:4" x14ac:dyDescent="0.25">
      <c r="A156" t="str">
        <f t="shared" si="5"/>
        <v/>
      </c>
      <c r="B156" t="str">
        <f t="shared" ca="1" si="4"/>
        <v/>
      </c>
      <c r="C156" s="1" t="str">
        <f ca="1">IFERROR($C$1-1+_xlfn.RANK.EQ(B156,$B$4:$B$72)+COUNTIF(B$4:$B156,B156)-1,"")</f>
        <v/>
      </c>
      <c r="D156" s="1" t="str">
        <f ca="1">IFERROR(VLOOKUP(C156,'About me'!A:B,2,0),"")</f>
        <v/>
      </c>
    </row>
    <row r="157" spans="1:4" x14ac:dyDescent="0.25">
      <c r="A157" t="str">
        <f t="shared" si="5"/>
        <v/>
      </c>
      <c r="B157" t="str">
        <f t="shared" ca="1" si="4"/>
        <v/>
      </c>
      <c r="C157" s="1" t="str">
        <f ca="1">IFERROR($C$1-1+_xlfn.RANK.EQ(B157,$B$4:$B$72)+COUNTIF(B$4:$B157,B157)-1,"")</f>
        <v/>
      </c>
      <c r="D157" s="1" t="str">
        <f ca="1">IFERROR(VLOOKUP(C157,'About me'!A:B,2,0),"")</f>
        <v/>
      </c>
    </row>
    <row r="158" spans="1:4" x14ac:dyDescent="0.25">
      <c r="A158" t="str">
        <f t="shared" si="5"/>
        <v/>
      </c>
      <c r="B158" t="str">
        <f t="shared" ca="1" si="4"/>
        <v/>
      </c>
      <c r="C158" s="1" t="str">
        <f ca="1">IFERROR($C$1-1+_xlfn.RANK.EQ(B158,$B$4:$B$72)+COUNTIF(B$4:$B158,B158)-1,"")</f>
        <v/>
      </c>
      <c r="D158" s="1" t="str">
        <f ca="1">IFERROR(VLOOKUP(C158,'About me'!A:B,2,0),"")</f>
        <v/>
      </c>
    </row>
    <row r="159" spans="1:4" x14ac:dyDescent="0.25">
      <c r="A159" t="str">
        <f t="shared" si="5"/>
        <v/>
      </c>
      <c r="B159" t="str">
        <f t="shared" ca="1" si="4"/>
        <v/>
      </c>
      <c r="C159" s="1" t="str">
        <f ca="1">IFERROR($C$1-1+_xlfn.RANK.EQ(B159,$B$4:$B$72)+COUNTIF(B$4:$B159,B159)-1,"")</f>
        <v/>
      </c>
      <c r="D159" s="1" t="str">
        <f ca="1">IFERROR(VLOOKUP(C159,'About me'!A:B,2,0),"")</f>
        <v/>
      </c>
    </row>
    <row r="160" spans="1:4" x14ac:dyDescent="0.25">
      <c r="A160" t="str">
        <f t="shared" si="5"/>
        <v/>
      </c>
      <c r="B160" t="str">
        <f t="shared" ca="1" si="4"/>
        <v/>
      </c>
      <c r="C160" s="1" t="str">
        <f ca="1">IFERROR($C$1-1+_xlfn.RANK.EQ(B160,$B$4:$B$72)+COUNTIF(B$4:$B160,B160)-1,"")</f>
        <v/>
      </c>
      <c r="D160" s="1" t="str">
        <f ca="1">IFERROR(VLOOKUP(C160,'About me'!A:B,2,0),"")</f>
        <v/>
      </c>
    </row>
    <row r="161" spans="1:4" x14ac:dyDescent="0.25">
      <c r="A161" t="str">
        <f t="shared" si="5"/>
        <v/>
      </c>
      <c r="B161" t="str">
        <f t="shared" ca="1" si="4"/>
        <v/>
      </c>
      <c r="C161" s="1" t="str">
        <f ca="1">IFERROR($C$1-1+_xlfn.RANK.EQ(B161,$B$4:$B$72)+COUNTIF(B$4:$B161,B161)-1,"")</f>
        <v/>
      </c>
      <c r="D161" s="1" t="str">
        <f ca="1">IFERROR(VLOOKUP(C161,'About me'!A:B,2,0),"")</f>
        <v/>
      </c>
    </row>
    <row r="162" spans="1:4" x14ac:dyDescent="0.25">
      <c r="A162" t="str">
        <f t="shared" si="5"/>
        <v/>
      </c>
      <c r="B162" t="str">
        <f t="shared" ca="1" si="4"/>
        <v/>
      </c>
      <c r="C162" s="1" t="str">
        <f ca="1">IFERROR($C$1-1+_xlfn.RANK.EQ(B162,$B$4:$B$72)+COUNTIF(B$4:$B162,B162)-1,"")</f>
        <v/>
      </c>
      <c r="D162" s="1" t="str">
        <f ca="1">IFERROR(VLOOKUP(C162,'About me'!A:B,2,0),"")</f>
        <v/>
      </c>
    </row>
    <row r="163" spans="1:4" x14ac:dyDescent="0.25">
      <c r="A163" t="str">
        <f t="shared" si="5"/>
        <v/>
      </c>
      <c r="B163" t="str">
        <f t="shared" ca="1" si="4"/>
        <v/>
      </c>
      <c r="C163" s="1" t="str">
        <f ca="1">IFERROR($C$1-1+_xlfn.RANK.EQ(B163,$B$4:$B$72)+COUNTIF(B$4:$B163,B163)-1,"")</f>
        <v/>
      </c>
      <c r="D163" s="1" t="str">
        <f ca="1">IFERROR(VLOOKUP(C163,'About me'!A:B,2,0),"")</f>
        <v/>
      </c>
    </row>
    <row r="164" spans="1:4" x14ac:dyDescent="0.25">
      <c r="A164" t="str">
        <f t="shared" si="5"/>
        <v/>
      </c>
      <c r="B164" t="str">
        <f t="shared" ca="1" si="4"/>
        <v/>
      </c>
      <c r="C164" s="1" t="str">
        <f ca="1">IFERROR($C$1-1+_xlfn.RANK.EQ(B164,$B$4:$B$72)+COUNTIF(B$4:$B164,B164)-1,"")</f>
        <v/>
      </c>
      <c r="D164" s="1" t="str">
        <f ca="1">IFERROR(VLOOKUP(C164,'About me'!A:B,2,0),"")</f>
        <v/>
      </c>
    </row>
    <row r="165" spans="1:4" x14ac:dyDescent="0.25">
      <c r="A165" t="str">
        <f t="shared" si="5"/>
        <v/>
      </c>
      <c r="B165" t="str">
        <f t="shared" ca="1" si="4"/>
        <v/>
      </c>
      <c r="C165" s="1" t="str">
        <f ca="1">IFERROR($C$1-1+_xlfn.RANK.EQ(B165,$B$4:$B$72)+COUNTIF(B$4:$B165,B165)-1,"")</f>
        <v/>
      </c>
      <c r="D165" s="1" t="str">
        <f ca="1">IFERROR(VLOOKUP(C165,'About me'!A:B,2,0),"")</f>
        <v/>
      </c>
    </row>
    <row r="166" spans="1:4" x14ac:dyDescent="0.25">
      <c r="A166" t="str">
        <f t="shared" si="5"/>
        <v/>
      </c>
      <c r="B166" t="str">
        <f t="shared" ca="1" si="4"/>
        <v/>
      </c>
      <c r="C166" s="1" t="str">
        <f ca="1">IFERROR($C$1-1+_xlfn.RANK.EQ(B166,$B$4:$B$72)+COUNTIF(B$4:$B166,B166)-1,"")</f>
        <v/>
      </c>
      <c r="D166" s="1" t="str">
        <f ca="1">IFERROR(VLOOKUP(C166,'About me'!A:B,2,0),"")</f>
        <v/>
      </c>
    </row>
    <row r="167" spans="1:4" x14ac:dyDescent="0.25">
      <c r="A167" t="str">
        <f t="shared" si="5"/>
        <v/>
      </c>
      <c r="B167" t="str">
        <f t="shared" ca="1" si="4"/>
        <v/>
      </c>
      <c r="C167" s="1" t="str">
        <f ca="1">IFERROR($C$1-1+_xlfn.RANK.EQ(B167,$B$4:$B$72)+COUNTIF(B$4:$B167,B167)-1,"")</f>
        <v/>
      </c>
      <c r="D167" s="1" t="str">
        <f ca="1">IFERROR(VLOOKUP(C167,'About me'!A:B,2,0),"")</f>
        <v/>
      </c>
    </row>
    <row r="168" spans="1:4" x14ac:dyDescent="0.25">
      <c r="A168" t="str">
        <f t="shared" si="5"/>
        <v/>
      </c>
      <c r="B168" t="str">
        <f t="shared" ca="1" si="4"/>
        <v/>
      </c>
      <c r="C168" s="1" t="str">
        <f ca="1">IFERROR($C$1-1+_xlfn.RANK.EQ(B168,$B$4:$B$72)+COUNTIF(B$4:$B168,B168)-1,"")</f>
        <v/>
      </c>
      <c r="D168" s="1" t="str">
        <f ca="1">IFERROR(VLOOKUP(C168,'About me'!A:B,2,0),"")</f>
        <v/>
      </c>
    </row>
    <row r="169" spans="1:4" x14ac:dyDescent="0.25">
      <c r="A169" t="str">
        <f t="shared" si="5"/>
        <v/>
      </c>
      <c r="B169" t="str">
        <f t="shared" ca="1" si="4"/>
        <v/>
      </c>
      <c r="C169" s="1" t="str">
        <f ca="1">IFERROR($C$1-1+_xlfn.RANK.EQ(B169,$B$4:$B$72)+COUNTIF(B$4:$B169,B169)-1,"")</f>
        <v/>
      </c>
      <c r="D169" s="1" t="str">
        <f ca="1">IFERROR(VLOOKUP(C169,'About me'!A:B,2,0),"")</f>
        <v/>
      </c>
    </row>
    <row r="170" spans="1:4" x14ac:dyDescent="0.25">
      <c r="A170" t="str">
        <f t="shared" si="5"/>
        <v/>
      </c>
      <c r="B170" t="str">
        <f t="shared" ca="1" si="4"/>
        <v/>
      </c>
      <c r="C170" s="1" t="str">
        <f ca="1">IFERROR($C$1-1+_xlfn.RANK.EQ(B170,$B$4:$B$72)+COUNTIF(B$4:$B170,B170)-1,"")</f>
        <v/>
      </c>
      <c r="D170" s="1" t="str">
        <f ca="1">IFERROR(VLOOKUP(C170,'About me'!A:B,2,0),"")</f>
        <v/>
      </c>
    </row>
    <row r="171" spans="1:4" x14ac:dyDescent="0.25">
      <c r="A171" t="str">
        <f t="shared" si="5"/>
        <v/>
      </c>
      <c r="B171" t="str">
        <f t="shared" ca="1" si="4"/>
        <v/>
      </c>
      <c r="C171" s="1" t="str">
        <f ca="1">IFERROR($C$1-1+_xlfn.RANK.EQ(B171,$B$4:$B$72)+COUNTIF(B$4:$B171,B171)-1,"")</f>
        <v/>
      </c>
      <c r="D171" s="1" t="str">
        <f ca="1">IFERROR(VLOOKUP(C171,'About me'!A:B,2,0),"")</f>
        <v/>
      </c>
    </row>
    <row r="172" spans="1:4" x14ac:dyDescent="0.25">
      <c r="A172" t="str">
        <f t="shared" si="5"/>
        <v/>
      </c>
      <c r="B172" t="str">
        <f t="shared" ca="1" si="4"/>
        <v/>
      </c>
      <c r="C172" s="1" t="str">
        <f ca="1">IFERROR($C$1-1+_xlfn.RANK.EQ(B172,$B$4:$B$72)+COUNTIF(B$4:$B172,B172)-1,"")</f>
        <v/>
      </c>
      <c r="D172" s="1" t="str">
        <f ca="1">IFERROR(VLOOKUP(C172,'About me'!A:B,2,0),"")</f>
        <v/>
      </c>
    </row>
    <row r="173" spans="1:4" x14ac:dyDescent="0.25">
      <c r="A173" t="str">
        <f t="shared" si="5"/>
        <v/>
      </c>
      <c r="B173" t="str">
        <f t="shared" ca="1" si="4"/>
        <v/>
      </c>
      <c r="C173" s="1" t="str">
        <f ca="1">IFERROR($C$1-1+_xlfn.RANK.EQ(B173,$B$4:$B$72)+COUNTIF(B$4:$B173,B173)-1,"")</f>
        <v/>
      </c>
      <c r="D173" s="1" t="str">
        <f ca="1">IFERROR(VLOOKUP(C173,'About me'!A:B,2,0),"")</f>
        <v/>
      </c>
    </row>
    <row r="174" spans="1:4" x14ac:dyDescent="0.25">
      <c r="A174" t="str">
        <f t="shared" si="5"/>
        <v/>
      </c>
      <c r="B174" t="str">
        <f t="shared" ca="1" si="4"/>
        <v/>
      </c>
      <c r="C174" s="1" t="str">
        <f ca="1">IFERROR($C$1-1+_xlfn.RANK.EQ(B174,$B$4:$B$72)+COUNTIF(B$4:$B174,B174)-1,"")</f>
        <v/>
      </c>
      <c r="D174" s="1" t="str">
        <f ca="1">IFERROR(VLOOKUP(C174,'About me'!A:B,2,0),"")</f>
        <v/>
      </c>
    </row>
    <row r="175" spans="1:4" x14ac:dyDescent="0.25">
      <c r="A175" t="str">
        <f t="shared" si="5"/>
        <v/>
      </c>
      <c r="B175" t="str">
        <f t="shared" ca="1" si="4"/>
        <v/>
      </c>
      <c r="C175" s="1" t="str">
        <f ca="1">IFERROR($C$1-1+_xlfn.RANK.EQ(B175,$B$4:$B$72)+COUNTIF(B$4:$B175,B175)-1,"")</f>
        <v/>
      </c>
      <c r="D175" s="1" t="str">
        <f ca="1">IFERROR(VLOOKUP(C175,'About me'!A:B,2,0),"")</f>
        <v/>
      </c>
    </row>
    <row r="176" spans="1:4" x14ac:dyDescent="0.25">
      <c r="A176" t="str">
        <f t="shared" si="5"/>
        <v/>
      </c>
      <c r="B176" t="str">
        <f t="shared" ca="1" si="4"/>
        <v/>
      </c>
      <c r="C176" s="1" t="str">
        <f ca="1">IFERROR($C$1-1+_xlfn.RANK.EQ(B176,$B$4:$B$72)+COUNTIF(B$4:$B176,B176)-1,"")</f>
        <v/>
      </c>
      <c r="D176" s="1" t="str">
        <f ca="1">IFERROR(VLOOKUP(C176,'About me'!A:B,2,0),"")</f>
        <v/>
      </c>
    </row>
    <row r="177" spans="1:4" x14ac:dyDescent="0.25">
      <c r="A177" t="str">
        <f t="shared" si="5"/>
        <v/>
      </c>
      <c r="B177" t="str">
        <f t="shared" ca="1" si="4"/>
        <v/>
      </c>
      <c r="C177" s="1" t="str">
        <f ca="1">IFERROR($C$1-1+_xlfn.RANK.EQ(B177,$B$4:$B$72)+COUNTIF(B$4:$B177,B177)-1,"")</f>
        <v/>
      </c>
      <c r="D177" s="1" t="str">
        <f ca="1">IFERROR(VLOOKUP(C177,'About me'!A:B,2,0),"")</f>
        <v/>
      </c>
    </row>
    <row r="178" spans="1:4" x14ac:dyDescent="0.25">
      <c r="A178" t="str">
        <f t="shared" si="5"/>
        <v/>
      </c>
      <c r="B178" t="str">
        <f t="shared" ca="1" si="4"/>
        <v/>
      </c>
      <c r="C178" s="1" t="str">
        <f ca="1">IFERROR($C$1-1+_xlfn.RANK.EQ(B178,$B$4:$B$72)+COUNTIF(B$4:$B178,B178)-1,"")</f>
        <v/>
      </c>
      <c r="D178" s="1" t="str">
        <f ca="1">IFERROR(VLOOKUP(C178,'About me'!A:B,2,0),"")</f>
        <v/>
      </c>
    </row>
    <row r="179" spans="1:4" x14ac:dyDescent="0.25">
      <c r="A179" t="str">
        <f t="shared" si="5"/>
        <v/>
      </c>
      <c r="B179" t="str">
        <f t="shared" ca="1" si="4"/>
        <v/>
      </c>
      <c r="C179" s="1" t="str">
        <f ca="1">IFERROR($C$1-1+_xlfn.RANK.EQ(B179,$B$4:$B$72)+COUNTIF(B$4:$B179,B179)-1,"")</f>
        <v/>
      </c>
      <c r="D179" s="1" t="str">
        <f ca="1">IFERROR(VLOOKUP(C179,'About me'!A:B,2,0),"")</f>
        <v/>
      </c>
    </row>
    <row r="180" spans="1:4" x14ac:dyDescent="0.25">
      <c r="A180" t="str">
        <f t="shared" si="5"/>
        <v/>
      </c>
      <c r="B180" t="str">
        <f t="shared" ca="1" si="4"/>
        <v/>
      </c>
      <c r="C180" s="1" t="str">
        <f ca="1">IFERROR($C$1-1+_xlfn.RANK.EQ(B180,$B$4:$B$72)+COUNTIF(B$4:$B180,B180)-1,"")</f>
        <v/>
      </c>
      <c r="D180" s="1" t="str">
        <f ca="1">IFERROR(VLOOKUP(C180,'About me'!A:B,2,0),"")</f>
        <v/>
      </c>
    </row>
    <row r="181" spans="1:4" x14ac:dyDescent="0.25">
      <c r="A181" t="str">
        <f t="shared" si="5"/>
        <v/>
      </c>
      <c r="B181" t="str">
        <f t="shared" ca="1" si="4"/>
        <v/>
      </c>
      <c r="C181" s="1" t="str">
        <f ca="1">IFERROR($C$1-1+_xlfn.RANK.EQ(B181,$B$4:$B$72)+COUNTIF(B$4:$B181,B181)-1,"")</f>
        <v/>
      </c>
      <c r="D181" s="1" t="str">
        <f ca="1">IFERROR(VLOOKUP(C181,'About me'!A:B,2,0),"")</f>
        <v/>
      </c>
    </row>
    <row r="182" spans="1:4" x14ac:dyDescent="0.25">
      <c r="A182" t="str">
        <f t="shared" si="5"/>
        <v/>
      </c>
      <c r="B182" t="str">
        <f t="shared" ca="1" si="4"/>
        <v/>
      </c>
      <c r="C182" s="1" t="str">
        <f ca="1">IFERROR($C$1-1+_xlfn.RANK.EQ(B182,$B$4:$B$72)+COUNTIF(B$4:$B182,B182)-1,"")</f>
        <v/>
      </c>
      <c r="D182" s="1" t="str">
        <f ca="1">IFERROR(VLOOKUP(C182,'About me'!A:B,2,0),"")</f>
        <v/>
      </c>
    </row>
    <row r="183" spans="1:4" x14ac:dyDescent="0.25">
      <c r="A183" t="str">
        <f t="shared" si="5"/>
        <v/>
      </c>
      <c r="B183" t="str">
        <f t="shared" ca="1" si="4"/>
        <v/>
      </c>
      <c r="C183" s="1" t="str">
        <f ca="1">IFERROR($C$1-1+_xlfn.RANK.EQ(B183,$B$4:$B$72)+COUNTIF(B$4:$B183,B183)-1,"")</f>
        <v/>
      </c>
      <c r="D183" s="1" t="str">
        <f ca="1">IFERROR(VLOOKUP(C183,'About me'!A:B,2,0),"")</f>
        <v/>
      </c>
    </row>
    <row r="184" spans="1:4" x14ac:dyDescent="0.25">
      <c r="A184" t="str">
        <f t="shared" si="5"/>
        <v/>
      </c>
      <c r="B184" t="str">
        <f t="shared" ca="1" si="4"/>
        <v/>
      </c>
      <c r="C184" s="1" t="str">
        <f ca="1">IFERROR($C$1-1+_xlfn.RANK.EQ(B184,$B$4:$B$72)+COUNTIF(B$4:$B184,B184)-1,"")</f>
        <v/>
      </c>
      <c r="D184" s="1" t="str">
        <f ca="1">IFERROR(VLOOKUP(C184,'About me'!A:B,2,0),"")</f>
        <v/>
      </c>
    </row>
    <row r="185" spans="1:4" x14ac:dyDescent="0.25">
      <c r="A185" t="str">
        <f t="shared" si="5"/>
        <v/>
      </c>
      <c r="B185" t="str">
        <f t="shared" ca="1" si="4"/>
        <v/>
      </c>
      <c r="C185" s="1" t="str">
        <f ca="1">IFERROR($C$1-1+_xlfn.RANK.EQ(B185,$B$4:$B$72)+COUNTIF(B$4:$B185,B185)-1,"")</f>
        <v/>
      </c>
      <c r="D185" s="1" t="str">
        <f ca="1">IFERROR(VLOOKUP(C185,'About me'!A:B,2,0),"")</f>
        <v/>
      </c>
    </row>
    <row r="186" spans="1:4" x14ac:dyDescent="0.25">
      <c r="A186" t="str">
        <f t="shared" si="5"/>
        <v/>
      </c>
      <c r="B186" t="str">
        <f t="shared" ca="1" si="4"/>
        <v/>
      </c>
      <c r="C186" s="1" t="str">
        <f ca="1">IFERROR($C$1-1+_xlfn.RANK.EQ(B186,$B$4:$B$72)+COUNTIF(B$4:$B186,B186)-1,"")</f>
        <v/>
      </c>
      <c r="D186" s="1" t="str">
        <f ca="1">IFERROR(VLOOKUP(C186,'About me'!A:B,2,0),"")</f>
        <v/>
      </c>
    </row>
    <row r="187" spans="1:4" x14ac:dyDescent="0.25">
      <c r="A187" t="str">
        <f t="shared" si="5"/>
        <v/>
      </c>
      <c r="B187" t="str">
        <f t="shared" ca="1" si="4"/>
        <v/>
      </c>
      <c r="C187" s="1" t="str">
        <f ca="1">IFERROR($C$1-1+_xlfn.RANK.EQ(B187,$B$4:$B$72)+COUNTIF(B$4:$B187,B187)-1,"")</f>
        <v/>
      </c>
      <c r="D187" s="1" t="str">
        <f ca="1">IFERROR(VLOOKUP(C187,'About me'!A:B,2,0),"")</f>
        <v/>
      </c>
    </row>
    <row r="188" spans="1:4" x14ac:dyDescent="0.25">
      <c r="A188" t="str">
        <f t="shared" si="5"/>
        <v/>
      </c>
      <c r="B188" t="str">
        <f t="shared" ca="1" si="4"/>
        <v/>
      </c>
      <c r="C188" s="1" t="str">
        <f ca="1">IFERROR($C$1-1+_xlfn.RANK.EQ(B188,$B$4:$B$72)+COUNTIF(B$4:$B188,B188)-1,"")</f>
        <v/>
      </c>
      <c r="D188" s="1" t="str">
        <f ca="1">IFERROR(VLOOKUP(C188,'About me'!A:B,2,0),"")</f>
        <v/>
      </c>
    </row>
    <row r="189" spans="1:4" x14ac:dyDescent="0.25">
      <c r="A189" t="str">
        <f t="shared" si="5"/>
        <v/>
      </c>
      <c r="B189" t="str">
        <f t="shared" ca="1" si="4"/>
        <v/>
      </c>
      <c r="C189" s="1" t="str">
        <f ca="1">IFERROR($C$1-1+_xlfn.RANK.EQ(B189,$B$4:$B$72)+COUNTIF(B$4:$B189,B189)-1,"")</f>
        <v/>
      </c>
      <c r="D189" s="1" t="str">
        <f ca="1">IFERROR(VLOOKUP(C189,'About me'!A:B,2,0),"")</f>
        <v/>
      </c>
    </row>
    <row r="190" spans="1:4" x14ac:dyDescent="0.25">
      <c r="A190" t="str">
        <f t="shared" si="5"/>
        <v/>
      </c>
      <c r="B190" t="str">
        <f t="shared" ca="1" si="4"/>
        <v/>
      </c>
      <c r="C190" s="1" t="str">
        <f ca="1">IFERROR($C$1-1+_xlfn.RANK.EQ(B190,$B$4:$B$72)+COUNTIF(B$4:$B190,B190)-1,"")</f>
        <v/>
      </c>
      <c r="D190" s="1" t="str">
        <f ca="1">IFERROR(VLOOKUP(C190,'About me'!A:B,2,0),"")</f>
        <v/>
      </c>
    </row>
    <row r="191" spans="1:4" x14ac:dyDescent="0.25">
      <c r="A191" t="str">
        <f t="shared" si="5"/>
        <v/>
      </c>
      <c r="B191" t="str">
        <f t="shared" ca="1" si="4"/>
        <v/>
      </c>
      <c r="C191" s="1" t="str">
        <f ca="1">IFERROR($C$1-1+_xlfn.RANK.EQ(B191,$B$4:$B$72)+COUNTIF(B$4:$B191,B191)-1,"")</f>
        <v/>
      </c>
      <c r="D191" s="1" t="str">
        <f ca="1">IFERROR(VLOOKUP(C191,'About me'!A:B,2,0),"")</f>
        <v/>
      </c>
    </row>
    <row r="192" spans="1:4" x14ac:dyDescent="0.25">
      <c r="A192" t="str">
        <f t="shared" si="5"/>
        <v/>
      </c>
      <c r="B192" t="str">
        <f t="shared" ca="1" si="4"/>
        <v/>
      </c>
      <c r="C192" s="1" t="str">
        <f ca="1">IFERROR($C$1-1+_xlfn.RANK.EQ(B192,$B$4:$B$72)+COUNTIF(B$4:$B192,B192)-1,"")</f>
        <v/>
      </c>
      <c r="D192" s="1" t="str">
        <f ca="1">IFERROR(VLOOKUP(C192,'About me'!A:B,2,0),"")</f>
        <v/>
      </c>
    </row>
    <row r="193" spans="1:4" x14ac:dyDescent="0.25">
      <c r="A193" t="str">
        <f t="shared" si="5"/>
        <v/>
      </c>
      <c r="B193" t="str">
        <f t="shared" ca="1" si="4"/>
        <v/>
      </c>
      <c r="C193" s="1" t="str">
        <f ca="1">IFERROR($C$1-1+_xlfn.RANK.EQ(B193,$B$4:$B$72)+COUNTIF(B$4:$B193,B193)-1,"")</f>
        <v/>
      </c>
      <c r="D193" s="1" t="str">
        <f ca="1">IFERROR(VLOOKUP(C193,'About me'!A:B,2,0),"")</f>
        <v/>
      </c>
    </row>
    <row r="194" spans="1:4" x14ac:dyDescent="0.25">
      <c r="A194" t="str">
        <f t="shared" si="5"/>
        <v/>
      </c>
      <c r="B194" t="str">
        <f t="shared" ca="1" si="4"/>
        <v/>
      </c>
      <c r="C194" s="1" t="str">
        <f ca="1">IFERROR($C$1-1+_xlfn.RANK.EQ(B194,$B$4:$B$72)+COUNTIF(B$4:$B194,B194)-1,"")</f>
        <v/>
      </c>
      <c r="D194" s="1" t="str">
        <f ca="1">IFERROR(VLOOKUP(C194,'About me'!A:B,2,0),"")</f>
        <v/>
      </c>
    </row>
    <row r="195" spans="1:4" x14ac:dyDescent="0.25">
      <c r="A195" t="str">
        <f t="shared" si="5"/>
        <v/>
      </c>
      <c r="B195" t="str">
        <f t="shared" ca="1" si="4"/>
        <v/>
      </c>
      <c r="C195" s="1" t="str">
        <f ca="1">IFERROR($C$1-1+_xlfn.RANK.EQ(B195,$B$4:$B$72)+COUNTIF(B$4:$B195,B195)-1,"")</f>
        <v/>
      </c>
      <c r="D195" s="1" t="str">
        <f ca="1">IFERROR(VLOOKUP(C195,'About me'!A:B,2,0),"")</f>
        <v/>
      </c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C196" s="1" t="str">
        <f ca="1">IFERROR($C$1-1+_xlfn.RANK.EQ(B196,$B$4:$B$72)+COUNTIF(B$4:$B196,B196)-1,"")</f>
        <v/>
      </c>
      <c r="D196" s="1" t="str">
        <f ca="1">IFERROR(VLOOKUP(C196,'About me'!A:B,2,0),"")</f>
        <v/>
      </c>
    </row>
    <row r="197" spans="1:4" x14ac:dyDescent="0.25">
      <c r="A197" t="str">
        <f t="shared" si="5"/>
        <v/>
      </c>
      <c r="B197" t="str">
        <f t="shared" ca="1" si="6"/>
        <v/>
      </c>
      <c r="C197" s="1" t="str">
        <f ca="1">IFERROR($C$1-1+_xlfn.RANK.EQ(B197,$B$4:$B$72)+COUNTIF(B$4:$B197,B197)-1,"")</f>
        <v/>
      </c>
      <c r="D197" s="1" t="str">
        <f ca="1">IFERROR(VLOOKUP(C197,'About me'!A:B,2,0),"")</f>
        <v/>
      </c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C198" s="1" t="str">
        <f ca="1">IFERROR($C$1-1+_xlfn.RANK.EQ(B198,$B$4:$B$72)+COUNTIF(B$4:$B198,B198)-1,"")</f>
        <v/>
      </c>
      <c r="D198" s="1" t="str">
        <f ca="1">IFERROR(VLOOKUP(C198,'About me'!A:B,2,0),"")</f>
        <v/>
      </c>
    </row>
    <row r="199" spans="1:4" x14ac:dyDescent="0.25">
      <c r="A199" t="str">
        <f t="shared" si="7"/>
        <v/>
      </c>
      <c r="B199" t="str">
        <f t="shared" ca="1" si="6"/>
        <v/>
      </c>
      <c r="C199" s="1" t="str">
        <f ca="1">IFERROR($C$1-1+_xlfn.RANK.EQ(B199,$B$4:$B$72)+COUNTIF(B$4:$B199,B199)-1,"")</f>
        <v/>
      </c>
      <c r="D199" s="1" t="str">
        <f ca="1">IFERROR(VLOOKUP(C199,'About me'!A:B,2,0),"")</f>
        <v/>
      </c>
    </row>
    <row r="200" spans="1:4" x14ac:dyDescent="0.25">
      <c r="A200" t="str">
        <f t="shared" si="7"/>
        <v/>
      </c>
      <c r="B200" t="str">
        <f t="shared" ca="1" si="6"/>
        <v/>
      </c>
      <c r="C200" s="1" t="str">
        <f ca="1">IFERROR($C$1-1+_xlfn.RANK.EQ(B200,$B$4:$B$72)+COUNTIF(B$4:$B200,B200)-1,"")</f>
        <v/>
      </c>
      <c r="D200" s="1" t="str">
        <f ca="1">IFERROR(VLOOKUP(C200,'About me'!A:B,2,0),"")</f>
        <v/>
      </c>
    </row>
    <row r="201" spans="1:4" x14ac:dyDescent="0.25">
      <c r="A201" t="str">
        <f t="shared" si="7"/>
        <v/>
      </c>
      <c r="B201" t="str">
        <f t="shared" ca="1" si="6"/>
        <v/>
      </c>
      <c r="C201" s="1" t="str">
        <f ca="1">IFERROR($C$1-1+_xlfn.RANK.EQ(B201,$B$4:$B$72)+COUNTIF(B$4:$B201,B201)-1,"")</f>
        <v/>
      </c>
      <c r="D201" s="1" t="str">
        <f ca="1">IFERROR(VLOOKUP(C201,'About me'!A:B,2,0),"")</f>
        <v/>
      </c>
    </row>
    <row r="202" spans="1:4" x14ac:dyDescent="0.25">
      <c r="A202" t="str">
        <f t="shared" si="7"/>
        <v/>
      </c>
      <c r="B202" t="str">
        <f t="shared" ca="1" si="6"/>
        <v/>
      </c>
      <c r="C202" s="1" t="str">
        <f ca="1">IFERROR($C$1-1+_xlfn.RANK.EQ(B202,$B$4:$B$72)+COUNTIF(B$4:$B202,B202)-1,"")</f>
        <v/>
      </c>
      <c r="D202" s="1" t="str">
        <f ca="1">IFERROR(VLOOKUP(C202,'About me'!A:B,2,0),"")</f>
        <v/>
      </c>
    </row>
    <row r="203" spans="1:4" x14ac:dyDescent="0.25">
      <c r="A203" t="str">
        <f t="shared" si="7"/>
        <v/>
      </c>
      <c r="B203" t="str">
        <f t="shared" ca="1" si="6"/>
        <v/>
      </c>
      <c r="C203" s="1" t="str">
        <f ca="1">IFERROR($C$1-1+_xlfn.RANK.EQ(B203,$B$4:$B$72)+COUNTIF(B$4:$B203,B203)-1,"")</f>
        <v/>
      </c>
      <c r="D203" s="1" t="str">
        <f ca="1">IFERROR(VLOOKUP(C203,'About me'!A:B,2,0),"")</f>
        <v/>
      </c>
    </row>
    <row r="204" spans="1:4" x14ac:dyDescent="0.25">
      <c r="A204" t="str">
        <f t="shared" si="7"/>
        <v/>
      </c>
      <c r="B204" t="str">
        <f t="shared" ca="1" si="6"/>
        <v/>
      </c>
      <c r="C204" s="1" t="str">
        <f ca="1">IFERROR($C$1-1+_xlfn.RANK.EQ(B204,$B$4:$B$72)+COUNTIF(B$4:$B204,B204)-1,"")</f>
        <v/>
      </c>
      <c r="D204" s="1" t="str">
        <f ca="1">IFERROR(VLOOKUP(C204,'About me'!A:B,2,0),"")</f>
        <v/>
      </c>
    </row>
    <row r="205" spans="1:4" x14ac:dyDescent="0.25">
      <c r="A205" t="str">
        <f t="shared" si="7"/>
        <v/>
      </c>
      <c r="B205" t="str">
        <f t="shared" ca="1" si="6"/>
        <v/>
      </c>
      <c r="C205" s="1" t="str">
        <f ca="1">IFERROR($C$1-1+_xlfn.RANK.EQ(B205,$B$4:$B$72)+COUNTIF(B$4:$B205,B205)-1,"")</f>
        <v/>
      </c>
      <c r="D205" s="1" t="str">
        <f ca="1">IFERROR(VLOOKUP(C205,'About me'!A:B,2,0),"")</f>
        <v/>
      </c>
    </row>
    <row r="206" spans="1:4" x14ac:dyDescent="0.25">
      <c r="A206" t="str">
        <f t="shared" si="7"/>
        <v/>
      </c>
      <c r="B206" t="str">
        <f t="shared" ca="1" si="6"/>
        <v/>
      </c>
      <c r="C206" s="1" t="str">
        <f ca="1">IFERROR($C$1-1+_xlfn.RANK.EQ(B206,$B$4:$B$72)+COUNTIF(B$4:$B206,B206)-1,"")</f>
        <v/>
      </c>
      <c r="D206" s="1" t="str">
        <f ca="1">IFERROR(VLOOKUP(C206,'About me'!A:B,2,0),"")</f>
        <v/>
      </c>
    </row>
    <row r="207" spans="1:4" x14ac:dyDescent="0.25">
      <c r="A207" t="str">
        <f t="shared" si="7"/>
        <v/>
      </c>
      <c r="B207" t="str">
        <f t="shared" ca="1" si="6"/>
        <v/>
      </c>
      <c r="C207" s="1" t="str">
        <f ca="1">IFERROR($C$1-1+_xlfn.RANK.EQ(B207,$B$4:$B$72)+COUNTIF(B$4:$B207,B207)-1,"")</f>
        <v/>
      </c>
      <c r="D207" s="1" t="str">
        <f ca="1">IFERROR(VLOOKUP(C207,'About me'!A:B,2,0),"")</f>
        <v/>
      </c>
    </row>
    <row r="208" spans="1:4" x14ac:dyDescent="0.25">
      <c r="A208" t="str">
        <f t="shared" si="7"/>
        <v/>
      </c>
      <c r="B208" t="str">
        <f t="shared" ca="1" si="6"/>
        <v/>
      </c>
      <c r="C208" s="1" t="str">
        <f ca="1">IFERROR($C$1-1+_xlfn.RANK.EQ(B208,$B$4:$B$72)+COUNTIF(B$4:$B208,B208)-1,"")</f>
        <v/>
      </c>
      <c r="D208" s="1" t="str">
        <f ca="1">IFERROR(VLOOKUP(C208,'About me'!A:B,2,0),"")</f>
        <v/>
      </c>
    </row>
    <row r="209" spans="1:4" x14ac:dyDescent="0.25">
      <c r="A209" t="str">
        <f t="shared" si="7"/>
        <v/>
      </c>
      <c r="B209" t="str">
        <f t="shared" ca="1" si="6"/>
        <v/>
      </c>
      <c r="C209" s="1" t="str">
        <f ca="1">IFERROR($C$1-1+_xlfn.RANK.EQ(B209,$B$4:$B$72)+COUNTIF(B$4:$B209,B209)-1,"")</f>
        <v/>
      </c>
      <c r="D209" s="1" t="str">
        <f ca="1">IFERROR(VLOOKUP(C209,'About me'!A:B,2,0),"")</f>
        <v/>
      </c>
    </row>
    <row r="210" spans="1:4" x14ac:dyDescent="0.25">
      <c r="A210" t="str">
        <f t="shared" si="7"/>
        <v/>
      </c>
      <c r="B210" t="str">
        <f t="shared" ca="1" si="6"/>
        <v/>
      </c>
      <c r="C210" s="1" t="str">
        <f ca="1">IFERROR($C$1-1+_xlfn.RANK.EQ(B210,$B$4:$B$72)+COUNTIF(B$4:$B210,B210)-1,"")</f>
        <v/>
      </c>
      <c r="D210" s="1" t="str">
        <f ca="1">IFERROR(VLOOKUP(C210,'About me'!A:B,2,0),"")</f>
        <v/>
      </c>
    </row>
    <row r="211" spans="1:4" x14ac:dyDescent="0.25">
      <c r="A211" t="str">
        <f t="shared" si="7"/>
        <v/>
      </c>
      <c r="B211" t="str">
        <f t="shared" ca="1" si="6"/>
        <v/>
      </c>
      <c r="C211" s="1" t="str">
        <f ca="1">IFERROR($C$1-1+_xlfn.RANK.EQ(B211,$B$4:$B$72)+COUNTIF(B$4:$B211,B211)-1,"")</f>
        <v/>
      </c>
      <c r="D211" s="1" t="str">
        <f ca="1">IFERROR(VLOOKUP(C211,'About me'!A:B,2,0),"")</f>
        <v/>
      </c>
    </row>
    <row r="212" spans="1:4" x14ac:dyDescent="0.25">
      <c r="A212" t="str">
        <f t="shared" si="7"/>
        <v/>
      </c>
      <c r="B212" t="str">
        <f t="shared" ca="1" si="6"/>
        <v/>
      </c>
      <c r="C212" s="1" t="str">
        <f ca="1">IFERROR($C$1-1+_xlfn.RANK.EQ(B212,$B$4:$B$72)+COUNTIF(B$4:$B212,B212)-1,"")</f>
        <v/>
      </c>
      <c r="D212" s="1" t="str">
        <f ca="1">IFERROR(VLOOKUP(C212,'About me'!A:B,2,0),"")</f>
        <v/>
      </c>
    </row>
    <row r="213" spans="1:4" x14ac:dyDescent="0.25">
      <c r="A213" t="str">
        <f t="shared" si="7"/>
        <v/>
      </c>
      <c r="B213" t="str">
        <f t="shared" ca="1" si="6"/>
        <v/>
      </c>
      <c r="C213" s="1" t="str">
        <f ca="1">IFERROR($C$1-1+_xlfn.RANK.EQ(B213,$B$4:$B$72)+COUNTIF(B$4:$B213,B213)-1,"")</f>
        <v/>
      </c>
      <c r="D213" s="1" t="str">
        <f ca="1">IFERROR(VLOOKUP(C213,'About me'!A:B,2,0),"")</f>
        <v/>
      </c>
    </row>
    <row r="214" spans="1:4" x14ac:dyDescent="0.25">
      <c r="A214" t="str">
        <f t="shared" si="7"/>
        <v/>
      </c>
      <c r="B214" t="str">
        <f t="shared" ca="1" si="6"/>
        <v/>
      </c>
      <c r="C214" s="1" t="str">
        <f ca="1">IFERROR($C$1-1+_xlfn.RANK.EQ(B214,$B$4:$B$72)+COUNTIF(B$4:$B214,B214)-1,"")</f>
        <v/>
      </c>
      <c r="D214" s="1" t="str">
        <f ca="1">IFERROR(VLOOKUP(C214,'About me'!A:B,2,0),"")</f>
        <v/>
      </c>
    </row>
    <row r="215" spans="1:4" x14ac:dyDescent="0.25">
      <c r="A215" t="str">
        <f t="shared" si="7"/>
        <v/>
      </c>
      <c r="B215" t="str">
        <f t="shared" ca="1" si="6"/>
        <v/>
      </c>
      <c r="C215" s="1" t="str">
        <f ca="1">IFERROR($C$1-1+_xlfn.RANK.EQ(B215,$B$4:$B$72)+COUNTIF(B$4:$B215,B215)-1,"")</f>
        <v/>
      </c>
      <c r="D215" s="1" t="str">
        <f ca="1">IFERROR(VLOOKUP(C215,'About me'!A:B,2,0),"")</f>
        <v/>
      </c>
    </row>
    <row r="216" spans="1:4" x14ac:dyDescent="0.25">
      <c r="A216" t="str">
        <f t="shared" si="7"/>
        <v/>
      </c>
      <c r="B216" t="str">
        <f t="shared" ca="1" si="6"/>
        <v/>
      </c>
      <c r="C216" s="1" t="str">
        <f ca="1">IFERROR($C$1-1+_xlfn.RANK.EQ(B216,$B$4:$B$72)+COUNTIF(B$4:$B216,B216)-1,"")</f>
        <v/>
      </c>
      <c r="D216" s="1" t="str">
        <f ca="1">IFERROR(VLOOKUP(C216,'About me'!A:B,2,0),"")</f>
        <v/>
      </c>
    </row>
    <row r="217" spans="1:4" x14ac:dyDescent="0.25">
      <c r="A217" t="str">
        <f t="shared" si="7"/>
        <v/>
      </c>
      <c r="B217" t="str">
        <f t="shared" ca="1" si="6"/>
        <v/>
      </c>
      <c r="C217" s="1" t="str">
        <f ca="1">IFERROR($C$1-1+_xlfn.RANK.EQ(B217,$B$4:$B$72)+COUNTIF(B$4:$B217,B217)-1,"")</f>
        <v/>
      </c>
      <c r="D217" s="1" t="str">
        <f ca="1">IFERROR(VLOOKUP(C217,'About me'!A:B,2,0),"")</f>
        <v/>
      </c>
    </row>
    <row r="218" spans="1:4" x14ac:dyDescent="0.25">
      <c r="A218" t="str">
        <f t="shared" si="7"/>
        <v/>
      </c>
      <c r="B218" t="str">
        <f t="shared" ca="1" si="6"/>
        <v/>
      </c>
      <c r="C218" s="1" t="str">
        <f ca="1">IFERROR($C$1-1+_xlfn.RANK.EQ(B218,$B$4:$B$72)+COUNTIF(B$4:$B218,B218)-1,"")</f>
        <v/>
      </c>
      <c r="D218" s="1" t="str">
        <f ca="1">IFERROR(VLOOKUP(C218,'About me'!A:B,2,0),"")</f>
        <v/>
      </c>
    </row>
    <row r="219" spans="1:4" x14ac:dyDescent="0.25">
      <c r="A219" t="str">
        <f t="shared" si="7"/>
        <v/>
      </c>
      <c r="B219" t="str">
        <f t="shared" ca="1" si="6"/>
        <v/>
      </c>
      <c r="C219" s="1" t="str">
        <f ca="1">IFERROR($C$1-1+_xlfn.RANK.EQ(B219,$B$4:$B$72)+COUNTIF(B$4:$B219,B219)-1,"")</f>
        <v/>
      </c>
      <c r="D219" s="1" t="str">
        <f ca="1">IFERROR(VLOOKUP(C219,'About me'!A:B,2,0),"")</f>
        <v/>
      </c>
    </row>
    <row r="220" spans="1:4" x14ac:dyDescent="0.25">
      <c r="A220" t="str">
        <f t="shared" si="7"/>
        <v/>
      </c>
      <c r="B220" t="str">
        <f t="shared" ca="1" si="6"/>
        <v/>
      </c>
      <c r="C220" s="1" t="str">
        <f ca="1">IFERROR($C$1-1+_xlfn.RANK.EQ(B220,$B$4:$B$72)+COUNTIF(B$4:$B220,B220)-1,"")</f>
        <v/>
      </c>
      <c r="D220" s="1" t="str">
        <f ca="1">IFERROR(VLOOKUP(C220,'About me'!A:B,2,0),"")</f>
        <v/>
      </c>
    </row>
    <row r="221" spans="1:4" x14ac:dyDescent="0.25">
      <c r="A221" t="str">
        <f t="shared" si="7"/>
        <v/>
      </c>
      <c r="B221" t="str">
        <f t="shared" ca="1" si="6"/>
        <v/>
      </c>
      <c r="C221" s="1" t="str">
        <f ca="1">IFERROR($C$1-1+_xlfn.RANK.EQ(B221,$B$4:$B$72)+COUNTIF(B$4:$B221,B221)-1,"")</f>
        <v/>
      </c>
      <c r="D221" s="1" t="str">
        <f ca="1">IFERROR(VLOOKUP(C221,'About me'!A:B,2,0),"")</f>
        <v/>
      </c>
    </row>
    <row r="222" spans="1:4" x14ac:dyDescent="0.25">
      <c r="A222" t="str">
        <f t="shared" si="7"/>
        <v/>
      </c>
      <c r="B222" t="str">
        <f t="shared" ca="1" si="6"/>
        <v/>
      </c>
      <c r="C222" s="1" t="str">
        <f ca="1">IFERROR($C$1-1+_xlfn.RANK.EQ(B222,$B$4:$B$72)+COUNTIF(B$4:$B222,B222)-1,"")</f>
        <v/>
      </c>
      <c r="D222" s="1" t="str">
        <f ca="1">IFERROR(VLOOKUP(C222,'About me'!A:B,2,0),"")</f>
        <v/>
      </c>
    </row>
    <row r="223" spans="1:4" x14ac:dyDescent="0.25">
      <c r="A223" t="str">
        <f t="shared" si="7"/>
        <v/>
      </c>
      <c r="B223" t="str">
        <f t="shared" ca="1" si="6"/>
        <v/>
      </c>
      <c r="C223" s="1" t="str">
        <f ca="1">IFERROR($C$1-1+_xlfn.RANK.EQ(B223,$B$4:$B$72)+COUNTIF(B$4:$B223,B223)-1,"")</f>
        <v/>
      </c>
      <c r="D223" s="1" t="str">
        <f ca="1">IFERROR(VLOOKUP(C223,'About me'!A:B,2,0),"")</f>
        <v/>
      </c>
    </row>
    <row r="224" spans="1:4" x14ac:dyDescent="0.25">
      <c r="A224" t="str">
        <f t="shared" si="7"/>
        <v/>
      </c>
      <c r="B224" t="str">
        <f t="shared" ca="1" si="6"/>
        <v/>
      </c>
      <c r="C224" s="1" t="str">
        <f ca="1">IFERROR($C$1-1+_xlfn.RANK.EQ(B224,$B$4:$B$72)+COUNTIF(B$4:$B224,B224)-1,"")</f>
        <v/>
      </c>
      <c r="D224" s="1" t="str">
        <f ca="1">IFERROR(VLOOKUP(C224,'About me'!A:B,2,0),"")</f>
        <v/>
      </c>
    </row>
    <row r="225" spans="1:4" x14ac:dyDescent="0.25">
      <c r="A225" t="str">
        <f t="shared" si="7"/>
        <v/>
      </c>
      <c r="B225" t="str">
        <f t="shared" ca="1" si="6"/>
        <v/>
      </c>
      <c r="C225" s="1" t="str">
        <f ca="1">IFERROR($C$1-1+_xlfn.RANK.EQ(B225,$B$4:$B$72)+COUNTIF(B$4:$B225,B225)-1,"")</f>
        <v/>
      </c>
      <c r="D225" s="1" t="str">
        <f ca="1">IFERROR(VLOOKUP(C225,'About me'!A:B,2,0),"")</f>
        <v/>
      </c>
    </row>
    <row r="226" spans="1:4" x14ac:dyDescent="0.25">
      <c r="A226" t="str">
        <f t="shared" si="7"/>
        <v/>
      </c>
      <c r="B226" t="str">
        <f t="shared" ca="1" si="6"/>
        <v/>
      </c>
      <c r="C226" s="1" t="str">
        <f ca="1">IFERROR($C$1-1+_xlfn.RANK.EQ(B226,$B$4:$B$72)+COUNTIF(B$4:$B226,B226)-1,"")</f>
        <v/>
      </c>
      <c r="D226" s="1" t="str">
        <f ca="1">IFERROR(VLOOKUP(C226,'About me'!A:B,2,0),"")</f>
        <v/>
      </c>
    </row>
    <row r="227" spans="1:4" x14ac:dyDescent="0.25">
      <c r="A227" t="str">
        <f t="shared" si="7"/>
        <v/>
      </c>
      <c r="B227" t="str">
        <f t="shared" ca="1" si="6"/>
        <v/>
      </c>
      <c r="C227" s="1" t="str">
        <f ca="1">IFERROR($C$1-1+_xlfn.RANK.EQ(B227,$B$4:$B$72)+COUNTIF(B$4:$B227,B227)-1,"")</f>
        <v/>
      </c>
      <c r="D227" s="1" t="str">
        <f ca="1">IFERROR(VLOOKUP(C227,'About me'!A:B,2,0),"")</f>
        <v/>
      </c>
    </row>
    <row r="228" spans="1:4" x14ac:dyDescent="0.25">
      <c r="A228" t="str">
        <f t="shared" si="7"/>
        <v/>
      </c>
      <c r="B228" t="str">
        <f t="shared" ca="1" si="6"/>
        <v/>
      </c>
      <c r="C228" s="1" t="str">
        <f ca="1">IFERROR($C$1-1+_xlfn.RANK.EQ(B228,$B$4:$B$72)+COUNTIF(B$4:$B228,B228)-1,"")</f>
        <v/>
      </c>
      <c r="D228" s="1" t="str">
        <f ca="1">IFERROR(VLOOKUP(C228,'About me'!A:B,2,0),"")</f>
        <v/>
      </c>
    </row>
    <row r="229" spans="1:4" x14ac:dyDescent="0.25">
      <c r="A229" t="str">
        <f t="shared" si="7"/>
        <v/>
      </c>
      <c r="B229" t="str">
        <f t="shared" ca="1" si="6"/>
        <v/>
      </c>
      <c r="C229" s="1" t="str">
        <f ca="1">IFERROR($C$1-1+_xlfn.RANK.EQ(B229,$B$4:$B$72)+COUNTIF(B$4:$B229,B229)-1,"")</f>
        <v/>
      </c>
      <c r="D229" s="1" t="str">
        <f ca="1">IFERROR(VLOOKUP(C229,'About me'!A:B,2,0),"")</f>
        <v/>
      </c>
    </row>
    <row r="230" spans="1:4" x14ac:dyDescent="0.25">
      <c r="A230" t="str">
        <f t="shared" si="7"/>
        <v/>
      </c>
      <c r="B230" t="str">
        <f t="shared" ca="1" si="6"/>
        <v/>
      </c>
      <c r="C230" s="1" t="str">
        <f ca="1">IFERROR($C$1-1+_xlfn.RANK.EQ(B230,$B$4:$B$72)+COUNTIF(B$4:$B230,B230)-1,"")</f>
        <v/>
      </c>
      <c r="D230" s="1" t="str">
        <f ca="1">IFERROR(VLOOKUP(C230,'About me'!A:B,2,0),"")</f>
        <v/>
      </c>
    </row>
    <row r="231" spans="1:4" x14ac:dyDescent="0.25">
      <c r="A231" t="str">
        <f t="shared" si="7"/>
        <v/>
      </c>
      <c r="B231" t="str">
        <f t="shared" ca="1" si="6"/>
        <v/>
      </c>
      <c r="C231" s="1" t="str">
        <f ca="1">IFERROR($C$1-1+_xlfn.RANK.EQ(B231,$B$4:$B$72)+COUNTIF(B$4:$B231,B231)-1,"")</f>
        <v/>
      </c>
      <c r="D231" s="1" t="str">
        <f ca="1">IFERROR(VLOOKUP(C231,'About me'!A:B,2,0),"")</f>
        <v/>
      </c>
    </row>
    <row r="232" spans="1:4" x14ac:dyDescent="0.25">
      <c r="A232" t="str">
        <f t="shared" si="7"/>
        <v/>
      </c>
      <c r="B232" t="str">
        <f t="shared" ca="1" si="6"/>
        <v/>
      </c>
      <c r="C232" s="1" t="str">
        <f ca="1">IFERROR($C$1-1+_xlfn.RANK.EQ(B232,$B$4:$B$72)+COUNTIF(B$4:$B232,B232)-1,"")</f>
        <v/>
      </c>
      <c r="D232" s="1" t="str">
        <f ca="1">IFERROR(VLOOKUP(C232,'About me'!A:B,2,0),"")</f>
        <v/>
      </c>
    </row>
    <row r="233" spans="1:4" x14ac:dyDescent="0.25">
      <c r="A233" t="str">
        <f t="shared" si="7"/>
        <v/>
      </c>
      <c r="B233" t="str">
        <f t="shared" ca="1" si="6"/>
        <v/>
      </c>
      <c r="C233" s="1" t="str">
        <f ca="1">IFERROR($C$1-1+_xlfn.RANK.EQ(B233,$B$4:$B$72)+COUNTIF(B$4:$B233,B233)-1,"")</f>
        <v/>
      </c>
      <c r="D233" s="1" t="str">
        <f ca="1">IFERROR(VLOOKUP(C233,'About me'!A:B,2,0),"")</f>
        <v/>
      </c>
    </row>
    <row r="234" spans="1:4" x14ac:dyDescent="0.25">
      <c r="A234" t="str">
        <f t="shared" si="7"/>
        <v/>
      </c>
      <c r="B234" t="str">
        <f t="shared" ca="1" si="6"/>
        <v/>
      </c>
      <c r="C234" s="1" t="str">
        <f ca="1">IFERROR($C$1-1+_xlfn.RANK.EQ(B234,$B$4:$B$72)+COUNTIF(B$4:$B234,B234)-1,"")</f>
        <v/>
      </c>
      <c r="D234" s="1" t="str">
        <f ca="1">IFERROR(VLOOKUP(C234,'About me'!A:B,2,0),"")</f>
        <v/>
      </c>
    </row>
    <row r="235" spans="1:4" x14ac:dyDescent="0.25">
      <c r="A235" t="str">
        <f t="shared" si="7"/>
        <v/>
      </c>
      <c r="B235" t="str">
        <f t="shared" ca="1" si="6"/>
        <v/>
      </c>
      <c r="C235" s="1" t="str">
        <f ca="1">IFERROR($C$1-1+_xlfn.RANK.EQ(B235,$B$4:$B$72)+COUNTIF(B$4:$B235,B235)-1,"")</f>
        <v/>
      </c>
      <c r="D235" s="1" t="str">
        <f ca="1">IFERROR(VLOOKUP(C235,'About me'!A:B,2,0),"")</f>
        <v/>
      </c>
    </row>
    <row r="236" spans="1:4" x14ac:dyDescent="0.25">
      <c r="A236" t="str">
        <f t="shared" si="7"/>
        <v/>
      </c>
      <c r="B236" t="str">
        <f t="shared" ca="1" si="6"/>
        <v/>
      </c>
      <c r="C236" s="1" t="str">
        <f ca="1">IFERROR($C$1-1+_xlfn.RANK.EQ(B236,$B$4:$B$72)+COUNTIF(B$4:$B236,B236)-1,"")</f>
        <v/>
      </c>
      <c r="D236" s="1" t="str">
        <f ca="1">IFERROR(VLOOKUP(C236,'About me'!A:B,2,0),"")</f>
        <v/>
      </c>
    </row>
    <row r="237" spans="1:4" x14ac:dyDescent="0.25">
      <c r="A237" t="str">
        <f t="shared" si="7"/>
        <v/>
      </c>
      <c r="B237" t="str">
        <f t="shared" ca="1" si="6"/>
        <v/>
      </c>
      <c r="C237" s="1" t="str">
        <f ca="1">IFERROR($C$1-1+_xlfn.RANK.EQ(B237,$B$4:$B$72)+COUNTIF(B$4:$B237,B237)-1,"")</f>
        <v/>
      </c>
      <c r="D237" s="1" t="str">
        <f ca="1">IFERROR(VLOOKUP(C237,'About me'!A:B,2,0),"")</f>
        <v/>
      </c>
    </row>
    <row r="238" spans="1:4" x14ac:dyDescent="0.25">
      <c r="A238" t="str">
        <f t="shared" si="7"/>
        <v/>
      </c>
      <c r="B238" t="str">
        <f t="shared" ca="1" si="6"/>
        <v/>
      </c>
      <c r="C238" s="1" t="str">
        <f ca="1">IFERROR($C$1-1+_xlfn.RANK.EQ(B238,$B$4:$B$72)+COUNTIF(B$4:$B238,B238)-1,"")</f>
        <v/>
      </c>
      <c r="D238" s="1" t="str">
        <f ca="1">IFERROR(VLOOKUP(C238,'About me'!A:B,2,0),"")</f>
        <v/>
      </c>
    </row>
    <row r="239" spans="1:4" x14ac:dyDescent="0.25">
      <c r="A239" t="str">
        <f t="shared" si="7"/>
        <v/>
      </c>
      <c r="B239" t="str">
        <f t="shared" ca="1" si="6"/>
        <v/>
      </c>
      <c r="C239" s="1" t="str">
        <f ca="1">IFERROR($C$1-1+_xlfn.RANK.EQ(B239,$B$4:$B$72)+COUNTIF(B$4:$B239,B239)-1,"")</f>
        <v/>
      </c>
      <c r="D239" s="1" t="str">
        <f ca="1">IFERROR(VLOOKUP(C239,'About me'!A:B,2,0),"")</f>
        <v/>
      </c>
    </row>
    <row r="240" spans="1:4" x14ac:dyDescent="0.25">
      <c r="A240" t="str">
        <f t="shared" si="7"/>
        <v/>
      </c>
      <c r="B240" t="str">
        <f t="shared" ca="1" si="6"/>
        <v/>
      </c>
      <c r="C240" s="1" t="str">
        <f ca="1">IFERROR($C$1-1+_xlfn.RANK.EQ(B240,$B$4:$B$72)+COUNTIF(B$4:$B240,B240)-1,"")</f>
        <v/>
      </c>
      <c r="D240" s="1" t="str">
        <f ca="1">IFERROR(VLOOKUP(C240,'About me'!A:B,2,0),"")</f>
        <v/>
      </c>
    </row>
    <row r="241" spans="1:4" x14ac:dyDescent="0.25">
      <c r="A241" t="str">
        <f t="shared" si="7"/>
        <v/>
      </c>
      <c r="B241" t="str">
        <f t="shared" ca="1" si="6"/>
        <v/>
      </c>
      <c r="C241" s="1" t="str">
        <f ca="1">IFERROR($C$1-1+_xlfn.RANK.EQ(B241,$B$4:$B$72)+COUNTIF(B$4:$B241,B241)-1,"")</f>
        <v/>
      </c>
      <c r="D241" s="1" t="str">
        <f ca="1">IFERROR(VLOOKUP(C241,'About me'!A:B,2,0),"")</f>
        <v/>
      </c>
    </row>
    <row r="242" spans="1:4" x14ac:dyDescent="0.25">
      <c r="A242" t="str">
        <f t="shared" si="7"/>
        <v/>
      </c>
      <c r="B242" t="str">
        <f t="shared" ca="1" si="6"/>
        <v/>
      </c>
      <c r="C242" s="1" t="str">
        <f ca="1">IFERROR($C$1-1+_xlfn.RANK.EQ(B242,$B$4:$B$72)+COUNTIF(B$4:$B242,B242)-1,"")</f>
        <v/>
      </c>
      <c r="D242" s="1" t="str">
        <f ca="1">IFERROR(VLOOKUP(C242,'About me'!A:B,2,0),"")</f>
        <v/>
      </c>
    </row>
    <row r="243" spans="1:4" x14ac:dyDescent="0.25">
      <c r="A243" t="str">
        <f t="shared" si="7"/>
        <v/>
      </c>
      <c r="B243" t="str">
        <f t="shared" ca="1" si="6"/>
        <v/>
      </c>
      <c r="C243" s="1" t="str">
        <f ca="1">IFERROR($C$1-1+_xlfn.RANK.EQ(B243,$B$4:$B$72)+COUNTIF(B$4:$B243,B243)-1,"")</f>
        <v/>
      </c>
      <c r="D243" s="1" t="str">
        <f ca="1">IFERROR(VLOOKUP(C243,'About me'!A:B,2,0),"")</f>
        <v/>
      </c>
    </row>
    <row r="244" spans="1:4" x14ac:dyDescent="0.25">
      <c r="A244" t="str">
        <f t="shared" si="7"/>
        <v/>
      </c>
      <c r="B244" t="str">
        <f t="shared" ca="1" si="6"/>
        <v/>
      </c>
      <c r="C244" s="1" t="str">
        <f ca="1">IFERROR($C$1-1+_xlfn.RANK.EQ(B244,$B$4:$B$72)+COUNTIF(B$4:$B244,B244)-1,"")</f>
        <v/>
      </c>
      <c r="D244" s="1" t="str">
        <f ca="1">IFERROR(VLOOKUP(C244,'About me'!A:B,2,0),"")</f>
        <v/>
      </c>
    </row>
    <row r="245" spans="1:4" x14ac:dyDescent="0.25">
      <c r="A245" t="str">
        <f t="shared" si="7"/>
        <v/>
      </c>
      <c r="B245" t="str">
        <f t="shared" ca="1" si="6"/>
        <v/>
      </c>
      <c r="C245" s="1" t="str">
        <f ca="1">IFERROR($C$1-1+_xlfn.RANK.EQ(B245,$B$4:$B$72)+COUNTIF(B$4:$B245,B245)-1,"")</f>
        <v/>
      </c>
      <c r="D245" s="1" t="str">
        <f ca="1">IFERROR(VLOOKUP(C245,'About me'!A:B,2,0),"")</f>
        <v/>
      </c>
    </row>
    <row r="246" spans="1:4" x14ac:dyDescent="0.25">
      <c r="A246" t="str">
        <f t="shared" si="7"/>
        <v/>
      </c>
      <c r="B246" t="str">
        <f t="shared" ca="1" si="6"/>
        <v/>
      </c>
      <c r="C246" s="1" t="str">
        <f ca="1">IFERROR($C$1-1+_xlfn.RANK.EQ(B246,$B$4:$B$72)+COUNTIF(B$4:$B246,B246)-1,"")</f>
        <v/>
      </c>
      <c r="D246" s="1" t="str">
        <f ca="1">IFERROR(VLOOKUP(C246,'About me'!A:B,2,0),"")</f>
        <v/>
      </c>
    </row>
    <row r="247" spans="1:4" x14ac:dyDescent="0.25">
      <c r="A247" t="str">
        <f t="shared" si="7"/>
        <v/>
      </c>
      <c r="B247" t="str">
        <f t="shared" ca="1" si="6"/>
        <v/>
      </c>
      <c r="C247" s="1" t="str">
        <f ca="1">IFERROR($C$1-1+_xlfn.RANK.EQ(B247,$B$4:$B$72)+COUNTIF(B$4:$B247,B247)-1,"")</f>
        <v/>
      </c>
      <c r="D247" s="1" t="str">
        <f ca="1">IFERROR(VLOOKUP(C247,'About me'!A:B,2,0),"")</f>
        <v/>
      </c>
    </row>
    <row r="248" spans="1:4" x14ac:dyDescent="0.25">
      <c r="A248" t="str">
        <f t="shared" si="7"/>
        <v/>
      </c>
      <c r="B248" t="str">
        <f t="shared" ca="1" si="6"/>
        <v/>
      </c>
      <c r="C248" s="1" t="str">
        <f ca="1">IFERROR($C$1-1+_xlfn.RANK.EQ(B248,$B$4:$B$72)+COUNTIF(B$4:$B248,B248)-1,"")</f>
        <v/>
      </c>
      <c r="D248" s="1" t="str">
        <f ca="1">IFERROR(VLOOKUP(C248,'About me'!A:B,2,0),"")</f>
        <v/>
      </c>
    </row>
    <row r="249" spans="1:4" x14ac:dyDescent="0.25">
      <c r="A249" t="str">
        <f t="shared" si="7"/>
        <v/>
      </c>
      <c r="B249" t="str">
        <f t="shared" ca="1" si="6"/>
        <v/>
      </c>
      <c r="C249" s="1" t="str">
        <f ca="1">IFERROR($C$1-1+_xlfn.RANK.EQ(B249,$B$4:$B$72)+COUNTIF(B$4:$B249,B249)-1,"")</f>
        <v/>
      </c>
      <c r="D249" s="1" t="str">
        <f ca="1">IFERROR(VLOOKUP(C249,'About me'!A:B,2,0),"")</f>
        <v/>
      </c>
    </row>
    <row r="250" spans="1:4" x14ac:dyDescent="0.25">
      <c r="A250" t="str">
        <f t="shared" si="7"/>
        <v/>
      </c>
      <c r="B250" t="str">
        <f t="shared" ca="1" si="6"/>
        <v/>
      </c>
      <c r="C250" s="1" t="str">
        <f ca="1">IFERROR($C$1-1+_xlfn.RANK.EQ(B250,$B$4:$B$72)+COUNTIF(B$4:$B250,B250)-1,"")</f>
        <v/>
      </c>
      <c r="D250" s="1" t="str">
        <f ca="1">IFERROR(VLOOKUP(C250,'About me'!A:B,2,0),"")</f>
        <v/>
      </c>
    </row>
    <row r="251" spans="1:4" x14ac:dyDescent="0.25">
      <c r="A251" t="str">
        <f t="shared" si="7"/>
        <v/>
      </c>
      <c r="B251" t="str">
        <f t="shared" ca="1" si="6"/>
        <v/>
      </c>
      <c r="C251" s="1" t="str">
        <f ca="1">IFERROR($C$1-1+_xlfn.RANK.EQ(B251,$B$4:$B$72)+COUNTIF(B$4:$B251,B251)-1,"")</f>
        <v/>
      </c>
      <c r="D251" s="1" t="str">
        <f ca="1">IFERROR(VLOOKUP(C251,'About me'!A:B,2,0),"")</f>
        <v/>
      </c>
    </row>
    <row r="252" spans="1:4" x14ac:dyDescent="0.25">
      <c r="A252" t="str">
        <f t="shared" si="7"/>
        <v/>
      </c>
      <c r="B252" t="str">
        <f t="shared" ca="1" si="6"/>
        <v/>
      </c>
      <c r="C252" s="1" t="str">
        <f ca="1">IFERROR($C$1-1+_xlfn.RANK.EQ(B252,$B$4:$B$72)+COUNTIF(B$4:$B252,B252)-1,"")</f>
        <v/>
      </c>
      <c r="D252" s="1" t="str">
        <f ca="1">IFERROR(VLOOKUP(C252,'About me'!A:B,2,0),"")</f>
        <v/>
      </c>
    </row>
    <row r="253" spans="1:4" x14ac:dyDescent="0.25">
      <c r="A253" t="str">
        <f t="shared" si="7"/>
        <v/>
      </c>
      <c r="B253" t="str">
        <f t="shared" ca="1" si="6"/>
        <v/>
      </c>
      <c r="C253" s="1" t="str">
        <f ca="1">IFERROR($C$1-1+_xlfn.RANK.EQ(B253,$B$4:$B$72)+COUNTIF(B$4:$B253,B253)-1,"")</f>
        <v/>
      </c>
      <c r="D253" s="1" t="str">
        <f ca="1">IFERROR(VLOOKUP(C253,'About me'!A:B,2,0),"")</f>
        <v/>
      </c>
    </row>
    <row r="254" spans="1:4" x14ac:dyDescent="0.25">
      <c r="A254" t="str">
        <f t="shared" si="7"/>
        <v/>
      </c>
      <c r="B254" t="str">
        <f t="shared" ca="1" si="6"/>
        <v/>
      </c>
      <c r="C254" s="1" t="str">
        <f ca="1">IFERROR($C$1-1+_xlfn.RANK.EQ(B254,$B$4:$B$72)+COUNTIF(B$4:$B254,B254)-1,"")</f>
        <v/>
      </c>
      <c r="D254" s="1" t="str">
        <f ca="1">IFERROR(VLOOKUP(C254,'About me'!A:B,2,0),"")</f>
        <v/>
      </c>
    </row>
    <row r="255" spans="1:4" x14ac:dyDescent="0.25">
      <c r="A255" t="str">
        <f t="shared" si="7"/>
        <v/>
      </c>
      <c r="B255" t="str">
        <f t="shared" ca="1" si="6"/>
        <v/>
      </c>
      <c r="C255" s="1" t="str">
        <f ca="1">IFERROR($C$1-1+_xlfn.RANK.EQ(B255,$B$4:$B$72)+COUNTIF(B$4:$B255,B255)-1,"")</f>
        <v/>
      </c>
      <c r="D255" s="1" t="str">
        <f ca="1">IFERROR(VLOOKUP(C255,'About me'!A:B,2,0),"")</f>
        <v/>
      </c>
    </row>
    <row r="256" spans="1:4" x14ac:dyDescent="0.25">
      <c r="A256" t="str">
        <f t="shared" si="7"/>
        <v/>
      </c>
      <c r="B256" t="str">
        <f t="shared" ca="1" si="6"/>
        <v/>
      </c>
      <c r="C256" s="1" t="str">
        <f ca="1">IFERROR($C$1-1+_xlfn.RANK.EQ(B256,$B$4:$B$72)+COUNTIF(B$4:$B256,B256)-1,"")</f>
        <v/>
      </c>
      <c r="D256" s="1" t="str">
        <f ca="1">IFERROR(VLOOKUP(C256,'About me'!A:B,2,0),"")</f>
        <v/>
      </c>
    </row>
    <row r="257" spans="1:4" x14ac:dyDescent="0.25">
      <c r="A257" t="str">
        <f t="shared" si="7"/>
        <v/>
      </c>
      <c r="B257" t="str">
        <f t="shared" ca="1" si="6"/>
        <v/>
      </c>
      <c r="C257" s="1" t="str">
        <f ca="1">IFERROR($C$1-1+_xlfn.RANK.EQ(B257,$B$4:$B$72)+COUNTIF(B$4:$B257,B257)-1,"")</f>
        <v/>
      </c>
      <c r="D257" s="1" t="str">
        <f ca="1">IFERROR(VLOOKUP(C257,'About me'!A:B,2,0),"")</f>
        <v/>
      </c>
    </row>
    <row r="258" spans="1:4" x14ac:dyDescent="0.25">
      <c r="A258" t="str">
        <f t="shared" si="7"/>
        <v/>
      </c>
      <c r="B258" t="str">
        <f t="shared" ca="1" si="6"/>
        <v/>
      </c>
      <c r="C258" s="1" t="str">
        <f ca="1">IFERROR($C$1-1+_xlfn.RANK.EQ(B258,$B$4:$B$72)+COUNTIF(B$4:$B258,B258)-1,"")</f>
        <v/>
      </c>
      <c r="D258" s="1" t="str">
        <f ca="1">IFERROR(VLOOKUP(C258,'About me'!A:B,2,0),"")</f>
        <v/>
      </c>
    </row>
    <row r="259" spans="1:4" x14ac:dyDescent="0.25">
      <c r="A259" t="str">
        <f t="shared" si="7"/>
        <v/>
      </c>
      <c r="B259" t="str">
        <f t="shared" ca="1" si="6"/>
        <v/>
      </c>
      <c r="C259" s="1" t="str">
        <f ca="1">IFERROR($C$1-1+_xlfn.RANK.EQ(B259,$B$4:$B$72)+COUNTIF(B$4:$B259,B259)-1,"")</f>
        <v/>
      </c>
      <c r="D259" s="1" t="str">
        <f ca="1">IFERROR(VLOOKUP(C259,'About me'!A:B,2,0),"")</f>
        <v/>
      </c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C260" s="1" t="str">
        <f ca="1">IFERROR($C$1-1+_xlfn.RANK.EQ(B260,$B$4:$B$72)+COUNTIF(B$4:$B260,B260)-1,"")</f>
        <v/>
      </c>
      <c r="D260" s="1" t="str">
        <f ca="1">IFERROR(VLOOKUP(C260,'About me'!A:B,2,0),"")</f>
        <v/>
      </c>
    </row>
    <row r="261" spans="1:4" x14ac:dyDescent="0.25">
      <c r="A261" t="str">
        <f t="shared" si="7"/>
        <v/>
      </c>
      <c r="B261" t="str">
        <f t="shared" ca="1" si="8"/>
        <v/>
      </c>
      <c r="C261" s="1" t="str">
        <f ca="1">IFERROR($C$1-1+_xlfn.RANK.EQ(B261,$B$4:$B$72)+COUNTIF(B$4:$B261,B261)-1,"")</f>
        <v/>
      </c>
      <c r="D261" s="1" t="str">
        <f ca="1">IFERROR(VLOOKUP(C261,'About me'!A:B,2,0),"")</f>
        <v/>
      </c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C262" s="1" t="str">
        <f ca="1">IFERROR($C$1-1+_xlfn.RANK.EQ(B262,$B$4:$B$72)+COUNTIF(B$4:$B262,B262)-1,"")</f>
        <v/>
      </c>
      <c r="D262" s="1" t="str">
        <f ca="1">IFERROR(VLOOKUP(C262,'About me'!A:B,2,0),"")</f>
        <v/>
      </c>
    </row>
    <row r="263" spans="1:4" x14ac:dyDescent="0.25">
      <c r="A263" t="str">
        <f t="shared" si="9"/>
        <v/>
      </c>
      <c r="B263" t="str">
        <f t="shared" ca="1" si="8"/>
        <v/>
      </c>
      <c r="C263" s="1" t="str">
        <f ca="1">IFERROR($C$1-1+_xlfn.RANK.EQ(B263,$B$4:$B$72)+COUNTIF(B$4:$B263,B263)-1,"")</f>
        <v/>
      </c>
      <c r="D263" s="1" t="str">
        <f ca="1">IFERROR(VLOOKUP(C263,'About me'!A:B,2,0),"")</f>
        <v/>
      </c>
    </row>
    <row r="264" spans="1:4" x14ac:dyDescent="0.25">
      <c r="A264" t="str">
        <f t="shared" si="9"/>
        <v/>
      </c>
      <c r="B264" t="str">
        <f t="shared" ca="1" si="8"/>
        <v/>
      </c>
      <c r="C264" s="1" t="str">
        <f ca="1">IFERROR($C$1-1+_xlfn.RANK.EQ(B264,$B$4:$B$72)+COUNTIF(B$4:$B264,B264)-1,"")</f>
        <v/>
      </c>
      <c r="D264" s="1" t="str">
        <f ca="1">IFERROR(VLOOKUP(C264,'About me'!A:B,2,0),"")</f>
        <v/>
      </c>
    </row>
    <row r="265" spans="1:4" x14ac:dyDescent="0.25">
      <c r="A265" t="str">
        <f t="shared" si="9"/>
        <v/>
      </c>
      <c r="B265" t="str">
        <f t="shared" ca="1" si="8"/>
        <v/>
      </c>
      <c r="C265" s="1" t="str">
        <f ca="1">IFERROR($C$1-1+_xlfn.RANK.EQ(B265,$B$4:$B$72)+COUNTIF(B$4:$B265,B265)-1,"")</f>
        <v/>
      </c>
      <c r="D265" s="1" t="str">
        <f ca="1">IFERROR(VLOOKUP(C265,'About me'!A:B,2,0),"")</f>
        <v/>
      </c>
    </row>
    <row r="266" spans="1:4" x14ac:dyDescent="0.25">
      <c r="A266" t="str">
        <f t="shared" si="9"/>
        <v/>
      </c>
      <c r="B266" t="str">
        <f t="shared" ca="1" si="8"/>
        <v/>
      </c>
      <c r="C266" s="1" t="str">
        <f ca="1">IFERROR($C$1-1+_xlfn.RANK.EQ(B266,$B$4:$B$72)+COUNTIF(B$4:$B266,B266)-1,"")</f>
        <v/>
      </c>
      <c r="D266" s="1" t="str">
        <f ca="1">IFERROR(VLOOKUP(C266,'About me'!A:B,2,0),"")</f>
        <v/>
      </c>
    </row>
    <row r="267" spans="1:4" x14ac:dyDescent="0.25">
      <c r="A267" t="str">
        <f t="shared" si="9"/>
        <v/>
      </c>
      <c r="B267" t="str">
        <f t="shared" ca="1" si="8"/>
        <v/>
      </c>
      <c r="C267" s="1" t="str">
        <f ca="1">IFERROR($C$1-1+_xlfn.RANK.EQ(B267,$B$4:$B$72)+COUNTIF(B$4:$B267,B267)-1,"")</f>
        <v/>
      </c>
      <c r="D267" s="1" t="str">
        <f ca="1">IFERROR(VLOOKUP(C267,'About me'!A:B,2,0),"")</f>
        <v/>
      </c>
    </row>
    <row r="268" spans="1:4" x14ac:dyDescent="0.25">
      <c r="A268" t="str">
        <f t="shared" si="9"/>
        <v/>
      </c>
      <c r="B268" t="str">
        <f t="shared" ca="1" si="8"/>
        <v/>
      </c>
      <c r="C268" s="1" t="str">
        <f ca="1">IFERROR($C$1-1+_xlfn.RANK.EQ(B268,$B$4:$B$72)+COUNTIF(B$4:$B268,B268)-1,"")</f>
        <v/>
      </c>
      <c r="D268" s="1" t="str">
        <f ca="1">IFERROR(VLOOKUP(C268,'About me'!A:B,2,0),"")</f>
        <v/>
      </c>
    </row>
    <row r="269" spans="1:4" x14ac:dyDescent="0.25">
      <c r="A269" t="str">
        <f t="shared" si="9"/>
        <v/>
      </c>
      <c r="B269" t="str">
        <f t="shared" ca="1" si="8"/>
        <v/>
      </c>
      <c r="C269" s="1" t="str">
        <f ca="1">IFERROR($C$1-1+_xlfn.RANK.EQ(B269,$B$4:$B$72)+COUNTIF(B$4:$B269,B269)-1,"")</f>
        <v/>
      </c>
      <c r="D269" s="1" t="str">
        <f ca="1">IFERROR(VLOOKUP(C269,'About me'!A:B,2,0),"")</f>
        <v/>
      </c>
    </row>
    <row r="270" spans="1:4" x14ac:dyDescent="0.25">
      <c r="A270" t="str">
        <f t="shared" si="9"/>
        <v/>
      </c>
      <c r="B270" t="str">
        <f t="shared" ca="1" si="8"/>
        <v/>
      </c>
      <c r="C270" s="1" t="str">
        <f ca="1">IFERROR($C$1-1+_xlfn.RANK.EQ(B270,$B$4:$B$72)+COUNTIF(B$4:$B270,B270)-1,"")</f>
        <v/>
      </c>
      <c r="D270" s="1" t="str">
        <f ca="1">IFERROR(VLOOKUP(C270,'About me'!A:B,2,0),"")</f>
        <v/>
      </c>
    </row>
    <row r="271" spans="1:4" x14ac:dyDescent="0.25">
      <c r="A271" t="str">
        <f t="shared" si="9"/>
        <v/>
      </c>
      <c r="B271" t="str">
        <f t="shared" ca="1" si="8"/>
        <v/>
      </c>
      <c r="C271" s="1" t="str">
        <f ca="1">IFERROR($C$1-1+_xlfn.RANK.EQ(B271,$B$4:$B$72)+COUNTIF(B$4:$B271,B271)-1,"")</f>
        <v/>
      </c>
      <c r="D271" s="1" t="str">
        <f ca="1">IFERROR(VLOOKUP(C271,'About me'!A:B,2,0),"")</f>
        <v/>
      </c>
    </row>
    <row r="272" spans="1:4" x14ac:dyDescent="0.25">
      <c r="A272" t="str">
        <f t="shared" si="9"/>
        <v/>
      </c>
      <c r="B272" t="str">
        <f t="shared" ca="1" si="8"/>
        <v/>
      </c>
      <c r="C272" s="1" t="str">
        <f ca="1">IFERROR($C$1-1+_xlfn.RANK.EQ(B272,$B$4:$B$72)+COUNTIF(B$4:$B272,B272)-1,"")</f>
        <v/>
      </c>
      <c r="D272" s="1" t="str">
        <f ca="1">IFERROR(VLOOKUP(C272,'About me'!A:B,2,0),"")</f>
        <v/>
      </c>
    </row>
    <row r="273" spans="1:4" x14ac:dyDescent="0.25">
      <c r="A273" t="str">
        <f t="shared" si="9"/>
        <v/>
      </c>
      <c r="B273" t="str">
        <f t="shared" ca="1" si="8"/>
        <v/>
      </c>
      <c r="C273" s="1" t="str">
        <f ca="1">IFERROR($C$1-1+_xlfn.RANK.EQ(B273,$B$4:$B$72)+COUNTIF(B$4:$B273,B273)-1,"")</f>
        <v/>
      </c>
      <c r="D273" s="1" t="str">
        <f ca="1">IFERROR(VLOOKUP(C273,'About me'!A:B,2,0),"")</f>
        <v/>
      </c>
    </row>
    <row r="274" spans="1:4" x14ac:dyDescent="0.25">
      <c r="A274" t="str">
        <f t="shared" si="9"/>
        <v/>
      </c>
      <c r="B274" t="str">
        <f t="shared" ca="1" si="8"/>
        <v/>
      </c>
      <c r="C274" s="1" t="str">
        <f ca="1">IFERROR($C$1-1+_xlfn.RANK.EQ(B274,$B$4:$B$72)+COUNTIF(B$4:$B274,B274)-1,"")</f>
        <v/>
      </c>
      <c r="D274" s="1" t="str">
        <f ca="1">IFERROR(VLOOKUP(C274,'About me'!A:B,2,0),"")</f>
        <v/>
      </c>
    </row>
    <row r="275" spans="1:4" x14ac:dyDescent="0.25">
      <c r="A275" t="str">
        <f t="shared" si="9"/>
        <v/>
      </c>
      <c r="B275" t="str">
        <f t="shared" ca="1" si="8"/>
        <v/>
      </c>
      <c r="C275" s="1" t="str">
        <f ca="1">IFERROR($C$1-1+_xlfn.RANK.EQ(B275,$B$4:$B$72)+COUNTIF(B$4:$B275,B275)-1,"")</f>
        <v/>
      </c>
      <c r="D275" s="1" t="str">
        <f ca="1">IFERROR(VLOOKUP(C275,'About me'!A:B,2,0),"")</f>
        <v/>
      </c>
    </row>
    <row r="276" spans="1:4" x14ac:dyDescent="0.25">
      <c r="A276" t="str">
        <f t="shared" si="9"/>
        <v/>
      </c>
      <c r="B276" t="str">
        <f t="shared" ca="1" si="8"/>
        <v/>
      </c>
      <c r="C276" s="1" t="str">
        <f ca="1">IFERROR($C$1-1+_xlfn.RANK.EQ(B276,$B$4:$B$72)+COUNTIF(B$4:$B276,B276)-1,"")</f>
        <v/>
      </c>
      <c r="D276" s="1" t="str">
        <f ca="1">IFERROR(VLOOKUP(C276,'About me'!A:B,2,0),"")</f>
        <v/>
      </c>
    </row>
    <row r="277" spans="1:4" x14ac:dyDescent="0.25">
      <c r="A277" t="str">
        <f t="shared" si="9"/>
        <v/>
      </c>
      <c r="B277" t="str">
        <f t="shared" ca="1" si="8"/>
        <v/>
      </c>
      <c r="C277" s="1" t="str">
        <f ca="1">IFERROR($C$1-1+_xlfn.RANK.EQ(B277,$B$4:$B$72)+COUNTIF(B$4:$B277,B277)-1,"")</f>
        <v/>
      </c>
      <c r="D277" s="1" t="str">
        <f ca="1">IFERROR(VLOOKUP(C277,'About me'!A:B,2,0),"")</f>
        <v/>
      </c>
    </row>
    <row r="278" spans="1:4" x14ac:dyDescent="0.25">
      <c r="A278" t="str">
        <f t="shared" si="9"/>
        <v/>
      </c>
      <c r="B278" t="str">
        <f t="shared" ca="1" si="8"/>
        <v/>
      </c>
      <c r="C278" s="1" t="str">
        <f ca="1">IFERROR($C$1-1+_xlfn.RANK.EQ(B278,$B$4:$B$72)+COUNTIF(B$4:$B278,B278)-1,"")</f>
        <v/>
      </c>
      <c r="D278" s="1" t="str">
        <f ca="1">IFERROR(VLOOKUP(C278,'About me'!A:B,2,0),"")</f>
        <v/>
      </c>
    </row>
    <row r="279" spans="1:4" x14ac:dyDescent="0.25">
      <c r="A279" t="str">
        <f t="shared" si="9"/>
        <v/>
      </c>
      <c r="B279" t="str">
        <f t="shared" ca="1" si="8"/>
        <v/>
      </c>
      <c r="C279" s="1" t="str">
        <f ca="1">IFERROR($C$1-1+_xlfn.RANK.EQ(B279,$B$4:$B$72)+COUNTIF(B$4:$B279,B279)-1,"")</f>
        <v/>
      </c>
      <c r="D279" s="1" t="str">
        <f ca="1">IFERROR(VLOOKUP(C279,'About me'!A:B,2,0),"")</f>
        <v/>
      </c>
    </row>
    <row r="280" spans="1:4" x14ac:dyDescent="0.25">
      <c r="A280" t="str">
        <f t="shared" si="9"/>
        <v/>
      </c>
      <c r="B280" t="str">
        <f t="shared" ca="1" si="8"/>
        <v/>
      </c>
      <c r="C280" s="1" t="str">
        <f ca="1">IFERROR($C$1-1+_xlfn.RANK.EQ(B280,$B$4:$B$72)+COUNTIF(B$4:$B280,B280)-1,"")</f>
        <v/>
      </c>
      <c r="D280" s="1" t="str">
        <f ca="1">IFERROR(VLOOKUP(C280,'About me'!A:B,2,0),"")</f>
        <v/>
      </c>
    </row>
    <row r="281" spans="1:4" x14ac:dyDescent="0.25">
      <c r="A281" t="str">
        <f t="shared" si="9"/>
        <v/>
      </c>
      <c r="B281" t="str">
        <f t="shared" ca="1" si="8"/>
        <v/>
      </c>
      <c r="C281" s="1" t="str">
        <f ca="1">IFERROR($C$1-1+_xlfn.RANK.EQ(B281,$B$4:$B$72)+COUNTIF(B$4:$B281,B281)-1,"")</f>
        <v/>
      </c>
      <c r="D281" s="1" t="str">
        <f ca="1">IFERROR(VLOOKUP(C281,'About me'!A:B,2,0),"")</f>
        <v/>
      </c>
    </row>
    <row r="282" spans="1:4" x14ac:dyDescent="0.25">
      <c r="A282" t="str">
        <f t="shared" si="9"/>
        <v/>
      </c>
      <c r="B282" t="str">
        <f t="shared" ca="1" si="8"/>
        <v/>
      </c>
      <c r="C282" s="1" t="str">
        <f ca="1">IFERROR($C$1-1+_xlfn.RANK.EQ(B282,$B$4:$B$72)+COUNTIF(B$4:$B282,B282)-1,"")</f>
        <v/>
      </c>
      <c r="D282" s="1" t="str">
        <f ca="1">IFERROR(VLOOKUP(C282,'About me'!A:B,2,0),"")</f>
        <v/>
      </c>
    </row>
    <row r="283" spans="1:4" x14ac:dyDescent="0.25">
      <c r="A283" t="str">
        <f t="shared" si="9"/>
        <v/>
      </c>
      <c r="B283" t="str">
        <f t="shared" ca="1" si="8"/>
        <v/>
      </c>
      <c r="C283" s="1" t="str">
        <f ca="1">IFERROR($C$1-1+_xlfn.RANK.EQ(B283,$B$4:$B$72)+COUNTIF(B$4:$B283,B283)-1,"")</f>
        <v/>
      </c>
      <c r="D283" s="1" t="str">
        <f ca="1">IFERROR(VLOOKUP(C283,'About me'!A:B,2,0),"")</f>
        <v/>
      </c>
    </row>
    <row r="284" spans="1:4" x14ac:dyDescent="0.25">
      <c r="A284" t="str">
        <f t="shared" si="9"/>
        <v/>
      </c>
      <c r="B284" t="str">
        <f t="shared" ca="1" si="8"/>
        <v/>
      </c>
      <c r="C284" s="1" t="str">
        <f ca="1">IFERROR($C$1-1+_xlfn.RANK.EQ(B284,$B$4:$B$72)+COUNTIF(B$4:$B284,B284)-1,"")</f>
        <v/>
      </c>
      <c r="D284" s="1" t="str">
        <f ca="1">IFERROR(VLOOKUP(C284,'About me'!A:B,2,0),"")</f>
        <v/>
      </c>
    </row>
    <row r="285" spans="1:4" x14ac:dyDescent="0.25">
      <c r="A285" t="str">
        <f t="shared" si="9"/>
        <v/>
      </c>
      <c r="B285" t="str">
        <f t="shared" ca="1" si="8"/>
        <v/>
      </c>
      <c r="C285" s="1" t="str">
        <f ca="1">IFERROR($C$1-1+_xlfn.RANK.EQ(B285,$B$4:$B$72)+COUNTIF(B$4:$B285,B285)-1,"")</f>
        <v/>
      </c>
      <c r="D285" s="1" t="str">
        <f ca="1">IFERROR(VLOOKUP(C285,'About me'!A:B,2,0),"")</f>
        <v/>
      </c>
    </row>
    <row r="286" spans="1:4" x14ac:dyDescent="0.25">
      <c r="A286" t="str">
        <f t="shared" si="9"/>
        <v/>
      </c>
      <c r="B286" t="str">
        <f t="shared" ca="1" si="8"/>
        <v/>
      </c>
      <c r="C286" s="1" t="str">
        <f ca="1">IFERROR($C$1-1+_xlfn.RANK.EQ(B286,$B$4:$B$72)+COUNTIF(B$4:$B286,B286)-1,"")</f>
        <v/>
      </c>
      <c r="D286" s="1" t="str">
        <f ca="1">IFERROR(VLOOKUP(C286,'About me'!A:B,2,0),"")</f>
        <v/>
      </c>
    </row>
    <row r="287" spans="1:4" x14ac:dyDescent="0.25">
      <c r="A287" t="str">
        <f t="shared" si="9"/>
        <v/>
      </c>
      <c r="B287" t="str">
        <f t="shared" ca="1" si="8"/>
        <v/>
      </c>
      <c r="C287" s="1" t="str">
        <f ca="1">IFERROR($C$1-1+_xlfn.RANK.EQ(B287,$B$4:$B$72)+COUNTIF(B$4:$B287,B287)-1,"")</f>
        <v/>
      </c>
      <c r="D287" s="1" t="str">
        <f ca="1">IFERROR(VLOOKUP(C287,'About me'!A:B,2,0),"")</f>
        <v/>
      </c>
    </row>
    <row r="288" spans="1:4" x14ac:dyDescent="0.25">
      <c r="A288" t="str">
        <f t="shared" si="9"/>
        <v/>
      </c>
      <c r="B288" t="str">
        <f t="shared" ca="1" si="8"/>
        <v/>
      </c>
      <c r="C288" s="1" t="str">
        <f ca="1">IFERROR($C$1-1+_xlfn.RANK.EQ(B288,$B$4:$B$72)+COUNTIF(B$4:$B288,B288)-1,"")</f>
        <v/>
      </c>
      <c r="D288" s="1" t="str">
        <f ca="1">IFERROR(VLOOKUP(C288,'About me'!A:B,2,0),"")</f>
        <v/>
      </c>
    </row>
    <row r="289" spans="1:4" x14ac:dyDescent="0.25">
      <c r="A289" t="str">
        <f t="shared" si="9"/>
        <v/>
      </c>
      <c r="B289" t="str">
        <f t="shared" ca="1" si="8"/>
        <v/>
      </c>
      <c r="C289" s="1" t="str">
        <f ca="1">IFERROR($C$1-1+_xlfn.RANK.EQ(B289,$B$4:$B$72)+COUNTIF(B$4:$B289,B289)-1,"")</f>
        <v/>
      </c>
      <c r="D289" s="1" t="str">
        <f ca="1">IFERROR(VLOOKUP(C289,'About me'!A:B,2,0),"")</f>
        <v/>
      </c>
    </row>
    <row r="290" spans="1:4" x14ac:dyDescent="0.25">
      <c r="A290" t="str">
        <f t="shared" si="9"/>
        <v/>
      </c>
      <c r="B290" t="str">
        <f t="shared" ca="1" si="8"/>
        <v/>
      </c>
      <c r="C290" s="1" t="str">
        <f ca="1">IFERROR($C$1-1+_xlfn.RANK.EQ(B290,$B$4:$B$72)+COUNTIF(B$4:$B290,B290)-1,"")</f>
        <v/>
      </c>
      <c r="D290" s="1" t="str">
        <f ca="1">IFERROR(VLOOKUP(C290,'About me'!A:B,2,0),"")</f>
        <v/>
      </c>
    </row>
    <row r="291" spans="1:4" x14ac:dyDescent="0.25">
      <c r="A291" t="str">
        <f t="shared" si="9"/>
        <v/>
      </c>
      <c r="B291" t="str">
        <f t="shared" ca="1" si="8"/>
        <v/>
      </c>
      <c r="C291" s="1" t="str">
        <f ca="1">IFERROR($C$1-1+_xlfn.RANK.EQ(B291,$B$4:$B$72)+COUNTIF(B$4:$B291,B291)-1,"")</f>
        <v/>
      </c>
      <c r="D291" s="1" t="str">
        <f ca="1">IFERROR(VLOOKUP(C291,'About me'!A:B,2,0),"")</f>
        <v/>
      </c>
    </row>
    <row r="292" spans="1:4" x14ac:dyDescent="0.25">
      <c r="A292" t="str">
        <f t="shared" si="9"/>
        <v/>
      </c>
      <c r="B292" t="str">
        <f t="shared" ca="1" si="8"/>
        <v/>
      </c>
      <c r="C292" s="1" t="str">
        <f ca="1">IFERROR($C$1-1+_xlfn.RANK.EQ(B292,$B$4:$B$72)+COUNTIF(B$4:$B292,B292)-1,"")</f>
        <v/>
      </c>
      <c r="D292" s="1" t="str">
        <f ca="1">IFERROR(VLOOKUP(C292,'About me'!A:B,2,0),"")</f>
        <v/>
      </c>
    </row>
    <row r="293" spans="1:4" x14ac:dyDescent="0.25">
      <c r="A293" t="str">
        <f t="shared" si="9"/>
        <v/>
      </c>
      <c r="B293" t="str">
        <f t="shared" ca="1" si="8"/>
        <v/>
      </c>
      <c r="C293" s="1" t="str">
        <f ca="1">IFERROR($C$1-1+_xlfn.RANK.EQ(B293,$B$4:$B$72)+COUNTIF(B$4:$B293,B293)-1,"")</f>
        <v/>
      </c>
      <c r="D293" s="1" t="str">
        <f ca="1">IFERROR(VLOOKUP(C293,'About me'!A:B,2,0),"")</f>
        <v/>
      </c>
    </row>
    <row r="294" spans="1:4" x14ac:dyDescent="0.25">
      <c r="A294" t="str">
        <f t="shared" si="9"/>
        <v/>
      </c>
      <c r="B294" t="str">
        <f t="shared" ca="1" si="8"/>
        <v/>
      </c>
      <c r="C294" s="1" t="str">
        <f ca="1">IFERROR($C$1-1+_xlfn.RANK.EQ(B294,$B$4:$B$72)+COUNTIF(B$4:$B294,B294)-1,"")</f>
        <v/>
      </c>
      <c r="D294" s="1" t="str">
        <f ca="1">IFERROR(VLOOKUP(C294,'About me'!A:B,2,0),"")</f>
        <v/>
      </c>
    </row>
    <row r="295" spans="1:4" x14ac:dyDescent="0.25">
      <c r="A295" t="str">
        <f t="shared" si="9"/>
        <v/>
      </c>
      <c r="B295" t="str">
        <f t="shared" ca="1" si="8"/>
        <v/>
      </c>
      <c r="C295" s="1" t="str">
        <f ca="1">IFERROR($C$1-1+_xlfn.RANK.EQ(B295,$B$4:$B$72)+COUNTIF(B$4:$B295,B295)-1,"")</f>
        <v/>
      </c>
      <c r="D295" s="1" t="str">
        <f ca="1">IFERROR(VLOOKUP(C295,'About me'!A:B,2,0),"")</f>
        <v/>
      </c>
    </row>
    <row r="296" spans="1:4" x14ac:dyDescent="0.25">
      <c r="C296" s="1" t="str">
        <f ca="1">IFERROR($C$1-1+_xlfn.RANK.EQ(B296,$B$4:$B$72)+COUNTIF(B$4:$B296,B296)-1,"")</f>
        <v/>
      </c>
    </row>
    <row r="297" spans="1:4" x14ac:dyDescent="0.25">
      <c r="C297" s="1" t="str">
        <f ca="1">IFERROR($C$1-1+_xlfn.RANK.EQ(B297,$B$4:$B$72)+COUNTIF(B$4:$B297,B297)-1,"")</f>
        <v/>
      </c>
    </row>
    <row r="298" spans="1:4" x14ac:dyDescent="0.25">
      <c r="C298" s="1" t="str">
        <f ca="1">IFERROR($C$1-1+_xlfn.RANK.EQ(B298,$B$4:$B$72)+COUNTIF(B$4:$B298,B298)-1,"")</f>
        <v/>
      </c>
    </row>
    <row r="299" spans="1:4" x14ac:dyDescent="0.25">
      <c r="C299" s="1" t="str">
        <f ca="1">IFERROR($C$1-1+_xlfn.RANK.EQ(B299,$B$4:$B$72)+COUNTIF(B$4:$B299,B299)-1,"")</f>
        <v/>
      </c>
    </row>
    <row r="300" spans="1:4" x14ac:dyDescent="0.25">
      <c r="C300" s="1" t="str">
        <f ca="1">IFERROR($C$1-1+_xlfn.RANK.EQ(B300,$B$4:$B$72)+COUNTIF(B$4:$B300,B300)-1,"")</f>
        <v/>
      </c>
    </row>
    <row r="301" spans="1:4" x14ac:dyDescent="0.25">
      <c r="C301" s="1" t="str">
        <f ca="1">IFERROR($C$1-1+_xlfn.RANK.EQ(B301,$B$4:$B$72)+COUNTIF(B$4:$B301,B301)-1,"")</f>
        <v/>
      </c>
    </row>
    <row r="302" spans="1:4" x14ac:dyDescent="0.25">
      <c r="C302" s="1" t="str">
        <f ca="1">IFERROR($C$1-1+_xlfn.RANK.EQ(B302,$B$4:$B$72)+COUNTIF(B$4:$B302,B302)-1,"")</f>
        <v/>
      </c>
    </row>
    <row r="303" spans="1:4" x14ac:dyDescent="0.25">
      <c r="C303" s="1" t="str">
        <f ca="1">IFERROR($C$1-1+_xlfn.RANK.EQ(B303,$B$4:$B$72)+COUNTIF(B$4:$B303,B303)-1,"")</f>
        <v/>
      </c>
    </row>
    <row r="304" spans="1:4" x14ac:dyDescent="0.25">
      <c r="C304" s="1" t="str">
        <f ca="1">IFERROR($C$1-1+_xlfn.RANK.EQ(B304,$B$4:$B$72)+COUNTIF(B$4:$B304,B304)-1,"")</f>
        <v/>
      </c>
    </row>
    <row r="305" spans="3:3" x14ac:dyDescent="0.25">
      <c r="C305" s="1" t="str">
        <f ca="1">IFERROR($C$1-1+_xlfn.RANK.EQ(B305,$B$4:$B$72)+COUNTIF(B$4:$B305,B305)-1,"")</f>
        <v/>
      </c>
    </row>
    <row r="306" spans="3:3" x14ac:dyDescent="0.25">
      <c r="C306" s="1" t="str">
        <f ca="1">IFERROR($C$1-1+_xlfn.RANK.EQ(B306,$B$4:$B$72)+COUNTIF(B$4:$B306,B306)-1,"")</f>
        <v/>
      </c>
    </row>
    <row r="307" spans="3:3" x14ac:dyDescent="0.25">
      <c r="C307" s="1" t="str">
        <f ca="1">IFERROR($C$1-1+_xlfn.RANK.EQ(B307,$B$4:$B$72)+COUNTIF(B$4:$B307,B307)-1,"")</f>
        <v/>
      </c>
    </row>
    <row r="308" spans="3:3" x14ac:dyDescent="0.25">
      <c r="C308" s="1" t="str">
        <f ca="1">IFERROR($C$1-1+_xlfn.RANK.EQ(B308,$B$4:$B$72)+COUNTIF(B$4:$B308,B308)-1,"")</f>
        <v/>
      </c>
    </row>
    <row r="309" spans="3:3" x14ac:dyDescent="0.25">
      <c r="C309" s="1" t="str">
        <f ca="1">IFERROR($C$1-1+_xlfn.RANK.EQ(B309,$B$4:$B$72)+COUNTIF(B$4:$B309,B309)-1,"")</f>
        <v/>
      </c>
    </row>
    <row r="310" spans="3:3" x14ac:dyDescent="0.25">
      <c r="C310" s="1" t="str">
        <f ca="1">IFERROR($C$1-1+_xlfn.RANK.EQ(B310,$B$4:$B$72)+COUNTIF(B$4:$B310,B310)-1,"")</f>
        <v/>
      </c>
    </row>
    <row r="311" spans="3:3" x14ac:dyDescent="0.25">
      <c r="C311" s="1" t="str">
        <f ca="1">IFERROR($C$1-1+_xlfn.RANK.EQ(B311,$B$4:$B$72)+COUNTIF(B$4:$B311,B311)-1,"")</f>
        <v/>
      </c>
    </row>
    <row r="312" spans="3:3" x14ac:dyDescent="0.25">
      <c r="C312" s="1" t="str">
        <f ca="1">IFERROR($C$1-1+_xlfn.RANK.EQ(B312,$B$4:$B$72)+COUNTIF(B$4:$B312,B312)-1,"")</f>
        <v/>
      </c>
    </row>
    <row r="313" spans="3:3" x14ac:dyDescent="0.25">
      <c r="C313" s="1" t="str">
        <f ca="1">IFERROR($C$1-1+_xlfn.RANK.EQ(B313,$B$4:$B$72)+COUNTIF(B$4:$B313,B313)-1,"")</f>
        <v/>
      </c>
    </row>
    <row r="314" spans="3:3" x14ac:dyDescent="0.25">
      <c r="C314" s="1" t="str">
        <f ca="1">IFERROR($C$1-1+_xlfn.RANK.EQ(B314,$B$4:$B$72)+COUNTIF(B$4:$B314,B314)-1,"")</f>
        <v/>
      </c>
    </row>
    <row r="315" spans="3:3" x14ac:dyDescent="0.25">
      <c r="C315" s="1" t="str">
        <f ca="1">IFERROR($C$1-1+_xlfn.RANK.EQ(B315,$B$4:$B$72)+COUNTIF(B$4:$B315,B315)-1,"")</f>
        <v/>
      </c>
    </row>
    <row r="316" spans="3:3" x14ac:dyDescent="0.25">
      <c r="C316" s="1" t="str">
        <f ca="1">IFERROR($C$1-1+_xlfn.RANK.EQ(B316,$B$4:$B$72)+COUNTIF(B$4:$B316,B316)-1,"")</f>
        <v/>
      </c>
    </row>
    <row r="317" spans="3:3" x14ac:dyDescent="0.25">
      <c r="C317" s="1" t="str">
        <f ca="1">IFERROR($C$1-1+_xlfn.RANK.EQ(B317,$B$4:$B$72)+COUNTIF(B$4:$B317,B317)-1,"")</f>
        <v/>
      </c>
    </row>
    <row r="318" spans="3:3" x14ac:dyDescent="0.25">
      <c r="C318" s="1" t="str">
        <f ca="1">IFERROR($C$1-1+_xlfn.RANK.EQ(B318,$B$4:$B$72)+COUNTIF(B$4:$B318,B318)-1,"")</f>
        <v/>
      </c>
    </row>
    <row r="319" spans="3:3" x14ac:dyDescent="0.25">
      <c r="C319" s="1" t="str">
        <f ca="1">IFERROR($C$1-1+_xlfn.RANK.EQ(B319,$B$4:$B$72)+COUNTIF(B$4:$B319,B319)-1,"")</f>
        <v/>
      </c>
    </row>
    <row r="320" spans="3:3" x14ac:dyDescent="0.25">
      <c r="C320" s="1" t="str">
        <f ca="1">IFERROR($C$1-1+_xlfn.RANK.EQ(B320,$B$4:$B$72)+COUNTIF(B$4:$B320,B320)-1,"")</f>
        <v/>
      </c>
    </row>
    <row r="321" spans="3:3" x14ac:dyDescent="0.25">
      <c r="C321" s="1" t="str">
        <f ca="1">IFERROR($C$1-1+_xlfn.RANK.EQ(B321,$B$4:$B$72)+COUNTIF(B$4:$B321,B321)-1,"")</f>
        <v/>
      </c>
    </row>
    <row r="322" spans="3:3" x14ac:dyDescent="0.25">
      <c r="C322" s="1" t="str">
        <f ca="1">IFERROR($C$1-1+_xlfn.RANK.EQ(B322,$B$4:$B$72)+COUNTIF(B$4:$B322,B322)-1,"")</f>
        <v/>
      </c>
    </row>
    <row r="323" spans="3:3" x14ac:dyDescent="0.25">
      <c r="C323" s="1" t="str">
        <f ca="1">IFERROR($C$1-1+_xlfn.RANK.EQ(B323,$B$4:$B$72)+COUNTIF(B$4:$B323,B323)-1,"")</f>
        <v/>
      </c>
    </row>
    <row r="324" spans="3:3" x14ac:dyDescent="0.25">
      <c r="C324" s="1" t="str">
        <f ca="1">IFERROR($C$1-1+_xlfn.RANK.EQ(B324,$B$4:$B$72)+COUNTIF(B$4:$B324,B324)-1,"")</f>
        <v/>
      </c>
    </row>
    <row r="325" spans="3:3" x14ac:dyDescent="0.25">
      <c r="C325" s="1" t="str">
        <f ca="1">IFERROR($C$1-1+_xlfn.RANK.EQ(B325,$B$4:$B$72)+COUNTIF(B$4:$B325,B325)-1,"")</f>
        <v/>
      </c>
    </row>
    <row r="326" spans="3:3" x14ac:dyDescent="0.25">
      <c r="C326" s="1" t="str">
        <f ca="1">IFERROR($C$1-1+_xlfn.RANK.EQ(B326,$B$4:$B$72)+COUNTIF(B$4:$B326,B326)-1,"")</f>
        <v/>
      </c>
    </row>
    <row r="327" spans="3:3" x14ac:dyDescent="0.25">
      <c r="C327" s="1" t="str">
        <f ca="1">IFERROR($C$1-1+_xlfn.RANK.EQ(B327,$B$4:$B$72)+COUNTIF(B$4:$B327,B327)-1,"")</f>
        <v/>
      </c>
    </row>
    <row r="328" spans="3:3" x14ac:dyDescent="0.25">
      <c r="C328" s="1" t="str">
        <f ca="1">IFERROR($C$1-1+_xlfn.RANK.EQ(B328,$B$4:$B$72)+COUNTIF(B$4:$B328,B328)-1,"")</f>
        <v/>
      </c>
    </row>
    <row r="329" spans="3:3" x14ac:dyDescent="0.25">
      <c r="C329" s="1" t="str">
        <f ca="1">IFERROR($C$1-1+_xlfn.RANK.EQ(B329,$B$4:$B$72)+COUNTIF(B$4:$B329,B329)-1,"")</f>
        <v/>
      </c>
    </row>
    <row r="330" spans="3:3" x14ac:dyDescent="0.25">
      <c r="C330" s="1" t="str">
        <f ca="1">IFERROR($C$1-1+_xlfn.RANK.EQ(B330,$B$4:$B$72)+COUNTIF(B$4:$B330,B330)-1,"")</f>
        <v/>
      </c>
    </row>
    <row r="331" spans="3:3" x14ac:dyDescent="0.25">
      <c r="C331" s="1" t="str">
        <f ca="1">IFERROR($C$1-1+_xlfn.RANK.EQ(B331,$B$4:$B$72)+COUNTIF(B$4:$B331,B331)-1,"")</f>
        <v/>
      </c>
    </row>
    <row r="332" spans="3:3" x14ac:dyDescent="0.25">
      <c r="C332" s="1" t="str">
        <f ca="1">IFERROR($C$1-1+_xlfn.RANK.EQ(B332,$B$4:$B$72)+COUNTIF(B$4:$B332,B332)-1,"")</f>
        <v/>
      </c>
    </row>
    <row r="333" spans="3:3" x14ac:dyDescent="0.25">
      <c r="C333" s="1" t="str">
        <f ca="1">IFERROR($C$1-1+_xlfn.RANK.EQ(B333,$B$4:$B$72)+COUNTIF(B$4:$B333,B333)-1,"")</f>
        <v/>
      </c>
    </row>
    <row r="334" spans="3:3" x14ac:dyDescent="0.25">
      <c r="C334" s="1" t="str">
        <f ca="1">IFERROR($C$1-1+_xlfn.RANK.EQ(B334,$B$4:$B$72)+COUNTIF(B$4:$B334,B334)-1,"")</f>
        <v/>
      </c>
    </row>
    <row r="335" spans="3:3" x14ac:dyDescent="0.25">
      <c r="C335" s="1" t="str">
        <f ca="1">IFERROR($C$1-1+_xlfn.RANK.EQ(B335,$B$4:$B$72)+COUNTIF(B$4:$B335,B335)-1,"")</f>
        <v/>
      </c>
    </row>
    <row r="336" spans="3:3" x14ac:dyDescent="0.25">
      <c r="C336" s="1" t="str">
        <f ca="1">IFERROR($C$1-1+_xlfn.RANK.EQ(B336,$B$4:$B$72)+COUNTIF(B$4:$B336,B336)-1,"")</f>
        <v/>
      </c>
    </row>
    <row r="337" spans="3:3" x14ac:dyDescent="0.25">
      <c r="C337" s="1" t="str">
        <f ca="1">IFERROR($C$1-1+_xlfn.RANK.EQ(B337,$B$4:$B$72)+COUNTIF(B$4:$B337,B337)-1,"")</f>
        <v/>
      </c>
    </row>
    <row r="338" spans="3:3" x14ac:dyDescent="0.25">
      <c r="C338" s="1" t="str">
        <f ca="1">IFERROR($C$1-1+_xlfn.RANK.EQ(B338,$B$4:$B$72)+COUNTIF(B$4:$B338,B338)-1,"")</f>
        <v/>
      </c>
    </row>
    <row r="339" spans="3:3" x14ac:dyDescent="0.25">
      <c r="C339" s="1" t="str">
        <f ca="1">IFERROR($C$1-1+_xlfn.RANK.EQ(B339,$B$4:$B$72)+COUNTIF(B$4:$B339,B339)-1,"")</f>
        <v/>
      </c>
    </row>
    <row r="340" spans="3:3" x14ac:dyDescent="0.25">
      <c r="C340" s="1" t="str">
        <f ca="1">IFERROR($C$1-1+_xlfn.RANK.EQ(B340,$B$4:$B$72)+COUNTIF(B$4:$B340,B340)-1,"")</f>
        <v/>
      </c>
    </row>
    <row r="341" spans="3:3" x14ac:dyDescent="0.25">
      <c r="C341" s="1" t="str">
        <f ca="1">IFERROR($C$1-1+_xlfn.RANK.EQ(B341,$B$4:$B$72)+COUNTIF(B$4:$B341,B341)-1,"")</f>
        <v/>
      </c>
    </row>
    <row r="342" spans="3:3" x14ac:dyDescent="0.25">
      <c r="C342" s="1" t="str">
        <f ca="1">IFERROR($C$1-1+_xlfn.RANK.EQ(B342,$B$4:$B$72)+COUNTIF(B$4:$B342,B342)-1,"")</f>
        <v/>
      </c>
    </row>
    <row r="343" spans="3:3" x14ac:dyDescent="0.25">
      <c r="C343" s="1" t="str">
        <f ca="1">IFERROR($C$1-1+_xlfn.RANK.EQ(B343,$B$4:$B$72)+COUNTIF(B$4:$B343,B343)-1,"")</f>
        <v/>
      </c>
    </row>
    <row r="344" spans="3:3" x14ac:dyDescent="0.25">
      <c r="C344" s="1" t="str">
        <f ca="1">IFERROR($C$1-1+_xlfn.RANK.EQ(B344,$B$4:$B$72)+COUNTIF(B$4:$B344,B344)-1,"")</f>
        <v/>
      </c>
    </row>
    <row r="345" spans="3:3" x14ac:dyDescent="0.25">
      <c r="C345" s="1" t="str">
        <f ca="1">IFERROR($C$1-1+_xlfn.RANK.EQ(B345,$B$4:$B$72)+COUNTIF(B$4:$B345,B345)-1,"")</f>
        <v/>
      </c>
    </row>
    <row r="346" spans="3:3" x14ac:dyDescent="0.25">
      <c r="C346" s="1" t="str">
        <f ca="1">IFERROR($C$1-1+_xlfn.RANK.EQ(B346,$B$4:$B$72)+COUNTIF(B$4:$B346,B346)-1,"")</f>
        <v/>
      </c>
    </row>
    <row r="347" spans="3:3" x14ac:dyDescent="0.25">
      <c r="C347" s="1" t="str">
        <f ca="1">IFERROR($C$1-1+_xlfn.RANK.EQ(B347,$B$4:$B$72)+COUNTIF(B$4:$B347,B347)-1,"")</f>
        <v/>
      </c>
    </row>
    <row r="348" spans="3:3" x14ac:dyDescent="0.25">
      <c r="C348" s="1" t="str">
        <f ca="1">IFERROR($C$1-1+_xlfn.RANK.EQ(B348,$B$4:$B$72)+COUNTIF(B$4:$B348,B348)-1,"")</f>
        <v/>
      </c>
    </row>
    <row r="349" spans="3:3" x14ac:dyDescent="0.25">
      <c r="C349" s="1" t="str">
        <f ca="1">IFERROR($C$1-1+_xlfn.RANK.EQ(B349,$B$4:$B$72)+COUNTIF(B$4:$B349,B349)-1,"")</f>
        <v/>
      </c>
    </row>
    <row r="350" spans="3:3" x14ac:dyDescent="0.25">
      <c r="C350" s="1" t="str">
        <f ca="1">IFERROR($C$1-1+_xlfn.RANK.EQ(B350,$B$4:$B$72)+COUNTIF(B$4:$B350,B350)-1,"")</f>
        <v/>
      </c>
    </row>
    <row r="351" spans="3:3" x14ac:dyDescent="0.25">
      <c r="C351" s="1" t="str">
        <f ca="1">IFERROR($C$1-1+_xlfn.RANK.EQ(B351,$B$4:$B$72)+COUNTIF(B$4:$B351,B351)-1,"")</f>
        <v/>
      </c>
    </row>
    <row r="352" spans="3:3" x14ac:dyDescent="0.25">
      <c r="C352" s="1" t="str">
        <f ca="1">IFERROR($C$1-1+_xlfn.RANK.EQ(B352,$B$4:$B$72)+COUNTIF(B$4:$B352,B352)-1,"")</f>
        <v/>
      </c>
    </row>
    <row r="353" spans="3:3" x14ac:dyDescent="0.25">
      <c r="C353" s="1" t="str">
        <f ca="1">IFERROR($C$1-1+_xlfn.RANK.EQ(B353,$B$4:$B$72)+COUNTIF(B$4:$B353,B353)-1,"")</f>
        <v/>
      </c>
    </row>
    <row r="354" spans="3:3" x14ac:dyDescent="0.25">
      <c r="C354" s="1" t="str">
        <f ca="1">IFERROR($C$1-1+_xlfn.RANK.EQ(B354,$B$4:$B$72)+COUNTIF(B$4:$B354,B354)-1,"")</f>
        <v/>
      </c>
    </row>
    <row r="355" spans="3:3" x14ac:dyDescent="0.25">
      <c r="C355" s="1" t="str">
        <f ca="1">IFERROR($C$1-1+_xlfn.RANK.EQ(B355,$B$4:$B$72)+COUNTIF(B$4:$B355,B355)-1,"")</f>
        <v/>
      </c>
    </row>
    <row r="356" spans="3:3" x14ac:dyDescent="0.25">
      <c r="C356" s="1" t="str">
        <f ca="1">IFERROR($C$1-1+_xlfn.RANK.EQ(B356,$B$4:$B$72)+COUNTIF(B$4:$B356,B356)-1,"")</f>
        <v/>
      </c>
    </row>
    <row r="357" spans="3:3" x14ac:dyDescent="0.25">
      <c r="C357" s="1" t="str">
        <f ca="1">IFERROR($C$1-1+_xlfn.RANK.EQ(B357,$B$4:$B$72)+COUNTIF(B$4:$B357,B357)-1,"")</f>
        <v/>
      </c>
    </row>
    <row r="358" spans="3:3" x14ac:dyDescent="0.25">
      <c r="C358" s="1" t="str">
        <f ca="1">IFERROR($C$1-1+_xlfn.RANK.EQ(B358,$B$4:$B$72)+COUNTIF(B$4:$B358,B358)-1,"")</f>
        <v/>
      </c>
    </row>
    <row r="359" spans="3:3" x14ac:dyDescent="0.25">
      <c r="C359" s="1" t="str">
        <f ca="1">IFERROR($C$1-1+_xlfn.RANK.EQ(B359,$B$4:$B$72)+COUNTIF(B$4:$B359,B359)-1,"")</f>
        <v/>
      </c>
    </row>
    <row r="360" spans="3:3" x14ac:dyDescent="0.25">
      <c r="C360" s="1" t="str">
        <f ca="1">IFERROR($C$1-1+_xlfn.RANK.EQ(B360,$B$4:$B$72)+COUNTIF(B$4:$B360,B360)-1,"")</f>
        <v/>
      </c>
    </row>
    <row r="361" spans="3:3" x14ac:dyDescent="0.25">
      <c r="C361" s="1" t="str">
        <f ca="1">IFERROR($C$1-1+_xlfn.RANK.EQ(B361,$B$4:$B$72)+COUNTIF(B$4:$B361,B361)-1,"")</f>
        <v/>
      </c>
    </row>
    <row r="362" spans="3:3" x14ac:dyDescent="0.25">
      <c r="C362" s="1" t="str">
        <f ca="1">IFERROR($C$1-1+_xlfn.RANK.EQ(B362,$B$4:$B$72)+COUNTIF(B$4:$B362,B362)-1,"")</f>
        <v/>
      </c>
    </row>
    <row r="363" spans="3:3" x14ac:dyDescent="0.25">
      <c r="C363" s="1" t="str">
        <f ca="1">IFERROR($C$1-1+_xlfn.RANK.EQ(B363,$B$4:$B$72)+COUNTIF(B$4:$B363,B363)-1,"")</f>
        <v/>
      </c>
    </row>
    <row r="364" spans="3:3" x14ac:dyDescent="0.25">
      <c r="C364" s="1" t="str">
        <f ca="1">IFERROR($C$1-1+_xlfn.RANK.EQ(B364,$B$4:$B$72)+COUNTIF(B$4:$B364,B364)-1,"")</f>
        <v/>
      </c>
    </row>
    <row r="365" spans="3:3" x14ac:dyDescent="0.25">
      <c r="C365" s="1" t="str">
        <f ca="1">IFERROR($C$1-1+_xlfn.RANK.EQ(B365,$B$4:$B$72)+COUNTIF(B$4:$B365,B365)-1,"")</f>
        <v/>
      </c>
    </row>
    <row r="366" spans="3:3" x14ac:dyDescent="0.25">
      <c r="C366" s="1" t="str">
        <f ca="1">IFERROR($C$1-1+_xlfn.RANK.EQ(B366,$B$4:$B$72)+COUNTIF(B$4:$B366,B366)-1,"")</f>
        <v/>
      </c>
    </row>
    <row r="367" spans="3:3" x14ac:dyDescent="0.25">
      <c r="C367" s="1" t="str">
        <f ca="1">IFERROR($C$1-1+_xlfn.RANK.EQ(B367,$B$4:$B$72)+COUNTIF(B$4:$B367,B367)-1,"")</f>
        <v/>
      </c>
    </row>
    <row r="368" spans="3:3" x14ac:dyDescent="0.25">
      <c r="C368" s="1" t="str">
        <f ca="1">IFERROR($C$1-1+_xlfn.RANK.EQ(B368,$B$4:$B$72)+COUNTIF(B$4:$B368,B368)-1,"")</f>
        <v/>
      </c>
    </row>
    <row r="369" spans="3:3" x14ac:dyDescent="0.25">
      <c r="C369" s="1" t="str">
        <f ca="1">IFERROR($C$1-1+_xlfn.RANK.EQ(B369,$B$4:$B$72)+COUNTIF(B$4:$B369,B369)-1,"")</f>
        <v/>
      </c>
    </row>
    <row r="370" spans="3:3" x14ac:dyDescent="0.25">
      <c r="C370" s="1" t="str">
        <f ca="1">IFERROR($C$1-1+_xlfn.RANK.EQ(B370,$B$4:$B$72)+COUNTIF(B$4:$B370,B370)-1,"")</f>
        <v/>
      </c>
    </row>
    <row r="371" spans="3:3" x14ac:dyDescent="0.25">
      <c r="C371" s="1" t="str">
        <f ca="1">IFERROR($C$1-1+_xlfn.RANK.EQ(B371,$B$4:$B$72)+COUNTIF(B$4:$B371,B371)-1,"")</f>
        <v/>
      </c>
    </row>
    <row r="372" spans="3:3" x14ac:dyDescent="0.25">
      <c r="C372" s="1" t="str">
        <f ca="1">IFERROR($C$1-1+_xlfn.RANK.EQ(B372,$B$4:$B$72)+COUNTIF(B$4:$B372,B372)-1,"")</f>
        <v/>
      </c>
    </row>
    <row r="373" spans="3:3" x14ac:dyDescent="0.25">
      <c r="C373" s="1" t="str">
        <f ca="1">IFERROR($C$1-1+_xlfn.RANK.EQ(B373,$B$4:$B$72)+COUNTIF(B$4:$B373,B373)-1,"")</f>
        <v/>
      </c>
    </row>
    <row r="374" spans="3:3" x14ac:dyDescent="0.25">
      <c r="C374" s="1" t="str">
        <f ca="1">IFERROR($C$1-1+_xlfn.RANK.EQ(B374,$B$4:$B$72)+COUNTIF(B$4:$B374,B374)-1,"")</f>
        <v/>
      </c>
    </row>
    <row r="375" spans="3:3" x14ac:dyDescent="0.25">
      <c r="C375" s="1" t="str">
        <f ca="1">IFERROR($C$1-1+_xlfn.RANK.EQ(B375,$B$4:$B$72)+COUNTIF(B$4:$B375,B375)-1,"")</f>
        <v/>
      </c>
    </row>
    <row r="376" spans="3:3" x14ac:dyDescent="0.25">
      <c r="C376" s="1" t="str">
        <f ca="1">IFERROR($C$1-1+_xlfn.RANK.EQ(B376,$B$4:$B$72)+COUNTIF(B$4:$B376,B376)-1,"")</f>
        <v/>
      </c>
    </row>
    <row r="377" spans="3:3" x14ac:dyDescent="0.25">
      <c r="C377" s="1" t="str">
        <f ca="1">IFERROR($C$1-1+_xlfn.RANK.EQ(B377,$B$4:$B$72)+COUNTIF(B$4:$B377,B377)-1,"")</f>
        <v/>
      </c>
    </row>
    <row r="378" spans="3:3" x14ac:dyDescent="0.25">
      <c r="C378" s="1" t="str">
        <f ca="1">IFERROR($C$1-1+_xlfn.RANK.EQ(B378,$B$4:$B$72)+COUNTIF(B$4:$B378,B378)-1,"")</f>
        <v/>
      </c>
    </row>
    <row r="379" spans="3:3" x14ac:dyDescent="0.25">
      <c r="C379" s="1" t="str">
        <f ca="1">IFERROR($C$1-1+_xlfn.RANK.EQ(B379,$B$4:$B$72)+COUNTIF(B$4:$B379,B379)-1,"")</f>
        <v/>
      </c>
    </row>
    <row r="380" spans="3:3" x14ac:dyDescent="0.25">
      <c r="C380" s="1" t="str">
        <f ca="1">IFERROR($C$1-1+_xlfn.RANK.EQ(B380,$B$4:$B$72)+COUNTIF(B$4:$B380,B380)-1,"")</f>
        <v/>
      </c>
    </row>
    <row r="381" spans="3:3" x14ac:dyDescent="0.25">
      <c r="C381" s="1" t="str">
        <f ca="1">IFERROR($C$1-1+_xlfn.RANK.EQ(B381,$B$4:$B$72)+COUNTIF(B$4:$B381,B381)-1,"")</f>
        <v/>
      </c>
    </row>
    <row r="382" spans="3:3" x14ac:dyDescent="0.25">
      <c r="C382" s="1" t="str">
        <f ca="1">IFERROR($C$1-1+_xlfn.RANK.EQ(B382,$B$4:$B$72)+COUNTIF(B$4:$B382,B382)-1,"")</f>
        <v/>
      </c>
    </row>
    <row r="383" spans="3:3" x14ac:dyDescent="0.25">
      <c r="C383" s="1" t="str">
        <f ca="1">IFERROR($C$1-1+_xlfn.RANK.EQ(B383,$B$4:$B$72)+COUNTIF(B$4:$B383,B383)-1,"")</f>
        <v/>
      </c>
    </row>
    <row r="384" spans="3:3" x14ac:dyDescent="0.25">
      <c r="C384" s="1" t="str">
        <f ca="1">IFERROR($C$1-1+_xlfn.RANK.EQ(B384,$B$4:$B$72)+COUNTIF(B$4:$B384,B384)-1,"")</f>
        <v/>
      </c>
    </row>
    <row r="385" spans="3:3" x14ac:dyDescent="0.25">
      <c r="C385" s="1" t="str">
        <f ca="1">IFERROR($C$1-1+_xlfn.RANK.EQ(B385,$B$4:$B$72)+COUNTIF(B$4:$B385,B385)-1,"")</f>
        <v/>
      </c>
    </row>
    <row r="386" spans="3:3" x14ac:dyDescent="0.25">
      <c r="C386" s="1" t="str">
        <f ca="1">IFERROR($C$1-1+_xlfn.RANK.EQ(B386,$B$4:$B$72)+COUNTIF(B$4:$B386,B386)-1,"")</f>
        <v/>
      </c>
    </row>
    <row r="387" spans="3:3" x14ac:dyDescent="0.25">
      <c r="C387" s="1" t="str">
        <f ca="1">IFERROR($C$1-1+_xlfn.RANK.EQ(B387,$B$4:$B$72)+COUNTIF(B$4:$B387,B387)-1,"")</f>
        <v/>
      </c>
    </row>
    <row r="388" spans="3:3" x14ac:dyDescent="0.25">
      <c r="C388" s="1" t="str">
        <f ca="1">IFERROR($C$1-1+_xlfn.RANK.EQ(B388,$B$4:$B$72)+COUNTIF(B$4:$B388,B388)-1,"")</f>
        <v/>
      </c>
    </row>
    <row r="389" spans="3:3" x14ac:dyDescent="0.25">
      <c r="C389" s="1" t="str">
        <f ca="1">IFERROR($C$1-1+_xlfn.RANK.EQ(B389,$B$4:$B$72)+COUNTIF(B$4:$B389,B389)-1,"")</f>
        <v/>
      </c>
    </row>
    <row r="390" spans="3:3" x14ac:dyDescent="0.25">
      <c r="C390" s="1" t="str">
        <f ca="1">IFERROR($C$1-1+_xlfn.RANK.EQ(B390,$B$4:$B$72)+COUNTIF(B$4:$B390,B390)-1,"")</f>
        <v/>
      </c>
    </row>
    <row r="391" spans="3:3" x14ac:dyDescent="0.25">
      <c r="C391" s="1" t="str">
        <f ca="1">IFERROR($C$1-1+_xlfn.RANK.EQ(B391,$B$4:$B$72)+COUNTIF(B$4:$B391,B391)-1,"")</f>
        <v/>
      </c>
    </row>
    <row r="392" spans="3:3" x14ac:dyDescent="0.25">
      <c r="C392" s="1" t="str">
        <f ca="1">IFERROR($C$1-1+_xlfn.RANK.EQ(B392,$B$4:$B$72)+COUNTIF(B$4:$B392,B392)-1,"")</f>
        <v/>
      </c>
    </row>
    <row r="393" spans="3:3" x14ac:dyDescent="0.25">
      <c r="C393" s="1" t="str">
        <f ca="1">IFERROR($C$1-1+_xlfn.RANK.EQ(B393,$B$4:$B$72)+COUNTIF(B$4:$B393,B393)-1,"")</f>
        <v/>
      </c>
    </row>
    <row r="394" spans="3:3" x14ac:dyDescent="0.25">
      <c r="C394" s="1" t="str">
        <f ca="1">IFERROR($C$1-1+_xlfn.RANK.EQ(B394,$B$4:$B$72)+COUNTIF(B$4:$B394,B394)-1,"")</f>
        <v/>
      </c>
    </row>
    <row r="395" spans="3:3" x14ac:dyDescent="0.25">
      <c r="C395" s="1" t="str">
        <f ca="1">IFERROR($C$1-1+_xlfn.RANK.EQ(B395,$B$4:$B$72)+COUNTIF(B$4:$B395,B395)-1,"")</f>
        <v/>
      </c>
    </row>
    <row r="396" spans="3:3" x14ac:dyDescent="0.25">
      <c r="C396" s="1" t="str">
        <f ca="1">IFERROR($C$1-1+_xlfn.RANK.EQ(B396,$B$4:$B$72)+COUNTIF(B$4:$B396,B396)-1,"")</f>
        <v/>
      </c>
    </row>
    <row r="397" spans="3:3" x14ac:dyDescent="0.25">
      <c r="C397" s="1" t="str">
        <f ca="1">IFERROR($C$1-1+_xlfn.RANK.EQ(B397,$B$4:$B$72)+COUNTIF(B$4:$B397,B397)-1,"")</f>
        <v/>
      </c>
    </row>
    <row r="398" spans="3:3" x14ac:dyDescent="0.25">
      <c r="C398" s="1" t="str">
        <f ca="1">IFERROR($C$1-1+_xlfn.RANK.EQ(B398,$B$4:$B$72)+COUNTIF(B$4:$B398,B398)-1,"")</f>
        <v/>
      </c>
    </row>
    <row r="399" spans="3:3" x14ac:dyDescent="0.25">
      <c r="C399" s="1" t="str">
        <f ca="1">IFERROR($C$1-1+_xlfn.RANK.EQ(B399,$B$4:$B$72)+COUNTIF(B$4:$B399,B399)-1,"")</f>
        <v/>
      </c>
    </row>
    <row r="400" spans="3:3" x14ac:dyDescent="0.25">
      <c r="C400" s="1" t="str">
        <f ca="1">IFERROR($C$1-1+_xlfn.RANK.EQ(B400,$B$4:$B$72)+COUNTIF(B$4:$B400,B400)-1,"")</f>
        <v/>
      </c>
    </row>
    <row r="401" spans="3:3" x14ac:dyDescent="0.25">
      <c r="C401" s="1" t="str">
        <f ca="1">IFERROR($C$1-1+_xlfn.RANK.EQ(B401,$B$4:$B$72)+COUNTIF(B$4:$B401,B401)-1,"")</f>
        <v/>
      </c>
    </row>
    <row r="402" spans="3:3" x14ac:dyDescent="0.25">
      <c r="C402" s="1" t="str">
        <f ca="1">IFERROR($C$1-1+_xlfn.RANK.EQ(B402,$B$4:$B$72)+COUNTIF(B$4:$B402,B402)-1,"")</f>
        <v/>
      </c>
    </row>
    <row r="403" spans="3:3" x14ac:dyDescent="0.25">
      <c r="C403" s="1" t="str">
        <f ca="1">IFERROR($C$1-1+_xlfn.RANK.EQ(B403,$B$4:$B$72)+COUNTIF(B$4:$B403,B403)-1,"")</f>
        <v/>
      </c>
    </row>
    <row r="404" spans="3:3" x14ac:dyDescent="0.25">
      <c r="C404" s="1" t="str">
        <f ca="1">IFERROR($C$1-1+_xlfn.RANK.EQ(B404,$B$4:$B$72)+COUNTIF(B$4:$B404,B404)-1,"")</f>
        <v/>
      </c>
    </row>
    <row r="405" spans="3:3" x14ac:dyDescent="0.25">
      <c r="C405" s="1" t="str">
        <f ca="1">IFERROR($C$1-1+_xlfn.RANK.EQ(B405,$B$4:$B$72)+COUNTIF(B$4:$B405,B405)-1,"")</f>
        <v/>
      </c>
    </row>
    <row r="406" spans="3:3" x14ac:dyDescent="0.25">
      <c r="C406" s="1" t="str">
        <f ca="1">IFERROR($C$1-1+_xlfn.RANK.EQ(B406,$B$4:$B$72)+COUNTIF(B$4:$B406,B406)-1,"")</f>
        <v/>
      </c>
    </row>
    <row r="407" spans="3:3" x14ac:dyDescent="0.25">
      <c r="C407" s="1" t="str">
        <f ca="1">IFERROR($C$1-1+_xlfn.RANK.EQ(B407,$B$4:$B$72)+COUNTIF(B$4:$B407,B407)-1,"")</f>
        <v/>
      </c>
    </row>
    <row r="408" spans="3:3" x14ac:dyDescent="0.25">
      <c r="C408" s="1" t="str">
        <f ca="1">IFERROR($C$1-1+_xlfn.RANK.EQ(B408,$B$4:$B$72)+COUNTIF(B$4:$B408,B408)-1,"")</f>
        <v/>
      </c>
    </row>
    <row r="409" spans="3:3" x14ac:dyDescent="0.25">
      <c r="C409" s="1" t="str">
        <f ca="1">IFERROR($C$1-1+_xlfn.RANK.EQ(B409,$B$4:$B$72)+COUNTIF(B$4:$B409,B409)-1,"")</f>
        <v/>
      </c>
    </row>
    <row r="410" spans="3:3" x14ac:dyDescent="0.25">
      <c r="C410" s="1" t="str">
        <f ca="1">IFERROR($C$1-1+_xlfn.RANK.EQ(B410,$B$4:$B$72)+COUNTIF(B$4:$B410,B410)-1,"")</f>
        <v/>
      </c>
    </row>
    <row r="411" spans="3:3" x14ac:dyDescent="0.25">
      <c r="C411" s="1" t="str">
        <f ca="1">IFERROR($C$1-1+_xlfn.RANK.EQ(B411,$B$4:$B$72)+COUNTIF(B$4:$B411,B411)-1,"")</f>
        <v/>
      </c>
    </row>
    <row r="412" spans="3:3" x14ac:dyDescent="0.25">
      <c r="C412" s="1" t="str">
        <f ca="1">IFERROR($C$1-1+_xlfn.RANK.EQ(B412,$B$4:$B$72)+COUNTIF(B$4:$B412,B412)-1,"")</f>
        <v/>
      </c>
    </row>
    <row r="413" spans="3:3" x14ac:dyDescent="0.25">
      <c r="C413" s="1" t="str">
        <f ca="1">IFERROR($C$1-1+_xlfn.RANK.EQ(B413,$B$4:$B$72)+COUNTIF(B$4:$B413,B413)-1,"")</f>
        <v/>
      </c>
    </row>
    <row r="414" spans="3:3" x14ac:dyDescent="0.25">
      <c r="C414" s="1" t="str">
        <f ca="1">IFERROR($C$1-1+_xlfn.RANK.EQ(B414,$B$4:$B$72)+COUNTIF(B$4:$B414,B414)-1,"")</f>
        <v/>
      </c>
    </row>
    <row r="415" spans="3:3" x14ac:dyDescent="0.25">
      <c r="C415" s="1" t="str">
        <f ca="1">IFERROR($C$1-1+_xlfn.RANK.EQ(B415,$B$4:$B$72)+COUNTIF(B$4:$B415,B415)-1,"")</f>
        <v/>
      </c>
    </row>
    <row r="416" spans="3:3" x14ac:dyDescent="0.25">
      <c r="C416" s="1" t="str">
        <f ca="1">IFERROR($C$1-1+_xlfn.RANK.EQ(B416,$B$4:$B$72)+COUNTIF(B$4:$B416,B416)-1,"")</f>
        <v/>
      </c>
    </row>
    <row r="417" spans="3:3" x14ac:dyDescent="0.25">
      <c r="C417" s="1" t="str">
        <f ca="1">IFERROR($C$1-1+_xlfn.RANK.EQ(B417,$B$4:$B$72)+COUNTIF(B$4:$B417,B417)-1,"")</f>
        <v/>
      </c>
    </row>
    <row r="418" spans="3:3" x14ac:dyDescent="0.25">
      <c r="C418" s="1" t="str">
        <f ca="1">IFERROR($C$1-1+_xlfn.RANK.EQ(B418,$B$4:$B$72)+COUNTIF(B$4:$B418,B418)-1,"")</f>
        <v/>
      </c>
    </row>
    <row r="419" spans="3:3" x14ac:dyDescent="0.25">
      <c r="C419" s="1" t="str">
        <f ca="1">IFERROR($C$1-1+_xlfn.RANK.EQ(B419,$B$4:$B$72)+COUNTIF(B$4:$B419,B419)-1,"")</f>
        <v/>
      </c>
    </row>
    <row r="420" spans="3:3" x14ac:dyDescent="0.25">
      <c r="C420" s="1" t="str">
        <f ca="1">IFERROR($C$1-1+_xlfn.RANK.EQ(B420,$B$4:$B$72)+COUNTIF(B$4:$B420,B420)-1,"")</f>
        <v/>
      </c>
    </row>
    <row r="421" spans="3:3" x14ac:dyDescent="0.25">
      <c r="C421" s="1" t="str">
        <f ca="1">IFERROR($C$1-1+_xlfn.RANK.EQ(B421,$B$4:$B$72)+COUNTIF(B$4:$B421,B421)-1,"")</f>
        <v/>
      </c>
    </row>
    <row r="422" spans="3:3" x14ac:dyDescent="0.25">
      <c r="C422" s="1" t="str">
        <f ca="1">IFERROR($C$1-1+_xlfn.RANK.EQ(B422,$B$4:$B$72)+COUNTIF(B$4:$B422,B422)-1,"")</f>
        <v/>
      </c>
    </row>
    <row r="423" spans="3:3" x14ac:dyDescent="0.25">
      <c r="C423" s="1" t="str">
        <f ca="1">IFERROR($C$1-1+_xlfn.RANK.EQ(B423,$B$4:$B$72)+COUNTIF(B$4:$B423,B423)-1,"")</f>
        <v/>
      </c>
    </row>
    <row r="424" spans="3:3" x14ac:dyDescent="0.25">
      <c r="C424" s="1" t="str">
        <f ca="1">IFERROR($C$1-1+_xlfn.RANK.EQ(B424,$B$4:$B$72)+COUNTIF(B$4:$B424,B424)-1,"")</f>
        <v/>
      </c>
    </row>
    <row r="425" spans="3:3" x14ac:dyDescent="0.25">
      <c r="C425" s="1" t="str">
        <f ca="1">IFERROR($C$1-1+_xlfn.RANK.EQ(B425,$B$4:$B$72)+COUNTIF(B$4:$B425,B425)-1,"")</f>
        <v/>
      </c>
    </row>
    <row r="426" spans="3:3" x14ac:dyDescent="0.25">
      <c r="C426" s="1" t="str">
        <f ca="1">IFERROR($C$1-1+_xlfn.RANK.EQ(B426,$B$4:$B$72)+COUNTIF(B$4:$B426,B426)-1,"")</f>
        <v/>
      </c>
    </row>
    <row r="427" spans="3:3" x14ac:dyDescent="0.25">
      <c r="C427" s="1" t="str">
        <f ca="1">IFERROR($C$1-1+_xlfn.RANK.EQ(B427,$B$4:$B$72)+COUNTIF(B$4:$B427,B427)-1,"")</f>
        <v/>
      </c>
    </row>
    <row r="428" spans="3:3" x14ac:dyDescent="0.25">
      <c r="C428" s="1" t="str">
        <f ca="1">IFERROR($C$1-1+_xlfn.RANK.EQ(B428,$B$4:$B$72)+COUNTIF(B$4:$B428,B428)-1,"")</f>
        <v/>
      </c>
    </row>
    <row r="429" spans="3:3" x14ac:dyDescent="0.25">
      <c r="C429" s="1" t="str">
        <f ca="1">IFERROR($C$1-1+_xlfn.RANK.EQ(B429,$B$4:$B$72)+COUNTIF(B$4:$B429,B429)-1,"")</f>
        <v/>
      </c>
    </row>
    <row r="430" spans="3:3" x14ac:dyDescent="0.25">
      <c r="C430" s="1" t="str">
        <f ca="1">IFERROR($C$1-1+_xlfn.RANK.EQ(B430,$B$4:$B$72)+COUNTIF(B$4:$B430,B430)-1,"")</f>
        <v/>
      </c>
    </row>
    <row r="431" spans="3:3" x14ac:dyDescent="0.25">
      <c r="C431" s="1" t="str">
        <f ca="1">IFERROR($C$1-1+_xlfn.RANK.EQ(B431,$B$4:$B$72)+COUNTIF(B$4:$B431,B431)-1,"")</f>
        <v/>
      </c>
    </row>
    <row r="432" spans="3:3" x14ac:dyDescent="0.25">
      <c r="C432" s="1" t="str">
        <f ca="1">IFERROR($C$1-1+_xlfn.RANK.EQ(B432,$B$4:$B$72)+COUNTIF(B$4:$B432,B432)-1,"")</f>
        <v/>
      </c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433:D1048576 D296:D432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7B88-7C23-44F5-A98D-4B72FF268B0F}">
  <dimension ref="A1"/>
  <sheetViews>
    <sheetView zoomScale="92" zoomScaleNormal="92" workbookViewId="0">
      <selection sqref="A1:XFD1048576"/>
    </sheetView>
  </sheetViews>
  <sheetFormatPr defaultRowHeight="13.8" x14ac:dyDescent="0.25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 me</vt:lpstr>
      <vt:lpstr>Viet</vt:lpstr>
      <vt:lpstr>Doc</vt:lpstr>
      <vt:lpstr>Sum</vt:lpstr>
      <vt:lpstr>Ramdom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2023-07-08T14:12:37Z</dcterms:modified>
</cp:coreProperties>
</file>