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glish\DECO13\Restaurant\"/>
    </mc:Choice>
  </mc:AlternateContent>
  <xr:revisionPtr revIDLastSave="0" documentId="13_ncr:1_{E585AEFE-158C-46D2-95DC-1780D52E5962}" xr6:coauthVersionLast="47" xr6:coauthVersionMax="47" xr10:uidLastSave="{00000000-0000-0000-0000-000000000000}"/>
  <bookViews>
    <workbookView xWindow="-108" yWindow="-108" windowWidth="23256" windowHeight="12456" tabRatio="608" activeTab="1" xr2:uid="{719E5D2F-C632-4960-9266-638D7C9B24E2}"/>
  </bookViews>
  <sheets>
    <sheet name="Restaurant" sheetId="1" r:id="rId1"/>
    <sheet name="Viet" sheetId="5" r:id="rId2"/>
    <sheet name="Sum" sheetId="6" r:id="rId3"/>
    <sheet name="Ramdom" sheetId="2" r:id="rId4"/>
    <sheet name="Sheet1" sheetId="7" r:id="rId5"/>
  </sheets>
  <definedNames>
    <definedName name="_xlnm._FilterDatabase" localSheetId="3" hidden="1">Ramdom!$B$3:$F$295</definedName>
    <definedName name="_xlnm._FilterDatabase" localSheetId="0" hidden="1">Restaurant!$A$3:$H$306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5" l="1"/>
  <c r="C7" i="5" s="1"/>
  <c r="C5" i="5"/>
  <c r="G201" i="1" l="1"/>
  <c r="G202" i="1"/>
  <c r="G203" i="1"/>
  <c r="G204" i="1"/>
  <c r="G205" i="1"/>
  <c r="G206" i="1"/>
  <c r="G207" i="1"/>
  <c r="G208" i="1"/>
  <c r="F208" i="1" s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D4" i="6" l="1"/>
  <c r="C4" i="6" s="1"/>
  <c r="G148" i="1"/>
  <c r="F148" i="1" s="1"/>
  <c r="G149" i="1"/>
  <c r="F149" i="1" s="1"/>
  <c r="G150" i="1"/>
  <c r="F150" i="1" s="1"/>
  <c r="G151" i="1"/>
  <c r="F151" i="1" s="1"/>
  <c r="G152" i="1"/>
  <c r="F152" i="1" s="1"/>
  <c r="G153" i="1"/>
  <c r="F153" i="1" s="1"/>
  <c r="G154" i="1"/>
  <c r="F154" i="1" s="1"/>
  <c r="G155" i="1"/>
  <c r="F155" i="1" s="1"/>
  <c r="G156" i="1"/>
  <c r="F156" i="1" s="1"/>
  <c r="G157" i="1"/>
  <c r="F157" i="1" s="1"/>
  <c r="G159" i="1"/>
  <c r="F159" i="1" s="1"/>
  <c r="G160" i="1"/>
  <c r="F160" i="1" s="1"/>
  <c r="G161" i="1"/>
  <c r="F161" i="1" s="1"/>
  <c r="G162" i="1"/>
  <c r="F162" i="1" s="1"/>
  <c r="G163" i="1"/>
  <c r="F163" i="1" s="1"/>
  <c r="G164" i="1"/>
  <c r="F164" i="1" s="1"/>
  <c r="G165" i="1"/>
  <c r="F165" i="1" s="1"/>
  <c r="G166" i="1"/>
  <c r="F166" i="1" s="1"/>
  <c r="G167" i="1"/>
  <c r="F167" i="1" s="1"/>
  <c r="G168" i="1"/>
  <c r="F168" i="1" s="1"/>
  <c r="G169" i="1"/>
  <c r="F169" i="1" s="1"/>
  <c r="G170" i="1"/>
  <c r="F170" i="1" s="1"/>
  <c r="G171" i="1"/>
  <c r="F171" i="1" s="1"/>
  <c r="G172" i="1"/>
  <c r="F172" i="1" s="1"/>
  <c r="G173" i="1"/>
  <c r="F173" i="1" s="1"/>
  <c r="G174" i="1"/>
  <c r="F174" i="1" s="1"/>
  <c r="G175" i="1"/>
  <c r="F175" i="1" s="1"/>
  <c r="G176" i="1"/>
  <c r="F176" i="1" s="1"/>
  <c r="G177" i="1"/>
  <c r="F177" i="1" s="1"/>
  <c r="G178" i="1"/>
  <c r="F178" i="1" s="1"/>
  <c r="G179" i="1"/>
  <c r="F179" i="1" s="1"/>
  <c r="G180" i="1"/>
  <c r="F180" i="1" s="1"/>
  <c r="G181" i="1"/>
  <c r="F181" i="1" s="1"/>
  <c r="G182" i="1"/>
  <c r="F182" i="1" s="1"/>
  <c r="G183" i="1"/>
  <c r="F183" i="1" s="1"/>
  <c r="G184" i="1"/>
  <c r="F184" i="1" s="1"/>
  <c r="G185" i="1"/>
  <c r="F185" i="1" s="1"/>
  <c r="G186" i="1"/>
  <c r="F186" i="1" s="1"/>
  <c r="G187" i="1"/>
  <c r="F187" i="1" s="1"/>
  <c r="G188" i="1"/>
  <c r="F188" i="1" s="1"/>
  <c r="G189" i="1"/>
  <c r="F189" i="1" s="1"/>
  <c r="G190" i="1"/>
  <c r="F190" i="1" s="1"/>
  <c r="G191" i="1"/>
  <c r="F191" i="1" s="1"/>
  <c r="G192" i="1"/>
  <c r="F192" i="1" s="1"/>
  <c r="G193" i="1"/>
  <c r="F193" i="1" s="1"/>
  <c r="G194" i="1"/>
  <c r="F194" i="1" s="1"/>
  <c r="G195" i="1"/>
  <c r="F195" i="1" s="1"/>
  <c r="G196" i="1"/>
  <c r="F196" i="1" s="1"/>
  <c r="G197" i="1"/>
  <c r="F197" i="1" s="1"/>
  <c r="G198" i="1"/>
  <c r="F198" i="1" s="1"/>
  <c r="G199" i="1"/>
  <c r="F199" i="1" s="1"/>
  <c r="G200" i="1"/>
  <c r="F200" i="1" s="1"/>
  <c r="F201" i="1"/>
  <c r="F202" i="1"/>
  <c r="F203" i="1"/>
  <c r="F204" i="1"/>
  <c r="F205" i="1"/>
  <c r="F206" i="1"/>
  <c r="F207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G223" i="1"/>
  <c r="F223" i="1" s="1"/>
  <c r="G224" i="1"/>
  <c r="F224" i="1" s="1"/>
  <c r="G225" i="1"/>
  <c r="F225" i="1" s="1"/>
  <c r="G226" i="1"/>
  <c r="F226" i="1" s="1"/>
  <c r="G227" i="1"/>
  <c r="F227" i="1" s="1"/>
  <c r="G228" i="1"/>
  <c r="F228" i="1" s="1"/>
  <c r="G229" i="1"/>
  <c r="F229" i="1" s="1"/>
  <c r="G230" i="1"/>
  <c r="F230" i="1" s="1"/>
  <c r="G231" i="1"/>
  <c r="F231" i="1" s="1"/>
  <c r="G232" i="1"/>
  <c r="F232" i="1" s="1"/>
  <c r="G233" i="1"/>
  <c r="F233" i="1" s="1"/>
  <c r="G234" i="1"/>
  <c r="F234" i="1" s="1"/>
  <c r="G235" i="1"/>
  <c r="F235" i="1" s="1"/>
  <c r="G236" i="1"/>
  <c r="F236" i="1" s="1"/>
  <c r="G237" i="1"/>
  <c r="F237" i="1" s="1"/>
  <c r="G238" i="1"/>
  <c r="F238" i="1" s="1"/>
  <c r="G239" i="1"/>
  <c r="F239" i="1" s="1"/>
  <c r="G240" i="1"/>
  <c r="F240" i="1" s="1"/>
  <c r="G241" i="1"/>
  <c r="F241" i="1" s="1"/>
  <c r="G242" i="1"/>
  <c r="F242" i="1" s="1"/>
  <c r="G243" i="1"/>
  <c r="F243" i="1" s="1"/>
  <c r="G244" i="1"/>
  <c r="F244" i="1" s="1"/>
  <c r="G245" i="1"/>
  <c r="F245" i="1" s="1"/>
  <c r="G246" i="1"/>
  <c r="F246" i="1" s="1"/>
  <c r="G247" i="1"/>
  <c r="F247" i="1" s="1"/>
  <c r="G248" i="1"/>
  <c r="F248" i="1" s="1"/>
  <c r="G249" i="1"/>
  <c r="F249" i="1" s="1"/>
  <c r="G250" i="1"/>
  <c r="F250" i="1" s="1"/>
  <c r="G251" i="1"/>
  <c r="F251" i="1" s="1"/>
  <c r="G252" i="1"/>
  <c r="F252" i="1" s="1"/>
  <c r="G253" i="1"/>
  <c r="F253" i="1" s="1"/>
  <c r="G254" i="1"/>
  <c r="F254" i="1" s="1"/>
  <c r="G255" i="1"/>
  <c r="F255" i="1" s="1"/>
  <c r="G256" i="1"/>
  <c r="F256" i="1" s="1"/>
  <c r="G257" i="1"/>
  <c r="F257" i="1" s="1"/>
  <c r="G258" i="1"/>
  <c r="F258" i="1" s="1"/>
  <c r="G259" i="1"/>
  <c r="F259" i="1" s="1"/>
  <c r="G260" i="1"/>
  <c r="F260" i="1" s="1"/>
  <c r="G261" i="1"/>
  <c r="F261" i="1" s="1"/>
  <c r="G262" i="1"/>
  <c r="F262" i="1" s="1"/>
  <c r="G263" i="1"/>
  <c r="F263" i="1" s="1"/>
  <c r="G264" i="1"/>
  <c r="F264" i="1" s="1"/>
  <c r="G265" i="1"/>
  <c r="F265" i="1" s="1"/>
  <c r="G266" i="1"/>
  <c r="F266" i="1" s="1"/>
  <c r="G267" i="1"/>
  <c r="F267" i="1" s="1"/>
  <c r="G268" i="1"/>
  <c r="F268" i="1" s="1"/>
  <c r="G269" i="1"/>
  <c r="F269" i="1" s="1"/>
  <c r="G270" i="1"/>
  <c r="F270" i="1" s="1"/>
  <c r="G271" i="1"/>
  <c r="F271" i="1" s="1"/>
  <c r="G272" i="1"/>
  <c r="F272" i="1" s="1"/>
  <c r="G273" i="1"/>
  <c r="F273" i="1" s="1"/>
  <c r="G274" i="1"/>
  <c r="F274" i="1" s="1"/>
  <c r="G275" i="1"/>
  <c r="F275" i="1" s="1"/>
  <c r="G276" i="1"/>
  <c r="F276" i="1" s="1"/>
  <c r="G277" i="1"/>
  <c r="F277" i="1" s="1"/>
  <c r="G278" i="1"/>
  <c r="F278" i="1" s="1"/>
  <c r="G279" i="1"/>
  <c r="F279" i="1" s="1"/>
  <c r="G280" i="1"/>
  <c r="F280" i="1" s="1"/>
  <c r="G281" i="1"/>
  <c r="F281" i="1" s="1"/>
  <c r="G282" i="1"/>
  <c r="F282" i="1" s="1"/>
  <c r="G283" i="1"/>
  <c r="F283" i="1" s="1"/>
  <c r="G284" i="1"/>
  <c r="F284" i="1" s="1"/>
  <c r="G285" i="1"/>
  <c r="F285" i="1" s="1"/>
  <c r="G286" i="1"/>
  <c r="F286" i="1" s="1"/>
  <c r="G287" i="1"/>
  <c r="F287" i="1" s="1"/>
  <c r="G288" i="1"/>
  <c r="F288" i="1" s="1"/>
  <c r="G289" i="1"/>
  <c r="F289" i="1" s="1"/>
  <c r="G290" i="1"/>
  <c r="F290" i="1" s="1"/>
  <c r="G291" i="1"/>
  <c r="F291" i="1" s="1"/>
  <c r="G292" i="1"/>
  <c r="F292" i="1" s="1"/>
  <c r="G293" i="1"/>
  <c r="F293" i="1" s="1"/>
  <c r="G294" i="1"/>
  <c r="F294" i="1" s="1"/>
  <c r="G295" i="1"/>
  <c r="F295" i="1" s="1"/>
  <c r="G296" i="1"/>
  <c r="F296" i="1" s="1"/>
  <c r="G297" i="1"/>
  <c r="F297" i="1" s="1"/>
  <c r="G298" i="1"/>
  <c r="F298" i="1" s="1"/>
  <c r="G299" i="1"/>
  <c r="F299" i="1" s="1"/>
  <c r="G300" i="1"/>
  <c r="F300" i="1" s="1"/>
  <c r="G301" i="1"/>
  <c r="F301" i="1" s="1"/>
  <c r="G302" i="1"/>
  <c r="F302" i="1" s="1"/>
  <c r="G303" i="1"/>
  <c r="F303" i="1" s="1"/>
  <c r="G304" i="1"/>
  <c r="F304" i="1" s="1"/>
  <c r="G305" i="1"/>
  <c r="F305" i="1" s="1"/>
  <c r="G306" i="1"/>
  <c r="D3" i="6" l="1"/>
  <c r="C3" i="6" s="1"/>
  <c r="G7" i="1"/>
  <c r="F7" i="1" s="1"/>
  <c r="G8" i="1"/>
  <c r="F8" i="1" s="1"/>
  <c r="G9" i="1"/>
  <c r="F9" i="1" s="1"/>
  <c r="G10" i="1"/>
  <c r="F10" i="1" s="1"/>
  <c r="G11" i="1"/>
  <c r="F11" i="1" s="1"/>
  <c r="G12" i="1"/>
  <c r="F12" i="1" s="1"/>
  <c r="G13" i="1"/>
  <c r="F13" i="1" s="1"/>
  <c r="G14" i="1"/>
  <c r="F14" i="1" s="1"/>
  <c r="G15" i="1"/>
  <c r="F15" i="1" s="1"/>
  <c r="G16" i="1"/>
  <c r="F16" i="1" s="1"/>
  <c r="G17" i="1"/>
  <c r="F17" i="1" s="1"/>
  <c r="G18" i="1"/>
  <c r="F18" i="1" s="1"/>
  <c r="G19" i="1"/>
  <c r="F19" i="1" s="1"/>
  <c r="G20" i="1"/>
  <c r="F20" i="1" s="1"/>
  <c r="G21" i="1"/>
  <c r="F21" i="1" s="1"/>
  <c r="G22" i="1"/>
  <c r="F22" i="1" s="1"/>
  <c r="G23" i="1"/>
  <c r="F23" i="1" s="1"/>
  <c r="G24" i="1"/>
  <c r="F24" i="1" s="1"/>
  <c r="G25" i="1"/>
  <c r="F25" i="1" s="1"/>
  <c r="G26" i="1"/>
  <c r="F26" i="1" s="1"/>
  <c r="G27" i="1"/>
  <c r="F27" i="1" s="1"/>
  <c r="G28" i="1"/>
  <c r="F28" i="1" s="1"/>
  <c r="G29" i="1"/>
  <c r="F29" i="1" s="1"/>
  <c r="G30" i="1"/>
  <c r="F30" i="1" s="1"/>
  <c r="G31" i="1"/>
  <c r="F31" i="1" s="1"/>
  <c r="G32" i="1"/>
  <c r="F32" i="1" s="1"/>
  <c r="G33" i="1"/>
  <c r="F33" i="1" s="1"/>
  <c r="G34" i="1"/>
  <c r="F34" i="1" s="1"/>
  <c r="G35" i="1"/>
  <c r="F35" i="1" s="1"/>
  <c r="G36" i="1"/>
  <c r="F36" i="1" s="1"/>
  <c r="G37" i="1"/>
  <c r="F37" i="1" s="1"/>
  <c r="G38" i="1"/>
  <c r="F38" i="1" s="1"/>
  <c r="G39" i="1"/>
  <c r="F39" i="1" s="1"/>
  <c r="G40" i="1"/>
  <c r="F40" i="1" s="1"/>
  <c r="G41" i="1"/>
  <c r="F41" i="1" s="1"/>
  <c r="G42" i="1"/>
  <c r="F42" i="1" s="1"/>
  <c r="G43" i="1"/>
  <c r="F43" i="1" s="1"/>
  <c r="G44" i="1"/>
  <c r="F44" i="1" s="1"/>
  <c r="G45" i="1"/>
  <c r="F45" i="1" s="1"/>
  <c r="G46" i="1"/>
  <c r="F46" i="1" s="1"/>
  <c r="G47" i="1"/>
  <c r="F47" i="1" s="1"/>
  <c r="G48" i="1"/>
  <c r="F48" i="1" s="1"/>
  <c r="G49" i="1"/>
  <c r="F49" i="1" s="1"/>
  <c r="G50" i="1"/>
  <c r="F50" i="1" s="1"/>
  <c r="G51" i="1"/>
  <c r="F51" i="1" s="1"/>
  <c r="G52" i="1"/>
  <c r="F52" i="1" s="1"/>
  <c r="G53" i="1"/>
  <c r="F53" i="1" s="1"/>
  <c r="G54" i="1"/>
  <c r="F54" i="1" s="1"/>
  <c r="G55" i="1"/>
  <c r="F55" i="1" s="1"/>
  <c r="G56" i="1"/>
  <c r="F56" i="1" s="1"/>
  <c r="G57" i="1"/>
  <c r="F57" i="1" s="1"/>
  <c r="G58" i="1"/>
  <c r="F58" i="1" s="1"/>
  <c r="G59" i="1"/>
  <c r="F59" i="1" s="1"/>
  <c r="G60" i="1"/>
  <c r="F60" i="1" s="1"/>
  <c r="G61" i="1"/>
  <c r="F61" i="1" s="1"/>
  <c r="G62" i="1"/>
  <c r="F62" i="1" s="1"/>
  <c r="G63" i="1"/>
  <c r="F63" i="1" s="1"/>
  <c r="G64" i="1"/>
  <c r="F64" i="1" s="1"/>
  <c r="G65" i="1"/>
  <c r="F65" i="1" s="1"/>
  <c r="G66" i="1"/>
  <c r="F66" i="1" s="1"/>
  <c r="G67" i="1"/>
  <c r="F67" i="1" s="1"/>
  <c r="G68" i="1"/>
  <c r="F68" i="1" s="1"/>
  <c r="G69" i="1"/>
  <c r="F69" i="1" s="1"/>
  <c r="G70" i="1"/>
  <c r="F70" i="1" s="1"/>
  <c r="G71" i="1"/>
  <c r="F71" i="1" s="1"/>
  <c r="G72" i="1"/>
  <c r="F72" i="1" s="1"/>
  <c r="G73" i="1"/>
  <c r="F73" i="1" s="1"/>
  <c r="G74" i="1"/>
  <c r="F74" i="1" s="1"/>
  <c r="G75" i="1"/>
  <c r="F75" i="1" s="1"/>
  <c r="G76" i="1"/>
  <c r="F76" i="1" s="1"/>
  <c r="G77" i="1"/>
  <c r="F77" i="1" s="1"/>
  <c r="G78" i="1"/>
  <c r="F78" i="1" s="1"/>
  <c r="G79" i="1"/>
  <c r="F79" i="1" s="1"/>
  <c r="G80" i="1"/>
  <c r="F80" i="1" s="1"/>
  <c r="G81" i="1"/>
  <c r="F81" i="1" s="1"/>
  <c r="G82" i="1"/>
  <c r="F82" i="1" s="1"/>
  <c r="G83" i="1"/>
  <c r="F83" i="1" s="1"/>
  <c r="G84" i="1"/>
  <c r="F84" i="1" s="1"/>
  <c r="G85" i="1"/>
  <c r="F85" i="1" s="1"/>
  <c r="G86" i="1"/>
  <c r="F86" i="1" s="1"/>
  <c r="G87" i="1"/>
  <c r="F87" i="1" s="1"/>
  <c r="G88" i="1"/>
  <c r="F88" i="1" s="1"/>
  <c r="G89" i="1"/>
  <c r="F89" i="1" s="1"/>
  <c r="G90" i="1"/>
  <c r="F90" i="1" s="1"/>
  <c r="G91" i="1"/>
  <c r="F91" i="1" s="1"/>
  <c r="G92" i="1"/>
  <c r="F92" i="1" s="1"/>
  <c r="G93" i="1"/>
  <c r="F93" i="1" s="1"/>
  <c r="G94" i="1"/>
  <c r="F94" i="1" s="1"/>
  <c r="G95" i="1"/>
  <c r="F95" i="1" s="1"/>
  <c r="G96" i="1"/>
  <c r="F96" i="1" s="1"/>
  <c r="G97" i="1"/>
  <c r="F97" i="1" s="1"/>
  <c r="G98" i="1"/>
  <c r="F98" i="1" s="1"/>
  <c r="G99" i="1"/>
  <c r="F99" i="1" s="1"/>
  <c r="G100" i="1"/>
  <c r="F100" i="1" s="1"/>
  <c r="G101" i="1"/>
  <c r="F101" i="1" s="1"/>
  <c r="G102" i="1"/>
  <c r="F102" i="1" s="1"/>
  <c r="G103" i="1"/>
  <c r="F103" i="1" s="1"/>
  <c r="G104" i="1"/>
  <c r="F104" i="1" s="1"/>
  <c r="G105" i="1"/>
  <c r="F105" i="1" s="1"/>
  <c r="G106" i="1"/>
  <c r="F106" i="1" s="1"/>
  <c r="G107" i="1"/>
  <c r="F107" i="1" s="1"/>
  <c r="G108" i="1"/>
  <c r="F108" i="1" s="1"/>
  <c r="G109" i="1"/>
  <c r="F109" i="1" s="1"/>
  <c r="G110" i="1"/>
  <c r="F110" i="1" s="1"/>
  <c r="G111" i="1"/>
  <c r="F111" i="1" s="1"/>
  <c r="G112" i="1"/>
  <c r="F112" i="1" s="1"/>
  <c r="G113" i="1"/>
  <c r="F113" i="1" s="1"/>
  <c r="G114" i="1"/>
  <c r="F114" i="1" s="1"/>
  <c r="G115" i="1"/>
  <c r="F115" i="1" s="1"/>
  <c r="G116" i="1"/>
  <c r="F116" i="1" s="1"/>
  <c r="G117" i="1"/>
  <c r="F117" i="1" s="1"/>
  <c r="G118" i="1"/>
  <c r="F118" i="1" s="1"/>
  <c r="G119" i="1"/>
  <c r="F119" i="1" s="1"/>
  <c r="G120" i="1"/>
  <c r="F120" i="1" s="1"/>
  <c r="G121" i="1"/>
  <c r="F121" i="1" s="1"/>
  <c r="G122" i="1"/>
  <c r="F122" i="1" s="1"/>
  <c r="G123" i="1"/>
  <c r="F123" i="1" s="1"/>
  <c r="G124" i="1"/>
  <c r="F124" i="1" s="1"/>
  <c r="G125" i="1"/>
  <c r="F125" i="1" s="1"/>
  <c r="G126" i="1"/>
  <c r="F126" i="1" s="1"/>
  <c r="G127" i="1"/>
  <c r="F127" i="1" s="1"/>
  <c r="G128" i="1"/>
  <c r="F128" i="1" s="1"/>
  <c r="G129" i="1"/>
  <c r="F129" i="1" s="1"/>
  <c r="G130" i="1"/>
  <c r="F130" i="1" s="1"/>
  <c r="G131" i="1"/>
  <c r="F131" i="1" s="1"/>
  <c r="G132" i="1"/>
  <c r="F132" i="1" s="1"/>
  <c r="G133" i="1"/>
  <c r="F133" i="1" s="1"/>
  <c r="G134" i="1"/>
  <c r="F134" i="1" s="1"/>
  <c r="G135" i="1"/>
  <c r="F135" i="1" s="1"/>
  <c r="G136" i="1"/>
  <c r="F136" i="1" s="1"/>
  <c r="G137" i="1"/>
  <c r="F137" i="1" s="1"/>
  <c r="G138" i="1"/>
  <c r="F138" i="1" s="1"/>
  <c r="G139" i="1"/>
  <c r="F139" i="1" s="1"/>
  <c r="G140" i="1"/>
  <c r="F140" i="1" s="1"/>
  <c r="G141" i="1"/>
  <c r="F141" i="1" s="1"/>
  <c r="G142" i="1"/>
  <c r="F142" i="1" s="1"/>
  <c r="G143" i="1"/>
  <c r="F143" i="1" s="1"/>
  <c r="G144" i="1"/>
  <c r="F144" i="1" s="1"/>
  <c r="G145" i="1"/>
  <c r="F145" i="1" s="1"/>
  <c r="G146" i="1"/>
  <c r="F146" i="1" s="1"/>
  <c r="G147" i="1"/>
  <c r="F147" i="1" s="1"/>
  <c r="D4" i="5"/>
  <c r="C4" i="5" s="1"/>
  <c r="D5" i="5"/>
  <c r="D6" i="5"/>
  <c r="C6" i="5" s="1"/>
  <c r="D3" i="5"/>
  <c r="C3" i="5" s="1"/>
  <c r="G6" i="1"/>
  <c r="F6" i="1" s="1"/>
  <c r="G5" i="1"/>
  <c r="A4" i="2"/>
  <c r="A5" i="2" s="1"/>
  <c r="B4" i="2" s="1"/>
  <c r="A6" i="2" l="1"/>
  <c r="B6" i="2" l="1"/>
  <c r="A7" i="2"/>
  <c r="A8" i="2" l="1"/>
  <c r="B7" i="2"/>
  <c r="A9" i="2" l="1"/>
  <c r="B8" i="2"/>
  <c r="A10" i="2" l="1"/>
  <c r="B10" i="2" s="1"/>
  <c r="B9" i="2"/>
  <c r="A11" i="2" l="1"/>
  <c r="B5" i="2"/>
  <c r="A12" i="2" l="1"/>
  <c r="B11" i="2"/>
  <c r="A13" i="2" l="1"/>
  <c r="B12" i="2"/>
  <c r="A14" i="2" l="1"/>
  <c r="B13" i="2"/>
  <c r="A15" i="2" l="1"/>
  <c r="B14" i="2"/>
  <c r="A16" i="2" l="1"/>
  <c r="B15" i="2"/>
  <c r="A17" i="2" l="1"/>
  <c r="B16" i="2"/>
  <c r="A18" i="2" l="1"/>
  <c r="B17" i="2"/>
  <c r="A19" i="2" l="1"/>
  <c r="B18" i="2"/>
  <c r="A20" i="2" l="1"/>
  <c r="B19" i="2"/>
  <c r="A21" i="2" l="1"/>
  <c r="B20" i="2"/>
  <c r="A22" i="2" l="1"/>
  <c r="B21" i="2"/>
  <c r="A23" i="2" l="1"/>
  <c r="B22" i="2"/>
  <c r="A24" i="2" l="1"/>
  <c r="B23" i="2"/>
  <c r="A25" i="2" l="1"/>
  <c r="B24" i="2"/>
  <c r="A26" i="2" l="1"/>
  <c r="B25" i="2"/>
  <c r="A27" i="2" l="1"/>
  <c r="B26" i="2"/>
  <c r="A28" i="2" l="1"/>
  <c r="B27" i="2"/>
  <c r="A29" i="2" l="1"/>
  <c r="B28" i="2"/>
  <c r="A30" i="2" l="1"/>
  <c r="B29" i="2"/>
  <c r="A31" i="2" l="1"/>
  <c r="B30" i="2"/>
  <c r="A32" i="2" l="1"/>
  <c r="B31" i="2"/>
  <c r="A33" i="2" l="1"/>
  <c r="B32" i="2"/>
  <c r="A34" i="2" l="1"/>
  <c r="B33" i="2"/>
  <c r="A35" i="2" l="1"/>
  <c r="B34" i="2"/>
  <c r="A36" i="2" l="1"/>
  <c r="B35" i="2"/>
  <c r="A37" i="2" l="1"/>
  <c r="B36" i="2"/>
  <c r="A38" i="2" l="1"/>
  <c r="B37" i="2"/>
  <c r="A39" i="2" l="1"/>
  <c r="B38" i="2"/>
  <c r="A40" i="2" l="1"/>
  <c r="B39" i="2"/>
  <c r="A41" i="2" l="1"/>
  <c r="B40" i="2"/>
  <c r="A42" i="2" l="1"/>
  <c r="B41" i="2"/>
  <c r="A43" i="2" l="1"/>
  <c r="B42" i="2"/>
  <c r="A44" i="2" l="1"/>
  <c r="B43" i="2"/>
  <c r="A45" i="2" l="1"/>
  <c r="B44" i="2"/>
  <c r="A46" i="2" l="1"/>
  <c r="B45" i="2"/>
  <c r="A47" i="2" l="1"/>
  <c r="B46" i="2"/>
  <c r="A48" i="2" l="1"/>
  <c r="B47" i="2"/>
  <c r="A49" i="2" l="1"/>
  <c r="B48" i="2"/>
  <c r="A50" i="2" l="1"/>
  <c r="B49" i="2"/>
  <c r="A51" i="2" l="1"/>
  <c r="B50" i="2"/>
  <c r="A52" i="2" l="1"/>
  <c r="B51" i="2"/>
  <c r="A53" i="2" l="1"/>
  <c r="B52" i="2"/>
  <c r="A54" i="2" l="1"/>
  <c r="B53" i="2"/>
  <c r="A55" i="2" l="1"/>
  <c r="B54" i="2"/>
  <c r="A56" i="2" l="1"/>
  <c r="B55" i="2"/>
  <c r="A57" i="2" l="1"/>
  <c r="B56" i="2"/>
  <c r="A58" i="2" l="1"/>
  <c r="B57" i="2"/>
  <c r="A59" i="2" l="1"/>
  <c r="B58" i="2"/>
  <c r="A60" i="2" l="1"/>
  <c r="B59" i="2"/>
  <c r="A61" i="2" l="1"/>
  <c r="B60" i="2"/>
  <c r="A62" i="2" l="1"/>
  <c r="B61" i="2"/>
  <c r="A63" i="2" l="1"/>
  <c r="B62" i="2"/>
  <c r="A64" i="2" l="1"/>
  <c r="B63" i="2"/>
  <c r="A65" i="2" l="1"/>
  <c r="B64" i="2"/>
  <c r="A66" i="2" l="1"/>
  <c r="B65" i="2"/>
  <c r="A67" i="2" l="1"/>
  <c r="B66" i="2"/>
  <c r="A68" i="2" l="1"/>
  <c r="B67" i="2"/>
  <c r="A69" i="2" l="1"/>
  <c r="B68" i="2"/>
  <c r="A70" i="2" l="1"/>
  <c r="B69" i="2"/>
  <c r="A71" i="2" l="1"/>
  <c r="B70" i="2"/>
  <c r="A72" i="2" l="1"/>
  <c r="B71" i="2"/>
  <c r="A73" i="2" l="1"/>
  <c r="B72" i="2"/>
  <c r="A74" i="2" l="1"/>
  <c r="B73" i="2"/>
  <c r="A75" i="2" l="1"/>
  <c r="B74" i="2"/>
  <c r="A76" i="2" l="1"/>
  <c r="B75" i="2"/>
  <c r="A77" i="2" l="1"/>
  <c r="B76" i="2"/>
  <c r="A78" i="2" l="1"/>
  <c r="B77" i="2"/>
  <c r="A79" i="2" l="1"/>
  <c r="B78" i="2"/>
  <c r="A80" i="2" l="1"/>
  <c r="B79" i="2"/>
  <c r="A81" i="2" l="1"/>
  <c r="B80" i="2"/>
  <c r="A82" i="2" l="1"/>
  <c r="B81" i="2"/>
  <c r="A83" i="2" l="1"/>
  <c r="B82" i="2"/>
  <c r="A84" i="2" l="1"/>
  <c r="B83" i="2"/>
  <c r="A85" i="2" l="1"/>
  <c r="B84" i="2"/>
  <c r="A86" i="2" l="1"/>
  <c r="B85" i="2"/>
  <c r="A87" i="2" l="1"/>
  <c r="B86" i="2"/>
  <c r="A88" i="2" l="1"/>
  <c r="B87" i="2"/>
  <c r="A89" i="2" l="1"/>
  <c r="B88" i="2"/>
  <c r="A90" i="2" l="1"/>
  <c r="B89" i="2"/>
  <c r="A91" i="2" l="1"/>
  <c r="B90" i="2"/>
  <c r="A92" i="2" l="1"/>
  <c r="B91" i="2"/>
  <c r="A93" i="2" l="1"/>
  <c r="B92" i="2"/>
  <c r="A94" i="2" l="1"/>
  <c r="B93" i="2"/>
  <c r="A95" i="2" l="1"/>
  <c r="B94" i="2"/>
  <c r="A96" i="2" l="1"/>
  <c r="B95" i="2"/>
  <c r="A97" i="2" l="1"/>
  <c r="B96" i="2"/>
  <c r="A98" i="2" l="1"/>
  <c r="B97" i="2"/>
  <c r="A99" i="2" l="1"/>
  <c r="B98" i="2"/>
  <c r="A100" i="2" l="1"/>
  <c r="B99" i="2"/>
  <c r="A101" i="2" l="1"/>
  <c r="B100" i="2"/>
  <c r="A102" i="2" l="1"/>
  <c r="B101" i="2"/>
  <c r="C18" i="2" l="1"/>
  <c r="C19" i="2"/>
  <c r="C20" i="2"/>
  <c r="C21" i="2"/>
  <c r="C22" i="2"/>
  <c r="C23" i="2"/>
  <c r="C24" i="2"/>
  <c r="C26" i="2"/>
  <c r="C25" i="2"/>
  <c r="C27" i="2"/>
  <c r="C28" i="2"/>
  <c r="C29" i="2"/>
  <c r="C30" i="2"/>
  <c r="C32" i="2"/>
  <c r="C31" i="2"/>
  <c r="C33" i="2"/>
  <c r="C34" i="2"/>
  <c r="C35" i="2"/>
  <c r="C36" i="2"/>
  <c r="C38" i="2"/>
  <c r="C37" i="2"/>
  <c r="C40" i="2"/>
  <c r="C39" i="2"/>
  <c r="C41" i="2"/>
  <c r="C42" i="2"/>
  <c r="C44" i="2"/>
  <c r="C43" i="2"/>
  <c r="C45" i="2"/>
  <c r="C47" i="2"/>
  <c r="C46" i="2"/>
  <c r="C48" i="2"/>
  <c r="C49" i="2"/>
  <c r="C50" i="2"/>
  <c r="C51" i="2"/>
  <c r="C52" i="2"/>
  <c r="C53" i="2"/>
  <c r="C54" i="2"/>
  <c r="C56" i="2"/>
  <c r="C55" i="2"/>
  <c r="C57" i="2"/>
  <c r="C59" i="2"/>
  <c r="C58" i="2"/>
  <c r="C60" i="2"/>
  <c r="C63" i="2"/>
  <c r="C61" i="2"/>
  <c r="C62" i="2"/>
  <c r="C65" i="2"/>
  <c r="C64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5" i="2"/>
  <c r="C84" i="2"/>
  <c r="C86" i="2"/>
  <c r="C87" i="2"/>
  <c r="C88" i="2"/>
  <c r="C90" i="2"/>
  <c r="C89" i="2"/>
  <c r="C92" i="2"/>
  <c r="C93" i="2"/>
  <c r="C95" i="2"/>
  <c r="C91" i="2"/>
  <c r="C98" i="2"/>
  <c r="C99" i="2"/>
  <c r="C96" i="2"/>
  <c r="C100" i="2"/>
  <c r="C94" i="2"/>
  <c r="C97" i="2"/>
  <c r="C4" i="2"/>
  <c r="C101" i="2"/>
  <c r="C7" i="2"/>
  <c r="C6" i="2"/>
  <c r="C8" i="2"/>
  <c r="C10" i="2"/>
  <c r="C9" i="2"/>
  <c r="C5" i="2"/>
  <c r="C13" i="2"/>
  <c r="C11" i="2"/>
  <c r="C12" i="2"/>
  <c r="C15" i="2"/>
  <c r="C16" i="2"/>
  <c r="C14" i="2"/>
  <c r="C17" i="2"/>
  <c r="A103" i="2"/>
  <c r="B102" i="2"/>
  <c r="C102" i="2" s="1"/>
  <c r="A104" i="2" l="1"/>
  <c r="B103" i="2"/>
  <c r="C103" i="2" s="1"/>
  <c r="A105" i="2" l="1"/>
  <c r="B104" i="2"/>
  <c r="C104" i="2" s="1"/>
  <c r="A106" i="2" l="1"/>
  <c r="B105" i="2"/>
  <c r="C105" i="2" s="1"/>
  <c r="A107" i="2" l="1"/>
  <c r="B106" i="2"/>
  <c r="C106" i="2" s="1"/>
  <c r="A108" i="2" l="1"/>
  <c r="B107" i="2"/>
  <c r="C107" i="2" s="1"/>
  <c r="A109" i="2" l="1"/>
  <c r="B108" i="2"/>
  <c r="C108" i="2" s="1"/>
  <c r="A110" i="2" l="1"/>
  <c r="B109" i="2"/>
  <c r="C109" i="2" s="1"/>
  <c r="A111" i="2" l="1"/>
  <c r="B110" i="2"/>
  <c r="C110" i="2" s="1"/>
  <c r="A112" i="2" l="1"/>
  <c r="B111" i="2"/>
  <c r="C111" i="2" s="1"/>
  <c r="A113" i="2" l="1"/>
  <c r="B112" i="2"/>
  <c r="C112" i="2" s="1"/>
  <c r="A114" i="2" l="1"/>
  <c r="B113" i="2"/>
  <c r="C113" i="2" s="1"/>
  <c r="A115" i="2" l="1"/>
  <c r="B114" i="2"/>
  <c r="C114" i="2" s="1"/>
  <c r="A116" i="2" l="1"/>
  <c r="B115" i="2"/>
  <c r="C115" i="2" s="1"/>
  <c r="A117" i="2" l="1"/>
  <c r="B116" i="2"/>
  <c r="C116" i="2" s="1"/>
  <c r="A118" i="2" l="1"/>
  <c r="B117" i="2"/>
  <c r="C117" i="2" s="1"/>
  <c r="A119" i="2" l="1"/>
  <c r="B118" i="2"/>
  <c r="C118" i="2" s="1"/>
  <c r="A120" i="2" l="1"/>
  <c r="B119" i="2"/>
  <c r="C119" i="2" s="1"/>
  <c r="A121" i="2" l="1"/>
  <c r="B120" i="2"/>
  <c r="C120" i="2" s="1"/>
  <c r="A122" i="2" l="1"/>
  <c r="B121" i="2"/>
  <c r="C121" i="2" s="1"/>
  <c r="A123" i="2" l="1"/>
  <c r="B122" i="2"/>
  <c r="C122" i="2" s="1"/>
  <c r="A124" i="2" l="1"/>
  <c r="B123" i="2"/>
  <c r="C123" i="2" s="1"/>
  <c r="A125" i="2" l="1"/>
  <c r="B124" i="2"/>
  <c r="C124" i="2" s="1"/>
  <c r="A126" i="2" l="1"/>
  <c r="B125" i="2"/>
  <c r="C125" i="2" s="1"/>
  <c r="A127" i="2" l="1"/>
  <c r="B126" i="2"/>
  <c r="C126" i="2" s="1"/>
  <c r="A128" i="2" l="1"/>
  <c r="B127" i="2"/>
  <c r="C127" i="2" s="1"/>
  <c r="A129" i="2" l="1"/>
  <c r="B128" i="2"/>
  <c r="C128" i="2" s="1"/>
  <c r="A130" i="2" l="1"/>
  <c r="B129" i="2"/>
  <c r="C129" i="2" s="1"/>
  <c r="A131" i="2" l="1"/>
  <c r="B130" i="2"/>
  <c r="C130" i="2" s="1"/>
  <c r="A132" i="2" l="1"/>
  <c r="B131" i="2"/>
  <c r="C131" i="2" s="1"/>
  <c r="A133" i="2" l="1"/>
  <c r="B132" i="2"/>
  <c r="C132" i="2" s="1"/>
  <c r="A134" i="2" l="1"/>
  <c r="B133" i="2"/>
  <c r="C133" i="2" s="1"/>
  <c r="A135" i="2" l="1"/>
  <c r="B134" i="2"/>
  <c r="C134" i="2" s="1"/>
  <c r="A136" i="2" l="1"/>
  <c r="B135" i="2"/>
  <c r="C135" i="2" s="1"/>
  <c r="A137" i="2" l="1"/>
  <c r="B136" i="2"/>
  <c r="C136" i="2" s="1"/>
  <c r="A138" i="2" l="1"/>
  <c r="B137" i="2"/>
  <c r="C137" i="2" s="1"/>
  <c r="A139" i="2" l="1"/>
  <c r="B138" i="2"/>
  <c r="C138" i="2" s="1"/>
  <c r="A140" i="2" l="1"/>
  <c r="B139" i="2"/>
  <c r="C139" i="2" s="1"/>
  <c r="A141" i="2" l="1"/>
  <c r="B140" i="2"/>
  <c r="C140" i="2" s="1"/>
  <c r="A142" i="2" l="1"/>
  <c r="B141" i="2"/>
  <c r="C141" i="2" s="1"/>
  <c r="A143" i="2" l="1"/>
  <c r="B142" i="2"/>
  <c r="C142" i="2" s="1"/>
  <c r="A144" i="2" l="1"/>
  <c r="B143" i="2"/>
  <c r="A145" i="2" l="1"/>
  <c r="B144" i="2"/>
  <c r="A146" i="2" l="1"/>
  <c r="B145" i="2"/>
  <c r="A147" i="2" l="1"/>
  <c r="B146" i="2"/>
  <c r="A148" i="2" l="1"/>
  <c r="B147" i="2"/>
  <c r="A149" i="2" l="1"/>
  <c r="B148" i="2"/>
  <c r="A150" i="2" l="1"/>
  <c r="B149" i="2"/>
  <c r="A151" i="2" l="1"/>
  <c r="B150" i="2"/>
  <c r="A152" i="2" l="1"/>
  <c r="B151" i="2"/>
  <c r="A153" i="2" l="1"/>
  <c r="B152" i="2"/>
  <c r="A154" i="2" l="1"/>
  <c r="B153" i="2"/>
  <c r="A155" i="2" l="1"/>
  <c r="B154" i="2"/>
  <c r="A156" i="2" l="1"/>
  <c r="B155" i="2"/>
  <c r="A157" i="2" l="1"/>
  <c r="B156" i="2"/>
  <c r="A158" i="2" l="1"/>
  <c r="B157" i="2"/>
  <c r="A159" i="2" l="1"/>
  <c r="B158" i="2"/>
  <c r="A160" i="2" l="1"/>
  <c r="B159" i="2"/>
  <c r="A161" i="2" l="1"/>
  <c r="B160" i="2"/>
  <c r="A162" i="2" l="1"/>
  <c r="B161" i="2"/>
  <c r="A163" i="2" l="1"/>
  <c r="B162" i="2"/>
  <c r="A164" i="2" l="1"/>
  <c r="B163" i="2"/>
  <c r="A165" i="2" l="1"/>
  <c r="B164" i="2"/>
  <c r="A166" i="2" l="1"/>
  <c r="B165" i="2"/>
  <c r="A167" i="2" l="1"/>
  <c r="B166" i="2"/>
  <c r="A168" i="2" l="1"/>
  <c r="B167" i="2"/>
  <c r="A169" i="2" l="1"/>
  <c r="B168" i="2"/>
  <c r="A170" i="2" l="1"/>
  <c r="B169" i="2"/>
  <c r="A171" i="2" l="1"/>
  <c r="B170" i="2"/>
  <c r="A172" i="2" l="1"/>
  <c r="B171" i="2"/>
  <c r="A173" i="2" l="1"/>
  <c r="B172" i="2"/>
  <c r="A174" i="2" l="1"/>
  <c r="B173" i="2"/>
  <c r="A175" i="2" l="1"/>
  <c r="B174" i="2"/>
  <c r="A176" i="2" l="1"/>
  <c r="B175" i="2"/>
  <c r="A177" i="2" l="1"/>
  <c r="B176" i="2"/>
  <c r="A178" i="2" l="1"/>
  <c r="B177" i="2"/>
  <c r="A179" i="2" l="1"/>
  <c r="B178" i="2"/>
  <c r="A180" i="2" l="1"/>
  <c r="B179" i="2"/>
  <c r="A181" i="2" l="1"/>
  <c r="B180" i="2"/>
  <c r="A182" i="2" l="1"/>
  <c r="B181" i="2"/>
  <c r="A183" i="2" l="1"/>
  <c r="B182" i="2"/>
  <c r="A184" i="2" l="1"/>
  <c r="B183" i="2"/>
  <c r="A185" i="2" l="1"/>
  <c r="B184" i="2"/>
  <c r="A186" i="2" l="1"/>
  <c r="B185" i="2"/>
  <c r="A187" i="2" l="1"/>
  <c r="B186" i="2"/>
  <c r="A188" i="2" l="1"/>
  <c r="B187" i="2"/>
  <c r="A189" i="2" l="1"/>
  <c r="B188" i="2"/>
  <c r="A190" i="2" l="1"/>
  <c r="B189" i="2"/>
  <c r="A191" i="2" l="1"/>
  <c r="B190" i="2"/>
  <c r="A192" i="2" l="1"/>
  <c r="B191" i="2"/>
  <c r="A193" i="2" l="1"/>
  <c r="B192" i="2"/>
  <c r="A194" i="2" l="1"/>
  <c r="B193" i="2"/>
  <c r="A195" i="2" l="1"/>
  <c r="B194" i="2"/>
  <c r="A196" i="2" l="1"/>
  <c r="B195" i="2"/>
  <c r="A197" i="2" l="1"/>
  <c r="B196" i="2"/>
  <c r="A198" i="2" l="1"/>
  <c r="B197" i="2"/>
  <c r="A199" i="2" l="1"/>
  <c r="B198" i="2"/>
  <c r="A200" i="2" l="1"/>
  <c r="B199" i="2"/>
  <c r="A201" i="2" l="1"/>
  <c r="B200" i="2"/>
  <c r="A202" i="2" l="1"/>
  <c r="B201" i="2"/>
  <c r="A203" i="2" l="1"/>
  <c r="B202" i="2"/>
  <c r="A204" i="2" l="1"/>
  <c r="B203" i="2"/>
  <c r="A205" i="2" l="1"/>
  <c r="B204" i="2"/>
  <c r="A206" i="2" l="1"/>
  <c r="B205" i="2"/>
  <c r="A207" i="2" l="1"/>
  <c r="B206" i="2"/>
  <c r="A208" i="2" l="1"/>
  <c r="B207" i="2"/>
  <c r="A209" i="2" l="1"/>
  <c r="B208" i="2"/>
  <c r="A210" i="2" l="1"/>
  <c r="B209" i="2"/>
  <c r="A211" i="2" l="1"/>
  <c r="B210" i="2"/>
  <c r="A212" i="2" l="1"/>
  <c r="B211" i="2"/>
  <c r="A213" i="2" l="1"/>
  <c r="B212" i="2"/>
  <c r="A214" i="2" l="1"/>
  <c r="B213" i="2"/>
  <c r="A215" i="2" l="1"/>
  <c r="B214" i="2"/>
  <c r="A216" i="2" l="1"/>
  <c r="B215" i="2"/>
  <c r="A217" i="2" l="1"/>
  <c r="B216" i="2"/>
  <c r="A218" i="2" l="1"/>
  <c r="B217" i="2"/>
  <c r="A219" i="2" l="1"/>
  <c r="B218" i="2"/>
  <c r="A220" i="2" l="1"/>
  <c r="B219" i="2"/>
  <c r="A221" i="2" l="1"/>
  <c r="B220" i="2"/>
  <c r="A222" i="2" l="1"/>
  <c r="B221" i="2"/>
  <c r="A223" i="2" l="1"/>
  <c r="B222" i="2"/>
  <c r="A224" i="2" l="1"/>
  <c r="B223" i="2"/>
  <c r="A225" i="2" l="1"/>
  <c r="B224" i="2"/>
  <c r="A226" i="2" l="1"/>
  <c r="B225" i="2"/>
  <c r="A227" i="2" l="1"/>
  <c r="B226" i="2"/>
  <c r="A228" i="2" l="1"/>
  <c r="B227" i="2"/>
  <c r="A229" i="2" l="1"/>
  <c r="B228" i="2"/>
  <c r="A230" i="2" l="1"/>
  <c r="B229" i="2"/>
  <c r="A231" i="2" l="1"/>
  <c r="B230" i="2"/>
  <c r="A232" i="2" l="1"/>
  <c r="B231" i="2"/>
  <c r="A233" i="2" l="1"/>
  <c r="B232" i="2"/>
  <c r="A234" i="2" l="1"/>
  <c r="B233" i="2"/>
  <c r="A235" i="2" l="1"/>
  <c r="B234" i="2"/>
  <c r="A236" i="2" l="1"/>
  <c r="B235" i="2"/>
  <c r="A237" i="2" l="1"/>
  <c r="B236" i="2"/>
  <c r="A238" i="2" l="1"/>
  <c r="B237" i="2"/>
  <c r="A239" i="2" l="1"/>
  <c r="B238" i="2"/>
  <c r="A240" i="2" l="1"/>
  <c r="B239" i="2"/>
  <c r="A241" i="2" l="1"/>
  <c r="B240" i="2"/>
  <c r="A242" i="2" l="1"/>
  <c r="B241" i="2"/>
  <c r="A243" i="2" l="1"/>
  <c r="B242" i="2"/>
  <c r="D9" i="2" l="1"/>
  <c r="D7" i="2"/>
  <c r="D10" i="2"/>
  <c r="D8" i="2"/>
  <c r="D6" i="2"/>
  <c r="D12" i="2"/>
  <c r="D11" i="2"/>
  <c r="D5" i="2"/>
  <c r="D13" i="2"/>
  <c r="D14" i="2"/>
  <c r="D16" i="2"/>
  <c r="D15" i="2"/>
  <c r="D17" i="2"/>
  <c r="D18" i="2"/>
  <c r="D20" i="2"/>
  <c r="D19" i="2"/>
  <c r="D22" i="2"/>
  <c r="D21" i="2"/>
  <c r="D23" i="2"/>
  <c r="D24" i="2"/>
  <c r="D25" i="2"/>
  <c r="D26" i="2"/>
  <c r="D27" i="2"/>
  <c r="D29" i="2"/>
  <c r="D28" i="2"/>
  <c r="D31" i="2"/>
  <c r="D30" i="2"/>
  <c r="D32" i="2"/>
  <c r="D33" i="2"/>
  <c r="D34" i="2"/>
  <c r="D35" i="2"/>
  <c r="D36" i="2"/>
  <c r="D37" i="2"/>
  <c r="D39" i="2"/>
  <c r="D38" i="2"/>
  <c r="D40" i="2"/>
  <c r="D42" i="2"/>
  <c r="D41" i="2"/>
  <c r="D43" i="2"/>
  <c r="D45" i="2"/>
  <c r="D44" i="2"/>
  <c r="D46" i="2"/>
  <c r="D47" i="2"/>
  <c r="D48" i="2"/>
  <c r="D49" i="2"/>
  <c r="D50" i="2"/>
  <c r="D53" i="2"/>
  <c r="D51" i="2"/>
  <c r="D54" i="2"/>
  <c r="D52" i="2"/>
  <c r="D56" i="2"/>
  <c r="D55" i="2"/>
  <c r="D59" i="2"/>
  <c r="D57" i="2"/>
  <c r="D58" i="2"/>
  <c r="D60" i="2"/>
  <c r="D61" i="2"/>
  <c r="D62" i="2"/>
  <c r="D63" i="2"/>
  <c r="D64" i="2"/>
  <c r="D65" i="2"/>
  <c r="D66" i="2"/>
  <c r="D68" i="2"/>
  <c r="D67" i="2"/>
  <c r="D69" i="2"/>
  <c r="D70" i="2"/>
  <c r="D71" i="2"/>
  <c r="D72" i="2"/>
  <c r="D73" i="2"/>
  <c r="D74" i="2"/>
  <c r="D76" i="2"/>
  <c r="D77" i="2"/>
  <c r="D75" i="2"/>
  <c r="D78" i="2"/>
  <c r="D79" i="2"/>
  <c r="D82" i="2"/>
  <c r="D80" i="2"/>
  <c r="D81" i="2"/>
  <c r="D83" i="2"/>
  <c r="D84" i="2"/>
  <c r="D85" i="2"/>
  <c r="D86" i="2"/>
  <c r="D87" i="2"/>
  <c r="D91" i="2"/>
  <c r="D89" i="2"/>
  <c r="D92" i="2"/>
  <c r="D88" i="2"/>
  <c r="D90" i="2"/>
  <c r="D93" i="2"/>
  <c r="D94" i="2"/>
  <c r="D95" i="2"/>
  <c r="D97" i="2"/>
  <c r="D96" i="2"/>
  <c r="D98" i="2"/>
  <c r="D99" i="2"/>
  <c r="D101" i="2"/>
  <c r="D103" i="2"/>
  <c r="D102" i="2"/>
  <c r="D100" i="2"/>
  <c r="D104" i="2"/>
  <c r="D106" i="2"/>
  <c r="D107" i="2"/>
  <c r="D105" i="2"/>
  <c r="D108" i="2"/>
  <c r="D109" i="2"/>
  <c r="D111" i="2"/>
  <c r="D110" i="2"/>
  <c r="D113" i="2"/>
  <c r="D112" i="2"/>
  <c r="D115" i="2"/>
  <c r="D114" i="2"/>
  <c r="D118" i="2"/>
  <c r="D116" i="2"/>
  <c r="D117" i="2"/>
  <c r="D119" i="2"/>
  <c r="D120" i="2"/>
  <c r="D121" i="2"/>
  <c r="D125" i="2"/>
  <c r="D122" i="2"/>
  <c r="D123" i="2"/>
  <c r="D126" i="2"/>
  <c r="D124" i="2"/>
  <c r="D127" i="2"/>
  <c r="D128" i="2"/>
  <c r="D129" i="2"/>
  <c r="D130" i="2"/>
  <c r="D131" i="2"/>
  <c r="D132" i="2"/>
  <c r="D133" i="2"/>
  <c r="D134" i="2"/>
  <c r="D135" i="2"/>
  <c r="D137" i="2"/>
  <c r="D136" i="2"/>
  <c r="D139" i="2"/>
  <c r="D138" i="2"/>
  <c r="D142" i="2"/>
  <c r="D140" i="2"/>
  <c r="D141" i="2"/>
  <c r="D4" i="2"/>
  <c r="A244" i="2"/>
  <c r="B243" i="2"/>
  <c r="F68" i="2" l="1"/>
  <c r="E68" i="2"/>
  <c r="F58" i="2"/>
  <c r="E58" i="2"/>
  <c r="F53" i="2"/>
  <c r="E53" i="2"/>
  <c r="E43" i="2"/>
  <c r="F43" i="2"/>
  <c r="E35" i="2"/>
  <c r="F35" i="2"/>
  <c r="F27" i="2"/>
  <c r="E27" i="2"/>
  <c r="F20" i="2"/>
  <c r="E20" i="2"/>
  <c r="F11" i="2"/>
  <c r="E11" i="2"/>
  <c r="E66" i="2"/>
  <c r="F66" i="2"/>
  <c r="F57" i="2"/>
  <c r="E57" i="2"/>
  <c r="E50" i="2"/>
  <c r="F50" i="2"/>
  <c r="F41" i="2"/>
  <c r="E41" i="2"/>
  <c r="E34" i="2"/>
  <c r="F34" i="2"/>
  <c r="E26" i="2"/>
  <c r="F26" i="2"/>
  <c r="F18" i="2"/>
  <c r="E18" i="2"/>
  <c r="E12" i="2"/>
  <c r="F12" i="2"/>
  <c r="F65" i="2"/>
  <c r="E65" i="2"/>
  <c r="E59" i="2"/>
  <c r="F59" i="2"/>
  <c r="F49" i="2"/>
  <c r="E49" i="2"/>
  <c r="E42" i="2"/>
  <c r="F42" i="2"/>
  <c r="F33" i="2"/>
  <c r="E33" i="2"/>
  <c r="E25" i="2"/>
  <c r="F25" i="2"/>
  <c r="F17" i="2"/>
  <c r="E17" i="2"/>
  <c r="F6" i="2"/>
  <c r="E6" i="2"/>
  <c r="F72" i="2"/>
  <c r="E72" i="2"/>
  <c r="E64" i="2"/>
  <c r="F64" i="2"/>
  <c r="E55" i="2"/>
  <c r="F55" i="2"/>
  <c r="E48" i="2"/>
  <c r="F48" i="2"/>
  <c r="F40" i="2"/>
  <c r="E40" i="2"/>
  <c r="E32" i="2"/>
  <c r="F32" i="2"/>
  <c r="F24" i="2"/>
  <c r="E24" i="2"/>
  <c r="F15" i="2"/>
  <c r="E15" i="2"/>
  <c r="E8" i="2"/>
  <c r="F8" i="2"/>
  <c r="E71" i="2"/>
  <c r="F71" i="2"/>
  <c r="F63" i="2"/>
  <c r="E63" i="2"/>
  <c r="F56" i="2"/>
  <c r="E56" i="2"/>
  <c r="E47" i="2"/>
  <c r="F47" i="2"/>
  <c r="E38" i="2"/>
  <c r="F38" i="2"/>
  <c r="E30" i="2"/>
  <c r="F30" i="2"/>
  <c r="F23" i="2"/>
  <c r="E23" i="2"/>
  <c r="F16" i="2"/>
  <c r="E16" i="2"/>
  <c r="E10" i="2"/>
  <c r="F10" i="2"/>
  <c r="E70" i="2"/>
  <c r="F70" i="2"/>
  <c r="F62" i="2"/>
  <c r="E62" i="2"/>
  <c r="E52" i="2"/>
  <c r="F52" i="2"/>
  <c r="F46" i="2"/>
  <c r="E46" i="2"/>
  <c r="E39" i="2"/>
  <c r="F39" i="2"/>
  <c r="E31" i="2"/>
  <c r="F31" i="2"/>
  <c r="E21" i="2"/>
  <c r="F21" i="2"/>
  <c r="F14" i="2"/>
  <c r="E14" i="2"/>
  <c r="F7" i="2"/>
  <c r="E7" i="2"/>
  <c r="E69" i="2"/>
  <c r="F69" i="2"/>
  <c r="F61" i="2"/>
  <c r="E61" i="2"/>
  <c r="E54" i="2"/>
  <c r="F54" i="2"/>
  <c r="F44" i="2"/>
  <c r="E44" i="2"/>
  <c r="E37" i="2"/>
  <c r="F37" i="2"/>
  <c r="E28" i="2"/>
  <c r="F28" i="2"/>
  <c r="F22" i="2"/>
  <c r="E22" i="2"/>
  <c r="E13" i="2"/>
  <c r="F13" i="2"/>
  <c r="F9" i="2"/>
  <c r="E9" i="2"/>
  <c r="F67" i="2"/>
  <c r="E67" i="2"/>
  <c r="E60" i="2"/>
  <c r="F60" i="2"/>
  <c r="F51" i="2"/>
  <c r="E51" i="2"/>
  <c r="F45" i="2"/>
  <c r="E45" i="2"/>
  <c r="F36" i="2"/>
  <c r="E36" i="2"/>
  <c r="E29" i="2"/>
  <c r="F29" i="2"/>
  <c r="E19" i="2"/>
  <c r="F19" i="2"/>
  <c r="F5" i="2"/>
  <c r="E5" i="2"/>
  <c r="E4" i="2"/>
  <c r="F4" i="2"/>
  <c r="A245" i="2"/>
  <c r="B244" i="2"/>
  <c r="A246" i="2" l="1"/>
  <c r="B245" i="2"/>
  <c r="A247" i="2" l="1"/>
  <c r="B246" i="2"/>
  <c r="A248" i="2" l="1"/>
  <c r="B247" i="2"/>
  <c r="A249" i="2" l="1"/>
  <c r="B248" i="2"/>
  <c r="A250" i="2" l="1"/>
  <c r="B249" i="2"/>
  <c r="A251" i="2" l="1"/>
  <c r="B250" i="2"/>
  <c r="A252" i="2" l="1"/>
  <c r="B251" i="2"/>
  <c r="A253" i="2" l="1"/>
  <c r="B252" i="2"/>
  <c r="A254" i="2" l="1"/>
  <c r="B253" i="2"/>
  <c r="A255" i="2" l="1"/>
  <c r="B254" i="2"/>
  <c r="A256" i="2" l="1"/>
  <c r="B255" i="2"/>
  <c r="A257" i="2" l="1"/>
  <c r="B256" i="2"/>
  <c r="A258" i="2" l="1"/>
  <c r="B257" i="2"/>
  <c r="A259" i="2" l="1"/>
  <c r="B258" i="2"/>
  <c r="A260" i="2" l="1"/>
  <c r="B259" i="2"/>
  <c r="A261" i="2" l="1"/>
  <c r="B260" i="2"/>
  <c r="A262" i="2" l="1"/>
  <c r="B261" i="2"/>
  <c r="A263" i="2" l="1"/>
  <c r="B262" i="2"/>
  <c r="A264" i="2" l="1"/>
  <c r="B263" i="2"/>
  <c r="A265" i="2" l="1"/>
  <c r="B264" i="2"/>
  <c r="A266" i="2" l="1"/>
  <c r="B265" i="2"/>
  <c r="A267" i="2" l="1"/>
  <c r="B266" i="2"/>
  <c r="A268" i="2" l="1"/>
  <c r="B267" i="2"/>
  <c r="A269" i="2" l="1"/>
  <c r="B268" i="2"/>
  <c r="A270" i="2" l="1"/>
  <c r="B269" i="2"/>
  <c r="A271" i="2" l="1"/>
  <c r="B270" i="2"/>
  <c r="A272" i="2" l="1"/>
  <c r="B271" i="2"/>
  <c r="A273" i="2" l="1"/>
  <c r="B272" i="2"/>
  <c r="A274" i="2" l="1"/>
  <c r="B273" i="2"/>
  <c r="A275" i="2" l="1"/>
  <c r="B274" i="2"/>
  <c r="A276" i="2" l="1"/>
  <c r="B275" i="2"/>
  <c r="A277" i="2" l="1"/>
  <c r="B276" i="2"/>
  <c r="A278" i="2" l="1"/>
  <c r="B277" i="2"/>
  <c r="A279" i="2" l="1"/>
  <c r="B278" i="2"/>
  <c r="A280" i="2" l="1"/>
  <c r="B279" i="2"/>
  <c r="A281" i="2" l="1"/>
  <c r="B280" i="2"/>
  <c r="A282" i="2" l="1"/>
  <c r="B281" i="2"/>
  <c r="A283" i="2" l="1"/>
  <c r="B282" i="2"/>
  <c r="A284" i="2" l="1"/>
  <c r="B283" i="2"/>
  <c r="A285" i="2" l="1"/>
  <c r="B284" i="2"/>
  <c r="A286" i="2" l="1"/>
  <c r="B285" i="2"/>
  <c r="A287" i="2" l="1"/>
  <c r="B286" i="2"/>
  <c r="A288" i="2" l="1"/>
  <c r="B287" i="2"/>
  <c r="A289" i="2" l="1"/>
  <c r="B288" i="2"/>
  <c r="A290" i="2" l="1"/>
  <c r="B289" i="2"/>
  <c r="A291" i="2" l="1"/>
  <c r="B290" i="2"/>
  <c r="A292" i="2" l="1"/>
  <c r="B291" i="2"/>
  <c r="A293" i="2" l="1"/>
  <c r="B292" i="2"/>
  <c r="A294" i="2" l="1"/>
  <c r="B293" i="2"/>
  <c r="A295" i="2" l="1"/>
  <c r="B295" i="2" s="1"/>
  <c r="B294" i="2"/>
</calcChain>
</file>

<file path=xl/sharedStrings.xml><?xml version="1.0" encoding="utf-8"?>
<sst xmlns="http://schemas.openxmlformats.org/spreadsheetml/2006/main" count="1324" uniqueCount="817">
  <si>
    <t>Sentence</t>
  </si>
  <si>
    <t>No</t>
  </si>
  <si>
    <t>Type</t>
  </si>
  <si>
    <t>Viet</t>
  </si>
  <si>
    <t>Eng</t>
  </si>
  <si>
    <t>Phon</t>
  </si>
  <si>
    <t>From</t>
  </si>
  <si>
    <t>To</t>
  </si>
  <si>
    <t>ID</t>
  </si>
  <si>
    <t>Link</t>
  </si>
  <si>
    <t>Copy Google drive to …</t>
  </si>
  <si>
    <t>Struc</t>
  </si>
  <si>
    <t>1.3</t>
  </si>
  <si>
    <t>1.1</t>
  </si>
  <si>
    <t>1.2</t>
  </si>
  <si>
    <t>1.4</t>
  </si>
  <si>
    <t>2.1</t>
  </si>
  <si>
    <t>2.3</t>
  </si>
  <si>
    <t>2.4</t>
  </si>
  <si>
    <t>2.2</t>
  </si>
  <si>
    <t>3.1</t>
  </si>
  <si>
    <t>3.2</t>
  </si>
  <si>
    <t>3.3</t>
  </si>
  <si>
    <t>4.1</t>
  </si>
  <si>
    <t>4.2</t>
  </si>
  <si>
    <t>4.3</t>
  </si>
  <si>
    <t>5.1</t>
  </si>
  <si>
    <t>5.2</t>
  </si>
  <si>
    <t>5.3</t>
  </si>
  <si>
    <t>5.4</t>
  </si>
  <si>
    <t>6.1</t>
  </si>
  <si>
    <t>6.2</t>
  </si>
  <si>
    <t>6.3</t>
  </si>
  <si>
    <t>6.4</t>
  </si>
  <si>
    <t>7.1</t>
  </si>
  <si>
    <t>7.2</t>
  </si>
  <si>
    <t>7.3</t>
  </si>
  <si>
    <t>7.4</t>
  </si>
  <si>
    <t>7.5</t>
  </si>
  <si>
    <t>7.6</t>
  </si>
  <si>
    <t>8.1</t>
  </si>
  <si>
    <t>8.2</t>
  </si>
  <si>
    <t>8.3</t>
  </si>
  <si>
    <t>9.1</t>
  </si>
  <si>
    <t>9.2</t>
  </si>
  <si>
    <t>9.3</t>
  </si>
  <si>
    <t>9.4</t>
  </si>
  <si>
    <t>10.1</t>
  </si>
  <si>
    <t>10.2</t>
  </si>
  <si>
    <t>10.3</t>
  </si>
  <si>
    <t>10.4</t>
  </si>
  <si>
    <t>01-05</t>
  </si>
  <si>
    <t>11-15</t>
  </si>
  <si>
    <t>11Struc</t>
  </si>
  <si>
    <t>11.1</t>
  </si>
  <si>
    <t>11.1Viet</t>
  </si>
  <si>
    <t>11.1Eng</t>
  </si>
  <si>
    <t>11.1Phon</t>
  </si>
  <si>
    <t>11.2</t>
  </si>
  <si>
    <t>11.2Viet</t>
  </si>
  <si>
    <t>11.2Eng</t>
  </si>
  <si>
    <t>11.3</t>
  </si>
  <si>
    <t>11.3Viet</t>
  </si>
  <si>
    <t>11.3Eng</t>
  </si>
  <si>
    <t>11.4</t>
  </si>
  <si>
    <t>11.4Viet</t>
  </si>
  <si>
    <t>11.4Eng</t>
  </si>
  <si>
    <t>11.5</t>
  </si>
  <si>
    <t>11.5Viet</t>
  </si>
  <si>
    <t>11.5Eng</t>
  </si>
  <si>
    <t>12Struc</t>
  </si>
  <si>
    <t>12.1</t>
  </si>
  <si>
    <t>12.1Viet</t>
  </si>
  <si>
    <t>12.1Eng</t>
  </si>
  <si>
    <t>12.1Phon</t>
  </si>
  <si>
    <t>12.2</t>
  </si>
  <si>
    <t>12.2Viet</t>
  </si>
  <si>
    <t>12.2Eng</t>
  </si>
  <si>
    <t>12.2Phon</t>
  </si>
  <si>
    <t>12.3</t>
  </si>
  <si>
    <t>12.3Viet</t>
  </si>
  <si>
    <t>12.3Eng</t>
  </si>
  <si>
    <t>12.3Phon</t>
  </si>
  <si>
    <t>13Struc</t>
  </si>
  <si>
    <t>13.1</t>
  </si>
  <si>
    <t>13.1Viet</t>
  </si>
  <si>
    <t>13.1Eng</t>
  </si>
  <si>
    <t>13.1Phon</t>
  </si>
  <si>
    <t>13.2</t>
  </si>
  <si>
    <t>13.2Viet</t>
  </si>
  <si>
    <t>13.2Eng</t>
  </si>
  <si>
    <t>13.2Phon</t>
  </si>
  <si>
    <t>13.3</t>
  </si>
  <si>
    <t>13.3Viet</t>
  </si>
  <si>
    <t>13.3Eng</t>
  </si>
  <si>
    <t>13.3Phon</t>
  </si>
  <si>
    <t>13.4</t>
  </si>
  <si>
    <t>13.4Viet</t>
  </si>
  <si>
    <t>13.4Eng</t>
  </si>
  <si>
    <t>13.4Phon</t>
  </si>
  <si>
    <t>14Struc</t>
  </si>
  <si>
    <t>14.1</t>
  </si>
  <si>
    <t>14.1Viet</t>
  </si>
  <si>
    <t>14.1Eng</t>
  </si>
  <si>
    <t>14.1Phon</t>
  </si>
  <si>
    <t>14.2</t>
  </si>
  <si>
    <t>14.2Viet</t>
  </si>
  <si>
    <t>14.2Eng</t>
  </si>
  <si>
    <t>14.2Phon</t>
  </si>
  <si>
    <t>14.3</t>
  </si>
  <si>
    <t>14.3Viet</t>
  </si>
  <si>
    <t>14.3Eng</t>
  </si>
  <si>
    <t>14.3Phon</t>
  </si>
  <si>
    <t>14.4</t>
  </si>
  <si>
    <t>14.4Viet</t>
  </si>
  <si>
    <t>14.4Eng</t>
  </si>
  <si>
    <t>14.4Phon</t>
  </si>
  <si>
    <t>15Struc</t>
  </si>
  <si>
    <t>15.1</t>
  </si>
  <si>
    <t>15.1Viet</t>
  </si>
  <si>
    <t>15.1Eng</t>
  </si>
  <si>
    <t>15.1Phon</t>
  </si>
  <si>
    <t>15.2</t>
  </si>
  <si>
    <t>15.2Viet</t>
  </si>
  <si>
    <t>15.2Eng</t>
  </si>
  <si>
    <t>15.2Phon</t>
  </si>
  <si>
    <t>15.3</t>
  </si>
  <si>
    <t>15.3Viet</t>
  </si>
  <si>
    <t>15.3Eng</t>
  </si>
  <si>
    <t>15.3Phon</t>
  </si>
  <si>
    <t>15.4</t>
  </si>
  <si>
    <t>15.4Viet</t>
  </si>
  <si>
    <t>15.4Eng</t>
  </si>
  <si>
    <t>15.4Phon</t>
  </si>
  <si>
    <t>16Struc</t>
  </si>
  <si>
    <t>16.1</t>
  </si>
  <si>
    <t>16.1Viet</t>
  </si>
  <si>
    <t>16.1Eng</t>
  </si>
  <si>
    <t>16.1Phon</t>
  </si>
  <si>
    <t>16.2</t>
  </si>
  <si>
    <t>16.2Viet</t>
  </si>
  <si>
    <t>16.2Eng</t>
  </si>
  <si>
    <t>16.2Phon</t>
  </si>
  <si>
    <t>17Struc</t>
  </si>
  <si>
    <t>17.1</t>
  </si>
  <si>
    <t>17.1Viet</t>
  </si>
  <si>
    <t>17.1Eng</t>
  </si>
  <si>
    <t>17.1Phon</t>
  </si>
  <si>
    <t>17.2</t>
  </si>
  <si>
    <t>17.2Viet</t>
  </si>
  <si>
    <t>17.2Eng</t>
  </si>
  <si>
    <t>17.2Phon</t>
  </si>
  <si>
    <t>17.3</t>
  </si>
  <si>
    <t>17.3Viet</t>
  </si>
  <si>
    <t>17.3Eng</t>
  </si>
  <si>
    <t>17.3Phon</t>
  </si>
  <si>
    <t>18Struc</t>
  </si>
  <si>
    <t>18.1</t>
  </si>
  <si>
    <t>18.1Viet</t>
  </si>
  <si>
    <t>18.1Eng</t>
  </si>
  <si>
    <t>18.1Phon</t>
  </si>
  <si>
    <t>18.2</t>
  </si>
  <si>
    <t>18.2Viet</t>
  </si>
  <si>
    <t>18.2Eng</t>
  </si>
  <si>
    <t>18.2Phon</t>
  </si>
  <si>
    <t>18.3</t>
  </si>
  <si>
    <t>18.3Viet</t>
  </si>
  <si>
    <t>18.3Eng</t>
  </si>
  <si>
    <t>18.3Phon</t>
  </si>
  <si>
    <t>19Struc</t>
  </si>
  <si>
    <t>19.1</t>
  </si>
  <si>
    <t>19.1Viet</t>
  </si>
  <si>
    <t>19.1Eng</t>
  </si>
  <si>
    <t>19.1Phon</t>
  </si>
  <si>
    <t>19.2</t>
  </si>
  <si>
    <t>19.2Viet</t>
  </si>
  <si>
    <t>19.2Eng</t>
  </si>
  <si>
    <t>19.2Phon</t>
  </si>
  <si>
    <t>19.3</t>
  </si>
  <si>
    <t>19.3Viet</t>
  </si>
  <si>
    <t>19.3Eng</t>
  </si>
  <si>
    <t>19.3Phon</t>
  </si>
  <si>
    <t>20Struc</t>
  </si>
  <si>
    <t>20.1</t>
  </si>
  <si>
    <t>20.1Viet</t>
  </si>
  <si>
    <t>20.1Eng</t>
  </si>
  <si>
    <t>20.1Phon</t>
  </si>
  <si>
    <t>20.2</t>
  </si>
  <si>
    <t>20.2Viet</t>
  </si>
  <si>
    <t>20.2Eng</t>
  </si>
  <si>
    <t>20.2Phon</t>
  </si>
  <si>
    <t>20.3</t>
  </si>
  <si>
    <t>20.3Viet</t>
  </si>
  <si>
    <t>20.3Eng</t>
  </si>
  <si>
    <t>20.3Phon</t>
  </si>
  <si>
    <t>21Struc</t>
  </si>
  <si>
    <t>21.1</t>
  </si>
  <si>
    <t>21.1Viet</t>
  </si>
  <si>
    <t>21.1Eng</t>
  </si>
  <si>
    <t>21.1Phon</t>
  </si>
  <si>
    <t>21.2</t>
  </si>
  <si>
    <t>21.2Viet</t>
  </si>
  <si>
    <t>21.2Eng</t>
  </si>
  <si>
    <t>21.2Phon</t>
  </si>
  <si>
    <t>21.3</t>
  </si>
  <si>
    <t>21.3Viet</t>
  </si>
  <si>
    <t>21.3Eng</t>
  </si>
  <si>
    <t>21.3Phon</t>
  </si>
  <si>
    <t>21.4</t>
  </si>
  <si>
    <t>21.4Viet</t>
  </si>
  <si>
    <t>21.4Eng</t>
  </si>
  <si>
    <t>21.4Phon</t>
  </si>
  <si>
    <t>21.5</t>
  </si>
  <si>
    <t>21.5Viet</t>
  </si>
  <si>
    <t>21.5Eng</t>
  </si>
  <si>
    <t>21.5Phon</t>
  </si>
  <si>
    <t>06-10</t>
  </si>
  <si>
    <t>Man</t>
  </si>
  <si>
    <t>Woman</t>
  </si>
  <si>
    <t>Do you know any good restaurants around here?</t>
  </si>
  <si>
    <t>duː juː noʊ ˈɛni gʊd ˈrestraːnts əˈraʊnd hɪr</t>
  </si>
  <si>
    <t>Do you know any Japanese restaurant around here?</t>
  </si>
  <si>
    <t>du: ju: noʊ ˈɛni ˌʤæpəˈni:z ˈrɛstra:nt əˈraʊnd hɪr</t>
  </si>
  <si>
    <t>Do you know any Western restaurant around here?</t>
  </si>
  <si>
    <t>du: ju: noʊ ˈɛni ˈwɛstərn ˈrɛstra:nt əˈraʊnd hɪr</t>
  </si>
  <si>
    <t>Do you know any fast food restaurant around here?</t>
  </si>
  <si>
    <t>du: ju: noʊ ˈɛni fæst fu:d ˈrɛstra:nt əˈraʊnd hɪr</t>
  </si>
  <si>
    <t>Do you know any seafood restaurant around here?</t>
  </si>
  <si>
    <t>du: ju: noʊ ˈɛni ˈsi:fu:d ˈrɛstra:nt əˈraʊnd hɪr</t>
  </si>
  <si>
    <t>Can I make a reservation tonight?</t>
  </si>
  <si>
    <t>kæn aɪ meɪk ə ˌrɛzərˈveɪʃən təˈnaɪt</t>
  </si>
  <si>
    <t>Can I make a reservation over the phone?</t>
  </si>
  <si>
    <t>kæn aɪ meɪk ə ˌrɛzərˈveɪʃən ˈoʊvər ðə foʊn</t>
  </si>
  <si>
    <t>Can I make a reservation on your website?</t>
  </si>
  <si>
    <t>kæn aɪ meɪk ə ˌrɛzərˈveɪʃən a:n jʊr ˈwɛbsaɪt</t>
  </si>
  <si>
    <t>Can I make a reservation for 4 please?</t>
  </si>
  <si>
    <t>kæn aɪ meɪk ə ˌrɛzərˈveɪʃən fɔ:r fɔ:r pli:z</t>
  </si>
  <si>
    <t>Can I make a reservation for tomorrow night at eight?</t>
  </si>
  <si>
    <t>kæn aɪ meɪk ə ˌrɛzərˈveɪʃən fɔ:r təˈma:roʊ naɪt æt eɪt</t>
  </si>
  <si>
    <t>Would you please hold my table, I’ll be 20 minutes late?</t>
  </si>
  <si>
    <t>wʊd ju: pli:z hoʊld maɪ ˈteɪbəl aɪl bi: ˈtwenti ˈmɪnɪts leɪt</t>
  </si>
  <si>
    <t>Would you please hold my table, I am afraid I will be late?</t>
  </si>
  <si>
    <t>wʊd ju: pli:z hoʊld maɪ ˈteɪbəl aɪ æm əˈfreɪd aɪ wɪl bi: leɪt</t>
  </si>
  <si>
    <t>Would you please hold the table for another half hour?</t>
  </si>
  <si>
    <t>wʊd ju: pli:z hoʊld ðə ˈteɪbəl fɔ:r əˈnʌðər hæf ˈaʊər</t>
  </si>
  <si>
    <t>We didn’t book in advance, when will a table be free?</t>
  </si>
  <si>
    <t>wi: ˈdɪdənt bʊk ɪn ədˈvæns wɛn wɪl ə ˈteɪbəl bi: fri:</t>
  </si>
  <si>
    <t>I’m afraid we don’t have a reservation, how long will we have to wait?</t>
  </si>
  <si>
    <t>aɪm əˈfreɪd wi: doʊnt hæv ə ˌrɛzərˈveɪʃən haʊ lɔ:ŋ wɪl wi: hæv tu: weɪt</t>
  </si>
  <si>
    <t>We didn’t book in advance, can you let me know when a table is available?</t>
  </si>
  <si>
    <t>wi: ˈdɪdənt bʊk ɪn ədˈvæns kæn ju lɛt mi: noʊ wɛn ə ˈteɪbəl ɪz əˈveɪləbəl</t>
  </si>
  <si>
    <t>We’d like to see the menu, please.</t>
  </si>
  <si>
    <t>wi:d laɪk tu: si: ðə ˈmɛnju: pli:z</t>
  </si>
  <si>
    <t>We’d like to see wine menu, please.</t>
  </si>
  <si>
    <t>wi:d laɪk tu: si: waɪn ˈmɛnju: pli:z</t>
  </si>
  <si>
    <t>I’d like to see drink menu, please.</t>
  </si>
  <si>
    <t>aɪd laɪk tu: si: drɪŋk ˈmɛnju: pli:z</t>
  </si>
  <si>
    <t>We’d like 2 menus, please.</t>
  </si>
  <si>
    <t>wi:d laɪk tu: ˈmɛnju:z pli:z</t>
  </si>
  <si>
    <t>We’d like to see the dessert menu, please.</t>
  </si>
  <si>
    <t>wi:d laɪk tu: si: ðə dɪˈzɜ:rt ˈmɛnju: pli:z</t>
  </si>
  <si>
    <t>What do you recommend for appetizer?</t>
  </si>
  <si>
    <t>wʌt du: ju: ˌrɛkəˈmɛnd fɔ:r ˈæpətaɪzər</t>
  </si>
  <si>
    <t>What do you recommend for side dish?</t>
  </si>
  <si>
    <t>wʌt du: ju: ˌrɛkəˈmɛnd fɔ:r saɪd dɪʃ</t>
  </si>
  <si>
    <t>What do you recommend for the house specialty?</t>
  </si>
  <si>
    <t>wʌt du: ju: ˌrɛkəˈmɛnd fɔ:r ðə haʊs ˈspɛʃəlti</t>
  </si>
  <si>
    <t>What do you recommend for the main dish?</t>
  </si>
  <si>
    <t>wʌt du: ju: ˌrɛkəˈmɛnd fɔ:r ðə meɪn dɪʃ</t>
  </si>
  <si>
    <t>What do you recommend for dressing?</t>
  </si>
  <si>
    <t>wʌt du: ju: ˌrɛkəˈmɛnd fɔ:r ˈdrɛsɪŋ</t>
  </si>
  <si>
    <t>Does it come with a drink?</t>
  </si>
  <si>
    <t>dʌz ɪt kʌm wɪð ə drɪŋk</t>
  </si>
  <si>
    <t>Does it come with bread?</t>
  </si>
  <si>
    <t>dʌz ɪt kʌm wɪð brɛd</t>
  </si>
  <si>
    <t>Does the main dish come with an appertizer?</t>
  </si>
  <si>
    <t>dʌz ðə meɪn dɪʃ kʌm wɪð ən ˈæpətaɪzər</t>
  </si>
  <si>
    <t>Does the starter come with salad?</t>
  </si>
  <si>
    <t>dʌz ðə ˈsta:rtər kʌm wɪð ˈsæləd</t>
  </si>
  <si>
    <t>Does it come with rice?</t>
  </si>
  <si>
    <t>dʌz ɪt kʌm wɪð raɪs</t>
  </si>
  <si>
    <t>Does it come with soup?</t>
  </si>
  <si>
    <t>dʌz ɪt kʌm wɪð su:p</t>
  </si>
  <si>
    <t>We would like to have lemonade for drinks.</t>
  </si>
  <si>
    <t>wi: wʊd laɪk tu: hæv lɛməˈneɪd fɔ:r drɪŋks</t>
  </si>
  <si>
    <t>We would like to have mineral water for drinks.</t>
  </si>
  <si>
    <t>wi: wʊd laɪk tu: hæv ˈmɪnərəl ˈwa:tər fɔ:r drɪŋks</t>
  </si>
  <si>
    <t>We would like to have iced tea.</t>
  </si>
  <si>
    <t>wi: wʊd laɪk tu: hæv aɪst ti:</t>
  </si>
  <si>
    <t>Sorry, we are not ready yet.</t>
  </si>
  <si>
    <t>ˈsa:ri wi: a:r na:t ˈrɛdi jɛt</t>
  </si>
  <si>
    <t>Sorry, we’re still deciding.</t>
  </si>
  <si>
    <t>ˈsa:ri wɪr stɪl dɪˈsaɪdɪŋ</t>
  </si>
  <si>
    <t>Can we order please?</t>
  </si>
  <si>
    <t>kæn wi: ˈɔ:rdər pli:z</t>
  </si>
  <si>
    <t>We’d like to order now.</t>
  </si>
  <si>
    <t>wi:d laɪk tu: ˈɔ:rdər naʊ</t>
  </si>
  <si>
    <t>What main dishes do you have?</t>
  </si>
  <si>
    <t>wʌt meɪn ˈdɪʃɪz du: ju: hæv</t>
  </si>
  <si>
    <t>What appetizers do you have?</t>
  </si>
  <si>
    <t>wʌt ˈæpətaɪzərz du: ju: hæv</t>
  </si>
  <si>
    <t>What house specialties do you have?</t>
  </si>
  <si>
    <t>wʌt haʊs ˈspɛʃəltiz du: ju: hæv</t>
  </si>
  <si>
    <t>What side dishes do you have?</t>
  </si>
  <si>
    <t>wʌt saɪd ˈdɪʃɪz du: ju: hæv</t>
  </si>
  <si>
    <t>aɪ wʊd laɪk tu: hæv tu: ˈsælədz</t>
  </si>
  <si>
    <t>I would like to have one roast chicken and one steak.</t>
  </si>
  <si>
    <t>aɪ wʊd laɪk tu: hæv wʌn roʊst ˈʧɪkən ænd wʌn steɪk</t>
  </si>
  <si>
    <t>I would like French fried and a hot dog.</t>
  </si>
  <si>
    <t>aɪ wʊd laɪk frɛnʧ fraɪd ænd ə ha:t dɔ:g</t>
  </si>
  <si>
    <t>I would like my steak well-done.</t>
  </si>
  <si>
    <t>aɪ wʊd laɪk maɪ steɪk wɛlˈdʌn</t>
  </si>
  <si>
    <t>I would like my steak medium-well.</t>
  </si>
  <si>
    <t>aɪ wʊd laɪk maɪ steɪk ˌmiːdiəmˈwel</t>
  </si>
  <si>
    <t>Can I have some chili sauce?</t>
  </si>
  <si>
    <t>kæn aɪ hæv sʌm ˈʧɪli sɔ:s</t>
  </si>
  <si>
    <t>Can I have some ketchup?</t>
  </si>
  <si>
    <t>kæn aɪ hæv sʌm ˈketʃʌp</t>
  </si>
  <si>
    <t>Can I have some vinegar?</t>
  </si>
  <si>
    <t>kæn aɪ hæv sʌm ˈvɪnəgər</t>
  </si>
  <si>
    <t>Can I have some pepper and salt?</t>
  </si>
  <si>
    <t>kæn aɪ hæv sʌm ˈpɛpər ænd sɔ:lt</t>
  </si>
  <si>
    <t>Can I have some soy sauce?</t>
  </si>
  <si>
    <t>kæn aɪ hæv sʌm sɔɪ sɔ:s</t>
  </si>
  <si>
    <t>Can I have some fish sauce?</t>
  </si>
  <si>
    <t>kæn aɪ hæv sʌm fɪʃ sɔ:s</t>
  </si>
  <si>
    <t>Can I have a spoon?</t>
  </si>
  <si>
    <t>kæn aɪ hæv ə spu:n</t>
  </si>
  <si>
    <t>Can I have a napkin?</t>
  </si>
  <si>
    <t>kæn aɪ hæv ə ˈnæpkɪn</t>
  </si>
  <si>
    <t>Can I have a fork?</t>
  </si>
  <si>
    <t>kæn aɪ hæv ə fɔ:rk</t>
  </si>
  <si>
    <t>Can I have chopsticks?</t>
  </si>
  <si>
    <t>kæn aɪ hæv ˈʧa:pstɪks</t>
  </si>
  <si>
    <t>No onions, please.</t>
  </si>
  <si>
    <t>noʊ ˈʌnjənz pli:z</t>
  </si>
  <si>
    <t>No whipped cream, please.</t>
  </si>
  <si>
    <t>noʊ wɪpt kri:m pli:z</t>
  </si>
  <si>
    <t>noʊ ˈmeɪoʊ ˈmeɪəneɪz pli:z</t>
  </si>
  <si>
    <t>No sugar, please.</t>
  </si>
  <si>
    <t>noʊ ˈʃʊgər pli:z</t>
  </si>
  <si>
    <t>This is too spicy.</t>
  </si>
  <si>
    <t>ðɪs ɪz tu: ˈspaɪsi</t>
  </si>
  <si>
    <t>This is too tough.</t>
  </si>
  <si>
    <t>ðɪs ɪz tu: tʌf</t>
  </si>
  <si>
    <t>This is too sour.</t>
  </si>
  <si>
    <t>ðɪs ɪz tu: ˈsaʊər</t>
  </si>
  <si>
    <t>This is too cold.</t>
  </si>
  <si>
    <t>ðɪs ɪz tu: koʊld</t>
  </si>
  <si>
    <t>This is too bitter.</t>
  </si>
  <si>
    <t>ðɪs ɪz tu: ˈbɪtər</t>
  </si>
  <si>
    <t>This is too pink.</t>
  </si>
  <si>
    <t>ðɪs ɪz tu: pɪŋk</t>
  </si>
  <si>
    <t>My tummy is growling, I would like to have chow mein.</t>
  </si>
  <si>
    <t>maɪ ˈtʌmi ɪz ˈgraʊlɪŋ aɪ wʊd laɪk tu: hæv ˌtʃaʊ ˈmeɪn</t>
  </si>
  <si>
    <t>My tummy is growling, I would like to have a bowl of beef Pho.</t>
  </si>
  <si>
    <t>maɪ ˈtʌmi ɪz ˈgraʊlɪŋ aɪ wʊd laɪk tu: hæv ə boʊl ʌv bi:f Pho</t>
  </si>
  <si>
    <t>My tummy is growling, I would like to have spring rolls.</t>
  </si>
  <si>
    <t>maɪ ˈtʌmi ɪz ˈgraʊlɪŋ aɪ wʊd laɪk tu: hæv sprɪŋ roʊlz</t>
  </si>
  <si>
    <t>My tummy is growling, I would like to have hot pot.</t>
  </si>
  <si>
    <t>maɪ ˈtʌmi ɪz ˈgraʊlɪŋ aɪ wʊd laɪk tu: hæv ha:t pa:t</t>
  </si>
  <si>
    <t>A: What do you feel like eating?, B: I feel like eating steak.</t>
  </si>
  <si>
    <t>A: What do you feel like eating?, B: I feel like eating pasta.</t>
  </si>
  <si>
    <t>A: wʌt du: ju: fi:l laɪk ˈi:tɪŋ, B: aɪ fi:l laɪk ˈi:tɪŋ ˈpa:stə</t>
  </si>
  <si>
    <t>To be honest, it wasn’t great.</t>
  </si>
  <si>
    <t>tu: bi: ˈa:nɪst ɪt ˈwa:zənt greɪt</t>
  </si>
  <si>
    <t>To be honest, it could have been better.</t>
  </si>
  <si>
    <t>tu: bi: ˈa:nɪst ɪt kʊd hæv bi:n ˈbɛtər</t>
  </si>
  <si>
    <t>To be honest, that was really delicious.</t>
  </si>
  <si>
    <t>tu: bi: ˈa:nɪst ðæt wʌz ˈriːəli dɪˈlɪʃəs</t>
  </si>
  <si>
    <t>To be honest, everything was perfect.</t>
  </si>
  <si>
    <t>tu: bi: ˈa:nɪst ˈɛvriθɪŋ wʌz ˈpɜ:rfɪkt</t>
  </si>
  <si>
    <t>To be honest, the meat is burnt.</t>
  </si>
  <si>
    <t>tu: bi: ˈa:nɪst ðə mi:t ɪz bɜ:rnt</t>
  </si>
  <si>
    <t>Excuse me, this is not what I ordered.I asked for roast beef.</t>
  </si>
  <si>
    <t>ɪkˈskjuːs miː ðɪs ɪz naːt wʌt aɪ ˈɔːrdərd aɪ æskt fɔːr roʊst biːf</t>
  </si>
  <si>
    <t>Excuse me, this is not what I ordered. I asked for tomato soup.</t>
  </si>
  <si>
    <t>ɪkˈskjuːs miː ðɪs ɪz naːt wʌt aɪ ˈɔːrdərd aɪ ˈæskt fɔːr təˈmeɪtoʊ suːp</t>
  </si>
  <si>
    <t>Excuse me, this is not what I ordered. I asked for a stew.</t>
  </si>
  <si>
    <t>ɪkˈskjuːs miː ðɪs ɪz naːt wʌt aɪ ˈɔːrdərd aɪ ˈæskt fɔːr ə stuː</t>
  </si>
  <si>
    <t>I am allergic to seafood, and I dislike the smell. Whenever I have it, I will have diarrhea.</t>
  </si>
  <si>
    <t>aɪ æm əˈlɜ:rʤɪk tu: ˈsi:fu:d ænd aɪ dɪˈslaɪk ðə smɛl wenˈevər aɪ hæv ɪt aɪ wɪl hæv ˌdaɪəˈri:ə</t>
  </si>
  <si>
    <t>I am allergic to durian, and I dislike the smell. Whenever I have it, I will have diarrhea.</t>
  </si>
  <si>
    <t>aɪ æm əˈlɜ:rʤɪk tu: ˈdʊriən ænd aɪ dɪˈslaɪk ðə smɛl wenˈevər aɪ hæv ɪt aɪ wɪl hæv ˌdaɪəˈri:ə</t>
  </si>
  <si>
    <t>I am allergic to monosodium glutamate (MSG). Whenever I have it, I will have a headache.</t>
  </si>
  <si>
    <t>aɪ æm əˈlɜ:rʤɪk tu: ˌmaːnəsoʊdiəm ˈɡluːtəmeɪt ˌemesˈdʒiː wenˈevər aɪ hæv ɪt aɪ wɪl hæv ə ˈhɛdeɪk</t>
  </si>
  <si>
    <t>Have you eaten king crab before?</t>
  </si>
  <si>
    <t>hæv ju: ˈi:tən kɪŋ kræb bɪˈfɔ:r</t>
  </si>
  <si>
    <t>Have you eaten jelly fish salad before?</t>
  </si>
  <si>
    <t>hæv ju: ˈi:tən ˈʤɛli fɪʃ ˈsæləd bɪˈfɔr</t>
  </si>
  <si>
    <t>Have you eaten lamb chop before?</t>
  </si>
  <si>
    <t>hæv ju: ˈi:tən læm ʧa:p bɪˈfɔ:r</t>
  </si>
  <si>
    <t>I would like a table by the window.</t>
  </si>
  <si>
    <t>aɪ wʊd laɪk ə ˈteɪbəl baɪ ðə ˈwɪndoʊ</t>
  </si>
  <si>
    <t>I would like a table on the terrace.</t>
  </si>
  <si>
    <t>aɪ wʊd laɪk ə ˈteɪbəl a:n ðə ˈtɛrəs</t>
  </si>
  <si>
    <t>I would like a table in the corner.</t>
  </si>
  <si>
    <t>aɪ wʊd laɪk ə ˈteɪbəl ɪn ðə ˈkɔ:rnər</t>
  </si>
  <si>
    <t>I would like a table in the non-smoking area.</t>
  </si>
  <si>
    <t>aɪ wʊd laɪk ə ˈteɪbəl ɪn ðə ˌnaːnˈsmoʊkɪŋ ˈeriə</t>
  </si>
  <si>
    <t>I would like a table in the garden.</t>
  </si>
  <si>
    <t>aɪ wʊd laɪk ə ˈteɪbəl ɪn ðə ˈga:rdən</t>
  </si>
  <si>
    <t>DO YOU KNOW ANY… AROUND HERE? /Cậu có biết… ở quanh đây không?/</t>
  </si>
  <si>
    <t>CAN I MAKE A RESERVATION…? /Vui lòng cho tôi đặt chỗ.../</t>
  </si>
  <si>
    <t>WE DIDN’T BOOK IN ADVANCE… /Chúng tôi không đặt chỗ trước.../</t>
  </si>
  <si>
    <t>WHAT DO YOU RECOMMEND FOR…? /Bạn có thể gợi ý cho tôi… được không?/</t>
  </si>
  <si>
    <t>DOES + TÊN MÓN COME WITH…? /Món đó sẽ đi kèm với… hả?/</t>
  </si>
  <si>
    <t>WE WOULD LIKE TO HAVE… FOR DRINKS /Về thức uống thì chúng tôi muốn.../</t>
  </si>
  <si>
    <t>SORRY, WE ARE… /Xin lỗi, chúng tôi…/</t>
  </si>
  <si>
    <t>WHAT + NOUN + DO YOU HAVE? /Bạn có gì cho…?/</t>
  </si>
  <si>
    <t>I WOULD LIKE… /Tôi muốn…/</t>
  </si>
  <si>
    <t>CAN I HAVE SOME…? /Cho tôi…?/</t>
  </si>
  <si>
    <t>NO…, PLEASE / Đừng cho… nhé/</t>
  </si>
  <si>
    <t>THIS IS TOO… /Món này quá…/</t>
  </si>
  <si>
    <t>MY TUMMY IS GROWING, I WOULD LIKE TO HAVE… /Bụng tôi đang đói meo, tôi muốn…/</t>
  </si>
  <si>
    <t>A: WHAT DO YOU FEEL LIKE EATING? /Bạn thấy thèm ăn cái gì?/, B: I FEEL LIKE EATING + TÊN MÓN /Tôi thấy thèm ăn…/</t>
  </si>
  <si>
    <t>TO BE HONEST, IT… /Thành thật mà nói, nó…/</t>
  </si>
  <si>
    <t>EXCUSE ME, THIS IS NOT WHAT I ORDERED. I ASKED FOR… /Xin lỗi, tôi không có gọi món này. Tôi gọi…/</t>
  </si>
  <si>
    <t>I AM ALLERGIC TO + TÊN MÓN, AND I DISLIKE THE SMELL. WHENEVER I HAVE IT, I WILL HAVE… /Tôi bị dị ứng với… và tôi không thích mùi của nó. Mỗi lần ăn xong, tôi sẽ bị…/</t>
  </si>
  <si>
    <t>HAVE YOU EATEN… BEFORE? /Bạn đã ăn… trước kia chưa?/</t>
  </si>
  <si>
    <t>I WOULD LIKE A TABLE + VỊ TRÍ /Tôi muốn một bàn ở…/</t>
  </si>
  <si>
    <t>Cậu có biết nhà hàng nào ngon ở quanh đây không?</t>
  </si>
  <si>
    <t>Cậu có biết nhà hàng Nhật Bản nào ở quanh đây không?</t>
  </si>
  <si>
    <t>Cậu có biết nhà hàng Tây nào ở quanh đây không?</t>
  </si>
  <si>
    <t>Cậu có biết nhà hàng thức ăn nhanh nào ở gần đây không?</t>
  </si>
  <si>
    <t>Cậu có biết nhà hàng hải sản nào ở gần đây không?</t>
  </si>
  <si>
    <t>Vui lòng cho tôi đặt chỗ cho 4 người.</t>
  </si>
  <si>
    <t>Bạn giữ chỗ giúp mình được không, mình sẽ tới trễ 20 phút.</t>
  </si>
  <si>
    <t>Bạn giữ chỗ giúp mình được không, e rằng mình sẽ đến trễ.</t>
  </si>
  <si>
    <t>Bạn giữ chỗ giúp mình thêm 30 phút nữa được không?</t>
  </si>
  <si>
    <t>Chúng tôi không đặt chỗ trước, khi nào thì có bàn ạ?</t>
  </si>
  <si>
    <t>Rất tiếc là chúng tôi không đặt chỗ trước, chúng tôi sẽ phải đợi trong bao lâu ạ?</t>
  </si>
  <si>
    <t>Chúng tôi muốn xem thực đơn.</t>
  </si>
  <si>
    <t>Chúng tôi muốn xem thực đơn rượu.</t>
  </si>
  <si>
    <t>Tôi muốn xem thực đơn nước uống.</t>
  </si>
  <si>
    <t>Chúng tôi muốn 2 thực đơn.</t>
  </si>
  <si>
    <t>Chúng tôi muốn xem thực đơn tráng miệng.</t>
  </si>
  <si>
    <t>Bạn có thể gợi ý cho tôi món khai vị được không?</t>
  </si>
  <si>
    <t>Bạn có thể gợi ý cho tôi món ăn kèm được không?</t>
  </si>
  <si>
    <t>Bạn có thể gợi ý cho tôi món đặc sản của nhà hàng được không?</t>
  </si>
  <si>
    <t>Bạn có thể gợi ý cho tôi món chính không?</t>
  </si>
  <si>
    <t>Bạn có thể gợi ý cho tôi loại nước sốt không?</t>
  </si>
  <si>
    <t>Món đó sẽ đi kèm với đồ uống hả?</t>
  </si>
  <si>
    <t>Món đó sẽ đi kèm với bánh mì hả?</t>
  </si>
  <si>
    <t>Món chính có đi kèm với món khai vị không?</t>
  </si>
  <si>
    <t>Món khai vị có đi kèm với món rau trộn không?</t>
  </si>
  <si>
    <t>Món đó có đi kèm với cơm trắng không?</t>
  </si>
  <si>
    <t>Món đó có đi kèm với món súp không?</t>
  </si>
  <si>
    <t>Xin lỗi, chúng tôi chưa sẵn sàng.</t>
  </si>
  <si>
    <t>Xin lỗi, chúng tôi vẫn đang suy nghĩ.</t>
  </si>
  <si>
    <t>Chúng tôi gọi món được không?</t>
  </si>
  <si>
    <t>Bây giờ chúng tôi gọi món luôn nhé.</t>
  </si>
  <si>
    <t>Bạn có những món chính nào?</t>
  </si>
  <si>
    <t>Bạn có những món khai vị nào?</t>
  </si>
  <si>
    <t>Bạn có những món đặc sản nào?</t>
  </si>
  <si>
    <t>Bạn có những món ăn kèm nào?</t>
  </si>
  <si>
    <t>Tôi muốn một khoai tây chiên và một bánh mì kẹp xúc xích.</t>
  </si>
  <si>
    <t>Cho tôi xin tương ớt nhé?</t>
  </si>
  <si>
    <t>Cho tôi xin tương cà nhé?</t>
  </si>
  <si>
    <t>Cho tôi xin ít giấm nhé?</t>
  </si>
  <si>
    <t>Cho tôi xin ít tiêu và muối nhé?</t>
  </si>
  <si>
    <t>Cho tôi xin ít xì dầu nhé?</t>
  </si>
  <si>
    <t>Cho tôi ít nước mắm nhé?</t>
  </si>
  <si>
    <t>Cho tôi một cái muỗng nhé?</t>
  </si>
  <si>
    <t>Cho tôi một cái khăn ăn nhé?</t>
  </si>
  <si>
    <t>Cho tôi một cái nĩa nhé?</t>
  </si>
  <si>
    <t>Cho tôi đôi đũa nhé?</t>
  </si>
  <si>
    <t>Làm ơn đừng cho hành tây vào nhé.</t>
  </si>
  <si>
    <t>Làm ơn đừng cho kem tươi vào nhé.</t>
  </si>
  <si>
    <t>Làm ơn đừng cho sốt mayonnaise vào nhé.</t>
  </si>
  <si>
    <t>Không đường nhé.</t>
  </si>
  <si>
    <t>Món này cay quá.</t>
  </si>
  <si>
    <t>Món này dai quá.</t>
  </si>
  <si>
    <t>Món này chua quá.</t>
  </si>
  <si>
    <t>Món này nguội quá.</t>
  </si>
  <si>
    <t>Món này đắng quá.</t>
  </si>
  <si>
    <t>Món này tái quá.</t>
  </si>
  <si>
    <t>Bụng tôi đang đói meo, tôi muốn ăn mì xào.</t>
  </si>
  <si>
    <t>Bụng tôi đang đói meo, tôi muốn ăn một tô phở bò.</t>
  </si>
  <si>
    <t>Bụng tôi đang đói meo, tôi muốn ăn chả giò.</t>
  </si>
  <si>
    <t>Bụng tôi đang đói meo, tôi muốn ăn lẩu.</t>
  </si>
  <si>
    <t>A: Bạn thấy thèm ăn cái gì?, B: Tôi thấy thèm ăn bít tết.</t>
  </si>
  <si>
    <t>A: wʌt du: ju: fi:l laɪk ˈi:tɪŋ, B: aɪ fi:l laɪk ˈi:tɪŋ steɪk</t>
  </si>
  <si>
    <t>A: Bạn thấy thèm ăn cái gì? B: Tôi thấy thèm ăn mì ý.</t>
  </si>
  <si>
    <t>Thành thật mà nói, nó không ngon lắm.</t>
  </si>
  <si>
    <t>Thành thật mà nói, món đó còn có thể ngon hơn.</t>
  </si>
  <si>
    <t>Thành thật mà nói, món đó rất ngon.</t>
  </si>
  <si>
    <t>Thành thật mà nói, mọi thứ đều hoàn hảo.</t>
  </si>
  <si>
    <t>Thành thật mà nói, thịt bị khét.</t>
  </si>
  <si>
    <t>Xin lỗi, tôi không có gọi món này. Tôi gọi thịt bò nướng.</t>
  </si>
  <si>
    <t>Xin lỗi, tôi không có gọi món này. Tôi gọi súp cà chua.</t>
  </si>
  <si>
    <t>Xin lỗi, tôi không có gọi món này. Tôi gọi thịt hầm.</t>
  </si>
  <si>
    <t>Tôi bị dị ứng với đồ hải sản, tôi không thích mùi của nó. Mỗi lần ăn xong, tôi bị tiêu chảy.</t>
  </si>
  <si>
    <t>Tôi bị dị ứng với sầu riêng, tôi không thích mùi của nó. Mỗi lần ăn xong, tôi bị tiêu chảy.</t>
  </si>
  <si>
    <t>Tôi bị dị ứng với bột ngọt. Mỗi lần ăn xong, tôi bị đau đầu.</t>
  </si>
  <si>
    <t>Bạn đã ăn cua hoàng đế bao giờ chưa?</t>
  </si>
  <si>
    <t>Bạn đã ăn gỏi sứa bao giờ chưa?</t>
  </si>
  <si>
    <t>Bạn đã ăn sườn cừu bao giờ chưa?</t>
  </si>
  <si>
    <t>1.5</t>
  </si>
  <si>
    <t>2.5</t>
  </si>
  <si>
    <t>5.5</t>
  </si>
  <si>
    <t>6.5</t>
  </si>
  <si>
    <t>11.6</t>
  </si>
  <si>
    <t>12.4</t>
  </si>
  <si>
    <t>12.5</t>
  </si>
  <si>
    <t>12.6</t>
  </si>
  <si>
    <t>12.7</t>
  </si>
  <si>
    <t>12.8</t>
  </si>
  <si>
    <t>12.9</t>
  </si>
  <si>
    <t>12.10</t>
  </si>
  <si>
    <t>14.5</t>
  </si>
  <si>
    <t>14.6</t>
  </si>
  <si>
    <t>17.4</t>
  </si>
  <si>
    <t>17.5</t>
  </si>
  <si>
    <t>1Struc</t>
  </si>
  <si>
    <t>1.1Viet</t>
  </si>
  <si>
    <t>1.1Eng</t>
  </si>
  <si>
    <t>1.2Viet</t>
  </si>
  <si>
    <t>1.2Eng</t>
  </si>
  <si>
    <t>1.3Viet</t>
  </si>
  <si>
    <t>1.3Eng</t>
  </si>
  <si>
    <t>1.4Viet</t>
  </si>
  <si>
    <t>1.4Eng</t>
  </si>
  <si>
    <t>1.5Viet</t>
  </si>
  <si>
    <t>1.5Eng</t>
  </si>
  <si>
    <t>2Struc</t>
  </si>
  <si>
    <t>2.1Viet</t>
  </si>
  <si>
    <t>2.1Eng</t>
  </si>
  <si>
    <t>2.2Viet</t>
  </si>
  <si>
    <t>2.2Eng</t>
  </si>
  <si>
    <t>2.3Viet</t>
  </si>
  <si>
    <t>2.3Eng</t>
  </si>
  <si>
    <t>2.4Viet</t>
  </si>
  <si>
    <t>2.4Eng</t>
  </si>
  <si>
    <t>2.5Viet</t>
  </si>
  <si>
    <t>2.5Eng</t>
  </si>
  <si>
    <t>3Struc</t>
  </si>
  <si>
    <t>3.3Eng</t>
  </si>
  <si>
    <t>3.1Viet</t>
  </si>
  <si>
    <t>3.1Eng</t>
  </si>
  <si>
    <t>3.2Viet</t>
  </si>
  <si>
    <t>3.2Eng</t>
  </si>
  <si>
    <t>3.3Viet</t>
  </si>
  <si>
    <t>4Struc</t>
  </si>
  <si>
    <t>4.1Viet</t>
  </si>
  <si>
    <t>4.1Eng</t>
  </si>
  <si>
    <t>4.2Viet</t>
  </si>
  <si>
    <t>4.2Eng</t>
  </si>
  <si>
    <t>4.3Viet</t>
  </si>
  <si>
    <t>4.3Eng</t>
  </si>
  <si>
    <t>5Struc</t>
  </si>
  <si>
    <t>5.1Viet</t>
  </si>
  <si>
    <t>5.1Eng</t>
  </si>
  <si>
    <t>5.2Viet</t>
  </si>
  <si>
    <t>5.2Eng</t>
  </si>
  <si>
    <t>5.3Viet</t>
  </si>
  <si>
    <t>5.3Eng</t>
  </si>
  <si>
    <t>5.4Viet</t>
  </si>
  <si>
    <t>5.4Eng</t>
  </si>
  <si>
    <t>5.5Viet</t>
  </si>
  <si>
    <t>5.5Eng</t>
  </si>
  <si>
    <t>6Struc</t>
  </si>
  <si>
    <t>6.1Viet</t>
  </si>
  <si>
    <t>6.1Eng</t>
  </si>
  <si>
    <t>6.2Viet</t>
  </si>
  <si>
    <t>6.2Eng</t>
  </si>
  <si>
    <t>6.3Viet</t>
  </si>
  <si>
    <t>6.3Eng</t>
  </si>
  <si>
    <t>6.4Viet</t>
  </si>
  <si>
    <t>6.4Eng</t>
  </si>
  <si>
    <t>6.5Viet</t>
  </si>
  <si>
    <t>6.5Eng</t>
  </si>
  <si>
    <t>7Struc</t>
  </si>
  <si>
    <t>7.1Viet</t>
  </si>
  <si>
    <t>7.1Eng</t>
  </si>
  <si>
    <t>7.2Viet</t>
  </si>
  <si>
    <t>7.2Eng</t>
  </si>
  <si>
    <t>7.3Viet</t>
  </si>
  <si>
    <t>7.3Eng</t>
  </si>
  <si>
    <t>7.4Viet</t>
  </si>
  <si>
    <t>7.4Eng</t>
  </si>
  <si>
    <t>7.5Viet</t>
  </si>
  <si>
    <t>7.5Eng</t>
  </si>
  <si>
    <t>7.6Viet</t>
  </si>
  <si>
    <t>7.6Eng</t>
  </si>
  <si>
    <t>8Struc</t>
  </si>
  <si>
    <t>8.1Viet</t>
  </si>
  <si>
    <t>8.1Eng</t>
  </si>
  <si>
    <t>8.2Viet</t>
  </si>
  <si>
    <t>8.2Eng</t>
  </si>
  <si>
    <t>8.3Viet</t>
  </si>
  <si>
    <t>8.3Eng</t>
  </si>
  <si>
    <t>9Struc</t>
  </si>
  <si>
    <t>9.1Viet</t>
  </si>
  <si>
    <t>9.1Eng</t>
  </si>
  <si>
    <t>9.2Viet</t>
  </si>
  <si>
    <t>9.2Eng</t>
  </si>
  <si>
    <t>9.3Viet</t>
  </si>
  <si>
    <t>9.3Eng</t>
  </si>
  <si>
    <t>9.4Viet</t>
  </si>
  <si>
    <t>9.4Eng</t>
  </si>
  <si>
    <t>10Struc</t>
  </si>
  <si>
    <t>10.1Viet</t>
  </si>
  <si>
    <t>10.1Eng</t>
  </si>
  <si>
    <t>10.2Viet</t>
  </si>
  <si>
    <t>10.2Eng</t>
  </si>
  <si>
    <t>10.3Viet</t>
  </si>
  <si>
    <t>10.3Eng</t>
  </si>
  <si>
    <t>10.4Viet</t>
  </si>
  <si>
    <t>10.4Eng</t>
  </si>
  <si>
    <t>11.6Viet</t>
  </si>
  <si>
    <t>11.6Eng</t>
  </si>
  <si>
    <t>12.4Viet</t>
  </si>
  <si>
    <t>12.4Eng</t>
  </si>
  <si>
    <t>12.5Viet</t>
  </si>
  <si>
    <t>12.5Eng</t>
  </si>
  <si>
    <t>12.6Viet</t>
  </si>
  <si>
    <t>12.6Eng</t>
  </si>
  <si>
    <t>12.7Viet</t>
  </si>
  <si>
    <t>12.7Eng</t>
  </si>
  <si>
    <t>12.8Viet</t>
  </si>
  <si>
    <t>12.8Eng</t>
  </si>
  <si>
    <t>12.9Viet</t>
  </si>
  <si>
    <t>12.9Eng</t>
  </si>
  <si>
    <t>12.10Viet</t>
  </si>
  <si>
    <t>12.10Eng</t>
  </si>
  <si>
    <t>14.5Viet</t>
  </si>
  <si>
    <t>14.5Eng</t>
  </si>
  <si>
    <t>14.6Viet</t>
  </si>
  <si>
    <t>14.6Eng</t>
  </si>
  <si>
    <t>17.4Viet</t>
  </si>
  <si>
    <t>17.4Eng</t>
  </si>
  <si>
    <t>17.5Viet</t>
  </si>
  <si>
    <t>17.5Eng</t>
  </si>
  <si>
    <t>WOULD YOU PLEASE HOLD THE TABLE…? /Bạn giữ chỗ giúp tôi được không?/</t>
  </si>
  <si>
    <t>1.1Phon</t>
  </si>
  <si>
    <t>1.2Phon</t>
  </si>
  <si>
    <t>1.3Phon</t>
  </si>
  <si>
    <t>1.4Phon</t>
  </si>
  <si>
    <t>1.5Phon</t>
  </si>
  <si>
    <t>2.1Phon</t>
  </si>
  <si>
    <t>2.2Phon</t>
  </si>
  <si>
    <t>2.3Phon</t>
  </si>
  <si>
    <t>2.4Phon</t>
  </si>
  <si>
    <t>2.5Phon</t>
  </si>
  <si>
    <t>3.1Phon</t>
  </si>
  <si>
    <t>3.2Phon</t>
  </si>
  <si>
    <t>3.3Phon</t>
  </si>
  <si>
    <t>4.1Phon</t>
  </si>
  <si>
    <t>4.2Phon</t>
  </si>
  <si>
    <t>4.3Phon</t>
  </si>
  <si>
    <t>5.1Phon</t>
  </si>
  <si>
    <t>5.2Phon</t>
  </si>
  <si>
    <t>5.3Phon</t>
  </si>
  <si>
    <t>5.4Phon</t>
  </si>
  <si>
    <t>5.5Phon</t>
  </si>
  <si>
    <t>6.1Phon</t>
  </si>
  <si>
    <t>6.2Phon</t>
  </si>
  <si>
    <t>6.3Phon</t>
  </si>
  <si>
    <t>6.4Phon</t>
  </si>
  <si>
    <t>6.5Phon</t>
  </si>
  <si>
    <t>7.1Phon</t>
  </si>
  <si>
    <t>7.2Phon</t>
  </si>
  <si>
    <t>7.3Phon</t>
  </si>
  <si>
    <t>7.4Phon</t>
  </si>
  <si>
    <t>7.5Phon</t>
  </si>
  <si>
    <t>7.6Phon</t>
  </si>
  <si>
    <t>8.1Phon</t>
  </si>
  <si>
    <t>8.2Phon</t>
  </si>
  <si>
    <t>8.3Phon</t>
  </si>
  <si>
    <t>9.1Phon</t>
  </si>
  <si>
    <t>9.2Phon</t>
  </si>
  <si>
    <t>9.3Phon</t>
  </si>
  <si>
    <t>9.4Phon</t>
  </si>
  <si>
    <t>10.1Phon</t>
  </si>
  <si>
    <t>10.2Phon</t>
  </si>
  <si>
    <t>10.3Phon</t>
  </si>
  <si>
    <t>10.4Phon</t>
  </si>
  <si>
    <t>12.4Phon</t>
  </si>
  <si>
    <t>12.5Phon</t>
  </si>
  <si>
    <t>12.6Phon</t>
  </si>
  <si>
    <t>12.7Phon</t>
  </si>
  <si>
    <t>12.8Phon</t>
  </si>
  <si>
    <t>12.9Phon</t>
  </si>
  <si>
    <t>12.10Phon</t>
  </si>
  <si>
    <t>14.5Phon</t>
  </si>
  <si>
    <t>14.6Phon</t>
  </si>
  <si>
    <t>17.4Phon</t>
  </si>
  <si>
    <t>17.5Phon</t>
  </si>
  <si>
    <t>TOPIC: RESTAURANT</t>
  </si>
  <si>
    <t>16-21</t>
  </si>
  <si>
    <t>Vui lòng cho tôi đặt chỗ tối nay?</t>
  </si>
  <si>
    <t>Vui lòng cho tôi đặt chỗ qua điện thoại?</t>
  </si>
  <si>
    <t>Vui lòng cho tôi đặt chỗ qua trang web?</t>
  </si>
  <si>
    <t>Chúng tôi không đặt chỗ trước, khi nào có bàn thì cô cho tôi biết nhé?</t>
  </si>
  <si>
    <t>Cho tôi một bàn bên cạnh cửa sổ nhé?</t>
  </si>
  <si>
    <t>Cho tôi đặt một bàn vào 8 giờ tối ngày mai nhé?</t>
  </si>
  <si>
    <t>Về thức uống thì cho chúng tôi nước chanh nhé.</t>
  </si>
  <si>
    <t>Về thức uống thì cho chúng tôi nước khoáng nhé.</t>
  </si>
  <si>
    <t>Về thức uống thì cho chúng tôi trà đá nhé.</t>
  </si>
  <si>
    <t>https://drive.google.com/file/d/1CMvsfJ0HhFL0BCmaLAHxZvSd4i5Y1-42/view?usp=sharing</t>
  </si>
  <si>
    <t>https://drive.google.com/file/d/146WHmNxMtDrfnMyTmP19o7RPM2UR7rAP/view?usp=sharing</t>
  </si>
  <si>
    <t>https://drive.google.com/file/d/16en5UYWOZqr7QaIvQrWw6vA1x9DYkJ4D/view?usp=sharing</t>
  </si>
  <si>
    <t>https://drive.google.com/file/d/1mPa23EjqSy1DVpmZrrjetf2-VoOstiLT/view?usp=sharing</t>
  </si>
  <si>
    <t>https://drive.google.com/file/d/1jpHsFyxAuOiVuOId3W6V57PG9tN1Hvoa/view?usp=sharing</t>
  </si>
  <si>
    <t>https://drive.google.com/file/d/1uMj-EZeWo8cqJ4gthYkcU3PO5-ADleRX/view?usp=sharing</t>
  </si>
  <si>
    <t>https://drive.google.com/file/d/1w99NNIxFgtbxSm115_vOzzbeUyaRdX3d/view?usp=sharing</t>
  </si>
  <si>
    <t>https://drive.google.com/file/d/1hBed7Sm0Uu7_ebFFuhB7r5eSSD6XmxGc/view?usp=sharing</t>
  </si>
  <si>
    <t>https://drive.google.com/file/d/1BJcTAxHo57DwTtZMMz-vIcUiwVoE6PSF/view?usp=sharing</t>
  </si>
  <si>
    <t>https://drive.google.com/file/d/1P7bmCW58ywp6JcyGrAyXOHcqGNlSeTd6/view?usp=sharing</t>
  </si>
  <si>
    <t>https://drive.google.com/file/d/1V-h8aG8t6t2uUWMLn-5FLSkHw1KkoKsD/view?usp=sharing</t>
  </si>
  <si>
    <t>https://drive.google.com/file/d/1DZz2GK2fssD7ZrjTx9ouQsvA09zXNpkC/view?usp=sharing</t>
  </si>
  <si>
    <t>https://drive.google.com/file/d/1Y6WzkKIn8yW10Xp7MbKpyNGKz2fvT3Qs/view?usp=sharing</t>
  </si>
  <si>
    <t>https://drive.google.com/file/d/1knF9Abeb4cHZIhAgg2NI5cywAJj2PgqW/view?usp=sharing</t>
  </si>
  <si>
    <t>https://drive.google.com/file/d/1USO8t14JaJZGhRs5sZ6DQ1sTIbwa9buE/view?usp=sharing</t>
  </si>
  <si>
    <t>https://drive.google.com/file/d/1iglhn8951dR1tvrm1ExikwYXknC4P7TX/view?usp=sharing</t>
  </si>
  <si>
    <t>https://drive.google.com/file/d/1EvfQrcfkEH9ce3mSqIIMGb2tQkBYmHIr/view?usp=sharing</t>
  </si>
  <si>
    <t>https://drive.google.com/file/d/1FXO1JGcJ3Atbw-AohDr-mNFQnBT-yVLX/view?usp=sharing</t>
  </si>
  <si>
    <t>https://drive.google.com/file/d/1NTOezLtxfszpjPr6dRDiGlXiparUhght/view?usp=sharing</t>
  </si>
  <si>
    <t>https://drive.google.com/file/d/13zPKZ6YDkDVhNjjgVvT3s8POLfXwD-3T/view?usp=sharing</t>
  </si>
  <si>
    <t>https://drive.google.com/file/d/1shYCD4WoVYaKsPgiDMtObBb3DqD1pR8T/view?usp=sharing</t>
  </si>
  <si>
    <t>https://drive.google.com/file/d/1iK-hRjXjGwHcuQXC7W31rW0T-b4zbjbK/view?usp=sharing</t>
  </si>
  <si>
    <t>https://drive.google.com/file/d/1mvLeVOGEyee2DXmT9E3nr0pDJFE1qmDz/view?usp=sharing</t>
  </si>
  <si>
    <t>https://drive.google.com/file/d/12C5lJr5KjKsYuxPWFhXaarytujcG6TYS/view?usp=sharing</t>
  </si>
  <si>
    <t>https://drive.google.com/file/d/1uAdTKDkYVR6EZTTtX1BJdllfTVTRAtnh/view?usp=sharing</t>
  </si>
  <si>
    <t>https://drive.google.com/file/d/1GvIjLPUmHTjEZUzwwPyTB6l_aS-YCO5N/view?usp=sharing</t>
  </si>
  <si>
    <t>https://drive.google.com/file/d/1v5Pq-gY-XkgVGKoA6d5QErGFHVv3iNL_/view?usp=sharing</t>
  </si>
  <si>
    <t>https://drive.google.com/file/d/1DsvnaFv7x7kZ8X7w3MFqqHQ7wFzqhLQE/view?usp=sharing</t>
  </si>
  <si>
    <t>https://drive.google.com/file/d/1lGLW_J4Wks5M_a9-4x1R5X9Frl-NwH0A/view?usp=sharing</t>
  </si>
  <si>
    <t>https://drive.google.com/file/d/1pCacLAjDhIx1ekj5W22LuBNf1K2wFZxF/view?usp=sharing</t>
  </si>
  <si>
    <t>https://drive.google.com/file/d/1eB3MC4aDEtuWw-ZJwsZu4NbtY_gdNbZb/view?usp=sharing</t>
  </si>
  <si>
    <t>https://drive.google.com/file/d/1SC7VMMen4PY70HKXjLhdIOZKi7zyms-P/view?usp=sharing</t>
  </si>
  <si>
    <t>https://drive.google.com/file/d/12SBNuZAP445P3w7G0dxxcfEnob1-6NSn/view?usp=sharing</t>
  </si>
  <si>
    <t>https://drive.google.com/file/d/1leOXxcBqQSs-IEmILuiozj0FCe1CcVFY/view?usp=sharing</t>
  </si>
  <si>
    <t>https://drive.google.com/file/d/1E5fSDA9XSTvkgA8hv3OrZk103QbrEMLp/view?usp=sharing</t>
  </si>
  <si>
    <t>https://drive.google.com/file/d/1LagtghJn6Q0RlZ423yY7qf6IgeMuBVbQ/view?usp=sharing</t>
  </si>
  <si>
    <t>https://drive.google.com/file/d/1tRHFIgVzpeK-pjqaeeE02GEDeo1f6Rz6/view?usp=sharing</t>
  </si>
  <si>
    <t>https://drive.google.com/file/d/1lYB-3dw3JpPjJwnIGYcOiosHdG7CSosn/view?usp=sharing</t>
  </si>
  <si>
    <t>https://drive.google.com/file/d/1EzdGsYHBe4SOUNnNKWjj77xG8aq0FxjT/view?usp=sharing</t>
  </si>
  <si>
    <t>https://drive.google.com/file/d/1kQM3Z7uLxH_wYsI2L3Ppx9hn7w0iDfrr/view?usp=sharing</t>
  </si>
  <si>
    <t>https://drive.google.com/file/d/1e2sKypcf_I3wboIy009n3mdw42yqWKbQ/view?usp=sharing</t>
  </si>
  <si>
    <t>https://drive.google.com/file/d/1bKyXoJ9gro4V2DqE5R0kHYXGEdtUani0/view?usp=sharing</t>
  </si>
  <si>
    <t>https://drive.google.com/file/d/1cvZMlzuShm3n5OpVJltY4zNrOYGo17NA/view?usp=sharing</t>
  </si>
  <si>
    <t>https://drive.google.com/file/d/1PSvNmiGD381aizi5oO4ySJ6GUQeNIet3/view?usp=sharing</t>
  </si>
  <si>
    <t>https://drive.google.com/file/d/15Zj19Yv1HxrfcH2UHQ8g9_d_fBOlWLbZ/view?usp=sharing</t>
  </si>
  <si>
    <t>WE’D LIKE TO SEE THE… /Chúng tôi muốn xem…/</t>
  </si>
  <si>
    <t>I would like my steak medium-rare.</t>
  </si>
  <si>
    <t>aɪ wʊd laɪk maɪ steɪk ˌmiːdiəmˈrer</t>
  </si>
  <si>
    <t>Tôi muốn thịt bít tết chín vừa nhé,</t>
  </si>
  <si>
    <t>Tôi muốn thịt bít tết tái vừa nhé,</t>
  </si>
  <si>
    <t>No mayonnaise, please.</t>
  </si>
  <si>
    <t>https://drive.google.com/file/d/1LOqan9J7mnqOK03U_UECdiXH7F5gUoCB/view?usp=sharing</t>
  </si>
  <si>
    <t>https://drive.google.com/file/d/1mTbUja0YYBAmZg5FPJXI2aYhV1US68fo/view?usp=sharing</t>
  </si>
  <si>
    <t>https://drive.google.com/file/d/1c1yjb_nIxnQXGZlfFgXhn_xhCg23phF9/view?usp=sharing</t>
  </si>
  <si>
    <t>https://drive.google.com/file/d/1BC9J-df1_YTpLcx1R_bD0_BzOtoEa241/view?usp=sharing</t>
  </si>
  <si>
    <t>https://drive.google.com/file/d/1XJRSJ7p5PwS6x0zHyAbthB63aK1XdQg4/view?usp=sharing</t>
  </si>
  <si>
    <t>https://drive.google.com/file/d/1_KQxQ3bt55yCAYewkvLAZJG2_8n3OA2h/view?usp=sharing</t>
  </si>
  <si>
    <t>https://drive.google.com/file/d/1v_5dj7y2O0zCRpf-W_FB2sPrb5l51xnW/view?usp=sharing</t>
  </si>
  <si>
    <t>https://drive.google.com/file/d/1tMWiJOF-GgPVwbWAfK3j_dfLk5YiouW2/view?usp=sharing</t>
  </si>
  <si>
    <t>https://drive.google.com/file/d/1g1u8Sc1QFMKpmdB6QYh-ZoSgl3SmG_JQ/view?usp=sharing</t>
  </si>
  <si>
    <t>https://drive.google.com/file/d/1PMIC250VFEkxHpCS8qhDxRBnEZbAGu5C/view?usp=sharing</t>
  </si>
  <si>
    <t>https://drive.google.com/file/d/1-e3qt06fqhN44npveD2gKzRar4_rXlvR/view?usp=sharing</t>
  </si>
  <si>
    <t>https://drive.google.com/file/d/1wTkwWTVpZIlcy5ewQtiMNlr-DGIzE13M/view?usp=sharing</t>
  </si>
  <si>
    <t>https://drive.google.com/file/d/1TAz8Ke-uSGDTc1Mma6vUVSqH2aRB58ip/view?usp=sharing</t>
  </si>
  <si>
    <t>https://drive.google.com/file/d/1UXXbaAo-GOkXMgbGzLIwtWFq69cmk5eB/view?usp=sharing</t>
  </si>
  <si>
    <t>https://drive.google.com/file/d/1pghwaHp1IGgxrRbnZW0Uls1IvmBm-iX9/view?usp=sharing</t>
  </si>
  <si>
    <t>https://drive.google.com/file/d/1w_YaUaLhHSMO8jcXvppBrxaIc-jjkfxw/view?usp=sharing</t>
  </si>
  <si>
    <t>https://drive.google.com/file/d/11NqBC94oeJ8bawGdf1Y-pPmcpEmRortW/view?usp=sharing</t>
  </si>
  <si>
    <t>https://drive.google.com/file/d/16d03x_Fwa67mKry1R7EUixzprXm5UAy5/view?usp=sharing</t>
  </si>
  <si>
    <t>https://drive.google.com/file/d/1WzGqz863eLHay0SEGoKKqgl6vbYSV_l_/view?usp=sharing</t>
  </si>
  <si>
    <t>https://drive.google.com/file/d/1X_rcbDRtOSi_SO4xK7VH4dL-GM-aZuJa/view?usp=sharing</t>
  </si>
  <si>
    <t>https://drive.google.com/file/d/1G-v-FPpcnVRPxTUiGAuMHmFV9l5EFQuS/view?usp=sharing</t>
  </si>
  <si>
    <t>https://drive.google.com/file/d/1rE8FM-N9vosIP3LHcQY_R7Jx82BeQNEP/view?usp=sharing</t>
  </si>
  <si>
    <t>https://drive.google.com/file/d/1_GXpQZdeCx5XwaBr2QZ2LiSJuT-Z0lQ8/view?usp=sharing</t>
  </si>
  <si>
    <t>https://drive.google.com/file/d/1xCNNWmJkn-_USRJZfVmrxtf3uKonfNBC/view?usp=sharing</t>
  </si>
  <si>
    <t>https://drive.google.com/file/d/1R8twXpI22vdSbYz1u1c2ztUFqAc5UWcx/view?usp=sharing</t>
  </si>
  <si>
    <t>https://drive.google.com/file/d/1V40Ah1wCtAxk5cHSEP21wNLwJh6fDjQC/view?usp=sharing</t>
  </si>
  <si>
    <t>https://drive.google.com/file/d/1qcNOD0GnkVPldYukNvMUlCAZNU6LsyuF/view?usp=sharing</t>
  </si>
  <si>
    <t>https://drive.google.com/file/d/1Y83Zeg3ogsW2aWH6FjhN7HFPaWp4SXMj/view?usp=sharing</t>
  </si>
  <si>
    <t>https://drive.google.com/file/d/1qh3d1xH69d82PTzpX90Rz8wIVCPv7NiY/view?usp=sharing</t>
  </si>
  <si>
    <t>https://drive.google.com/file/d/1o5KQS8IbhUuahOgD5l9iQ70UWj5IF4SZ/view?usp=sharing</t>
  </si>
  <si>
    <t>https://drive.google.com/file/d/1SLYzH2eNOngVBdpwAlJ9IA7yEhob1T32/view?usp=sharing</t>
  </si>
  <si>
    <t>https://drive.google.com/file/d/1LVlZv4x5keHjrPwUKVRCFcQZlHjrbnoK/view?usp=sharing</t>
  </si>
  <si>
    <t>https://drive.google.com/file/d/1yNxyn3hTWN6Y-VcfasnADh1XQd1KLO5A/view?usp=sharing</t>
  </si>
  <si>
    <t>https://drive.google.com/file/d/1KcUy3OL6KIHay-4myAK2wgT05Mm506__/view?usp=sharing</t>
  </si>
  <si>
    <t>https://drive.google.com/file/d/1buvMzyghMGgUGnfBlAYfoEK0KELeWFAR/view?usp=sharing</t>
  </si>
  <si>
    <t>https://drive.google.com/file/d/1UElilMn3p3VEL5kLcsMKzUGVvUBexDQf/view?usp=sharing</t>
  </si>
  <si>
    <t>https://drive.google.com/file/d/11ZUipi0jlb8afyaiYpcWZNlRooGa07tN/view?usp=sharing</t>
  </si>
  <si>
    <t>https://drive.google.com/file/d/1zkbQhAyyRNZnsgw_YB9h5b4xCigC9bYn/view?usp=sharing</t>
  </si>
  <si>
    <t>https://drive.google.com/file/d/1XE4sTHymFqJxFVZb-8GEoxVde1L7axed/view?usp=sharing</t>
  </si>
  <si>
    <t>https://drive.google.com/file/d/1I5oz3dzBJryCQu4b37WY33mgJZsY1Tbb/view?usp=sharing</t>
  </si>
  <si>
    <t>https://drive.google.com/file/d/1vNQskC9gK7ZPTTTZsqUH3hDrmY7YsU3C/view?usp=sharing</t>
  </si>
  <si>
    <t>https://drive.google.com/file/d/1n-s09pG1aHqFBblMLn02KrdghRSYKpjU/view?usp=sharing</t>
  </si>
  <si>
    <t>https://drive.google.com/file/d/1v5-0DOBsZ5u6o3720vvtG__VRC0OlhLO/view?usp=sharing</t>
  </si>
  <si>
    <t>https://drive.google.com/file/d/1Y6Apmrg3WqhTYnytRZcTk6RBNV2v01wi/view?usp=sharing</t>
  </si>
  <si>
    <t>https://drive.google.com/file/d/14ht1XT9bw95cFGBjhC45d_YnbS9PGvii/view?usp=sharing</t>
  </si>
  <si>
    <t>https://drive.google.com/file/d/1O5rAqdrwganc_VyBu_-wEbG8BO1_mViZ/view?usp=sharing</t>
  </si>
  <si>
    <t>https://drive.google.com/file/d/1hrDFFzlJ2J5zD8xzV8YGu4AO7kNyaWp2/view?usp=sharing</t>
  </si>
  <si>
    <t>https://drive.google.com/file/d/1V_5tgxw0BReKY-R8xSyGrbpCXU5nRg59/view?usp=sharing</t>
  </si>
  <si>
    <t>https://drive.google.com/file/d/1szCwBQ1sRZIx2FnZPgXspSF5jV8Y35pH/view?usp=sharing</t>
  </si>
  <si>
    <t>https://drive.google.com/file/d/1wXOnJY9JkqtMqLHpRId9029ob9S5l887/view?usp=sharing</t>
  </si>
  <si>
    <t>https://drive.google.com/file/d/1zwGsY_qgMgcHy4S87W0Aw0EVyt1M2e_V/view?usp=sharing</t>
  </si>
  <si>
    <t>l</t>
  </si>
  <si>
    <t>k</t>
  </si>
  <si>
    <t>j</t>
  </si>
  <si>
    <t>https://drive.google.com/file/d/1y2DBC-IxXzp1J04TIqh1SAzDkS9eaHMF/view?usp=sharing</t>
  </si>
  <si>
    <t>https://drive.google.com/file/d/1u5DO6HFdqBGKu12Kdhfs5orC6qktxnLK/view?usp=sharing</t>
  </si>
  <si>
    <t>Tôi muốn thịt bít tết chín kĩ nhé.</t>
  </si>
  <si>
    <t>Cho tôi một gà quay và một bít tết nhé.</t>
  </si>
  <si>
    <t>I would like to have two salads.</t>
  </si>
  <si>
    <t>Cho tôi 2 dĩa rau trộn nhé.</t>
  </si>
  <si>
    <t>Cho tôi một bàn ở trong góc nhé.</t>
  </si>
  <si>
    <t>Cho tôi một bàn ngoài ban công nhé.</t>
  </si>
  <si>
    <t>Cho tôi một bàn ở khu không hút thuốc nhé.</t>
  </si>
  <si>
    <t>Cho tôi một bàn ở ngoài vườn nhé.</t>
  </si>
  <si>
    <t>https://drive.google.com/file/d/1T3Cu8i_YzrfsdyW0VsIZuY9b-nfn7EPO/view?usp=sharing</t>
  </si>
  <si>
    <t>01-21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</si>
</sst>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63"/>
      <scheme val="minor"/>
    </font>
    <font>
      <sz val="8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/>
    <xf numFmtId="0" fontId="0" fillId="2" borderId="0" xfId="0" applyFill="1"/>
    <xf numFmtId="0" fontId="0" fillId="2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2" fillId="0" borderId="0" xfId="1" applyFill="1"/>
    <xf numFmtId="49" fontId="0" fillId="0" borderId="1" xfId="0" applyNumberForma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quotePrefix="1"/>
    <xf numFmtId="0" fontId="4" fillId="2" borderId="1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0" xfId="0" applyFont="1"/>
    <xf numFmtId="0" fontId="4" fillId="3" borderId="0" xfId="0" applyFont="1" applyFill="1"/>
    <xf numFmtId="0" fontId="5" fillId="0" borderId="0" xfId="1" applyFont="1"/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left"/>
    </xf>
    <xf numFmtId="0" fontId="4" fillId="0" borderId="4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9D1B-A452-401C-9733-8750E50DAAFC}">
  <dimension ref="A2:H306"/>
  <sheetViews>
    <sheetView showGridLines="0" zoomScale="81" zoomScaleNormal="81" workbookViewId="0">
      <selection activeCell="B3" sqref="B3:F306"/>
    </sheetView>
  </sheetViews>
  <sheetFormatPr defaultRowHeight="13.8" x14ac:dyDescent="0.25"/>
  <cols>
    <col min="1" max="1" width="5.296875" style="15" customWidth="1"/>
    <col min="2" max="2" width="7.3984375" style="15" customWidth="1"/>
    <col min="3" max="3" width="8.8984375" style="15" customWidth="1"/>
    <col min="4" max="4" width="64.3984375" style="11" customWidth="1"/>
    <col min="5" max="5" width="8.8984375" style="15" customWidth="1"/>
    <col min="6" max="6" width="27.59765625" style="11" customWidth="1"/>
    <col min="7" max="7" width="18.59765625" style="21" customWidth="1"/>
    <col min="8" max="8" width="16.19921875" style="21" customWidth="1"/>
    <col min="9" max="16384" width="8.796875" style="21"/>
  </cols>
  <sheetData>
    <row r="2" spans="1:8" x14ac:dyDescent="0.25">
      <c r="B2" s="11" t="s">
        <v>689</v>
      </c>
      <c r="E2" s="11"/>
    </row>
    <row r="3" spans="1:8" x14ac:dyDescent="0.25">
      <c r="A3" s="15" t="s">
        <v>1</v>
      </c>
      <c r="B3" s="12" t="s">
        <v>1</v>
      </c>
      <c r="C3" s="12" t="s">
        <v>8</v>
      </c>
      <c r="D3" s="19" t="s">
        <v>0</v>
      </c>
      <c r="E3" s="12" t="s">
        <v>2</v>
      </c>
      <c r="F3" s="19" t="s">
        <v>9</v>
      </c>
      <c r="G3" s="15" t="s">
        <v>8</v>
      </c>
      <c r="H3" s="22" t="s">
        <v>10</v>
      </c>
    </row>
    <row r="4" spans="1:8" s="10" customFormat="1" x14ac:dyDescent="0.25">
      <c r="A4" s="9"/>
      <c r="B4" s="13">
        <v>1</v>
      </c>
      <c r="C4" s="14" t="s">
        <v>514</v>
      </c>
      <c r="D4" s="20" t="s">
        <v>402</v>
      </c>
      <c r="E4" s="14" t="s">
        <v>11</v>
      </c>
      <c r="F4" s="20"/>
      <c r="G4" s="9"/>
      <c r="H4" s="21"/>
    </row>
    <row r="5" spans="1:8" x14ac:dyDescent="0.25">
      <c r="B5" s="24" t="s">
        <v>13</v>
      </c>
      <c r="C5" s="24" t="s">
        <v>515</v>
      </c>
      <c r="D5" s="25" t="s">
        <v>421</v>
      </c>
      <c r="E5" s="24" t="s">
        <v>3</v>
      </c>
      <c r="F5" s="25"/>
      <c r="G5" s="23" t="str">
        <f>IFERROR(LEFT(RIGHT(H5,LEN(H5)-32),LEN(RIGHT(H5,LEN(H5)-32))-17),"")</f>
        <v/>
      </c>
    </row>
    <row r="6" spans="1:8" x14ac:dyDescent="0.25">
      <c r="A6" s="15">
        <v>1</v>
      </c>
      <c r="B6" s="24" t="s">
        <v>13</v>
      </c>
      <c r="C6" s="24" t="s">
        <v>516</v>
      </c>
      <c r="D6" s="25" t="s">
        <v>219</v>
      </c>
      <c r="E6" s="24" t="s">
        <v>4</v>
      </c>
      <c r="F6" s="25" t="str">
        <f t="shared" ref="F6:F69" si="0">IF(G6="","","https://docs.google.com/uc?export=download&amp;id="&amp;G6)</f>
        <v>https://docs.google.com/uc?export=download&amp;id=16en5UYWOZqr7QaIvQrWw6vA1x9DYkJ4D</v>
      </c>
      <c r="G6" s="23" t="str">
        <f t="shared" ref="G6:G69" si="1">IFERROR(LEFT(RIGHT(H6,LEN(H6)-32),LEN(RIGHT(H6,LEN(H6)-32))-17),"")</f>
        <v>16en5UYWOZqr7QaIvQrWw6vA1x9DYkJ4D</v>
      </c>
      <c r="H6" s="21" t="s">
        <v>702</v>
      </c>
    </row>
    <row r="7" spans="1:8" x14ac:dyDescent="0.25">
      <c r="B7" s="24" t="s">
        <v>13</v>
      </c>
      <c r="C7" s="24" t="s">
        <v>635</v>
      </c>
      <c r="D7" s="25" t="s">
        <v>220</v>
      </c>
      <c r="E7" s="24" t="s">
        <v>5</v>
      </c>
      <c r="F7" s="25" t="str">
        <f t="shared" si="0"/>
        <v/>
      </c>
      <c r="G7" s="23" t="str">
        <f t="shared" si="1"/>
        <v/>
      </c>
    </row>
    <row r="8" spans="1:8" x14ac:dyDescent="0.25">
      <c r="B8" s="24" t="s">
        <v>14</v>
      </c>
      <c r="C8" s="24" t="s">
        <v>517</v>
      </c>
      <c r="D8" s="25" t="s">
        <v>422</v>
      </c>
      <c r="E8" s="24" t="s">
        <v>3</v>
      </c>
      <c r="F8" s="25" t="str">
        <f t="shared" si="0"/>
        <v/>
      </c>
      <c r="G8" s="23" t="str">
        <f t="shared" si="1"/>
        <v/>
      </c>
    </row>
    <row r="9" spans="1:8" x14ac:dyDescent="0.25">
      <c r="A9" s="15">
        <v>2</v>
      </c>
      <c r="B9" s="24" t="s">
        <v>14</v>
      </c>
      <c r="C9" s="24" t="s">
        <v>518</v>
      </c>
      <c r="D9" s="25" t="s">
        <v>221</v>
      </c>
      <c r="E9" s="24" t="s">
        <v>4</v>
      </c>
      <c r="F9" s="25" t="str">
        <f t="shared" si="0"/>
        <v>https://docs.google.com/uc?export=download&amp;id=1mPa23EjqSy1DVpmZrrjetf2-VoOstiLT</v>
      </c>
      <c r="G9" s="23" t="str">
        <f t="shared" si="1"/>
        <v>1mPa23EjqSy1DVpmZrrjetf2-VoOstiLT</v>
      </c>
      <c r="H9" s="21" t="s">
        <v>703</v>
      </c>
    </row>
    <row r="10" spans="1:8" x14ac:dyDescent="0.25">
      <c r="B10" s="24" t="s">
        <v>14</v>
      </c>
      <c r="C10" s="24" t="s">
        <v>636</v>
      </c>
      <c r="D10" s="25" t="s">
        <v>222</v>
      </c>
      <c r="E10" s="24" t="s">
        <v>5</v>
      </c>
      <c r="F10" s="25" t="str">
        <f t="shared" si="0"/>
        <v/>
      </c>
      <c r="G10" s="23" t="str">
        <f t="shared" si="1"/>
        <v/>
      </c>
    </row>
    <row r="11" spans="1:8" x14ac:dyDescent="0.25">
      <c r="B11" s="24" t="s">
        <v>12</v>
      </c>
      <c r="C11" s="24" t="s">
        <v>519</v>
      </c>
      <c r="D11" s="25" t="s">
        <v>423</v>
      </c>
      <c r="E11" s="24" t="s">
        <v>3</v>
      </c>
      <c r="F11" s="25" t="str">
        <f t="shared" si="0"/>
        <v/>
      </c>
      <c r="G11" s="23" t="str">
        <f t="shared" si="1"/>
        <v/>
      </c>
    </row>
    <row r="12" spans="1:8" x14ac:dyDescent="0.25">
      <c r="A12" s="15">
        <v>3</v>
      </c>
      <c r="B12" s="24" t="s">
        <v>12</v>
      </c>
      <c r="C12" s="24" t="s">
        <v>520</v>
      </c>
      <c r="D12" s="25" t="s">
        <v>223</v>
      </c>
      <c r="E12" s="24" t="s">
        <v>4</v>
      </c>
      <c r="F12" s="25" t="str">
        <f t="shared" si="0"/>
        <v>https://docs.google.com/uc?export=download&amp;id=1jpHsFyxAuOiVuOId3W6V57PG9tN1Hvoa</v>
      </c>
      <c r="G12" s="23" t="str">
        <f t="shared" si="1"/>
        <v>1jpHsFyxAuOiVuOId3W6V57PG9tN1Hvoa</v>
      </c>
      <c r="H12" s="21" t="s">
        <v>704</v>
      </c>
    </row>
    <row r="13" spans="1:8" x14ac:dyDescent="0.25">
      <c r="B13" s="24" t="s">
        <v>12</v>
      </c>
      <c r="C13" s="24" t="s">
        <v>637</v>
      </c>
      <c r="D13" s="25" t="s">
        <v>224</v>
      </c>
      <c r="E13" s="24" t="s">
        <v>5</v>
      </c>
      <c r="F13" s="25" t="str">
        <f t="shared" si="0"/>
        <v/>
      </c>
      <c r="G13" s="23" t="str">
        <f t="shared" si="1"/>
        <v/>
      </c>
    </row>
    <row r="14" spans="1:8" x14ac:dyDescent="0.25">
      <c r="B14" s="24" t="s">
        <v>15</v>
      </c>
      <c r="C14" s="24" t="s">
        <v>521</v>
      </c>
      <c r="D14" s="25" t="s">
        <v>424</v>
      </c>
      <c r="E14" s="24" t="s">
        <v>3</v>
      </c>
      <c r="F14" s="25" t="str">
        <f t="shared" si="0"/>
        <v/>
      </c>
      <c r="G14" s="23" t="str">
        <f t="shared" si="1"/>
        <v/>
      </c>
    </row>
    <row r="15" spans="1:8" x14ac:dyDescent="0.25">
      <c r="A15" s="15">
        <v>4</v>
      </c>
      <c r="B15" s="24" t="s">
        <v>15</v>
      </c>
      <c r="C15" s="24" t="s">
        <v>522</v>
      </c>
      <c r="D15" s="25" t="s">
        <v>225</v>
      </c>
      <c r="E15" s="24" t="s">
        <v>4</v>
      </c>
      <c r="F15" s="25" t="str">
        <f t="shared" si="0"/>
        <v>https://docs.google.com/uc?export=download&amp;id=1uMj-EZeWo8cqJ4gthYkcU3PO5-ADleRX</v>
      </c>
      <c r="G15" s="23" t="str">
        <f t="shared" si="1"/>
        <v>1uMj-EZeWo8cqJ4gthYkcU3PO5-ADleRX</v>
      </c>
      <c r="H15" s="21" t="s">
        <v>705</v>
      </c>
    </row>
    <row r="16" spans="1:8" x14ac:dyDescent="0.25">
      <c r="B16" s="24" t="s">
        <v>15</v>
      </c>
      <c r="C16" s="24" t="s">
        <v>638</v>
      </c>
      <c r="D16" s="25" t="s">
        <v>226</v>
      </c>
      <c r="E16" s="24" t="s">
        <v>5</v>
      </c>
      <c r="F16" s="25" t="str">
        <f t="shared" si="0"/>
        <v/>
      </c>
      <c r="G16" s="23" t="str">
        <f t="shared" si="1"/>
        <v/>
      </c>
    </row>
    <row r="17" spans="1:8" s="10" customFormat="1" x14ac:dyDescent="0.25">
      <c r="A17" s="9"/>
      <c r="B17" s="24" t="s">
        <v>498</v>
      </c>
      <c r="C17" s="24" t="s">
        <v>523</v>
      </c>
      <c r="D17" s="25" t="s">
        <v>425</v>
      </c>
      <c r="E17" s="24" t="s">
        <v>3</v>
      </c>
      <c r="F17" s="25" t="str">
        <f t="shared" si="0"/>
        <v/>
      </c>
      <c r="G17" s="23" t="str">
        <f t="shared" si="1"/>
        <v/>
      </c>
      <c r="H17" s="21"/>
    </row>
    <row r="18" spans="1:8" x14ac:dyDescent="0.25">
      <c r="A18" s="15">
        <v>5</v>
      </c>
      <c r="B18" s="24" t="s">
        <v>498</v>
      </c>
      <c r="C18" s="24" t="s">
        <v>524</v>
      </c>
      <c r="D18" s="25" t="s">
        <v>227</v>
      </c>
      <c r="E18" s="24" t="s">
        <v>4</v>
      </c>
      <c r="F18" s="25" t="str">
        <f t="shared" si="0"/>
        <v>https://docs.google.com/uc?export=download&amp;id=1w99NNIxFgtbxSm115_vOzzbeUyaRdX3d</v>
      </c>
      <c r="G18" s="23" t="str">
        <f t="shared" si="1"/>
        <v>1w99NNIxFgtbxSm115_vOzzbeUyaRdX3d</v>
      </c>
      <c r="H18" s="21" t="s">
        <v>706</v>
      </c>
    </row>
    <row r="19" spans="1:8" x14ac:dyDescent="0.25">
      <c r="B19" s="24" t="s">
        <v>498</v>
      </c>
      <c r="C19" s="24" t="s">
        <v>639</v>
      </c>
      <c r="D19" s="25" t="s">
        <v>228</v>
      </c>
      <c r="E19" s="24" t="s">
        <v>5</v>
      </c>
      <c r="F19" s="25" t="str">
        <f t="shared" si="0"/>
        <v/>
      </c>
      <c r="G19" s="23" t="str">
        <f t="shared" si="1"/>
        <v/>
      </c>
    </row>
    <row r="20" spans="1:8" x14ac:dyDescent="0.25">
      <c r="B20" s="24">
        <v>2</v>
      </c>
      <c r="C20" s="24" t="s">
        <v>525</v>
      </c>
      <c r="D20" s="25" t="s">
        <v>403</v>
      </c>
      <c r="E20" s="24" t="s">
        <v>11</v>
      </c>
      <c r="F20" s="25" t="str">
        <f t="shared" si="0"/>
        <v/>
      </c>
      <c r="G20" s="23" t="str">
        <f t="shared" si="1"/>
        <v/>
      </c>
    </row>
    <row r="21" spans="1:8" x14ac:dyDescent="0.25">
      <c r="B21" s="24" t="s">
        <v>16</v>
      </c>
      <c r="C21" s="24" t="s">
        <v>526</v>
      </c>
      <c r="D21" s="25" t="s">
        <v>691</v>
      </c>
      <c r="E21" s="24" t="s">
        <v>3</v>
      </c>
      <c r="F21" s="25" t="str">
        <f t="shared" si="0"/>
        <v/>
      </c>
      <c r="G21" s="23" t="str">
        <f t="shared" si="1"/>
        <v/>
      </c>
    </row>
    <row r="22" spans="1:8" x14ac:dyDescent="0.25">
      <c r="A22" s="15">
        <v>6</v>
      </c>
      <c r="B22" s="24" t="s">
        <v>16</v>
      </c>
      <c r="C22" s="24" t="s">
        <v>527</v>
      </c>
      <c r="D22" s="25" t="s">
        <v>229</v>
      </c>
      <c r="E22" s="24" t="s">
        <v>4</v>
      </c>
      <c r="F22" s="25" t="str">
        <f t="shared" si="0"/>
        <v>https://docs.google.com/uc?export=download&amp;id=1hBed7Sm0Uu7_ebFFuhB7r5eSSD6XmxGc</v>
      </c>
      <c r="G22" s="23" t="str">
        <f t="shared" si="1"/>
        <v>1hBed7Sm0Uu7_ebFFuhB7r5eSSD6XmxGc</v>
      </c>
      <c r="H22" s="21" t="s">
        <v>707</v>
      </c>
    </row>
    <row r="23" spans="1:8" x14ac:dyDescent="0.25">
      <c r="B23" s="24" t="s">
        <v>16</v>
      </c>
      <c r="C23" s="24" t="s">
        <v>640</v>
      </c>
      <c r="D23" s="25" t="s">
        <v>230</v>
      </c>
      <c r="E23" s="24" t="s">
        <v>5</v>
      </c>
      <c r="F23" s="25" t="str">
        <f t="shared" si="0"/>
        <v/>
      </c>
      <c r="G23" s="23" t="str">
        <f t="shared" si="1"/>
        <v/>
      </c>
    </row>
    <row r="24" spans="1:8" x14ac:dyDescent="0.25">
      <c r="B24" s="24" t="s">
        <v>19</v>
      </c>
      <c r="C24" s="24" t="s">
        <v>528</v>
      </c>
      <c r="D24" s="25" t="s">
        <v>692</v>
      </c>
      <c r="E24" s="24" t="s">
        <v>3</v>
      </c>
      <c r="F24" s="25" t="str">
        <f t="shared" si="0"/>
        <v/>
      </c>
      <c r="G24" s="23" t="str">
        <f t="shared" si="1"/>
        <v/>
      </c>
    </row>
    <row r="25" spans="1:8" x14ac:dyDescent="0.25">
      <c r="A25" s="15">
        <v>7</v>
      </c>
      <c r="B25" s="24" t="s">
        <v>19</v>
      </c>
      <c r="C25" s="24" t="s">
        <v>529</v>
      </c>
      <c r="D25" s="25" t="s">
        <v>231</v>
      </c>
      <c r="E25" s="24" t="s">
        <v>4</v>
      </c>
      <c r="F25" s="25" t="str">
        <f t="shared" si="0"/>
        <v>https://docs.google.com/uc?export=download&amp;id=1BJcTAxHo57DwTtZMMz-vIcUiwVoE6PSF</v>
      </c>
      <c r="G25" s="23" t="str">
        <f t="shared" si="1"/>
        <v>1BJcTAxHo57DwTtZMMz-vIcUiwVoE6PSF</v>
      </c>
      <c r="H25" s="21" t="s">
        <v>708</v>
      </c>
    </row>
    <row r="26" spans="1:8" x14ac:dyDescent="0.25">
      <c r="B26" s="24" t="s">
        <v>19</v>
      </c>
      <c r="C26" s="24" t="s">
        <v>641</v>
      </c>
      <c r="D26" s="25" t="s">
        <v>232</v>
      </c>
      <c r="E26" s="24" t="s">
        <v>5</v>
      </c>
      <c r="F26" s="25" t="str">
        <f t="shared" si="0"/>
        <v/>
      </c>
      <c r="G26" s="23" t="str">
        <f t="shared" si="1"/>
        <v/>
      </c>
    </row>
    <row r="27" spans="1:8" x14ac:dyDescent="0.25">
      <c r="B27" s="24" t="s">
        <v>17</v>
      </c>
      <c r="C27" s="24" t="s">
        <v>530</v>
      </c>
      <c r="D27" s="25" t="s">
        <v>693</v>
      </c>
      <c r="E27" s="24" t="s">
        <v>3</v>
      </c>
      <c r="F27" s="25" t="str">
        <f t="shared" si="0"/>
        <v/>
      </c>
      <c r="G27" s="23" t="str">
        <f t="shared" si="1"/>
        <v/>
      </c>
    </row>
    <row r="28" spans="1:8" x14ac:dyDescent="0.25">
      <c r="A28" s="15">
        <v>8</v>
      </c>
      <c r="B28" s="24" t="s">
        <v>17</v>
      </c>
      <c r="C28" s="24" t="s">
        <v>531</v>
      </c>
      <c r="D28" s="25" t="s">
        <v>233</v>
      </c>
      <c r="E28" s="24" t="s">
        <v>4</v>
      </c>
      <c r="F28" s="25" t="str">
        <f t="shared" si="0"/>
        <v>https://docs.google.com/uc?export=download&amp;id=1P7bmCW58ywp6JcyGrAyXOHcqGNlSeTd6</v>
      </c>
      <c r="G28" s="23" t="str">
        <f t="shared" si="1"/>
        <v>1P7bmCW58ywp6JcyGrAyXOHcqGNlSeTd6</v>
      </c>
      <c r="H28" s="21" t="s">
        <v>709</v>
      </c>
    </row>
    <row r="29" spans="1:8" x14ac:dyDescent="0.25">
      <c r="B29" s="24" t="s">
        <v>17</v>
      </c>
      <c r="C29" s="24" t="s">
        <v>642</v>
      </c>
      <c r="D29" s="25" t="s">
        <v>234</v>
      </c>
      <c r="E29" s="24" t="s">
        <v>5</v>
      </c>
      <c r="F29" s="25" t="str">
        <f t="shared" si="0"/>
        <v/>
      </c>
      <c r="G29" s="23" t="str">
        <f t="shared" si="1"/>
        <v/>
      </c>
    </row>
    <row r="30" spans="1:8" s="10" customFormat="1" x14ac:dyDescent="0.25">
      <c r="A30" s="9"/>
      <c r="B30" s="24" t="s">
        <v>18</v>
      </c>
      <c r="C30" s="24" t="s">
        <v>532</v>
      </c>
      <c r="D30" s="25" t="s">
        <v>426</v>
      </c>
      <c r="E30" s="24" t="s">
        <v>3</v>
      </c>
      <c r="F30" s="25" t="str">
        <f t="shared" si="0"/>
        <v/>
      </c>
      <c r="G30" s="23" t="str">
        <f t="shared" si="1"/>
        <v/>
      </c>
      <c r="H30" s="21"/>
    </row>
    <row r="31" spans="1:8" x14ac:dyDescent="0.25">
      <c r="A31" s="15">
        <v>9</v>
      </c>
      <c r="B31" s="24" t="s">
        <v>18</v>
      </c>
      <c r="C31" s="24" t="s">
        <v>533</v>
      </c>
      <c r="D31" s="25" t="s">
        <v>235</v>
      </c>
      <c r="E31" s="24" t="s">
        <v>4</v>
      </c>
      <c r="F31" s="25" t="str">
        <f t="shared" si="0"/>
        <v>https://docs.google.com/uc?export=download&amp;id=1V-h8aG8t6t2uUWMLn-5FLSkHw1KkoKsD</v>
      </c>
      <c r="G31" s="23" t="str">
        <f t="shared" si="1"/>
        <v>1V-h8aG8t6t2uUWMLn-5FLSkHw1KkoKsD</v>
      </c>
      <c r="H31" s="21" t="s">
        <v>710</v>
      </c>
    </row>
    <row r="32" spans="1:8" x14ac:dyDescent="0.25">
      <c r="B32" s="24" t="s">
        <v>18</v>
      </c>
      <c r="C32" s="24" t="s">
        <v>643</v>
      </c>
      <c r="D32" s="25" t="s">
        <v>236</v>
      </c>
      <c r="E32" s="24" t="s">
        <v>5</v>
      </c>
      <c r="F32" s="25" t="str">
        <f t="shared" si="0"/>
        <v/>
      </c>
      <c r="G32" s="23" t="str">
        <f t="shared" si="1"/>
        <v/>
      </c>
    </row>
    <row r="33" spans="1:8" x14ac:dyDescent="0.25">
      <c r="B33" s="24" t="s">
        <v>499</v>
      </c>
      <c r="C33" s="24" t="s">
        <v>534</v>
      </c>
      <c r="D33" s="25" t="s">
        <v>696</v>
      </c>
      <c r="E33" s="24" t="s">
        <v>3</v>
      </c>
      <c r="F33" s="25" t="str">
        <f t="shared" si="0"/>
        <v/>
      </c>
      <c r="G33" s="23" t="str">
        <f t="shared" si="1"/>
        <v/>
      </c>
    </row>
    <row r="34" spans="1:8" x14ac:dyDescent="0.25">
      <c r="A34" s="15">
        <v>10</v>
      </c>
      <c r="B34" s="24" t="s">
        <v>499</v>
      </c>
      <c r="C34" s="24" t="s">
        <v>535</v>
      </c>
      <c r="D34" s="25" t="s">
        <v>237</v>
      </c>
      <c r="E34" s="24" t="s">
        <v>4</v>
      </c>
      <c r="F34" s="25" t="str">
        <f t="shared" si="0"/>
        <v>https://docs.google.com/uc?export=download&amp;id=1DZz2GK2fssD7ZrjTx9ouQsvA09zXNpkC</v>
      </c>
      <c r="G34" s="23" t="str">
        <f t="shared" si="1"/>
        <v>1DZz2GK2fssD7ZrjTx9ouQsvA09zXNpkC</v>
      </c>
      <c r="H34" s="21" t="s">
        <v>711</v>
      </c>
    </row>
    <row r="35" spans="1:8" x14ac:dyDescent="0.25">
      <c r="B35" s="24" t="s">
        <v>499</v>
      </c>
      <c r="C35" s="24" t="s">
        <v>644</v>
      </c>
      <c r="D35" s="25" t="s">
        <v>238</v>
      </c>
      <c r="E35" s="24" t="s">
        <v>5</v>
      </c>
      <c r="F35" s="25" t="str">
        <f t="shared" si="0"/>
        <v/>
      </c>
      <c r="G35" s="23" t="str">
        <f t="shared" si="1"/>
        <v/>
      </c>
    </row>
    <row r="36" spans="1:8" x14ac:dyDescent="0.25">
      <c r="B36" s="24">
        <v>3</v>
      </c>
      <c r="C36" s="24" t="s">
        <v>536</v>
      </c>
      <c r="D36" s="25" t="s">
        <v>634</v>
      </c>
      <c r="E36" s="24" t="s">
        <v>11</v>
      </c>
      <c r="F36" s="25" t="str">
        <f t="shared" si="0"/>
        <v/>
      </c>
      <c r="G36" s="23" t="str">
        <f t="shared" si="1"/>
        <v/>
      </c>
    </row>
    <row r="37" spans="1:8" x14ac:dyDescent="0.25">
      <c r="B37" s="24" t="s">
        <v>20</v>
      </c>
      <c r="C37" s="24" t="s">
        <v>538</v>
      </c>
      <c r="D37" s="25" t="s">
        <v>427</v>
      </c>
      <c r="E37" s="24" t="s">
        <v>3</v>
      </c>
      <c r="F37" s="25" t="str">
        <f t="shared" si="0"/>
        <v/>
      </c>
      <c r="G37" s="23" t="str">
        <f t="shared" si="1"/>
        <v/>
      </c>
    </row>
    <row r="38" spans="1:8" x14ac:dyDescent="0.25">
      <c r="A38" s="15">
        <v>11</v>
      </c>
      <c r="B38" s="24" t="s">
        <v>20</v>
      </c>
      <c r="C38" s="24" t="s">
        <v>539</v>
      </c>
      <c r="D38" s="25" t="s">
        <v>239</v>
      </c>
      <c r="E38" s="24" t="s">
        <v>4</v>
      </c>
      <c r="F38" s="25" t="str">
        <f t="shared" si="0"/>
        <v>https://docs.google.com/uc?export=download&amp;id=1Y6WzkKIn8yW10Xp7MbKpyNGKz2fvT3Qs</v>
      </c>
      <c r="G38" s="23" t="str">
        <f t="shared" si="1"/>
        <v>1Y6WzkKIn8yW10Xp7MbKpyNGKz2fvT3Qs</v>
      </c>
      <c r="H38" s="21" t="s">
        <v>712</v>
      </c>
    </row>
    <row r="39" spans="1:8" x14ac:dyDescent="0.25">
      <c r="B39" s="24" t="s">
        <v>20</v>
      </c>
      <c r="C39" s="24" t="s">
        <v>645</v>
      </c>
      <c r="D39" s="25" t="s">
        <v>240</v>
      </c>
      <c r="E39" s="24" t="s">
        <v>5</v>
      </c>
      <c r="F39" s="25" t="str">
        <f t="shared" si="0"/>
        <v/>
      </c>
      <c r="G39" s="23" t="str">
        <f t="shared" si="1"/>
        <v/>
      </c>
    </row>
    <row r="40" spans="1:8" x14ac:dyDescent="0.25">
      <c r="B40" s="24" t="s">
        <v>21</v>
      </c>
      <c r="C40" s="24" t="s">
        <v>540</v>
      </c>
      <c r="D40" s="25" t="s">
        <v>428</v>
      </c>
      <c r="E40" s="24" t="s">
        <v>3</v>
      </c>
      <c r="F40" s="25" t="str">
        <f t="shared" si="0"/>
        <v/>
      </c>
      <c r="G40" s="23" t="str">
        <f t="shared" si="1"/>
        <v/>
      </c>
    </row>
    <row r="41" spans="1:8" x14ac:dyDescent="0.25">
      <c r="A41" s="15">
        <v>12</v>
      </c>
      <c r="B41" s="24" t="s">
        <v>21</v>
      </c>
      <c r="C41" s="24" t="s">
        <v>541</v>
      </c>
      <c r="D41" s="25" t="s">
        <v>241</v>
      </c>
      <c r="E41" s="24" t="s">
        <v>4</v>
      </c>
      <c r="F41" s="25" t="str">
        <f t="shared" si="0"/>
        <v>https://docs.google.com/uc?export=download&amp;id=1knF9Abeb4cHZIhAgg2NI5cywAJj2PgqW</v>
      </c>
      <c r="G41" s="23" t="str">
        <f t="shared" si="1"/>
        <v>1knF9Abeb4cHZIhAgg2NI5cywAJj2PgqW</v>
      </c>
      <c r="H41" s="21" t="s">
        <v>713</v>
      </c>
    </row>
    <row r="42" spans="1:8" x14ac:dyDescent="0.25">
      <c r="B42" s="24" t="s">
        <v>21</v>
      </c>
      <c r="C42" s="24" t="s">
        <v>646</v>
      </c>
      <c r="D42" s="25" t="s">
        <v>242</v>
      </c>
      <c r="E42" s="24" t="s">
        <v>5</v>
      </c>
      <c r="F42" s="25" t="str">
        <f t="shared" si="0"/>
        <v/>
      </c>
      <c r="G42" s="23" t="str">
        <f t="shared" si="1"/>
        <v/>
      </c>
    </row>
    <row r="43" spans="1:8" x14ac:dyDescent="0.25">
      <c r="B43" s="24" t="s">
        <v>22</v>
      </c>
      <c r="C43" s="24" t="s">
        <v>542</v>
      </c>
      <c r="D43" s="25" t="s">
        <v>429</v>
      </c>
      <c r="E43" s="24" t="s">
        <v>3</v>
      </c>
      <c r="F43" s="25" t="str">
        <f t="shared" si="0"/>
        <v/>
      </c>
      <c r="G43" s="23" t="str">
        <f t="shared" si="1"/>
        <v/>
      </c>
    </row>
    <row r="44" spans="1:8" x14ac:dyDescent="0.25">
      <c r="A44" s="15">
        <v>13</v>
      </c>
      <c r="B44" s="24" t="s">
        <v>22</v>
      </c>
      <c r="C44" s="24" t="s">
        <v>537</v>
      </c>
      <c r="D44" s="25" t="s">
        <v>243</v>
      </c>
      <c r="E44" s="24" t="s">
        <v>4</v>
      </c>
      <c r="F44" s="25" t="str">
        <f t="shared" si="0"/>
        <v>https://docs.google.com/uc?export=download&amp;id=1USO8t14JaJZGhRs5sZ6DQ1sTIbwa9buE</v>
      </c>
      <c r="G44" s="23" t="str">
        <f t="shared" si="1"/>
        <v>1USO8t14JaJZGhRs5sZ6DQ1sTIbwa9buE</v>
      </c>
      <c r="H44" s="21" t="s">
        <v>714</v>
      </c>
    </row>
    <row r="45" spans="1:8" x14ac:dyDescent="0.25">
      <c r="B45" s="24" t="s">
        <v>22</v>
      </c>
      <c r="C45" s="24" t="s">
        <v>647</v>
      </c>
      <c r="D45" s="25" t="s">
        <v>244</v>
      </c>
      <c r="E45" s="24" t="s">
        <v>5</v>
      </c>
      <c r="F45" s="25" t="str">
        <f t="shared" si="0"/>
        <v/>
      </c>
      <c r="G45" s="23" t="str">
        <f t="shared" si="1"/>
        <v/>
      </c>
    </row>
    <row r="46" spans="1:8" x14ac:dyDescent="0.25">
      <c r="B46" s="24">
        <v>4</v>
      </c>
      <c r="C46" s="24" t="s">
        <v>543</v>
      </c>
      <c r="D46" s="25" t="s">
        <v>404</v>
      </c>
      <c r="E46" s="24" t="s">
        <v>11</v>
      </c>
      <c r="F46" s="25" t="str">
        <f t="shared" si="0"/>
        <v/>
      </c>
      <c r="G46" s="23" t="str">
        <f t="shared" si="1"/>
        <v/>
      </c>
    </row>
    <row r="47" spans="1:8" x14ac:dyDescent="0.25">
      <c r="B47" s="24" t="s">
        <v>23</v>
      </c>
      <c r="C47" s="24" t="s">
        <v>544</v>
      </c>
      <c r="D47" s="25" t="s">
        <v>430</v>
      </c>
      <c r="E47" s="24" t="s">
        <v>3</v>
      </c>
      <c r="F47" s="25" t="str">
        <f t="shared" si="0"/>
        <v/>
      </c>
      <c r="G47" s="23" t="str">
        <f t="shared" si="1"/>
        <v/>
      </c>
    </row>
    <row r="48" spans="1:8" x14ac:dyDescent="0.25">
      <c r="A48" s="15">
        <v>14</v>
      </c>
      <c r="B48" s="24" t="s">
        <v>23</v>
      </c>
      <c r="C48" s="24" t="s">
        <v>545</v>
      </c>
      <c r="D48" s="25" t="s">
        <v>245</v>
      </c>
      <c r="E48" s="24" t="s">
        <v>4</v>
      </c>
      <c r="F48" s="25" t="str">
        <f t="shared" si="0"/>
        <v>https://docs.google.com/uc?export=download&amp;id=1iglhn8951dR1tvrm1ExikwYXknC4P7TX</v>
      </c>
      <c r="G48" s="23" t="str">
        <f t="shared" si="1"/>
        <v>1iglhn8951dR1tvrm1ExikwYXknC4P7TX</v>
      </c>
      <c r="H48" s="21" t="s">
        <v>715</v>
      </c>
    </row>
    <row r="49" spans="1:8" x14ac:dyDescent="0.25">
      <c r="B49" s="24" t="s">
        <v>23</v>
      </c>
      <c r="C49" s="24" t="s">
        <v>648</v>
      </c>
      <c r="D49" s="25" t="s">
        <v>246</v>
      </c>
      <c r="E49" s="24" t="s">
        <v>5</v>
      </c>
      <c r="F49" s="25" t="str">
        <f t="shared" si="0"/>
        <v/>
      </c>
      <c r="G49" s="23" t="str">
        <f t="shared" si="1"/>
        <v/>
      </c>
    </row>
    <row r="50" spans="1:8" x14ac:dyDescent="0.25">
      <c r="B50" s="24" t="s">
        <v>24</v>
      </c>
      <c r="C50" s="24" t="s">
        <v>546</v>
      </c>
      <c r="D50" s="25" t="s">
        <v>431</v>
      </c>
      <c r="E50" s="24" t="s">
        <v>3</v>
      </c>
      <c r="F50" s="25" t="str">
        <f t="shared" si="0"/>
        <v/>
      </c>
      <c r="G50" s="23" t="str">
        <f t="shared" si="1"/>
        <v/>
      </c>
    </row>
    <row r="51" spans="1:8" x14ac:dyDescent="0.25">
      <c r="A51" s="15">
        <v>15</v>
      </c>
      <c r="B51" s="24" t="s">
        <v>24</v>
      </c>
      <c r="C51" s="24" t="s">
        <v>547</v>
      </c>
      <c r="D51" s="25" t="s">
        <v>247</v>
      </c>
      <c r="E51" s="24" t="s">
        <v>4</v>
      </c>
      <c r="F51" s="25" t="str">
        <f t="shared" si="0"/>
        <v>https://docs.google.com/uc?export=download&amp;id=1EvfQrcfkEH9ce3mSqIIMGb2tQkBYmHIr</v>
      </c>
      <c r="G51" s="23" t="str">
        <f t="shared" si="1"/>
        <v>1EvfQrcfkEH9ce3mSqIIMGb2tQkBYmHIr</v>
      </c>
      <c r="H51" s="21" t="s">
        <v>716</v>
      </c>
    </row>
    <row r="52" spans="1:8" x14ac:dyDescent="0.25">
      <c r="B52" s="24" t="s">
        <v>24</v>
      </c>
      <c r="C52" s="24" t="s">
        <v>649</v>
      </c>
      <c r="D52" s="25" t="s">
        <v>248</v>
      </c>
      <c r="E52" s="24" t="s">
        <v>5</v>
      </c>
      <c r="F52" s="25" t="str">
        <f t="shared" si="0"/>
        <v/>
      </c>
      <c r="G52" s="23" t="str">
        <f t="shared" si="1"/>
        <v/>
      </c>
    </row>
    <row r="53" spans="1:8" x14ac:dyDescent="0.25">
      <c r="B53" s="24" t="s">
        <v>25</v>
      </c>
      <c r="C53" s="24" t="s">
        <v>548</v>
      </c>
      <c r="D53" s="25" t="s">
        <v>694</v>
      </c>
      <c r="E53" s="24" t="s">
        <v>3</v>
      </c>
      <c r="F53" s="25" t="str">
        <f t="shared" si="0"/>
        <v/>
      </c>
      <c r="G53" s="23" t="str">
        <f t="shared" si="1"/>
        <v/>
      </c>
    </row>
    <row r="54" spans="1:8" x14ac:dyDescent="0.25">
      <c r="A54" s="15">
        <v>16</v>
      </c>
      <c r="B54" s="24" t="s">
        <v>25</v>
      </c>
      <c r="C54" s="24" t="s">
        <v>549</v>
      </c>
      <c r="D54" s="25" t="s">
        <v>249</v>
      </c>
      <c r="E54" s="24" t="s">
        <v>4</v>
      </c>
      <c r="F54" s="25" t="str">
        <f t="shared" si="0"/>
        <v>https://docs.google.com/uc?export=download&amp;id=1FXO1JGcJ3Atbw-AohDr-mNFQnBT-yVLX</v>
      </c>
      <c r="G54" s="23" t="str">
        <f t="shared" si="1"/>
        <v>1FXO1JGcJ3Atbw-AohDr-mNFQnBT-yVLX</v>
      </c>
      <c r="H54" s="21" t="s">
        <v>717</v>
      </c>
    </row>
    <row r="55" spans="1:8" x14ac:dyDescent="0.25">
      <c r="B55" s="24" t="s">
        <v>25</v>
      </c>
      <c r="C55" s="24" t="s">
        <v>650</v>
      </c>
      <c r="D55" s="25" t="s">
        <v>250</v>
      </c>
      <c r="E55" s="24" t="s">
        <v>5</v>
      </c>
      <c r="F55" s="25" t="str">
        <f t="shared" si="0"/>
        <v/>
      </c>
      <c r="G55" s="23" t="str">
        <f t="shared" si="1"/>
        <v/>
      </c>
    </row>
    <row r="56" spans="1:8" x14ac:dyDescent="0.25">
      <c r="B56" s="24">
        <v>5</v>
      </c>
      <c r="C56" s="24" t="s">
        <v>550</v>
      </c>
      <c r="D56" s="25" t="s">
        <v>745</v>
      </c>
      <c r="E56" s="24" t="s">
        <v>11</v>
      </c>
      <c r="F56" s="25" t="str">
        <f t="shared" si="0"/>
        <v/>
      </c>
      <c r="G56" s="23" t="str">
        <f t="shared" si="1"/>
        <v/>
      </c>
    </row>
    <row r="57" spans="1:8" x14ac:dyDescent="0.25">
      <c r="B57" s="24" t="s">
        <v>26</v>
      </c>
      <c r="C57" s="24" t="s">
        <v>551</v>
      </c>
      <c r="D57" s="25" t="s">
        <v>432</v>
      </c>
      <c r="E57" s="24" t="s">
        <v>3</v>
      </c>
      <c r="F57" s="25" t="str">
        <f t="shared" si="0"/>
        <v/>
      </c>
      <c r="G57" s="23" t="str">
        <f t="shared" si="1"/>
        <v/>
      </c>
    </row>
    <row r="58" spans="1:8" x14ac:dyDescent="0.25">
      <c r="A58" s="15">
        <v>17</v>
      </c>
      <c r="B58" s="24" t="s">
        <v>26</v>
      </c>
      <c r="C58" s="24" t="s">
        <v>552</v>
      </c>
      <c r="D58" s="25" t="s">
        <v>251</v>
      </c>
      <c r="E58" s="24" t="s">
        <v>4</v>
      </c>
      <c r="F58" s="25" t="str">
        <f t="shared" si="0"/>
        <v>https://docs.google.com/uc?export=download&amp;id=1NTOezLtxfszpjPr6dRDiGlXiparUhght</v>
      </c>
      <c r="G58" s="23" t="str">
        <f t="shared" si="1"/>
        <v>1NTOezLtxfszpjPr6dRDiGlXiparUhght</v>
      </c>
      <c r="H58" s="21" t="s">
        <v>718</v>
      </c>
    </row>
    <row r="59" spans="1:8" s="10" customFormat="1" x14ac:dyDescent="0.25">
      <c r="A59" s="9"/>
      <c r="B59" s="24" t="s">
        <v>26</v>
      </c>
      <c r="C59" s="24" t="s">
        <v>651</v>
      </c>
      <c r="D59" s="25" t="s">
        <v>252</v>
      </c>
      <c r="E59" s="24" t="s">
        <v>5</v>
      </c>
      <c r="F59" s="25" t="str">
        <f t="shared" si="0"/>
        <v/>
      </c>
      <c r="G59" s="23" t="str">
        <f t="shared" si="1"/>
        <v/>
      </c>
      <c r="H59" s="21"/>
    </row>
    <row r="60" spans="1:8" x14ac:dyDescent="0.25">
      <c r="B60" s="24" t="s">
        <v>27</v>
      </c>
      <c r="C60" s="24" t="s">
        <v>553</v>
      </c>
      <c r="D60" s="25" t="s">
        <v>433</v>
      </c>
      <c r="E60" s="24" t="s">
        <v>3</v>
      </c>
      <c r="F60" s="25" t="str">
        <f t="shared" si="0"/>
        <v/>
      </c>
      <c r="G60" s="23" t="str">
        <f t="shared" si="1"/>
        <v/>
      </c>
    </row>
    <row r="61" spans="1:8" x14ac:dyDescent="0.25">
      <c r="A61" s="15">
        <v>18</v>
      </c>
      <c r="B61" s="24" t="s">
        <v>27</v>
      </c>
      <c r="C61" s="24" t="s">
        <v>554</v>
      </c>
      <c r="D61" s="25" t="s">
        <v>253</v>
      </c>
      <c r="E61" s="24" t="s">
        <v>4</v>
      </c>
      <c r="F61" s="25" t="str">
        <f t="shared" si="0"/>
        <v>https://docs.google.com/uc?export=download&amp;id=13zPKZ6YDkDVhNjjgVvT3s8POLfXwD-3T</v>
      </c>
      <c r="G61" s="23" t="str">
        <f t="shared" si="1"/>
        <v>13zPKZ6YDkDVhNjjgVvT3s8POLfXwD-3T</v>
      </c>
      <c r="H61" s="21" t="s">
        <v>719</v>
      </c>
    </row>
    <row r="62" spans="1:8" x14ac:dyDescent="0.25">
      <c r="B62" s="24" t="s">
        <v>27</v>
      </c>
      <c r="C62" s="24" t="s">
        <v>652</v>
      </c>
      <c r="D62" s="25" t="s">
        <v>254</v>
      </c>
      <c r="E62" s="24" t="s">
        <v>5</v>
      </c>
      <c r="F62" s="25" t="str">
        <f t="shared" si="0"/>
        <v/>
      </c>
      <c r="G62" s="23" t="str">
        <f t="shared" si="1"/>
        <v/>
      </c>
    </row>
    <row r="63" spans="1:8" x14ac:dyDescent="0.25">
      <c r="B63" s="24" t="s">
        <v>28</v>
      </c>
      <c r="C63" s="24" t="s">
        <v>555</v>
      </c>
      <c r="D63" s="25" t="s">
        <v>434</v>
      </c>
      <c r="E63" s="24" t="s">
        <v>3</v>
      </c>
      <c r="F63" s="25" t="str">
        <f t="shared" si="0"/>
        <v/>
      </c>
      <c r="G63" s="23" t="str">
        <f t="shared" si="1"/>
        <v/>
      </c>
    </row>
    <row r="64" spans="1:8" x14ac:dyDescent="0.25">
      <c r="A64" s="15">
        <v>19</v>
      </c>
      <c r="B64" s="24" t="s">
        <v>28</v>
      </c>
      <c r="C64" s="24" t="s">
        <v>556</v>
      </c>
      <c r="D64" s="25" t="s">
        <v>255</v>
      </c>
      <c r="E64" s="24" t="s">
        <v>4</v>
      </c>
      <c r="F64" s="25" t="str">
        <f t="shared" si="0"/>
        <v>https://docs.google.com/uc?export=download&amp;id=1shYCD4WoVYaKsPgiDMtObBb3DqD1pR8T</v>
      </c>
      <c r="G64" s="23" t="str">
        <f t="shared" si="1"/>
        <v>1shYCD4WoVYaKsPgiDMtObBb3DqD1pR8T</v>
      </c>
      <c r="H64" s="21" t="s">
        <v>720</v>
      </c>
    </row>
    <row r="65" spans="1:8" x14ac:dyDescent="0.25">
      <c r="B65" s="24" t="s">
        <v>28</v>
      </c>
      <c r="C65" s="24" t="s">
        <v>653</v>
      </c>
      <c r="D65" s="25" t="s">
        <v>256</v>
      </c>
      <c r="E65" s="24" t="s">
        <v>5</v>
      </c>
      <c r="F65" s="25" t="str">
        <f t="shared" si="0"/>
        <v/>
      </c>
      <c r="G65" s="23" t="str">
        <f t="shared" si="1"/>
        <v/>
      </c>
    </row>
    <row r="66" spans="1:8" x14ac:dyDescent="0.25">
      <c r="B66" s="24" t="s">
        <v>29</v>
      </c>
      <c r="C66" s="24" t="s">
        <v>557</v>
      </c>
      <c r="D66" s="25" t="s">
        <v>435</v>
      </c>
      <c r="E66" s="24" t="s">
        <v>3</v>
      </c>
      <c r="F66" s="25" t="str">
        <f t="shared" si="0"/>
        <v/>
      </c>
      <c r="G66" s="23" t="str">
        <f t="shared" si="1"/>
        <v/>
      </c>
    </row>
    <row r="67" spans="1:8" x14ac:dyDescent="0.25">
      <c r="A67" s="15">
        <v>20</v>
      </c>
      <c r="B67" s="24" t="s">
        <v>29</v>
      </c>
      <c r="C67" s="24" t="s">
        <v>558</v>
      </c>
      <c r="D67" s="25" t="s">
        <v>257</v>
      </c>
      <c r="E67" s="24" t="s">
        <v>4</v>
      </c>
      <c r="F67" s="25" t="str">
        <f t="shared" si="0"/>
        <v>https://docs.google.com/uc?export=download&amp;id=1iK-hRjXjGwHcuQXC7W31rW0T-b4zbjbK</v>
      </c>
      <c r="G67" s="23" t="str">
        <f t="shared" si="1"/>
        <v>1iK-hRjXjGwHcuQXC7W31rW0T-b4zbjbK</v>
      </c>
      <c r="H67" s="21" t="s">
        <v>721</v>
      </c>
    </row>
    <row r="68" spans="1:8" x14ac:dyDescent="0.25">
      <c r="B68" s="24" t="s">
        <v>29</v>
      </c>
      <c r="C68" s="24" t="s">
        <v>654</v>
      </c>
      <c r="D68" s="25" t="s">
        <v>258</v>
      </c>
      <c r="E68" s="24" t="s">
        <v>5</v>
      </c>
      <c r="F68" s="25" t="str">
        <f t="shared" si="0"/>
        <v/>
      </c>
      <c r="G68" s="23" t="str">
        <f t="shared" si="1"/>
        <v/>
      </c>
    </row>
    <row r="69" spans="1:8" x14ac:dyDescent="0.25">
      <c r="B69" s="24" t="s">
        <v>500</v>
      </c>
      <c r="C69" s="24" t="s">
        <v>559</v>
      </c>
      <c r="D69" s="25" t="s">
        <v>436</v>
      </c>
      <c r="E69" s="24" t="s">
        <v>3</v>
      </c>
      <c r="F69" s="25" t="str">
        <f t="shared" si="0"/>
        <v/>
      </c>
      <c r="G69" s="23" t="str">
        <f t="shared" si="1"/>
        <v/>
      </c>
    </row>
    <row r="70" spans="1:8" x14ac:dyDescent="0.25">
      <c r="A70" s="15">
        <v>21</v>
      </c>
      <c r="B70" s="24" t="s">
        <v>500</v>
      </c>
      <c r="C70" s="24" t="s">
        <v>560</v>
      </c>
      <c r="D70" s="25" t="s">
        <v>259</v>
      </c>
      <c r="E70" s="24" t="s">
        <v>4</v>
      </c>
      <c r="F70" s="25" t="str">
        <f t="shared" ref="F70:F133" si="2">IF(G70="","","https://docs.google.com/uc?export=download&amp;id="&amp;G70)</f>
        <v>https://docs.google.com/uc?export=download&amp;id=1mvLeVOGEyee2DXmT9E3nr0pDJFE1qmDz</v>
      </c>
      <c r="G70" s="23" t="str">
        <f t="shared" ref="G70:G133" si="3">IFERROR(LEFT(RIGHT(H70,LEN(H70)-32),LEN(RIGHT(H70,LEN(H70)-32))-17),"")</f>
        <v>1mvLeVOGEyee2DXmT9E3nr0pDJFE1qmDz</v>
      </c>
      <c r="H70" s="21" t="s">
        <v>722</v>
      </c>
    </row>
    <row r="71" spans="1:8" x14ac:dyDescent="0.25">
      <c r="B71" s="24" t="s">
        <v>500</v>
      </c>
      <c r="C71" s="24" t="s">
        <v>655</v>
      </c>
      <c r="D71" s="25" t="s">
        <v>260</v>
      </c>
      <c r="E71" s="24" t="s">
        <v>5</v>
      </c>
      <c r="F71" s="25" t="str">
        <f t="shared" si="2"/>
        <v/>
      </c>
      <c r="G71" s="23" t="str">
        <f t="shared" si="3"/>
        <v/>
      </c>
    </row>
    <row r="72" spans="1:8" s="10" customFormat="1" x14ac:dyDescent="0.25">
      <c r="A72" s="9"/>
      <c r="B72" s="24">
        <v>6</v>
      </c>
      <c r="C72" s="24" t="s">
        <v>561</v>
      </c>
      <c r="D72" s="25" t="s">
        <v>405</v>
      </c>
      <c r="E72" s="24" t="s">
        <v>11</v>
      </c>
      <c r="F72" s="25" t="str">
        <f t="shared" si="2"/>
        <v/>
      </c>
      <c r="G72" s="23" t="str">
        <f t="shared" si="3"/>
        <v/>
      </c>
      <c r="H72" s="21"/>
    </row>
    <row r="73" spans="1:8" x14ac:dyDescent="0.25">
      <c r="B73" s="24" t="s">
        <v>30</v>
      </c>
      <c r="C73" s="24" t="s">
        <v>562</v>
      </c>
      <c r="D73" s="25" t="s">
        <v>437</v>
      </c>
      <c r="E73" s="24" t="s">
        <v>3</v>
      </c>
      <c r="F73" s="25" t="str">
        <f t="shared" si="2"/>
        <v/>
      </c>
      <c r="G73" s="23" t="str">
        <f t="shared" si="3"/>
        <v/>
      </c>
    </row>
    <row r="74" spans="1:8" x14ac:dyDescent="0.25">
      <c r="A74" s="15">
        <v>22</v>
      </c>
      <c r="B74" s="24" t="s">
        <v>30</v>
      </c>
      <c r="C74" s="24" t="s">
        <v>563</v>
      </c>
      <c r="D74" s="25" t="s">
        <v>261</v>
      </c>
      <c r="E74" s="24" t="s">
        <v>4</v>
      </c>
      <c r="F74" s="25" t="str">
        <f t="shared" si="2"/>
        <v>https://docs.google.com/uc?export=download&amp;id=12C5lJr5KjKsYuxPWFhXaarytujcG6TYS</v>
      </c>
      <c r="G74" s="23" t="str">
        <f t="shared" si="3"/>
        <v>12C5lJr5KjKsYuxPWFhXaarytujcG6TYS</v>
      </c>
      <c r="H74" s="21" t="s">
        <v>723</v>
      </c>
    </row>
    <row r="75" spans="1:8" x14ac:dyDescent="0.25">
      <c r="B75" s="24" t="s">
        <v>30</v>
      </c>
      <c r="C75" s="24" t="s">
        <v>656</v>
      </c>
      <c r="D75" s="25" t="s">
        <v>262</v>
      </c>
      <c r="E75" s="24" t="s">
        <v>5</v>
      </c>
      <c r="F75" s="25" t="str">
        <f t="shared" si="2"/>
        <v/>
      </c>
      <c r="G75" s="23" t="str">
        <f t="shared" si="3"/>
        <v/>
      </c>
    </row>
    <row r="76" spans="1:8" x14ac:dyDescent="0.25">
      <c r="B76" s="24" t="s">
        <v>31</v>
      </c>
      <c r="C76" s="24" t="s">
        <v>564</v>
      </c>
      <c r="D76" s="25" t="s">
        <v>438</v>
      </c>
      <c r="E76" s="24" t="s">
        <v>3</v>
      </c>
      <c r="F76" s="25" t="str">
        <f t="shared" si="2"/>
        <v/>
      </c>
      <c r="G76" s="23" t="str">
        <f t="shared" si="3"/>
        <v/>
      </c>
    </row>
    <row r="77" spans="1:8" x14ac:dyDescent="0.25">
      <c r="A77" s="15">
        <v>23</v>
      </c>
      <c r="B77" s="24" t="s">
        <v>31</v>
      </c>
      <c r="C77" s="24" t="s">
        <v>565</v>
      </c>
      <c r="D77" s="25" t="s">
        <v>263</v>
      </c>
      <c r="E77" s="24" t="s">
        <v>4</v>
      </c>
      <c r="F77" s="25" t="str">
        <f t="shared" si="2"/>
        <v>https://docs.google.com/uc?export=download&amp;id=1uAdTKDkYVR6EZTTtX1BJdllfTVTRAtnh</v>
      </c>
      <c r="G77" s="23" t="str">
        <f t="shared" si="3"/>
        <v>1uAdTKDkYVR6EZTTtX1BJdllfTVTRAtnh</v>
      </c>
      <c r="H77" s="21" t="s">
        <v>724</v>
      </c>
    </row>
    <row r="78" spans="1:8" x14ac:dyDescent="0.25">
      <c r="B78" s="24" t="s">
        <v>31</v>
      </c>
      <c r="C78" s="24" t="s">
        <v>657</v>
      </c>
      <c r="D78" s="25" t="s">
        <v>264</v>
      </c>
      <c r="E78" s="24" t="s">
        <v>5</v>
      </c>
      <c r="F78" s="25" t="str">
        <f t="shared" si="2"/>
        <v/>
      </c>
      <c r="G78" s="23" t="str">
        <f t="shared" si="3"/>
        <v/>
      </c>
    </row>
    <row r="79" spans="1:8" x14ac:dyDescent="0.25">
      <c r="B79" s="24" t="s">
        <v>32</v>
      </c>
      <c r="C79" s="24" t="s">
        <v>566</v>
      </c>
      <c r="D79" s="25" t="s">
        <v>439</v>
      </c>
      <c r="E79" s="24" t="s">
        <v>3</v>
      </c>
      <c r="F79" s="25" t="str">
        <f t="shared" si="2"/>
        <v/>
      </c>
      <c r="G79" s="23" t="str">
        <f t="shared" si="3"/>
        <v/>
      </c>
    </row>
    <row r="80" spans="1:8" x14ac:dyDescent="0.25">
      <c r="A80" s="15">
        <v>24</v>
      </c>
      <c r="B80" s="24" t="s">
        <v>32</v>
      </c>
      <c r="C80" s="24" t="s">
        <v>567</v>
      </c>
      <c r="D80" s="25" t="s">
        <v>265</v>
      </c>
      <c r="E80" s="24" t="s">
        <v>4</v>
      </c>
      <c r="F80" s="25" t="str">
        <f t="shared" si="2"/>
        <v>https://docs.google.com/uc?export=download&amp;id=1GvIjLPUmHTjEZUzwwPyTB6l_aS-YCO5N</v>
      </c>
      <c r="G80" s="23" t="str">
        <f t="shared" si="3"/>
        <v>1GvIjLPUmHTjEZUzwwPyTB6l_aS-YCO5N</v>
      </c>
      <c r="H80" s="21" t="s">
        <v>725</v>
      </c>
    </row>
    <row r="81" spans="1:8" x14ac:dyDescent="0.25">
      <c r="B81" s="24" t="s">
        <v>32</v>
      </c>
      <c r="C81" s="24" t="s">
        <v>658</v>
      </c>
      <c r="D81" s="25" t="s">
        <v>266</v>
      </c>
      <c r="E81" s="24" t="s">
        <v>5</v>
      </c>
      <c r="F81" s="25" t="str">
        <f t="shared" si="2"/>
        <v/>
      </c>
      <c r="G81" s="23" t="str">
        <f t="shared" si="3"/>
        <v/>
      </c>
    </row>
    <row r="82" spans="1:8" x14ac:dyDescent="0.25">
      <c r="B82" s="24" t="s">
        <v>33</v>
      </c>
      <c r="C82" s="24" t="s">
        <v>568</v>
      </c>
      <c r="D82" s="25" t="s">
        <v>440</v>
      </c>
      <c r="E82" s="24" t="s">
        <v>3</v>
      </c>
      <c r="F82" s="25" t="str">
        <f t="shared" si="2"/>
        <v/>
      </c>
      <c r="G82" s="23" t="str">
        <f t="shared" si="3"/>
        <v/>
      </c>
    </row>
    <row r="83" spans="1:8" x14ac:dyDescent="0.25">
      <c r="A83" s="15">
        <v>25</v>
      </c>
      <c r="B83" s="24" t="s">
        <v>33</v>
      </c>
      <c r="C83" s="24" t="s">
        <v>569</v>
      </c>
      <c r="D83" s="25" t="s">
        <v>267</v>
      </c>
      <c r="E83" s="24" t="s">
        <v>4</v>
      </c>
      <c r="F83" s="25" t="str">
        <f t="shared" si="2"/>
        <v>https://docs.google.com/uc?export=download&amp;id=1v5Pq-gY-XkgVGKoA6d5QErGFHVv3iNL_</v>
      </c>
      <c r="G83" s="23" t="str">
        <f t="shared" si="3"/>
        <v>1v5Pq-gY-XkgVGKoA6d5QErGFHVv3iNL_</v>
      </c>
      <c r="H83" s="21" t="s">
        <v>726</v>
      </c>
    </row>
    <row r="84" spans="1:8" x14ac:dyDescent="0.25">
      <c r="B84" s="24" t="s">
        <v>33</v>
      </c>
      <c r="C84" s="24" t="s">
        <v>659</v>
      </c>
      <c r="D84" s="25" t="s">
        <v>268</v>
      </c>
      <c r="E84" s="24" t="s">
        <v>5</v>
      </c>
      <c r="F84" s="25" t="str">
        <f t="shared" si="2"/>
        <v/>
      </c>
      <c r="G84" s="23" t="str">
        <f t="shared" si="3"/>
        <v/>
      </c>
    </row>
    <row r="85" spans="1:8" s="10" customFormat="1" x14ac:dyDescent="0.25">
      <c r="A85" s="9"/>
      <c r="B85" s="24" t="s">
        <v>501</v>
      </c>
      <c r="C85" s="24" t="s">
        <v>570</v>
      </c>
      <c r="D85" s="25" t="s">
        <v>441</v>
      </c>
      <c r="E85" s="24" t="s">
        <v>3</v>
      </c>
      <c r="F85" s="25" t="str">
        <f t="shared" si="2"/>
        <v/>
      </c>
      <c r="G85" s="23" t="str">
        <f t="shared" si="3"/>
        <v/>
      </c>
      <c r="H85" s="21"/>
    </row>
    <row r="86" spans="1:8" x14ac:dyDescent="0.25">
      <c r="A86" s="15">
        <v>26</v>
      </c>
      <c r="B86" s="24" t="s">
        <v>501</v>
      </c>
      <c r="C86" s="24" t="s">
        <v>571</v>
      </c>
      <c r="D86" s="25" t="s">
        <v>269</v>
      </c>
      <c r="E86" s="24" t="s">
        <v>4</v>
      </c>
      <c r="F86" s="25" t="str">
        <f t="shared" si="2"/>
        <v>https://docs.google.com/uc?export=download&amp;id=1DsvnaFv7x7kZ8X7w3MFqqHQ7wFzqhLQE</v>
      </c>
      <c r="G86" s="23" t="str">
        <f t="shared" si="3"/>
        <v>1DsvnaFv7x7kZ8X7w3MFqqHQ7wFzqhLQE</v>
      </c>
      <c r="H86" s="21" t="s">
        <v>727</v>
      </c>
    </row>
    <row r="87" spans="1:8" x14ac:dyDescent="0.25">
      <c r="B87" s="24" t="s">
        <v>501</v>
      </c>
      <c r="C87" s="24" t="s">
        <v>660</v>
      </c>
      <c r="D87" s="25" t="s">
        <v>270</v>
      </c>
      <c r="E87" s="24" t="s">
        <v>5</v>
      </c>
      <c r="F87" s="25" t="str">
        <f t="shared" si="2"/>
        <v/>
      </c>
      <c r="G87" s="23" t="str">
        <f t="shared" si="3"/>
        <v/>
      </c>
    </row>
    <row r="88" spans="1:8" x14ac:dyDescent="0.25">
      <c r="B88" s="24">
        <v>7</v>
      </c>
      <c r="C88" s="24" t="s">
        <v>572</v>
      </c>
      <c r="D88" s="25" t="s">
        <v>406</v>
      </c>
      <c r="E88" s="24" t="s">
        <v>11</v>
      </c>
      <c r="F88" s="25" t="str">
        <f t="shared" si="2"/>
        <v/>
      </c>
      <c r="G88" s="23" t="str">
        <f t="shared" si="3"/>
        <v/>
      </c>
    </row>
    <row r="89" spans="1:8" x14ac:dyDescent="0.25">
      <c r="B89" s="24" t="s">
        <v>34</v>
      </c>
      <c r="C89" s="24" t="s">
        <v>573</v>
      </c>
      <c r="D89" s="25" t="s">
        <v>442</v>
      </c>
      <c r="E89" s="24" t="s">
        <v>3</v>
      </c>
      <c r="F89" s="25" t="str">
        <f t="shared" si="2"/>
        <v/>
      </c>
      <c r="G89" s="23" t="str">
        <f t="shared" si="3"/>
        <v/>
      </c>
    </row>
    <row r="90" spans="1:8" x14ac:dyDescent="0.25">
      <c r="A90" s="15">
        <v>27</v>
      </c>
      <c r="B90" s="24" t="s">
        <v>34</v>
      </c>
      <c r="C90" s="24" t="s">
        <v>574</v>
      </c>
      <c r="D90" s="25" t="s">
        <v>271</v>
      </c>
      <c r="E90" s="24" t="s">
        <v>4</v>
      </c>
      <c r="F90" s="25" t="str">
        <f t="shared" si="2"/>
        <v>https://docs.google.com/uc?export=download&amp;id=1lGLW_J4Wks5M_a9-4x1R5X9Frl-NwH0A</v>
      </c>
      <c r="G90" s="23" t="str">
        <f t="shared" si="3"/>
        <v>1lGLW_J4Wks5M_a9-4x1R5X9Frl-NwH0A</v>
      </c>
      <c r="H90" s="21" t="s">
        <v>728</v>
      </c>
    </row>
    <row r="91" spans="1:8" x14ac:dyDescent="0.25">
      <c r="B91" s="24" t="s">
        <v>34</v>
      </c>
      <c r="C91" s="24" t="s">
        <v>661</v>
      </c>
      <c r="D91" s="25" t="s">
        <v>272</v>
      </c>
      <c r="E91" s="24" t="s">
        <v>5</v>
      </c>
      <c r="F91" s="25" t="str">
        <f t="shared" si="2"/>
        <v/>
      </c>
      <c r="G91" s="23" t="str">
        <f t="shared" si="3"/>
        <v/>
      </c>
    </row>
    <row r="92" spans="1:8" x14ac:dyDescent="0.25">
      <c r="B92" s="24" t="s">
        <v>35</v>
      </c>
      <c r="C92" s="24" t="s">
        <v>575</v>
      </c>
      <c r="D92" s="25" t="s">
        <v>443</v>
      </c>
      <c r="E92" s="24" t="s">
        <v>3</v>
      </c>
      <c r="F92" s="25" t="str">
        <f t="shared" si="2"/>
        <v/>
      </c>
      <c r="G92" s="23" t="str">
        <f t="shared" si="3"/>
        <v/>
      </c>
    </row>
    <row r="93" spans="1:8" x14ac:dyDescent="0.25">
      <c r="A93" s="15">
        <v>28</v>
      </c>
      <c r="B93" s="24" t="s">
        <v>35</v>
      </c>
      <c r="C93" s="24" t="s">
        <v>576</v>
      </c>
      <c r="D93" s="25" t="s">
        <v>273</v>
      </c>
      <c r="E93" s="24" t="s">
        <v>4</v>
      </c>
      <c r="F93" s="25" t="str">
        <f t="shared" si="2"/>
        <v>https://docs.google.com/uc?export=download&amp;id=1pCacLAjDhIx1ekj5W22LuBNf1K2wFZxF</v>
      </c>
      <c r="G93" s="23" t="str">
        <f t="shared" si="3"/>
        <v>1pCacLAjDhIx1ekj5W22LuBNf1K2wFZxF</v>
      </c>
      <c r="H93" s="21" t="s">
        <v>729</v>
      </c>
    </row>
    <row r="94" spans="1:8" x14ac:dyDescent="0.25">
      <c r="B94" s="24" t="s">
        <v>35</v>
      </c>
      <c r="C94" s="24" t="s">
        <v>662</v>
      </c>
      <c r="D94" s="25" t="s">
        <v>274</v>
      </c>
      <c r="E94" s="24" t="s">
        <v>5</v>
      </c>
      <c r="F94" s="25" t="str">
        <f t="shared" si="2"/>
        <v/>
      </c>
      <c r="G94" s="23" t="str">
        <f t="shared" si="3"/>
        <v/>
      </c>
    </row>
    <row r="95" spans="1:8" x14ac:dyDescent="0.25">
      <c r="B95" s="24" t="s">
        <v>36</v>
      </c>
      <c r="C95" s="24" t="s">
        <v>577</v>
      </c>
      <c r="D95" s="25" t="s">
        <v>444</v>
      </c>
      <c r="E95" s="24" t="s">
        <v>3</v>
      </c>
      <c r="F95" s="25" t="str">
        <f t="shared" si="2"/>
        <v/>
      </c>
      <c r="G95" s="23" t="str">
        <f t="shared" si="3"/>
        <v/>
      </c>
    </row>
    <row r="96" spans="1:8" x14ac:dyDescent="0.25">
      <c r="A96" s="15">
        <v>29</v>
      </c>
      <c r="B96" s="24" t="s">
        <v>36</v>
      </c>
      <c r="C96" s="24" t="s">
        <v>578</v>
      </c>
      <c r="D96" s="25" t="s">
        <v>275</v>
      </c>
      <c r="E96" s="24" t="s">
        <v>4</v>
      </c>
      <c r="F96" s="25" t="str">
        <f t="shared" si="2"/>
        <v>https://docs.google.com/uc?export=download&amp;id=1eB3MC4aDEtuWw-ZJwsZu4NbtY_gdNbZb</v>
      </c>
      <c r="G96" s="23" t="str">
        <f t="shared" si="3"/>
        <v>1eB3MC4aDEtuWw-ZJwsZu4NbtY_gdNbZb</v>
      </c>
      <c r="H96" s="21" t="s">
        <v>730</v>
      </c>
    </row>
    <row r="97" spans="1:8" x14ac:dyDescent="0.25">
      <c r="B97" s="24" t="s">
        <v>36</v>
      </c>
      <c r="C97" s="24" t="s">
        <v>663</v>
      </c>
      <c r="D97" s="25" t="s">
        <v>276</v>
      </c>
      <c r="E97" s="24" t="s">
        <v>5</v>
      </c>
      <c r="F97" s="25" t="str">
        <f t="shared" si="2"/>
        <v/>
      </c>
      <c r="G97" s="23" t="str">
        <f t="shared" si="3"/>
        <v/>
      </c>
    </row>
    <row r="98" spans="1:8" x14ac:dyDescent="0.25">
      <c r="B98" s="24" t="s">
        <v>37</v>
      </c>
      <c r="C98" s="24" t="s">
        <v>579</v>
      </c>
      <c r="D98" s="25" t="s">
        <v>445</v>
      </c>
      <c r="E98" s="24" t="s">
        <v>3</v>
      </c>
      <c r="F98" s="25" t="str">
        <f t="shared" si="2"/>
        <v/>
      </c>
      <c r="G98" s="23" t="str">
        <f t="shared" si="3"/>
        <v/>
      </c>
    </row>
    <row r="99" spans="1:8" x14ac:dyDescent="0.25">
      <c r="A99" s="15">
        <v>30</v>
      </c>
      <c r="B99" s="24" t="s">
        <v>37</v>
      </c>
      <c r="C99" s="24" t="s">
        <v>580</v>
      </c>
      <c r="D99" s="25" t="s">
        <v>277</v>
      </c>
      <c r="E99" s="24" t="s">
        <v>4</v>
      </c>
      <c r="F99" s="25" t="str">
        <f t="shared" si="2"/>
        <v>https://docs.google.com/uc?export=download&amp;id=1SC7VMMen4PY70HKXjLhdIOZKi7zyms-P</v>
      </c>
      <c r="G99" s="23" t="str">
        <f t="shared" si="3"/>
        <v>1SC7VMMen4PY70HKXjLhdIOZKi7zyms-P</v>
      </c>
      <c r="H99" s="21" t="s">
        <v>731</v>
      </c>
    </row>
    <row r="100" spans="1:8" x14ac:dyDescent="0.25">
      <c r="B100" s="24" t="s">
        <v>37</v>
      </c>
      <c r="C100" s="24" t="s">
        <v>664</v>
      </c>
      <c r="D100" s="25" t="s">
        <v>278</v>
      </c>
      <c r="E100" s="24" t="s">
        <v>5</v>
      </c>
      <c r="F100" s="25" t="str">
        <f t="shared" si="2"/>
        <v/>
      </c>
      <c r="G100" s="23" t="str">
        <f t="shared" si="3"/>
        <v/>
      </c>
    </row>
    <row r="101" spans="1:8" x14ac:dyDescent="0.25">
      <c r="B101" s="24" t="s">
        <v>38</v>
      </c>
      <c r="C101" s="24" t="s">
        <v>581</v>
      </c>
      <c r="D101" s="25" t="s">
        <v>446</v>
      </c>
      <c r="E101" s="24" t="s">
        <v>3</v>
      </c>
      <c r="F101" s="25" t="str">
        <f t="shared" si="2"/>
        <v/>
      </c>
      <c r="G101" s="23" t="str">
        <f t="shared" si="3"/>
        <v/>
      </c>
    </row>
    <row r="102" spans="1:8" x14ac:dyDescent="0.25">
      <c r="A102" s="15">
        <v>31</v>
      </c>
      <c r="B102" s="24" t="s">
        <v>38</v>
      </c>
      <c r="C102" s="24" t="s">
        <v>582</v>
      </c>
      <c r="D102" s="25" t="s">
        <v>279</v>
      </c>
      <c r="E102" s="24" t="s">
        <v>4</v>
      </c>
      <c r="F102" s="25" t="str">
        <f t="shared" si="2"/>
        <v>https://docs.google.com/uc?export=download&amp;id=12SBNuZAP445P3w7G0dxxcfEnob1-6NSn</v>
      </c>
      <c r="G102" s="23" t="str">
        <f t="shared" si="3"/>
        <v>12SBNuZAP445P3w7G0dxxcfEnob1-6NSn</v>
      </c>
      <c r="H102" s="21" t="s">
        <v>732</v>
      </c>
    </row>
    <row r="103" spans="1:8" x14ac:dyDescent="0.25">
      <c r="B103" s="24" t="s">
        <v>38</v>
      </c>
      <c r="C103" s="24" t="s">
        <v>665</v>
      </c>
      <c r="D103" s="25" t="s">
        <v>280</v>
      </c>
      <c r="E103" s="24" t="s">
        <v>5</v>
      </c>
      <c r="F103" s="25" t="str">
        <f t="shared" si="2"/>
        <v/>
      </c>
      <c r="G103" s="23" t="str">
        <f t="shared" si="3"/>
        <v/>
      </c>
    </row>
    <row r="104" spans="1:8" s="10" customFormat="1" x14ac:dyDescent="0.25">
      <c r="A104" s="9"/>
      <c r="B104" s="24" t="s">
        <v>39</v>
      </c>
      <c r="C104" s="24" t="s">
        <v>583</v>
      </c>
      <c r="D104" s="25" t="s">
        <v>447</v>
      </c>
      <c r="E104" s="24" t="s">
        <v>3</v>
      </c>
      <c r="F104" s="25" t="str">
        <f t="shared" si="2"/>
        <v/>
      </c>
      <c r="G104" s="23" t="str">
        <f t="shared" si="3"/>
        <v/>
      </c>
      <c r="H104" s="21"/>
    </row>
    <row r="105" spans="1:8" x14ac:dyDescent="0.25">
      <c r="A105" s="15">
        <v>32</v>
      </c>
      <c r="B105" s="24" t="s">
        <v>39</v>
      </c>
      <c r="C105" s="24" t="s">
        <v>584</v>
      </c>
      <c r="D105" s="25" t="s">
        <v>281</v>
      </c>
      <c r="E105" s="24" t="s">
        <v>4</v>
      </c>
      <c r="F105" s="25" t="str">
        <f t="shared" si="2"/>
        <v>https://docs.google.com/uc?export=download&amp;id=1leOXxcBqQSs-IEmILuiozj0FCe1CcVFY</v>
      </c>
      <c r="G105" s="23" t="str">
        <f t="shared" si="3"/>
        <v>1leOXxcBqQSs-IEmILuiozj0FCe1CcVFY</v>
      </c>
      <c r="H105" s="21" t="s">
        <v>733</v>
      </c>
    </row>
    <row r="106" spans="1:8" x14ac:dyDescent="0.25">
      <c r="B106" s="24" t="s">
        <v>39</v>
      </c>
      <c r="C106" s="24" t="s">
        <v>666</v>
      </c>
      <c r="D106" s="25" t="s">
        <v>282</v>
      </c>
      <c r="E106" s="24" t="s">
        <v>5</v>
      </c>
      <c r="F106" s="25" t="str">
        <f t="shared" si="2"/>
        <v/>
      </c>
      <c r="G106" s="23" t="str">
        <f t="shared" si="3"/>
        <v/>
      </c>
    </row>
    <row r="107" spans="1:8" x14ac:dyDescent="0.25">
      <c r="B107" s="24">
        <v>8</v>
      </c>
      <c r="C107" s="24" t="s">
        <v>585</v>
      </c>
      <c r="D107" s="25" t="s">
        <v>407</v>
      </c>
      <c r="E107" s="24" t="s">
        <v>11</v>
      </c>
      <c r="F107" s="25" t="str">
        <f t="shared" si="2"/>
        <v/>
      </c>
      <c r="G107" s="23" t="str">
        <f t="shared" si="3"/>
        <v/>
      </c>
    </row>
    <row r="108" spans="1:8" x14ac:dyDescent="0.25">
      <c r="B108" s="24" t="s">
        <v>40</v>
      </c>
      <c r="C108" s="24" t="s">
        <v>586</v>
      </c>
      <c r="D108" s="25" t="s">
        <v>697</v>
      </c>
      <c r="E108" s="24" t="s">
        <v>3</v>
      </c>
      <c r="F108" s="25" t="str">
        <f t="shared" si="2"/>
        <v/>
      </c>
      <c r="G108" s="23" t="str">
        <f t="shared" si="3"/>
        <v/>
      </c>
    </row>
    <row r="109" spans="1:8" x14ac:dyDescent="0.25">
      <c r="A109" s="15">
        <v>33</v>
      </c>
      <c r="B109" s="24" t="s">
        <v>40</v>
      </c>
      <c r="C109" s="24" t="s">
        <v>587</v>
      </c>
      <c r="D109" s="25" t="s">
        <v>283</v>
      </c>
      <c r="E109" s="24" t="s">
        <v>4</v>
      </c>
      <c r="F109" s="25" t="str">
        <f t="shared" si="2"/>
        <v>https://docs.google.com/uc?export=download&amp;id=1E5fSDA9XSTvkgA8hv3OrZk103QbrEMLp</v>
      </c>
      <c r="G109" s="23" t="str">
        <f t="shared" si="3"/>
        <v>1E5fSDA9XSTvkgA8hv3OrZk103QbrEMLp</v>
      </c>
      <c r="H109" s="21" t="s">
        <v>734</v>
      </c>
    </row>
    <row r="110" spans="1:8" x14ac:dyDescent="0.25">
      <c r="B110" s="24" t="s">
        <v>40</v>
      </c>
      <c r="C110" s="24" t="s">
        <v>667</v>
      </c>
      <c r="D110" s="25" t="s">
        <v>284</v>
      </c>
      <c r="E110" s="24" t="s">
        <v>5</v>
      </c>
      <c r="F110" s="25" t="str">
        <f t="shared" si="2"/>
        <v/>
      </c>
      <c r="G110" s="23" t="str">
        <f t="shared" si="3"/>
        <v/>
      </c>
    </row>
    <row r="111" spans="1:8" x14ac:dyDescent="0.25">
      <c r="B111" s="24" t="s">
        <v>41</v>
      </c>
      <c r="C111" s="24" t="s">
        <v>588</v>
      </c>
      <c r="D111" s="25" t="s">
        <v>698</v>
      </c>
      <c r="E111" s="24" t="s">
        <v>3</v>
      </c>
      <c r="F111" s="25" t="str">
        <f t="shared" si="2"/>
        <v/>
      </c>
      <c r="G111" s="23" t="str">
        <f t="shared" si="3"/>
        <v/>
      </c>
    </row>
    <row r="112" spans="1:8" x14ac:dyDescent="0.25">
      <c r="A112" s="15">
        <v>34</v>
      </c>
      <c r="B112" s="24" t="s">
        <v>41</v>
      </c>
      <c r="C112" s="24" t="s">
        <v>589</v>
      </c>
      <c r="D112" s="25" t="s">
        <v>285</v>
      </c>
      <c r="E112" s="24" t="s">
        <v>4</v>
      </c>
      <c r="F112" s="25" t="str">
        <f t="shared" si="2"/>
        <v>https://docs.google.com/uc?export=download&amp;id=1LagtghJn6Q0RlZ423yY7qf6IgeMuBVbQ</v>
      </c>
      <c r="G112" s="23" t="str">
        <f t="shared" si="3"/>
        <v>1LagtghJn6Q0RlZ423yY7qf6IgeMuBVbQ</v>
      </c>
      <c r="H112" s="21" t="s">
        <v>735</v>
      </c>
    </row>
    <row r="113" spans="1:8" x14ac:dyDescent="0.25">
      <c r="B113" s="24" t="s">
        <v>41</v>
      </c>
      <c r="C113" s="24" t="s">
        <v>668</v>
      </c>
      <c r="D113" s="25" t="s">
        <v>286</v>
      </c>
      <c r="E113" s="24" t="s">
        <v>5</v>
      </c>
      <c r="F113" s="25" t="str">
        <f t="shared" si="2"/>
        <v/>
      </c>
      <c r="G113" s="23" t="str">
        <f t="shared" si="3"/>
        <v/>
      </c>
    </row>
    <row r="114" spans="1:8" x14ac:dyDescent="0.25">
      <c r="B114" s="24" t="s">
        <v>42</v>
      </c>
      <c r="C114" s="24" t="s">
        <v>590</v>
      </c>
      <c r="D114" s="25" t="s">
        <v>699</v>
      </c>
      <c r="E114" s="24" t="s">
        <v>3</v>
      </c>
      <c r="F114" s="25" t="str">
        <f t="shared" si="2"/>
        <v/>
      </c>
      <c r="G114" s="23" t="str">
        <f t="shared" si="3"/>
        <v/>
      </c>
    </row>
    <row r="115" spans="1:8" x14ac:dyDescent="0.25">
      <c r="A115" s="15">
        <v>35</v>
      </c>
      <c r="B115" s="24" t="s">
        <v>42</v>
      </c>
      <c r="C115" s="24" t="s">
        <v>591</v>
      </c>
      <c r="D115" s="25" t="s">
        <v>287</v>
      </c>
      <c r="E115" s="24" t="s">
        <v>4</v>
      </c>
      <c r="F115" s="25" t="str">
        <f t="shared" si="2"/>
        <v>https://docs.google.com/uc?export=download&amp;id=1tRHFIgVzpeK-pjqaeeE02GEDeo1f6Rz6</v>
      </c>
      <c r="G115" s="23" t="str">
        <f t="shared" si="3"/>
        <v>1tRHFIgVzpeK-pjqaeeE02GEDeo1f6Rz6</v>
      </c>
      <c r="H115" s="21" t="s">
        <v>736</v>
      </c>
    </row>
    <row r="116" spans="1:8" x14ac:dyDescent="0.25">
      <c r="B116" s="24" t="s">
        <v>42</v>
      </c>
      <c r="C116" s="24" t="s">
        <v>669</v>
      </c>
      <c r="D116" s="25" t="s">
        <v>288</v>
      </c>
      <c r="E116" s="24" t="s">
        <v>5</v>
      </c>
      <c r="F116" s="25" t="str">
        <f t="shared" si="2"/>
        <v/>
      </c>
      <c r="G116" s="23" t="str">
        <f t="shared" si="3"/>
        <v/>
      </c>
    </row>
    <row r="117" spans="1:8" s="10" customFormat="1" x14ac:dyDescent="0.25">
      <c r="A117" s="9"/>
      <c r="B117" s="24">
        <v>9</v>
      </c>
      <c r="C117" s="24" t="s">
        <v>592</v>
      </c>
      <c r="D117" s="25" t="s">
        <v>408</v>
      </c>
      <c r="E117" s="24" t="s">
        <v>11</v>
      </c>
      <c r="F117" s="25" t="str">
        <f t="shared" si="2"/>
        <v/>
      </c>
      <c r="G117" s="23" t="str">
        <f t="shared" si="3"/>
        <v/>
      </c>
      <c r="H117" s="21"/>
    </row>
    <row r="118" spans="1:8" x14ac:dyDescent="0.25">
      <c r="B118" s="24" t="s">
        <v>43</v>
      </c>
      <c r="C118" s="24" t="s">
        <v>593</v>
      </c>
      <c r="D118" s="25" t="s">
        <v>448</v>
      </c>
      <c r="E118" s="24" t="s">
        <v>3</v>
      </c>
      <c r="F118" s="25" t="str">
        <f t="shared" si="2"/>
        <v/>
      </c>
      <c r="G118" s="23" t="str">
        <f t="shared" si="3"/>
        <v/>
      </c>
    </row>
    <row r="119" spans="1:8" x14ac:dyDescent="0.25">
      <c r="A119" s="15">
        <v>36</v>
      </c>
      <c r="B119" s="24" t="s">
        <v>43</v>
      </c>
      <c r="C119" s="24" t="s">
        <v>594</v>
      </c>
      <c r="D119" s="25" t="s">
        <v>289</v>
      </c>
      <c r="E119" s="24" t="s">
        <v>4</v>
      </c>
      <c r="F119" s="25" t="str">
        <f t="shared" si="2"/>
        <v>https://docs.google.com/uc?export=download&amp;id=1lYB-3dw3JpPjJwnIGYcOiosHdG7CSosn</v>
      </c>
      <c r="G119" s="23" t="str">
        <f t="shared" si="3"/>
        <v>1lYB-3dw3JpPjJwnIGYcOiosHdG7CSosn</v>
      </c>
      <c r="H119" s="21" t="s">
        <v>737</v>
      </c>
    </row>
    <row r="120" spans="1:8" x14ac:dyDescent="0.25">
      <c r="B120" s="24" t="s">
        <v>43</v>
      </c>
      <c r="C120" s="24" t="s">
        <v>670</v>
      </c>
      <c r="D120" s="25" t="s">
        <v>290</v>
      </c>
      <c r="E120" s="24" t="s">
        <v>5</v>
      </c>
      <c r="F120" s="25" t="str">
        <f t="shared" si="2"/>
        <v/>
      </c>
      <c r="G120" s="23" t="str">
        <f t="shared" si="3"/>
        <v/>
      </c>
    </row>
    <row r="121" spans="1:8" x14ac:dyDescent="0.25">
      <c r="B121" s="24" t="s">
        <v>44</v>
      </c>
      <c r="C121" s="24" t="s">
        <v>595</v>
      </c>
      <c r="D121" s="25" t="s">
        <v>449</v>
      </c>
      <c r="E121" s="24" t="s">
        <v>3</v>
      </c>
      <c r="F121" s="25" t="str">
        <f t="shared" si="2"/>
        <v/>
      </c>
      <c r="G121" s="23" t="str">
        <f t="shared" si="3"/>
        <v/>
      </c>
    </row>
    <row r="122" spans="1:8" x14ac:dyDescent="0.25">
      <c r="A122" s="15">
        <v>37</v>
      </c>
      <c r="B122" s="24" t="s">
        <v>44</v>
      </c>
      <c r="C122" s="24" t="s">
        <v>596</v>
      </c>
      <c r="D122" s="25" t="s">
        <v>291</v>
      </c>
      <c r="E122" s="24" t="s">
        <v>4</v>
      </c>
      <c r="F122" s="25" t="str">
        <f t="shared" si="2"/>
        <v>https://docs.google.com/uc?export=download&amp;id=1EzdGsYHBe4SOUNnNKWjj77xG8aq0FxjT</v>
      </c>
      <c r="G122" s="23" t="str">
        <f t="shared" si="3"/>
        <v>1EzdGsYHBe4SOUNnNKWjj77xG8aq0FxjT</v>
      </c>
      <c r="H122" s="21" t="s">
        <v>738</v>
      </c>
    </row>
    <row r="123" spans="1:8" x14ac:dyDescent="0.25">
      <c r="B123" s="24" t="s">
        <v>44</v>
      </c>
      <c r="C123" s="24" t="s">
        <v>671</v>
      </c>
      <c r="D123" s="25" t="s">
        <v>292</v>
      </c>
      <c r="E123" s="24" t="s">
        <v>5</v>
      </c>
      <c r="F123" s="25" t="str">
        <f t="shared" si="2"/>
        <v/>
      </c>
      <c r="G123" s="23" t="str">
        <f t="shared" si="3"/>
        <v/>
      </c>
    </row>
    <row r="124" spans="1:8" x14ac:dyDescent="0.25">
      <c r="B124" s="24" t="s">
        <v>45</v>
      </c>
      <c r="C124" s="24" t="s">
        <v>597</v>
      </c>
      <c r="D124" s="25" t="s">
        <v>450</v>
      </c>
      <c r="E124" s="24" t="s">
        <v>3</v>
      </c>
      <c r="F124" s="25" t="str">
        <f t="shared" si="2"/>
        <v/>
      </c>
      <c r="G124" s="23" t="str">
        <f t="shared" si="3"/>
        <v/>
      </c>
    </row>
    <row r="125" spans="1:8" x14ac:dyDescent="0.25">
      <c r="A125" s="15">
        <v>38</v>
      </c>
      <c r="B125" s="24" t="s">
        <v>45</v>
      </c>
      <c r="C125" s="24" t="s">
        <v>598</v>
      </c>
      <c r="D125" s="25" t="s">
        <v>293</v>
      </c>
      <c r="E125" s="24" t="s">
        <v>4</v>
      </c>
      <c r="F125" s="25" t="str">
        <f t="shared" si="2"/>
        <v>https://docs.google.com/uc?export=download&amp;id=1kQM3Z7uLxH_wYsI2L3Ppx9hn7w0iDfrr</v>
      </c>
      <c r="G125" s="23" t="str">
        <f t="shared" si="3"/>
        <v>1kQM3Z7uLxH_wYsI2L3Ppx9hn7w0iDfrr</v>
      </c>
      <c r="H125" s="21" t="s">
        <v>739</v>
      </c>
    </row>
    <row r="126" spans="1:8" x14ac:dyDescent="0.25">
      <c r="B126" s="24" t="s">
        <v>45</v>
      </c>
      <c r="C126" s="24" t="s">
        <v>672</v>
      </c>
      <c r="D126" s="25" t="s">
        <v>294</v>
      </c>
      <c r="E126" s="24" t="s">
        <v>5</v>
      </c>
      <c r="F126" s="25" t="str">
        <f t="shared" si="2"/>
        <v/>
      </c>
      <c r="G126" s="23" t="str">
        <f t="shared" si="3"/>
        <v/>
      </c>
    </row>
    <row r="127" spans="1:8" x14ac:dyDescent="0.25">
      <c r="B127" s="24" t="s">
        <v>46</v>
      </c>
      <c r="C127" s="24" t="s">
        <v>599</v>
      </c>
      <c r="D127" s="25" t="s">
        <v>451</v>
      </c>
      <c r="E127" s="24" t="s">
        <v>3</v>
      </c>
      <c r="F127" s="25" t="str">
        <f t="shared" si="2"/>
        <v/>
      </c>
      <c r="G127" s="23" t="str">
        <f t="shared" si="3"/>
        <v/>
      </c>
    </row>
    <row r="128" spans="1:8" x14ac:dyDescent="0.25">
      <c r="A128" s="15">
        <v>39</v>
      </c>
      <c r="B128" s="24" t="s">
        <v>46</v>
      </c>
      <c r="C128" s="24" t="s">
        <v>600</v>
      </c>
      <c r="D128" s="25" t="s">
        <v>295</v>
      </c>
      <c r="E128" s="24" t="s">
        <v>4</v>
      </c>
      <c r="F128" s="25" t="str">
        <f t="shared" si="2"/>
        <v>https://docs.google.com/uc?export=download&amp;id=1e2sKypcf_I3wboIy009n3mdw42yqWKbQ</v>
      </c>
      <c r="G128" s="23" t="str">
        <f t="shared" si="3"/>
        <v>1e2sKypcf_I3wboIy009n3mdw42yqWKbQ</v>
      </c>
      <c r="H128" s="21" t="s">
        <v>740</v>
      </c>
    </row>
    <row r="129" spans="1:8" x14ac:dyDescent="0.25">
      <c r="B129" s="24" t="s">
        <v>46</v>
      </c>
      <c r="C129" s="24" t="s">
        <v>673</v>
      </c>
      <c r="D129" s="25" t="s">
        <v>296</v>
      </c>
      <c r="E129" s="24" t="s">
        <v>5</v>
      </c>
      <c r="F129" s="25" t="str">
        <f t="shared" si="2"/>
        <v/>
      </c>
      <c r="G129" s="23" t="str">
        <f t="shared" si="3"/>
        <v/>
      </c>
    </row>
    <row r="130" spans="1:8" x14ac:dyDescent="0.25">
      <c r="B130" s="24">
        <v>10</v>
      </c>
      <c r="C130" s="24" t="s">
        <v>601</v>
      </c>
      <c r="D130" s="25" t="s">
        <v>409</v>
      </c>
      <c r="E130" s="24" t="s">
        <v>11</v>
      </c>
      <c r="F130" s="25" t="str">
        <f t="shared" si="2"/>
        <v/>
      </c>
      <c r="G130" s="23" t="str">
        <f t="shared" si="3"/>
        <v/>
      </c>
    </row>
    <row r="131" spans="1:8" x14ac:dyDescent="0.25">
      <c r="B131" s="24" t="s">
        <v>47</v>
      </c>
      <c r="C131" s="24" t="s">
        <v>602</v>
      </c>
      <c r="D131" s="25" t="s">
        <v>452</v>
      </c>
      <c r="E131" s="24" t="s">
        <v>3</v>
      </c>
      <c r="F131" s="25" t="str">
        <f t="shared" si="2"/>
        <v/>
      </c>
      <c r="G131" s="23" t="str">
        <f t="shared" si="3"/>
        <v/>
      </c>
    </row>
    <row r="132" spans="1:8" x14ac:dyDescent="0.25">
      <c r="A132" s="15">
        <v>40</v>
      </c>
      <c r="B132" s="24" t="s">
        <v>47</v>
      </c>
      <c r="C132" s="24" t="s">
        <v>603</v>
      </c>
      <c r="D132" s="25" t="s">
        <v>297</v>
      </c>
      <c r="E132" s="24" t="s">
        <v>4</v>
      </c>
      <c r="F132" s="25" t="str">
        <f t="shared" si="2"/>
        <v>https://docs.google.com/uc?export=download&amp;id=1bKyXoJ9gro4V2DqE5R0kHYXGEdtUani0</v>
      </c>
      <c r="G132" s="23" t="str">
        <f t="shared" si="3"/>
        <v>1bKyXoJ9gro4V2DqE5R0kHYXGEdtUani0</v>
      </c>
      <c r="H132" s="21" t="s">
        <v>741</v>
      </c>
    </row>
    <row r="133" spans="1:8" s="10" customFormat="1" x14ac:dyDescent="0.25">
      <c r="A133" s="9"/>
      <c r="B133" s="24" t="s">
        <v>47</v>
      </c>
      <c r="C133" s="24" t="s">
        <v>674</v>
      </c>
      <c r="D133" s="25" t="s">
        <v>298</v>
      </c>
      <c r="E133" s="24" t="s">
        <v>5</v>
      </c>
      <c r="F133" s="25" t="str">
        <f t="shared" si="2"/>
        <v/>
      </c>
      <c r="G133" s="23" t="str">
        <f t="shared" si="3"/>
        <v/>
      </c>
      <c r="H133" s="21"/>
    </row>
    <row r="134" spans="1:8" x14ac:dyDescent="0.25">
      <c r="B134" s="24" t="s">
        <v>48</v>
      </c>
      <c r="C134" s="24" t="s">
        <v>604</v>
      </c>
      <c r="D134" s="25" t="s">
        <v>453</v>
      </c>
      <c r="E134" s="24" t="s">
        <v>3</v>
      </c>
      <c r="F134" s="25" t="str">
        <f t="shared" ref="F134:F198" si="4">IF(G134="","","https://docs.google.com/uc?export=download&amp;id="&amp;G134)</f>
        <v/>
      </c>
      <c r="G134" s="23" t="str">
        <f t="shared" ref="G134:G198" si="5">IFERROR(LEFT(RIGHT(H134,LEN(H134)-32),LEN(RIGHT(H134,LEN(H134)-32))-17),"")</f>
        <v/>
      </c>
    </row>
    <row r="135" spans="1:8" x14ac:dyDescent="0.25">
      <c r="A135" s="15">
        <v>41</v>
      </c>
      <c r="B135" s="24" t="s">
        <v>48</v>
      </c>
      <c r="C135" s="24" t="s">
        <v>605</v>
      </c>
      <c r="D135" s="25" t="s">
        <v>299</v>
      </c>
      <c r="E135" s="24" t="s">
        <v>4</v>
      </c>
      <c r="F135" s="25" t="str">
        <f t="shared" si="4"/>
        <v>https://docs.google.com/uc?export=download&amp;id=1cvZMlzuShm3n5OpVJltY4zNrOYGo17NA</v>
      </c>
      <c r="G135" s="23" t="str">
        <f t="shared" si="5"/>
        <v>1cvZMlzuShm3n5OpVJltY4zNrOYGo17NA</v>
      </c>
      <c r="H135" s="21" t="s">
        <v>742</v>
      </c>
    </row>
    <row r="136" spans="1:8" x14ac:dyDescent="0.25">
      <c r="B136" s="24" t="s">
        <v>48</v>
      </c>
      <c r="C136" s="24" t="s">
        <v>675</v>
      </c>
      <c r="D136" s="25" t="s">
        <v>300</v>
      </c>
      <c r="E136" s="24" t="s">
        <v>5</v>
      </c>
      <c r="F136" s="25" t="str">
        <f t="shared" si="4"/>
        <v/>
      </c>
      <c r="G136" s="23" t="str">
        <f t="shared" si="5"/>
        <v/>
      </c>
    </row>
    <row r="137" spans="1:8" x14ac:dyDescent="0.25">
      <c r="B137" s="24" t="s">
        <v>49</v>
      </c>
      <c r="C137" s="24" t="s">
        <v>606</v>
      </c>
      <c r="D137" s="25" t="s">
        <v>454</v>
      </c>
      <c r="E137" s="24" t="s">
        <v>3</v>
      </c>
      <c r="F137" s="25" t="str">
        <f t="shared" si="4"/>
        <v/>
      </c>
      <c r="G137" s="23" t="str">
        <f t="shared" si="5"/>
        <v/>
      </c>
    </row>
    <row r="138" spans="1:8" x14ac:dyDescent="0.25">
      <c r="A138" s="15">
        <v>42</v>
      </c>
      <c r="B138" s="24" t="s">
        <v>49</v>
      </c>
      <c r="C138" s="24" t="s">
        <v>607</v>
      </c>
      <c r="D138" s="25" t="s">
        <v>301</v>
      </c>
      <c r="E138" s="24" t="s">
        <v>4</v>
      </c>
      <c r="F138" s="25" t="str">
        <f t="shared" si="4"/>
        <v>https://docs.google.com/uc?export=download&amp;id=1PSvNmiGD381aizi5oO4ySJ6GUQeNIet3</v>
      </c>
      <c r="G138" s="23" t="str">
        <f t="shared" si="5"/>
        <v>1PSvNmiGD381aizi5oO4ySJ6GUQeNIet3</v>
      </c>
      <c r="H138" s="21" t="s">
        <v>743</v>
      </c>
    </row>
    <row r="139" spans="1:8" x14ac:dyDescent="0.25">
      <c r="B139" s="24" t="s">
        <v>49</v>
      </c>
      <c r="C139" s="24" t="s">
        <v>676</v>
      </c>
      <c r="D139" s="25" t="s">
        <v>302</v>
      </c>
      <c r="E139" s="24" t="s">
        <v>5</v>
      </c>
      <c r="F139" s="25" t="str">
        <f t="shared" si="4"/>
        <v/>
      </c>
      <c r="G139" s="23" t="str">
        <f t="shared" si="5"/>
        <v/>
      </c>
    </row>
    <row r="140" spans="1:8" x14ac:dyDescent="0.25">
      <c r="B140" s="24" t="s">
        <v>50</v>
      </c>
      <c r="C140" s="24" t="s">
        <v>608</v>
      </c>
      <c r="D140" s="25" t="s">
        <v>455</v>
      </c>
      <c r="E140" s="24" t="s">
        <v>3</v>
      </c>
      <c r="F140" s="25" t="str">
        <f t="shared" si="4"/>
        <v/>
      </c>
      <c r="G140" s="23" t="str">
        <f t="shared" si="5"/>
        <v/>
      </c>
    </row>
    <row r="141" spans="1:8" x14ac:dyDescent="0.25">
      <c r="A141" s="15">
        <v>43</v>
      </c>
      <c r="B141" s="24" t="s">
        <v>50</v>
      </c>
      <c r="C141" s="24" t="s">
        <v>609</v>
      </c>
      <c r="D141" s="25" t="s">
        <v>303</v>
      </c>
      <c r="E141" s="24" t="s">
        <v>4</v>
      </c>
      <c r="F141" s="25" t="str">
        <f t="shared" si="4"/>
        <v>https://docs.google.com/uc?export=download&amp;id=15Zj19Yv1HxrfcH2UHQ8g9_d_fBOlWLbZ</v>
      </c>
      <c r="G141" s="23" t="str">
        <f t="shared" si="5"/>
        <v>15Zj19Yv1HxrfcH2UHQ8g9_d_fBOlWLbZ</v>
      </c>
      <c r="H141" s="21" t="s">
        <v>744</v>
      </c>
    </row>
    <row r="142" spans="1:8" x14ac:dyDescent="0.25">
      <c r="B142" s="24" t="s">
        <v>50</v>
      </c>
      <c r="C142" s="24" t="s">
        <v>677</v>
      </c>
      <c r="D142" s="25" t="s">
        <v>304</v>
      </c>
      <c r="E142" s="24" t="s">
        <v>5</v>
      </c>
      <c r="F142" s="25" t="str">
        <f t="shared" si="4"/>
        <v/>
      </c>
      <c r="G142" s="23" t="str">
        <f t="shared" si="5"/>
        <v/>
      </c>
    </row>
    <row r="143" spans="1:8" x14ac:dyDescent="0.25">
      <c r="B143" s="24">
        <v>11</v>
      </c>
      <c r="C143" s="24" t="s">
        <v>53</v>
      </c>
      <c r="D143" s="25" t="s">
        <v>410</v>
      </c>
      <c r="E143" s="24" t="s">
        <v>11</v>
      </c>
      <c r="F143" s="25" t="str">
        <f t="shared" si="4"/>
        <v/>
      </c>
      <c r="G143" s="23" t="str">
        <f t="shared" si="5"/>
        <v/>
      </c>
    </row>
    <row r="144" spans="1:8" x14ac:dyDescent="0.25">
      <c r="B144" s="24" t="s">
        <v>54</v>
      </c>
      <c r="C144" s="24" t="s">
        <v>55</v>
      </c>
      <c r="D144" s="25" t="s">
        <v>810</v>
      </c>
      <c r="E144" s="24" t="s">
        <v>3</v>
      </c>
      <c r="F144" s="25" t="str">
        <f t="shared" si="4"/>
        <v/>
      </c>
      <c r="G144" s="23" t="str">
        <f t="shared" si="5"/>
        <v/>
      </c>
    </row>
    <row r="145" spans="1:8" x14ac:dyDescent="0.25">
      <c r="A145" s="15">
        <v>44</v>
      </c>
      <c r="B145" s="24" t="s">
        <v>54</v>
      </c>
      <c r="C145" s="24" t="s">
        <v>56</v>
      </c>
      <c r="D145" s="25" t="s">
        <v>809</v>
      </c>
      <c r="E145" s="24" t="s">
        <v>4</v>
      </c>
      <c r="F145" s="25" t="str">
        <f t="shared" si="4"/>
        <v>https://docs.google.com/uc?export=download&amp;id=1LOqan9J7mnqOK03U_UECdiXH7F5gUoCB</v>
      </c>
      <c r="G145" s="23" t="str">
        <f t="shared" si="5"/>
        <v>1LOqan9J7mnqOK03U_UECdiXH7F5gUoCB</v>
      </c>
      <c r="H145" s="21" t="s">
        <v>751</v>
      </c>
    </row>
    <row r="146" spans="1:8" x14ac:dyDescent="0.25">
      <c r="B146" s="24" t="s">
        <v>54</v>
      </c>
      <c r="C146" s="24" t="s">
        <v>57</v>
      </c>
      <c r="D146" s="25" t="s">
        <v>305</v>
      </c>
      <c r="E146" s="24" t="s">
        <v>5</v>
      </c>
      <c r="F146" s="25" t="str">
        <f t="shared" si="4"/>
        <v/>
      </c>
      <c r="G146" s="23" t="str">
        <f t="shared" si="5"/>
        <v/>
      </c>
    </row>
    <row r="147" spans="1:8" x14ac:dyDescent="0.25">
      <c r="B147" s="24" t="s">
        <v>58</v>
      </c>
      <c r="C147" s="24" t="s">
        <v>59</v>
      </c>
      <c r="D147" s="25" t="s">
        <v>808</v>
      </c>
      <c r="E147" s="24" t="s">
        <v>3</v>
      </c>
      <c r="F147" s="25" t="str">
        <f t="shared" si="4"/>
        <v/>
      </c>
      <c r="G147" s="23" t="str">
        <f t="shared" si="5"/>
        <v/>
      </c>
    </row>
    <row r="148" spans="1:8" x14ac:dyDescent="0.25">
      <c r="A148" s="15">
        <v>45</v>
      </c>
      <c r="B148" s="24" t="s">
        <v>58</v>
      </c>
      <c r="C148" s="24" t="s">
        <v>60</v>
      </c>
      <c r="D148" s="25" t="s">
        <v>306</v>
      </c>
      <c r="E148" s="24" t="s">
        <v>4</v>
      </c>
      <c r="F148" s="25" t="str">
        <f t="shared" si="4"/>
        <v>https://docs.google.com/uc?export=download&amp;id=1mTbUja0YYBAmZg5FPJXI2aYhV1US68fo</v>
      </c>
      <c r="G148" s="23" t="str">
        <f t="shared" si="5"/>
        <v>1mTbUja0YYBAmZg5FPJXI2aYhV1US68fo</v>
      </c>
      <c r="H148" s="21" t="s">
        <v>752</v>
      </c>
    </row>
    <row r="149" spans="1:8" s="10" customFormat="1" x14ac:dyDescent="0.25">
      <c r="A149" s="9"/>
      <c r="B149" s="24" t="s">
        <v>58</v>
      </c>
      <c r="C149" s="24" t="s">
        <v>60</v>
      </c>
      <c r="D149" s="25" t="s">
        <v>307</v>
      </c>
      <c r="E149" s="24" t="s">
        <v>5</v>
      </c>
      <c r="F149" s="25" t="str">
        <f t="shared" si="4"/>
        <v/>
      </c>
      <c r="G149" s="23" t="str">
        <f t="shared" si="5"/>
        <v/>
      </c>
      <c r="H149" s="21"/>
    </row>
    <row r="150" spans="1:8" x14ac:dyDescent="0.25">
      <c r="B150" s="24" t="s">
        <v>61</v>
      </c>
      <c r="C150" s="24" t="s">
        <v>62</v>
      </c>
      <c r="D150" s="25" t="s">
        <v>456</v>
      </c>
      <c r="E150" s="24" t="s">
        <v>3</v>
      </c>
      <c r="F150" s="25" t="str">
        <f t="shared" si="4"/>
        <v/>
      </c>
      <c r="G150" s="23" t="str">
        <f t="shared" si="5"/>
        <v/>
      </c>
    </row>
    <row r="151" spans="1:8" x14ac:dyDescent="0.25">
      <c r="A151" s="15">
        <v>46</v>
      </c>
      <c r="B151" s="24" t="s">
        <v>61</v>
      </c>
      <c r="C151" s="24" t="s">
        <v>63</v>
      </c>
      <c r="D151" s="25" t="s">
        <v>308</v>
      </c>
      <c r="E151" s="24" t="s">
        <v>4</v>
      </c>
      <c r="F151" s="25" t="str">
        <f t="shared" si="4"/>
        <v>https://docs.google.com/uc?export=download&amp;id=1c1yjb_nIxnQXGZlfFgXhn_xhCg23phF9</v>
      </c>
      <c r="G151" s="23" t="str">
        <f t="shared" si="5"/>
        <v>1c1yjb_nIxnQXGZlfFgXhn_xhCg23phF9</v>
      </c>
      <c r="H151" s="21" t="s">
        <v>753</v>
      </c>
    </row>
    <row r="152" spans="1:8" x14ac:dyDescent="0.25">
      <c r="B152" s="24" t="s">
        <v>61</v>
      </c>
      <c r="C152" s="24" t="s">
        <v>63</v>
      </c>
      <c r="D152" s="25" t="s">
        <v>309</v>
      </c>
      <c r="E152" s="24" t="s">
        <v>5</v>
      </c>
      <c r="F152" s="25" t="str">
        <f t="shared" si="4"/>
        <v/>
      </c>
      <c r="G152" s="23" t="str">
        <f t="shared" si="5"/>
        <v/>
      </c>
    </row>
    <row r="153" spans="1:8" x14ac:dyDescent="0.25">
      <c r="B153" s="24" t="s">
        <v>64</v>
      </c>
      <c r="C153" s="24" t="s">
        <v>65</v>
      </c>
      <c r="D153" s="25" t="s">
        <v>807</v>
      </c>
      <c r="E153" s="24" t="s">
        <v>3</v>
      </c>
      <c r="F153" s="25" t="str">
        <f t="shared" si="4"/>
        <v/>
      </c>
      <c r="G153" s="23" t="str">
        <f t="shared" si="5"/>
        <v/>
      </c>
    </row>
    <row r="154" spans="1:8" x14ac:dyDescent="0.25">
      <c r="A154" s="15">
        <v>47</v>
      </c>
      <c r="B154" s="24" t="s">
        <v>64</v>
      </c>
      <c r="C154" s="24" t="s">
        <v>66</v>
      </c>
      <c r="D154" s="25" t="s">
        <v>310</v>
      </c>
      <c r="E154" s="24" t="s">
        <v>4</v>
      </c>
      <c r="F154" s="25" t="str">
        <f t="shared" si="4"/>
        <v>https://docs.google.com/uc?export=download&amp;id=1BC9J-df1_YTpLcx1R_bD0_BzOtoEa241</v>
      </c>
      <c r="G154" s="23" t="str">
        <f t="shared" si="5"/>
        <v>1BC9J-df1_YTpLcx1R_bD0_BzOtoEa241</v>
      </c>
      <c r="H154" s="21" t="s">
        <v>754</v>
      </c>
    </row>
    <row r="155" spans="1:8" x14ac:dyDescent="0.25">
      <c r="B155" s="24" t="s">
        <v>64</v>
      </c>
      <c r="C155" s="24" t="s">
        <v>66</v>
      </c>
      <c r="D155" s="25" t="s">
        <v>311</v>
      </c>
      <c r="E155" s="24" t="s">
        <v>5</v>
      </c>
      <c r="F155" s="25" t="str">
        <f t="shared" si="4"/>
        <v/>
      </c>
      <c r="G155" s="23" t="str">
        <f t="shared" si="5"/>
        <v/>
      </c>
    </row>
    <row r="156" spans="1:8" x14ac:dyDescent="0.25">
      <c r="B156" s="24" t="s">
        <v>67</v>
      </c>
      <c r="C156" s="24" t="s">
        <v>68</v>
      </c>
      <c r="D156" s="25" t="s">
        <v>749</v>
      </c>
      <c r="E156" s="24" t="s">
        <v>3</v>
      </c>
      <c r="F156" s="25" t="str">
        <f t="shared" si="4"/>
        <v/>
      </c>
      <c r="G156" s="23" t="str">
        <f t="shared" si="5"/>
        <v/>
      </c>
    </row>
    <row r="157" spans="1:8" x14ac:dyDescent="0.25">
      <c r="A157" s="15">
        <v>48</v>
      </c>
      <c r="B157" s="24" t="s">
        <v>67</v>
      </c>
      <c r="C157" s="24" t="s">
        <v>69</v>
      </c>
      <c r="D157" s="25" t="s">
        <v>746</v>
      </c>
      <c r="E157" s="24" t="s">
        <v>4</v>
      </c>
      <c r="F157" s="25" t="str">
        <f t="shared" si="4"/>
        <v>https://docs.google.com/uc?export=download&amp;id=1XJRSJ7p5PwS6x0zHyAbthB63aK1XdQg4</v>
      </c>
      <c r="G157" s="23" t="str">
        <f t="shared" si="5"/>
        <v>1XJRSJ7p5PwS6x0zHyAbthB63aK1XdQg4</v>
      </c>
      <c r="H157" s="21" t="s">
        <v>755</v>
      </c>
    </row>
    <row r="158" spans="1:8" x14ac:dyDescent="0.25">
      <c r="B158" s="24" t="s">
        <v>67</v>
      </c>
      <c r="C158" s="24" t="s">
        <v>69</v>
      </c>
      <c r="D158" s="25" t="s">
        <v>747</v>
      </c>
      <c r="E158" s="24" t="s">
        <v>5</v>
      </c>
      <c r="F158" s="25"/>
      <c r="G158" s="23"/>
    </row>
    <row r="159" spans="1:8" x14ac:dyDescent="0.25">
      <c r="B159" s="24" t="s">
        <v>502</v>
      </c>
      <c r="C159" s="24" t="s">
        <v>610</v>
      </c>
      <c r="D159" s="25" t="s">
        <v>748</v>
      </c>
      <c r="E159" s="24" t="s">
        <v>3</v>
      </c>
      <c r="F159" s="25" t="str">
        <f t="shared" si="4"/>
        <v/>
      </c>
      <c r="G159" s="23" t="str">
        <f t="shared" si="5"/>
        <v/>
      </c>
    </row>
    <row r="160" spans="1:8" x14ac:dyDescent="0.25">
      <c r="A160" s="15">
        <v>49</v>
      </c>
      <c r="B160" s="24" t="s">
        <v>502</v>
      </c>
      <c r="C160" s="24" t="s">
        <v>611</v>
      </c>
      <c r="D160" s="25" t="s">
        <v>312</v>
      </c>
      <c r="E160" s="24" t="s">
        <v>4</v>
      </c>
      <c r="F160" s="25" t="str">
        <f t="shared" si="4"/>
        <v>https://docs.google.com/uc?export=download&amp;id=1_KQxQ3bt55yCAYewkvLAZJG2_8n3OA2h</v>
      </c>
      <c r="G160" s="23" t="str">
        <f t="shared" si="5"/>
        <v>1_KQxQ3bt55yCAYewkvLAZJG2_8n3OA2h</v>
      </c>
      <c r="H160" s="21" t="s">
        <v>756</v>
      </c>
    </row>
    <row r="161" spans="1:8" x14ac:dyDescent="0.25">
      <c r="B161" s="24" t="s">
        <v>502</v>
      </c>
      <c r="C161" s="24" t="s">
        <v>611</v>
      </c>
      <c r="D161" s="25" t="s">
        <v>313</v>
      </c>
      <c r="E161" s="24" t="s">
        <v>5</v>
      </c>
      <c r="F161" s="25" t="str">
        <f t="shared" si="4"/>
        <v/>
      </c>
      <c r="G161" s="23" t="str">
        <f t="shared" si="5"/>
        <v/>
      </c>
    </row>
    <row r="162" spans="1:8" x14ac:dyDescent="0.25">
      <c r="B162" s="24">
        <v>12</v>
      </c>
      <c r="C162" s="24" t="s">
        <v>70</v>
      </c>
      <c r="D162" s="25" t="s">
        <v>411</v>
      </c>
      <c r="E162" s="24" t="s">
        <v>11</v>
      </c>
      <c r="F162" s="25" t="str">
        <f t="shared" si="4"/>
        <v/>
      </c>
      <c r="G162" s="23" t="str">
        <f t="shared" si="5"/>
        <v/>
      </c>
    </row>
    <row r="163" spans="1:8" x14ac:dyDescent="0.25">
      <c r="B163" s="24" t="s">
        <v>71</v>
      </c>
      <c r="C163" s="24" t="s">
        <v>72</v>
      </c>
      <c r="D163" s="25" t="s">
        <v>457</v>
      </c>
      <c r="E163" s="24" t="s">
        <v>3</v>
      </c>
      <c r="F163" s="25" t="str">
        <f t="shared" si="4"/>
        <v/>
      </c>
      <c r="G163" s="23" t="str">
        <f t="shared" si="5"/>
        <v/>
      </c>
    </row>
    <row r="164" spans="1:8" x14ac:dyDescent="0.25">
      <c r="A164" s="15">
        <v>50</v>
      </c>
      <c r="B164" s="24" t="s">
        <v>71</v>
      </c>
      <c r="C164" s="24" t="s">
        <v>73</v>
      </c>
      <c r="D164" s="25" t="s">
        <v>314</v>
      </c>
      <c r="E164" s="24" t="s">
        <v>4</v>
      </c>
      <c r="F164" s="25" t="str">
        <f t="shared" si="4"/>
        <v>https://docs.google.com/uc?export=download&amp;id=1v_5dj7y2O0zCRpf-W_FB2sPrb5l51xnW</v>
      </c>
      <c r="G164" s="23" t="str">
        <f t="shared" si="5"/>
        <v>1v_5dj7y2O0zCRpf-W_FB2sPrb5l51xnW</v>
      </c>
      <c r="H164" s="21" t="s">
        <v>757</v>
      </c>
    </row>
    <row r="165" spans="1:8" x14ac:dyDescent="0.25">
      <c r="B165" s="24" t="s">
        <v>71</v>
      </c>
      <c r="C165" s="24" t="s">
        <v>74</v>
      </c>
      <c r="D165" s="25" t="s">
        <v>315</v>
      </c>
      <c r="E165" s="24" t="s">
        <v>5</v>
      </c>
      <c r="F165" s="25" t="str">
        <f t="shared" si="4"/>
        <v/>
      </c>
      <c r="G165" s="23" t="str">
        <f t="shared" si="5"/>
        <v/>
      </c>
    </row>
    <row r="166" spans="1:8" s="10" customFormat="1" x14ac:dyDescent="0.25">
      <c r="A166" s="9"/>
      <c r="B166" s="24" t="s">
        <v>75</v>
      </c>
      <c r="C166" s="24" t="s">
        <v>76</v>
      </c>
      <c r="D166" s="25" t="s">
        <v>458</v>
      </c>
      <c r="E166" s="24" t="s">
        <v>3</v>
      </c>
      <c r="F166" s="25" t="str">
        <f t="shared" si="4"/>
        <v/>
      </c>
      <c r="G166" s="23" t="str">
        <f t="shared" si="5"/>
        <v/>
      </c>
      <c r="H166" s="21"/>
    </row>
    <row r="167" spans="1:8" x14ac:dyDescent="0.25">
      <c r="A167" s="15">
        <v>51</v>
      </c>
      <c r="B167" s="24" t="s">
        <v>75</v>
      </c>
      <c r="C167" s="24" t="s">
        <v>77</v>
      </c>
      <c r="D167" s="25" t="s">
        <v>316</v>
      </c>
      <c r="E167" s="24" t="s">
        <v>4</v>
      </c>
      <c r="F167" s="25" t="str">
        <f t="shared" si="4"/>
        <v>https://docs.google.com/uc?export=download&amp;id=1tMWiJOF-GgPVwbWAfK3j_dfLk5YiouW2</v>
      </c>
      <c r="G167" s="23" t="str">
        <f t="shared" si="5"/>
        <v>1tMWiJOF-GgPVwbWAfK3j_dfLk5YiouW2</v>
      </c>
      <c r="H167" s="21" t="s">
        <v>758</v>
      </c>
    </row>
    <row r="168" spans="1:8" x14ac:dyDescent="0.25">
      <c r="B168" s="24" t="s">
        <v>75</v>
      </c>
      <c r="C168" s="24" t="s">
        <v>78</v>
      </c>
      <c r="D168" s="25" t="s">
        <v>317</v>
      </c>
      <c r="E168" s="24" t="s">
        <v>5</v>
      </c>
      <c r="F168" s="25" t="str">
        <f t="shared" si="4"/>
        <v/>
      </c>
      <c r="G168" s="23" t="str">
        <f t="shared" si="5"/>
        <v/>
      </c>
    </row>
    <row r="169" spans="1:8" x14ac:dyDescent="0.25">
      <c r="B169" s="24" t="s">
        <v>79</v>
      </c>
      <c r="C169" s="24" t="s">
        <v>80</v>
      </c>
      <c r="D169" s="25" t="s">
        <v>459</v>
      </c>
      <c r="E169" s="24" t="s">
        <v>3</v>
      </c>
      <c r="F169" s="25" t="str">
        <f t="shared" si="4"/>
        <v/>
      </c>
      <c r="G169" s="23" t="str">
        <f t="shared" si="5"/>
        <v/>
      </c>
    </row>
    <row r="170" spans="1:8" x14ac:dyDescent="0.25">
      <c r="A170" s="15">
        <v>52</v>
      </c>
      <c r="B170" s="24" t="s">
        <v>79</v>
      </c>
      <c r="C170" s="24" t="s">
        <v>81</v>
      </c>
      <c r="D170" s="25" t="s">
        <v>318</v>
      </c>
      <c r="E170" s="24" t="s">
        <v>4</v>
      </c>
      <c r="F170" s="25" t="str">
        <f t="shared" si="4"/>
        <v>https://docs.google.com/uc?export=download&amp;id=1g1u8Sc1QFMKpmdB6QYh-ZoSgl3SmG_JQ</v>
      </c>
      <c r="G170" s="23" t="str">
        <f t="shared" si="5"/>
        <v>1g1u8Sc1QFMKpmdB6QYh-ZoSgl3SmG_JQ</v>
      </c>
      <c r="H170" s="21" t="s">
        <v>759</v>
      </c>
    </row>
    <row r="171" spans="1:8" x14ac:dyDescent="0.25">
      <c r="B171" s="24" t="s">
        <v>79</v>
      </c>
      <c r="C171" s="24" t="s">
        <v>82</v>
      </c>
      <c r="D171" s="25" t="s">
        <v>319</v>
      </c>
      <c r="E171" s="24" t="s">
        <v>5</v>
      </c>
      <c r="F171" s="25" t="str">
        <f t="shared" si="4"/>
        <v/>
      </c>
      <c r="G171" s="23" t="str">
        <f t="shared" si="5"/>
        <v/>
      </c>
    </row>
    <row r="172" spans="1:8" x14ac:dyDescent="0.25">
      <c r="B172" s="24" t="s">
        <v>503</v>
      </c>
      <c r="C172" s="24" t="s">
        <v>612</v>
      </c>
      <c r="D172" s="25" t="s">
        <v>460</v>
      </c>
      <c r="E172" s="24" t="s">
        <v>3</v>
      </c>
      <c r="F172" s="25" t="str">
        <f t="shared" si="4"/>
        <v/>
      </c>
      <c r="G172" s="23" t="str">
        <f t="shared" si="5"/>
        <v/>
      </c>
    </row>
    <row r="173" spans="1:8" x14ac:dyDescent="0.25">
      <c r="A173" s="15">
        <v>53</v>
      </c>
      <c r="B173" s="24" t="s">
        <v>503</v>
      </c>
      <c r="C173" s="24" t="s">
        <v>613</v>
      </c>
      <c r="D173" s="25" t="s">
        <v>320</v>
      </c>
      <c r="E173" s="24" t="s">
        <v>4</v>
      </c>
      <c r="F173" s="25" t="str">
        <f t="shared" si="4"/>
        <v>https://docs.google.com/uc?export=download&amp;id=1PMIC250VFEkxHpCS8qhDxRBnEZbAGu5C</v>
      </c>
      <c r="G173" s="23" t="str">
        <f t="shared" si="5"/>
        <v>1PMIC250VFEkxHpCS8qhDxRBnEZbAGu5C</v>
      </c>
      <c r="H173" s="21" t="s">
        <v>760</v>
      </c>
    </row>
    <row r="174" spans="1:8" x14ac:dyDescent="0.25">
      <c r="B174" s="24" t="s">
        <v>503</v>
      </c>
      <c r="C174" s="24" t="s">
        <v>678</v>
      </c>
      <c r="D174" s="25" t="s">
        <v>321</v>
      </c>
      <c r="E174" s="24" t="s">
        <v>5</v>
      </c>
      <c r="F174" s="25" t="str">
        <f t="shared" si="4"/>
        <v/>
      </c>
      <c r="G174" s="23" t="str">
        <f t="shared" si="5"/>
        <v/>
      </c>
    </row>
    <row r="175" spans="1:8" x14ac:dyDescent="0.25">
      <c r="B175" s="24" t="s">
        <v>504</v>
      </c>
      <c r="C175" s="24" t="s">
        <v>614</v>
      </c>
      <c r="D175" s="25" t="s">
        <v>461</v>
      </c>
      <c r="E175" s="24" t="s">
        <v>3</v>
      </c>
      <c r="F175" s="25" t="str">
        <f t="shared" si="4"/>
        <v/>
      </c>
      <c r="G175" s="23" t="str">
        <f t="shared" si="5"/>
        <v/>
      </c>
    </row>
    <row r="176" spans="1:8" s="10" customFormat="1" x14ac:dyDescent="0.25">
      <c r="A176" s="15">
        <v>54</v>
      </c>
      <c r="B176" s="24" t="s">
        <v>504</v>
      </c>
      <c r="C176" s="24" t="s">
        <v>615</v>
      </c>
      <c r="D176" s="25" t="s">
        <v>322</v>
      </c>
      <c r="E176" s="24" t="s">
        <v>4</v>
      </c>
      <c r="F176" s="25" t="str">
        <f t="shared" si="4"/>
        <v>https://docs.google.com/uc?export=download&amp;id=1-e3qt06fqhN44npveD2gKzRar4_rXlvR</v>
      </c>
      <c r="G176" s="23" t="str">
        <f t="shared" si="5"/>
        <v>1-e3qt06fqhN44npveD2gKzRar4_rXlvR</v>
      </c>
      <c r="H176" s="21" t="s">
        <v>761</v>
      </c>
    </row>
    <row r="177" spans="1:8" x14ac:dyDescent="0.25">
      <c r="B177" s="24" t="s">
        <v>504</v>
      </c>
      <c r="C177" s="24" t="s">
        <v>679</v>
      </c>
      <c r="D177" s="25" t="s">
        <v>323</v>
      </c>
      <c r="E177" s="24" t="s">
        <v>5</v>
      </c>
      <c r="F177" s="25" t="str">
        <f t="shared" si="4"/>
        <v/>
      </c>
      <c r="G177" s="23" t="str">
        <f t="shared" si="5"/>
        <v/>
      </c>
    </row>
    <row r="178" spans="1:8" x14ac:dyDescent="0.25">
      <c r="B178" s="24" t="s">
        <v>505</v>
      </c>
      <c r="C178" s="24" t="s">
        <v>616</v>
      </c>
      <c r="D178" s="25" t="s">
        <v>462</v>
      </c>
      <c r="E178" s="24" t="s">
        <v>3</v>
      </c>
      <c r="F178" s="25" t="str">
        <f t="shared" si="4"/>
        <v/>
      </c>
      <c r="G178" s="23" t="str">
        <f t="shared" si="5"/>
        <v/>
      </c>
    </row>
    <row r="179" spans="1:8" x14ac:dyDescent="0.25">
      <c r="A179" s="15">
        <v>55</v>
      </c>
      <c r="B179" s="24" t="s">
        <v>505</v>
      </c>
      <c r="C179" s="24" t="s">
        <v>617</v>
      </c>
      <c r="D179" s="25" t="s">
        <v>324</v>
      </c>
      <c r="E179" s="24" t="s">
        <v>4</v>
      </c>
      <c r="F179" s="25" t="str">
        <f t="shared" si="4"/>
        <v>https://docs.google.com/uc?export=download&amp;id=1wTkwWTVpZIlcy5ewQtiMNlr-DGIzE13M</v>
      </c>
      <c r="G179" s="23" t="str">
        <f t="shared" si="5"/>
        <v>1wTkwWTVpZIlcy5ewQtiMNlr-DGIzE13M</v>
      </c>
      <c r="H179" s="21" t="s">
        <v>762</v>
      </c>
    </row>
    <row r="180" spans="1:8" x14ac:dyDescent="0.25">
      <c r="B180" s="24" t="s">
        <v>505</v>
      </c>
      <c r="C180" s="24" t="s">
        <v>680</v>
      </c>
      <c r="D180" s="25" t="s">
        <v>325</v>
      </c>
      <c r="E180" s="24" t="s">
        <v>5</v>
      </c>
      <c r="F180" s="25" t="str">
        <f t="shared" si="4"/>
        <v/>
      </c>
      <c r="G180" s="23" t="str">
        <f t="shared" si="5"/>
        <v/>
      </c>
    </row>
    <row r="181" spans="1:8" x14ac:dyDescent="0.25">
      <c r="B181" s="24" t="s">
        <v>506</v>
      </c>
      <c r="C181" s="24" t="s">
        <v>618</v>
      </c>
      <c r="D181" s="25" t="s">
        <v>463</v>
      </c>
      <c r="E181" s="24" t="s">
        <v>3</v>
      </c>
      <c r="F181" s="25" t="str">
        <f t="shared" si="4"/>
        <v/>
      </c>
      <c r="G181" s="23" t="str">
        <f t="shared" si="5"/>
        <v/>
      </c>
    </row>
    <row r="182" spans="1:8" x14ac:dyDescent="0.25">
      <c r="A182" s="15">
        <v>56</v>
      </c>
      <c r="B182" s="24" t="s">
        <v>506</v>
      </c>
      <c r="C182" s="24" t="s">
        <v>619</v>
      </c>
      <c r="D182" s="25" t="s">
        <v>326</v>
      </c>
      <c r="E182" s="24" t="s">
        <v>4</v>
      </c>
      <c r="F182" s="25" t="str">
        <f t="shared" si="4"/>
        <v>https://docs.google.com/uc?export=download&amp;id=1TAz8Ke-uSGDTc1Mma6vUVSqH2aRB58ip</v>
      </c>
      <c r="G182" s="23" t="str">
        <f t="shared" si="5"/>
        <v>1TAz8Ke-uSGDTc1Mma6vUVSqH2aRB58ip</v>
      </c>
      <c r="H182" s="21" t="s">
        <v>763</v>
      </c>
    </row>
    <row r="183" spans="1:8" x14ac:dyDescent="0.25">
      <c r="B183" s="24" t="s">
        <v>506</v>
      </c>
      <c r="C183" s="24" t="s">
        <v>681</v>
      </c>
      <c r="D183" s="25" t="s">
        <v>327</v>
      </c>
      <c r="E183" s="24" t="s">
        <v>5</v>
      </c>
      <c r="F183" s="25" t="str">
        <f t="shared" si="4"/>
        <v/>
      </c>
      <c r="G183" s="23" t="str">
        <f t="shared" si="5"/>
        <v/>
      </c>
    </row>
    <row r="184" spans="1:8" x14ac:dyDescent="0.25">
      <c r="B184" s="24" t="s">
        <v>507</v>
      </c>
      <c r="C184" s="24" t="s">
        <v>620</v>
      </c>
      <c r="D184" s="25" t="s">
        <v>464</v>
      </c>
      <c r="E184" s="24" t="s">
        <v>3</v>
      </c>
      <c r="F184" s="25" t="str">
        <f t="shared" si="4"/>
        <v/>
      </c>
      <c r="G184" s="23" t="str">
        <f t="shared" si="5"/>
        <v/>
      </c>
      <c r="H184" s="23"/>
    </row>
    <row r="185" spans="1:8" x14ac:dyDescent="0.25">
      <c r="A185" s="15">
        <v>57</v>
      </c>
      <c r="B185" s="24" t="s">
        <v>507</v>
      </c>
      <c r="C185" s="24" t="s">
        <v>621</v>
      </c>
      <c r="D185" s="25" t="s">
        <v>328</v>
      </c>
      <c r="E185" s="24" t="s">
        <v>4</v>
      </c>
      <c r="F185" s="25" t="str">
        <f t="shared" si="4"/>
        <v>https://docs.google.com/uc?export=download&amp;id=1UXXbaAo-GOkXMgbGzLIwtWFq69cmk5eB</v>
      </c>
      <c r="G185" s="23" t="str">
        <f t="shared" si="5"/>
        <v>1UXXbaAo-GOkXMgbGzLIwtWFq69cmk5eB</v>
      </c>
      <c r="H185" s="21" t="s">
        <v>764</v>
      </c>
    </row>
    <row r="186" spans="1:8" x14ac:dyDescent="0.25">
      <c r="B186" s="24" t="s">
        <v>507</v>
      </c>
      <c r="C186" s="24" t="s">
        <v>682</v>
      </c>
      <c r="D186" s="25" t="s">
        <v>329</v>
      </c>
      <c r="E186" s="24" t="s">
        <v>5</v>
      </c>
      <c r="F186" s="25" t="str">
        <f t="shared" si="4"/>
        <v/>
      </c>
      <c r="G186" s="23" t="str">
        <f t="shared" si="5"/>
        <v/>
      </c>
    </row>
    <row r="187" spans="1:8" x14ac:dyDescent="0.25">
      <c r="B187" s="24" t="s">
        <v>508</v>
      </c>
      <c r="C187" s="24" t="s">
        <v>622</v>
      </c>
      <c r="D187" s="25" t="s">
        <v>465</v>
      </c>
      <c r="E187" s="24" t="s">
        <v>3</v>
      </c>
      <c r="F187" s="25" t="str">
        <f t="shared" si="4"/>
        <v/>
      </c>
      <c r="G187" s="23" t="str">
        <f t="shared" si="5"/>
        <v/>
      </c>
    </row>
    <row r="188" spans="1:8" x14ac:dyDescent="0.25">
      <c r="A188" s="15">
        <v>58</v>
      </c>
      <c r="B188" s="24" t="s">
        <v>508</v>
      </c>
      <c r="C188" s="24" t="s">
        <v>623</v>
      </c>
      <c r="D188" s="25" t="s">
        <v>330</v>
      </c>
      <c r="E188" s="24" t="s">
        <v>4</v>
      </c>
      <c r="F188" s="25" t="str">
        <f t="shared" si="4"/>
        <v>https://docs.google.com/uc?export=download&amp;id=1pghwaHp1IGgxrRbnZW0Uls1IvmBm-iX9</v>
      </c>
      <c r="G188" s="23" t="str">
        <f t="shared" si="5"/>
        <v>1pghwaHp1IGgxrRbnZW0Uls1IvmBm-iX9</v>
      </c>
      <c r="H188" s="21" t="s">
        <v>765</v>
      </c>
    </row>
    <row r="189" spans="1:8" s="10" customFormat="1" x14ac:dyDescent="0.25">
      <c r="A189" s="9"/>
      <c r="B189" s="24" t="s">
        <v>508</v>
      </c>
      <c r="C189" s="24" t="s">
        <v>683</v>
      </c>
      <c r="D189" s="25" t="s">
        <v>331</v>
      </c>
      <c r="E189" s="24" t="s">
        <v>5</v>
      </c>
      <c r="F189" s="25" t="str">
        <f t="shared" si="4"/>
        <v/>
      </c>
      <c r="G189" s="23" t="str">
        <f t="shared" si="5"/>
        <v/>
      </c>
      <c r="H189" s="21"/>
    </row>
    <row r="190" spans="1:8" x14ac:dyDescent="0.25">
      <c r="B190" s="24" t="s">
        <v>509</v>
      </c>
      <c r="C190" s="24" t="s">
        <v>624</v>
      </c>
      <c r="D190" s="25" t="s">
        <v>466</v>
      </c>
      <c r="E190" s="24" t="s">
        <v>3</v>
      </c>
      <c r="F190" s="25" t="str">
        <f t="shared" si="4"/>
        <v/>
      </c>
      <c r="G190" s="23" t="str">
        <f t="shared" si="5"/>
        <v/>
      </c>
    </row>
    <row r="191" spans="1:8" x14ac:dyDescent="0.25">
      <c r="A191" s="15">
        <v>59</v>
      </c>
      <c r="B191" s="24" t="s">
        <v>509</v>
      </c>
      <c r="C191" s="24" t="s">
        <v>625</v>
      </c>
      <c r="D191" s="25" t="s">
        <v>332</v>
      </c>
      <c r="E191" s="24" t="s">
        <v>4</v>
      </c>
      <c r="F191" s="25" t="str">
        <f t="shared" si="4"/>
        <v>https://docs.google.com/uc?export=download&amp;id=1w_YaUaLhHSMO8jcXvppBrxaIc-jjkfxw</v>
      </c>
      <c r="G191" s="23" t="str">
        <f t="shared" si="5"/>
        <v>1w_YaUaLhHSMO8jcXvppBrxaIc-jjkfxw</v>
      </c>
      <c r="H191" s="21" t="s">
        <v>766</v>
      </c>
    </row>
    <row r="192" spans="1:8" x14ac:dyDescent="0.25">
      <c r="B192" s="24" t="s">
        <v>509</v>
      </c>
      <c r="C192" s="24" t="s">
        <v>684</v>
      </c>
      <c r="D192" s="25" t="s">
        <v>333</v>
      </c>
      <c r="E192" s="24" t="s">
        <v>5</v>
      </c>
      <c r="F192" s="25" t="str">
        <f t="shared" si="4"/>
        <v/>
      </c>
      <c r="G192" s="23" t="str">
        <f t="shared" si="5"/>
        <v/>
      </c>
    </row>
    <row r="193" spans="1:8" x14ac:dyDescent="0.25">
      <c r="B193" s="24">
        <v>13</v>
      </c>
      <c r="C193" s="24" t="s">
        <v>83</v>
      </c>
      <c r="D193" s="25" t="s">
        <v>412</v>
      </c>
      <c r="E193" s="24" t="s">
        <v>11</v>
      </c>
      <c r="F193" s="25" t="str">
        <f t="shared" si="4"/>
        <v/>
      </c>
      <c r="G193" s="23" t="str">
        <f t="shared" si="5"/>
        <v/>
      </c>
    </row>
    <row r="194" spans="1:8" x14ac:dyDescent="0.25">
      <c r="B194" s="24" t="s">
        <v>84</v>
      </c>
      <c r="C194" s="24" t="s">
        <v>85</v>
      </c>
      <c r="D194" s="25" t="s">
        <v>467</v>
      </c>
      <c r="E194" s="24" t="s">
        <v>3</v>
      </c>
      <c r="F194" s="25" t="str">
        <f t="shared" si="4"/>
        <v/>
      </c>
      <c r="G194" s="23" t="str">
        <f t="shared" si="5"/>
        <v/>
      </c>
    </row>
    <row r="195" spans="1:8" x14ac:dyDescent="0.25">
      <c r="A195" s="15">
        <v>60</v>
      </c>
      <c r="B195" s="24" t="s">
        <v>84</v>
      </c>
      <c r="C195" s="24" t="s">
        <v>86</v>
      </c>
      <c r="D195" s="25" t="s">
        <v>334</v>
      </c>
      <c r="E195" s="24" t="s">
        <v>4</v>
      </c>
      <c r="F195" s="25" t="str">
        <f t="shared" si="4"/>
        <v>https://docs.google.com/uc?export=download&amp;id=11NqBC94oeJ8bawGdf1Y-pPmcpEmRortW</v>
      </c>
      <c r="G195" s="23" t="str">
        <f t="shared" si="5"/>
        <v>11NqBC94oeJ8bawGdf1Y-pPmcpEmRortW</v>
      </c>
      <c r="H195" s="21" t="s">
        <v>767</v>
      </c>
    </row>
    <row r="196" spans="1:8" x14ac:dyDescent="0.25">
      <c r="B196" s="24" t="s">
        <v>84</v>
      </c>
      <c r="C196" s="24" t="s">
        <v>87</v>
      </c>
      <c r="D196" s="25" t="s">
        <v>335</v>
      </c>
      <c r="E196" s="24" t="s">
        <v>5</v>
      </c>
      <c r="F196" s="25" t="str">
        <f t="shared" si="4"/>
        <v/>
      </c>
      <c r="G196" s="23" t="str">
        <f t="shared" si="5"/>
        <v/>
      </c>
    </row>
    <row r="197" spans="1:8" x14ac:dyDescent="0.25">
      <c r="B197" s="24" t="s">
        <v>88</v>
      </c>
      <c r="C197" s="24" t="s">
        <v>89</v>
      </c>
      <c r="D197" s="25" t="s">
        <v>468</v>
      </c>
      <c r="E197" s="24" t="s">
        <v>3</v>
      </c>
      <c r="F197" s="25" t="str">
        <f t="shared" si="4"/>
        <v/>
      </c>
      <c r="G197" s="23" t="str">
        <f t="shared" si="5"/>
        <v/>
      </c>
    </row>
    <row r="198" spans="1:8" x14ac:dyDescent="0.25">
      <c r="A198" s="15">
        <v>61</v>
      </c>
      <c r="B198" s="24" t="s">
        <v>88</v>
      </c>
      <c r="C198" s="24" t="s">
        <v>90</v>
      </c>
      <c r="D198" s="25" t="s">
        <v>336</v>
      </c>
      <c r="E198" s="24" t="s">
        <v>4</v>
      </c>
      <c r="F198" s="25" t="str">
        <f t="shared" si="4"/>
        <v>https://docs.google.com/uc?export=download&amp;id=16d03x_Fwa67mKry1R7EUixzprXm5UAy5</v>
      </c>
      <c r="G198" s="23" t="str">
        <f t="shared" si="5"/>
        <v>16d03x_Fwa67mKry1R7EUixzprXm5UAy5</v>
      </c>
      <c r="H198" s="21" t="s">
        <v>768</v>
      </c>
    </row>
    <row r="199" spans="1:8" x14ac:dyDescent="0.25">
      <c r="B199" s="24" t="s">
        <v>88</v>
      </c>
      <c r="C199" s="24" t="s">
        <v>91</v>
      </c>
      <c r="D199" s="25" t="s">
        <v>337</v>
      </c>
      <c r="E199" s="24" t="s">
        <v>5</v>
      </c>
      <c r="F199" s="25" t="str">
        <f t="shared" ref="F199:F262" si="6">IF(G199="","","https://docs.google.com/uc?export=download&amp;id="&amp;G199)</f>
        <v/>
      </c>
      <c r="G199" s="23" t="str">
        <f t="shared" ref="G199:G262" si="7">IFERROR(LEFT(RIGHT(H199,LEN(H199)-32),LEN(RIGHT(H199,LEN(H199)-32))-17),"")</f>
        <v/>
      </c>
    </row>
    <row r="200" spans="1:8" x14ac:dyDescent="0.25">
      <c r="B200" s="24" t="s">
        <v>92</v>
      </c>
      <c r="C200" s="24" t="s">
        <v>93</v>
      </c>
      <c r="D200" s="25" t="s">
        <v>469</v>
      </c>
      <c r="E200" s="24" t="s">
        <v>3</v>
      </c>
      <c r="F200" s="25" t="str">
        <f t="shared" si="6"/>
        <v/>
      </c>
      <c r="G200" s="23" t="str">
        <f t="shared" si="7"/>
        <v/>
      </c>
    </row>
    <row r="201" spans="1:8" x14ac:dyDescent="0.25">
      <c r="A201" s="15">
        <v>62</v>
      </c>
      <c r="B201" s="24" t="s">
        <v>92</v>
      </c>
      <c r="C201" s="24" t="s">
        <v>94</v>
      </c>
      <c r="D201" s="25" t="s">
        <v>750</v>
      </c>
      <c r="E201" s="24" t="s">
        <v>4</v>
      </c>
      <c r="F201" s="25" t="str">
        <f t="shared" si="6"/>
        <v>https://docs.google.com/uc?export=download&amp;id=1WzGqz863eLHay0SEGoKKqgl6vbYSV_l_</v>
      </c>
      <c r="G201" s="23" t="str">
        <f t="shared" si="7"/>
        <v>1WzGqz863eLHay0SEGoKKqgl6vbYSV_l_</v>
      </c>
      <c r="H201" s="21" t="s">
        <v>769</v>
      </c>
    </row>
    <row r="202" spans="1:8" s="10" customFormat="1" x14ac:dyDescent="0.25">
      <c r="A202" s="9"/>
      <c r="B202" s="24" t="s">
        <v>92</v>
      </c>
      <c r="C202" s="24" t="s">
        <v>95</v>
      </c>
      <c r="D202" s="25" t="s">
        <v>338</v>
      </c>
      <c r="E202" s="24" t="s">
        <v>5</v>
      </c>
      <c r="F202" s="25" t="str">
        <f t="shared" si="6"/>
        <v/>
      </c>
      <c r="G202" s="23" t="str">
        <f t="shared" si="7"/>
        <v/>
      </c>
      <c r="H202" s="21"/>
    </row>
    <row r="203" spans="1:8" x14ac:dyDescent="0.25">
      <c r="B203" s="24" t="s">
        <v>96</v>
      </c>
      <c r="C203" s="24" t="s">
        <v>97</v>
      </c>
      <c r="D203" s="25" t="s">
        <v>470</v>
      </c>
      <c r="E203" s="24" t="s">
        <v>3</v>
      </c>
      <c r="F203" s="25" t="str">
        <f t="shared" si="6"/>
        <v/>
      </c>
      <c r="G203" s="23" t="str">
        <f t="shared" si="7"/>
        <v/>
      </c>
    </row>
    <row r="204" spans="1:8" x14ac:dyDescent="0.25">
      <c r="A204" s="15">
        <v>63</v>
      </c>
      <c r="B204" s="24" t="s">
        <v>96</v>
      </c>
      <c r="C204" s="24" t="s">
        <v>98</v>
      </c>
      <c r="D204" s="25" t="s">
        <v>339</v>
      </c>
      <c r="E204" s="24" t="s">
        <v>4</v>
      </c>
      <c r="F204" s="25" t="str">
        <f t="shared" si="6"/>
        <v>https://docs.google.com/uc?export=download&amp;id=1X_rcbDRtOSi_SO4xK7VH4dL-GM-aZuJa</v>
      </c>
      <c r="G204" s="23" t="str">
        <f t="shared" si="7"/>
        <v>1X_rcbDRtOSi_SO4xK7VH4dL-GM-aZuJa</v>
      </c>
      <c r="H204" s="21" t="s">
        <v>770</v>
      </c>
    </row>
    <row r="205" spans="1:8" x14ac:dyDescent="0.25">
      <c r="B205" s="24" t="s">
        <v>96</v>
      </c>
      <c r="C205" s="24" t="s">
        <v>99</v>
      </c>
      <c r="D205" s="25" t="s">
        <v>340</v>
      </c>
      <c r="E205" s="24" t="s">
        <v>5</v>
      </c>
      <c r="F205" s="25" t="str">
        <f t="shared" si="6"/>
        <v/>
      </c>
      <c r="G205" s="23" t="str">
        <f t="shared" si="7"/>
        <v/>
      </c>
    </row>
    <row r="206" spans="1:8" x14ac:dyDescent="0.25">
      <c r="B206" s="24">
        <v>14</v>
      </c>
      <c r="C206" s="24" t="s">
        <v>100</v>
      </c>
      <c r="D206" s="25" t="s">
        <v>413</v>
      </c>
      <c r="E206" s="24" t="s">
        <v>11</v>
      </c>
      <c r="F206" s="25" t="str">
        <f t="shared" si="6"/>
        <v/>
      </c>
      <c r="G206" s="23" t="str">
        <f t="shared" si="7"/>
        <v/>
      </c>
    </row>
    <row r="207" spans="1:8" x14ac:dyDescent="0.25">
      <c r="B207" s="24" t="s">
        <v>101</v>
      </c>
      <c r="C207" s="24" t="s">
        <v>102</v>
      </c>
      <c r="D207" s="25" t="s">
        <v>471</v>
      </c>
      <c r="E207" s="24" t="s">
        <v>3</v>
      </c>
      <c r="F207" s="25" t="str">
        <f t="shared" si="6"/>
        <v/>
      </c>
      <c r="G207" s="23" t="str">
        <f t="shared" si="7"/>
        <v/>
      </c>
    </row>
    <row r="208" spans="1:8" x14ac:dyDescent="0.25">
      <c r="A208" s="15">
        <v>64</v>
      </c>
      <c r="B208" s="24" t="s">
        <v>101</v>
      </c>
      <c r="C208" s="24" t="s">
        <v>103</v>
      </c>
      <c r="D208" s="25" t="s">
        <v>341</v>
      </c>
      <c r="E208" s="24" t="s">
        <v>4</v>
      </c>
      <c r="F208" s="25" t="str">
        <f t="shared" si="6"/>
        <v>https://docs.google.com/uc?export=download&amp;id=1G-v-FPpcnVRPxTUiGAuMHmFV9l5EFQuS</v>
      </c>
      <c r="G208" s="23" t="str">
        <f t="shared" si="7"/>
        <v>1G-v-FPpcnVRPxTUiGAuMHmFV9l5EFQuS</v>
      </c>
      <c r="H208" s="21" t="s">
        <v>771</v>
      </c>
    </row>
    <row r="209" spans="1:8" x14ac:dyDescent="0.25">
      <c r="B209" s="24" t="s">
        <v>101</v>
      </c>
      <c r="C209" s="24" t="s">
        <v>104</v>
      </c>
      <c r="D209" s="25" t="s">
        <v>342</v>
      </c>
      <c r="E209" s="24" t="s">
        <v>5</v>
      </c>
      <c r="F209" s="25" t="str">
        <f t="shared" si="6"/>
        <v/>
      </c>
      <c r="G209" s="23" t="str">
        <f t="shared" si="7"/>
        <v/>
      </c>
    </row>
    <row r="210" spans="1:8" x14ac:dyDescent="0.25">
      <c r="B210" s="24" t="s">
        <v>105</v>
      </c>
      <c r="C210" s="24" t="s">
        <v>106</v>
      </c>
      <c r="D210" s="25" t="s">
        <v>472</v>
      </c>
      <c r="E210" s="24" t="s">
        <v>3</v>
      </c>
      <c r="F210" s="25" t="str">
        <f t="shared" si="6"/>
        <v/>
      </c>
      <c r="G210" s="23" t="str">
        <f t="shared" si="7"/>
        <v/>
      </c>
    </row>
    <row r="211" spans="1:8" x14ac:dyDescent="0.25">
      <c r="A211" s="15">
        <v>65</v>
      </c>
      <c r="B211" s="24" t="s">
        <v>105</v>
      </c>
      <c r="C211" s="24" t="s">
        <v>107</v>
      </c>
      <c r="D211" s="25" t="s">
        <v>343</v>
      </c>
      <c r="E211" s="24" t="s">
        <v>4</v>
      </c>
      <c r="F211" s="25" t="str">
        <f t="shared" si="6"/>
        <v>https://docs.google.com/uc?export=download&amp;id=1rE8FM-N9vosIP3LHcQY_R7Jx82BeQNEP</v>
      </c>
      <c r="G211" s="23" t="str">
        <f t="shared" si="7"/>
        <v>1rE8FM-N9vosIP3LHcQY_R7Jx82BeQNEP</v>
      </c>
      <c r="H211" s="21" t="s">
        <v>772</v>
      </c>
    </row>
    <row r="212" spans="1:8" x14ac:dyDescent="0.25">
      <c r="B212" s="24" t="s">
        <v>105</v>
      </c>
      <c r="C212" s="24" t="s">
        <v>108</v>
      </c>
      <c r="D212" s="25" t="s">
        <v>344</v>
      </c>
      <c r="E212" s="24" t="s">
        <v>5</v>
      </c>
      <c r="F212" s="25" t="str">
        <f t="shared" si="6"/>
        <v/>
      </c>
      <c r="G212" s="23" t="str">
        <f t="shared" si="7"/>
        <v/>
      </c>
    </row>
    <row r="213" spans="1:8" x14ac:dyDescent="0.25">
      <c r="B213" s="24" t="s">
        <v>109</v>
      </c>
      <c r="C213" s="24" t="s">
        <v>110</v>
      </c>
      <c r="D213" s="25" t="s">
        <v>473</v>
      </c>
      <c r="E213" s="24" t="s">
        <v>3</v>
      </c>
      <c r="F213" s="25" t="str">
        <f t="shared" si="6"/>
        <v/>
      </c>
      <c r="G213" s="23" t="str">
        <f t="shared" si="7"/>
        <v/>
      </c>
    </row>
    <row r="214" spans="1:8" x14ac:dyDescent="0.25">
      <c r="A214" s="15">
        <v>66</v>
      </c>
      <c r="B214" s="24" t="s">
        <v>109</v>
      </c>
      <c r="C214" s="24" t="s">
        <v>111</v>
      </c>
      <c r="D214" s="25" t="s">
        <v>345</v>
      </c>
      <c r="E214" s="24" t="s">
        <v>4</v>
      </c>
      <c r="F214" s="25" t="str">
        <f t="shared" si="6"/>
        <v>https://docs.google.com/uc?export=download&amp;id=1_GXpQZdeCx5XwaBr2QZ2LiSJuT-Z0lQ8</v>
      </c>
      <c r="G214" s="23" t="str">
        <f t="shared" si="7"/>
        <v>1_GXpQZdeCx5XwaBr2QZ2LiSJuT-Z0lQ8</v>
      </c>
      <c r="H214" s="21" t="s">
        <v>773</v>
      </c>
    </row>
    <row r="215" spans="1:8" x14ac:dyDescent="0.25">
      <c r="B215" s="24" t="s">
        <v>109</v>
      </c>
      <c r="C215" s="24" t="s">
        <v>112</v>
      </c>
      <c r="D215" s="25" t="s">
        <v>346</v>
      </c>
      <c r="E215" s="24" t="s">
        <v>5</v>
      </c>
      <c r="F215" s="25" t="str">
        <f t="shared" si="6"/>
        <v/>
      </c>
      <c r="G215" s="23" t="str">
        <f t="shared" si="7"/>
        <v/>
      </c>
    </row>
    <row r="216" spans="1:8" x14ac:dyDescent="0.25">
      <c r="B216" s="24" t="s">
        <v>113</v>
      </c>
      <c r="C216" s="24" t="s">
        <v>114</v>
      </c>
      <c r="D216" s="25" t="s">
        <v>474</v>
      </c>
      <c r="E216" s="24" t="s">
        <v>3</v>
      </c>
      <c r="F216" s="25" t="str">
        <f t="shared" si="6"/>
        <v/>
      </c>
      <c r="G216" s="23" t="str">
        <f t="shared" si="7"/>
        <v/>
      </c>
    </row>
    <row r="217" spans="1:8" x14ac:dyDescent="0.25">
      <c r="A217" s="15">
        <v>67</v>
      </c>
      <c r="B217" s="24" t="s">
        <v>113</v>
      </c>
      <c r="C217" s="24" t="s">
        <v>115</v>
      </c>
      <c r="D217" s="25" t="s">
        <v>347</v>
      </c>
      <c r="E217" s="24" t="s">
        <v>4</v>
      </c>
      <c r="F217" s="25" t="str">
        <f t="shared" si="6"/>
        <v>https://docs.google.com/uc?export=download&amp;id=1xCNNWmJkn-_USRJZfVmrxtf3uKonfNBC</v>
      </c>
      <c r="G217" s="23" t="str">
        <f t="shared" si="7"/>
        <v>1xCNNWmJkn-_USRJZfVmrxtf3uKonfNBC</v>
      </c>
      <c r="H217" s="21" t="s">
        <v>774</v>
      </c>
    </row>
    <row r="218" spans="1:8" s="10" customFormat="1" x14ac:dyDescent="0.25">
      <c r="A218" s="9"/>
      <c r="B218" s="24" t="s">
        <v>113</v>
      </c>
      <c r="C218" s="24" t="s">
        <v>116</v>
      </c>
      <c r="D218" s="25" t="s">
        <v>348</v>
      </c>
      <c r="E218" s="24" t="s">
        <v>5</v>
      </c>
      <c r="F218" s="25" t="str">
        <f t="shared" si="6"/>
        <v/>
      </c>
      <c r="G218" s="23" t="str">
        <f t="shared" si="7"/>
        <v/>
      </c>
      <c r="H218" s="21"/>
    </row>
    <row r="219" spans="1:8" x14ac:dyDescent="0.25">
      <c r="B219" s="24" t="s">
        <v>510</v>
      </c>
      <c r="C219" s="24" t="s">
        <v>626</v>
      </c>
      <c r="D219" s="25" t="s">
        <v>475</v>
      </c>
      <c r="E219" s="24" t="s">
        <v>3</v>
      </c>
      <c r="F219" s="25" t="str">
        <f t="shared" si="6"/>
        <v/>
      </c>
      <c r="G219" s="23" t="str">
        <f t="shared" si="7"/>
        <v/>
      </c>
    </row>
    <row r="220" spans="1:8" x14ac:dyDescent="0.25">
      <c r="A220" s="15">
        <v>68</v>
      </c>
      <c r="B220" s="24" t="s">
        <v>510</v>
      </c>
      <c r="C220" s="24" t="s">
        <v>627</v>
      </c>
      <c r="D220" s="25" t="s">
        <v>349</v>
      </c>
      <c r="E220" s="24" t="s">
        <v>4</v>
      </c>
      <c r="F220" s="25" t="str">
        <f t="shared" si="6"/>
        <v>https://docs.google.com/uc?export=download&amp;id=1R8twXpI22vdSbYz1u1c2ztUFqAc5UWcx</v>
      </c>
      <c r="G220" s="23" t="str">
        <f t="shared" si="7"/>
        <v>1R8twXpI22vdSbYz1u1c2ztUFqAc5UWcx</v>
      </c>
      <c r="H220" s="21" t="s">
        <v>775</v>
      </c>
    </row>
    <row r="221" spans="1:8" x14ac:dyDescent="0.25">
      <c r="B221" s="24" t="s">
        <v>510</v>
      </c>
      <c r="C221" s="24" t="s">
        <v>685</v>
      </c>
      <c r="D221" s="25" t="s">
        <v>350</v>
      </c>
      <c r="E221" s="24" t="s">
        <v>5</v>
      </c>
      <c r="F221" s="25" t="str">
        <f t="shared" si="6"/>
        <v/>
      </c>
      <c r="G221" s="23" t="str">
        <f t="shared" si="7"/>
        <v/>
      </c>
    </row>
    <row r="222" spans="1:8" x14ac:dyDescent="0.25">
      <c r="B222" s="24" t="s">
        <v>511</v>
      </c>
      <c r="C222" s="24" t="s">
        <v>628</v>
      </c>
      <c r="D222" s="25" t="s">
        <v>476</v>
      </c>
      <c r="E222" s="24" t="s">
        <v>3</v>
      </c>
      <c r="F222" s="25" t="str">
        <f t="shared" si="6"/>
        <v/>
      </c>
      <c r="G222" s="23" t="str">
        <f t="shared" si="7"/>
        <v/>
      </c>
    </row>
    <row r="223" spans="1:8" x14ac:dyDescent="0.25">
      <c r="A223" s="15">
        <v>69</v>
      </c>
      <c r="B223" s="24" t="s">
        <v>511</v>
      </c>
      <c r="C223" s="24" t="s">
        <v>629</v>
      </c>
      <c r="D223" s="25" t="s">
        <v>351</v>
      </c>
      <c r="E223" s="24" t="s">
        <v>4</v>
      </c>
      <c r="F223" s="25" t="str">
        <f t="shared" si="6"/>
        <v>https://docs.google.com/uc?export=download&amp;id=1qcNOD0GnkVPldYukNvMUlCAZNU6LsyuF</v>
      </c>
      <c r="G223" s="23" t="str">
        <f t="shared" si="7"/>
        <v>1qcNOD0GnkVPldYukNvMUlCAZNU6LsyuF</v>
      </c>
      <c r="H223" s="21" t="s">
        <v>777</v>
      </c>
    </row>
    <row r="224" spans="1:8" x14ac:dyDescent="0.25">
      <c r="B224" s="24" t="s">
        <v>511</v>
      </c>
      <c r="C224" s="24" t="s">
        <v>686</v>
      </c>
      <c r="D224" s="25" t="s">
        <v>352</v>
      </c>
      <c r="E224" s="24" t="s">
        <v>5</v>
      </c>
      <c r="F224" s="25" t="str">
        <f t="shared" si="6"/>
        <v/>
      </c>
      <c r="G224" s="23" t="str">
        <f t="shared" si="7"/>
        <v/>
      </c>
    </row>
    <row r="225" spans="1:8" x14ac:dyDescent="0.25">
      <c r="B225" s="24">
        <v>15</v>
      </c>
      <c r="C225" s="24" t="s">
        <v>117</v>
      </c>
      <c r="D225" s="25" t="s">
        <v>414</v>
      </c>
      <c r="E225" s="24" t="s">
        <v>11</v>
      </c>
      <c r="F225" s="25" t="str">
        <f t="shared" si="6"/>
        <v/>
      </c>
      <c r="G225" s="23" t="str">
        <f t="shared" si="7"/>
        <v/>
      </c>
    </row>
    <row r="226" spans="1:8" x14ac:dyDescent="0.25">
      <c r="B226" s="24" t="s">
        <v>118</v>
      </c>
      <c r="C226" s="24" t="s">
        <v>119</v>
      </c>
      <c r="D226" s="25" t="s">
        <v>477</v>
      </c>
      <c r="E226" s="24" t="s">
        <v>3</v>
      </c>
      <c r="F226" s="25" t="str">
        <f t="shared" si="6"/>
        <v/>
      </c>
      <c r="G226" s="23" t="str">
        <f t="shared" si="7"/>
        <v/>
      </c>
    </row>
    <row r="227" spans="1:8" x14ac:dyDescent="0.25">
      <c r="A227" s="15">
        <v>70</v>
      </c>
      <c r="B227" s="24" t="s">
        <v>118</v>
      </c>
      <c r="C227" s="24" t="s">
        <v>120</v>
      </c>
      <c r="D227" s="25" t="s">
        <v>353</v>
      </c>
      <c r="E227" s="24" t="s">
        <v>4</v>
      </c>
      <c r="F227" s="25" t="str">
        <f t="shared" si="6"/>
        <v>https://docs.google.com/uc?export=download&amp;id=1Y83Zeg3ogsW2aWH6FjhN7HFPaWp4SXMj</v>
      </c>
      <c r="G227" s="23" t="str">
        <f t="shared" si="7"/>
        <v>1Y83Zeg3ogsW2aWH6FjhN7HFPaWp4SXMj</v>
      </c>
      <c r="H227" s="21" t="s">
        <v>778</v>
      </c>
    </row>
    <row r="228" spans="1:8" x14ac:dyDescent="0.25">
      <c r="B228" s="24" t="s">
        <v>118</v>
      </c>
      <c r="C228" s="24" t="s">
        <v>121</v>
      </c>
      <c r="D228" s="25" t="s">
        <v>354</v>
      </c>
      <c r="E228" s="24" t="s">
        <v>5</v>
      </c>
      <c r="F228" s="25" t="str">
        <f t="shared" si="6"/>
        <v/>
      </c>
      <c r="G228" s="23" t="str">
        <f t="shared" si="7"/>
        <v/>
      </c>
    </row>
    <row r="229" spans="1:8" x14ac:dyDescent="0.25">
      <c r="B229" s="24" t="s">
        <v>122</v>
      </c>
      <c r="C229" s="24" t="s">
        <v>123</v>
      </c>
      <c r="D229" s="25" t="s">
        <v>478</v>
      </c>
      <c r="E229" s="24" t="s">
        <v>3</v>
      </c>
      <c r="F229" s="25" t="str">
        <f t="shared" si="6"/>
        <v/>
      </c>
      <c r="G229" s="23" t="str">
        <f t="shared" si="7"/>
        <v/>
      </c>
    </row>
    <row r="230" spans="1:8" x14ac:dyDescent="0.25">
      <c r="A230" s="15">
        <v>71</v>
      </c>
      <c r="B230" s="24" t="s">
        <v>122</v>
      </c>
      <c r="C230" s="24" t="s">
        <v>124</v>
      </c>
      <c r="D230" s="25" t="s">
        <v>355</v>
      </c>
      <c r="E230" s="24" t="s">
        <v>4</v>
      </c>
      <c r="F230" s="25" t="str">
        <f t="shared" si="6"/>
        <v>https://docs.google.com/uc?export=download&amp;id=1V40Ah1wCtAxk5cHSEP21wNLwJh6fDjQC</v>
      </c>
      <c r="G230" s="23" t="str">
        <f t="shared" si="7"/>
        <v>1V40Ah1wCtAxk5cHSEP21wNLwJh6fDjQC</v>
      </c>
      <c r="H230" s="21" t="s">
        <v>776</v>
      </c>
    </row>
    <row r="231" spans="1:8" s="10" customFormat="1" x14ac:dyDescent="0.25">
      <c r="A231" s="9"/>
      <c r="B231" s="24" t="s">
        <v>122</v>
      </c>
      <c r="C231" s="24" t="s">
        <v>125</v>
      </c>
      <c r="D231" s="25" t="s">
        <v>356</v>
      </c>
      <c r="E231" s="24" t="s">
        <v>5</v>
      </c>
      <c r="F231" s="25" t="str">
        <f t="shared" si="6"/>
        <v/>
      </c>
      <c r="G231" s="23" t="str">
        <f t="shared" si="7"/>
        <v/>
      </c>
      <c r="H231" s="21"/>
    </row>
    <row r="232" spans="1:8" x14ac:dyDescent="0.25">
      <c r="B232" s="24" t="s">
        <v>126</v>
      </c>
      <c r="C232" s="24" t="s">
        <v>127</v>
      </c>
      <c r="D232" s="25" t="s">
        <v>479</v>
      </c>
      <c r="E232" s="24" t="s">
        <v>3</v>
      </c>
      <c r="F232" s="25" t="str">
        <f t="shared" si="6"/>
        <v/>
      </c>
      <c r="G232" s="23" t="str">
        <f t="shared" si="7"/>
        <v/>
      </c>
    </row>
    <row r="233" spans="1:8" x14ac:dyDescent="0.25">
      <c r="A233" s="15">
        <v>72</v>
      </c>
      <c r="B233" s="24" t="s">
        <v>126</v>
      </c>
      <c r="C233" s="24" t="s">
        <v>128</v>
      </c>
      <c r="D233" s="25" t="s">
        <v>357</v>
      </c>
      <c r="E233" s="24" t="s">
        <v>4</v>
      </c>
      <c r="F233" s="25" t="str">
        <f t="shared" si="6"/>
        <v>https://docs.google.com/uc?export=download&amp;id=1qh3d1xH69d82PTzpX90Rz8wIVCPv7NiY</v>
      </c>
      <c r="G233" s="23" t="str">
        <f t="shared" si="7"/>
        <v>1qh3d1xH69d82PTzpX90Rz8wIVCPv7NiY</v>
      </c>
      <c r="H233" s="21" t="s">
        <v>779</v>
      </c>
    </row>
    <row r="234" spans="1:8" x14ac:dyDescent="0.25">
      <c r="B234" s="24" t="s">
        <v>126</v>
      </c>
      <c r="C234" s="24" t="s">
        <v>129</v>
      </c>
      <c r="D234" s="25" t="s">
        <v>358</v>
      </c>
      <c r="E234" s="24" t="s">
        <v>5</v>
      </c>
      <c r="F234" s="25" t="str">
        <f t="shared" si="6"/>
        <v/>
      </c>
      <c r="G234" s="23" t="str">
        <f t="shared" si="7"/>
        <v/>
      </c>
    </row>
    <row r="235" spans="1:8" x14ac:dyDescent="0.25">
      <c r="B235" s="24" t="s">
        <v>130</v>
      </c>
      <c r="C235" s="24" t="s">
        <v>131</v>
      </c>
      <c r="D235" s="25" t="s">
        <v>480</v>
      </c>
      <c r="E235" s="24" t="s">
        <v>3</v>
      </c>
      <c r="F235" s="25" t="str">
        <f t="shared" si="6"/>
        <v/>
      </c>
      <c r="G235" s="23" t="str">
        <f t="shared" si="7"/>
        <v/>
      </c>
    </row>
    <row r="236" spans="1:8" x14ac:dyDescent="0.25">
      <c r="A236" s="15">
        <v>73</v>
      </c>
      <c r="B236" s="24" t="s">
        <v>130</v>
      </c>
      <c r="C236" s="24" t="s">
        <v>132</v>
      </c>
      <c r="D236" s="25" t="s">
        <v>359</v>
      </c>
      <c r="E236" s="24" t="s">
        <v>4</v>
      </c>
      <c r="F236" s="25" t="str">
        <f t="shared" si="6"/>
        <v>https://docs.google.com/uc?export=download&amp;id=1o5KQS8IbhUuahOgD5l9iQ70UWj5IF4SZ</v>
      </c>
      <c r="G236" s="23" t="str">
        <f t="shared" si="7"/>
        <v>1o5KQS8IbhUuahOgD5l9iQ70UWj5IF4SZ</v>
      </c>
      <c r="H236" s="21" t="s">
        <v>780</v>
      </c>
    </row>
    <row r="237" spans="1:8" x14ac:dyDescent="0.25">
      <c r="B237" s="24" t="s">
        <v>130</v>
      </c>
      <c r="C237" s="24" t="s">
        <v>133</v>
      </c>
      <c r="D237" s="25" t="s">
        <v>360</v>
      </c>
      <c r="E237" s="24" t="s">
        <v>5</v>
      </c>
      <c r="F237" s="25" t="str">
        <f t="shared" si="6"/>
        <v/>
      </c>
      <c r="G237" s="23" t="str">
        <f t="shared" si="7"/>
        <v/>
      </c>
    </row>
    <row r="238" spans="1:8" x14ac:dyDescent="0.25">
      <c r="B238" s="24">
        <v>16</v>
      </c>
      <c r="C238" s="24" t="s">
        <v>134</v>
      </c>
      <c r="D238" s="25" t="s">
        <v>415</v>
      </c>
      <c r="E238" s="24" t="s">
        <v>11</v>
      </c>
      <c r="F238" s="25" t="str">
        <f t="shared" si="6"/>
        <v/>
      </c>
      <c r="G238" s="23" t="str">
        <f t="shared" si="7"/>
        <v/>
      </c>
    </row>
    <row r="239" spans="1:8" x14ac:dyDescent="0.25">
      <c r="B239" s="24" t="s">
        <v>135</v>
      </c>
      <c r="C239" s="24" t="s">
        <v>136</v>
      </c>
      <c r="D239" s="25" t="s">
        <v>481</v>
      </c>
      <c r="E239" s="24" t="s">
        <v>3</v>
      </c>
      <c r="F239" s="25" t="str">
        <f t="shared" si="6"/>
        <v/>
      </c>
      <c r="G239" s="23" t="str">
        <f t="shared" si="7"/>
        <v/>
      </c>
    </row>
    <row r="240" spans="1:8" x14ac:dyDescent="0.25">
      <c r="A240" s="15">
        <v>74</v>
      </c>
      <c r="B240" s="24" t="s">
        <v>135</v>
      </c>
      <c r="C240" s="24" t="s">
        <v>137</v>
      </c>
      <c r="D240" s="25" t="s">
        <v>361</v>
      </c>
      <c r="E240" s="24" t="s">
        <v>4</v>
      </c>
      <c r="F240" s="25" t="str">
        <f t="shared" si="6"/>
        <v>https://docs.google.com/uc?export=download&amp;id=1SLYzH2eNOngVBdpwAlJ9IA7yEhob1T32</v>
      </c>
      <c r="G240" s="23" t="str">
        <f t="shared" si="7"/>
        <v>1SLYzH2eNOngVBdpwAlJ9IA7yEhob1T32</v>
      </c>
      <c r="H240" s="21" t="s">
        <v>781</v>
      </c>
    </row>
    <row r="241" spans="1:8" s="10" customFormat="1" x14ac:dyDescent="0.25">
      <c r="A241" s="9"/>
      <c r="B241" s="24" t="s">
        <v>135</v>
      </c>
      <c r="C241" s="24" t="s">
        <v>138</v>
      </c>
      <c r="D241" s="25" t="s">
        <v>482</v>
      </c>
      <c r="E241" s="24" t="s">
        <v>5</v>
      </c>
      <c r="F241" s="25" t="str">
        <f t="shared" si="6"/>
        <v/>
      </c>
      <c r="G241" s="23" t="str">
        <f t="shared" si="7"/>
        <v/>
      </c>
      <c r="H241" s="21"/>
    </row>
    <row r="242" spans="1:8" x14ac:dyDescent="0.25">
      <c r="B242" s="24" t="s">
        <v>139</v>
      </c>
      <c r="C242" s="24" t="s">
        <v>140</v>
      </c>
      <c r="D242" s="25" t="s">
        <v>483</v>
      </c>
      <c r="E242" s="24" t="s">
        <v>3</v>
      </c>
      <c r="F242" s="25" t="str">
        <f t="shared" si="6"/>
        <v/>
      </c>
      <c r="G242" s="23" t="str">
        <f t="shared" si="7"/>
        <v/>
      </c>
    </row>
    <row r="243" spans="1:8" x14ac:dyDescent="0.25">
      <c r="A243" s="15">
        <v>75</v>
      </c>
      <c r="B243" s="24" t="s">
        <v>139</v>
      </c>
      <c r="C243" s="24" t="s">
        <v>141</v>
      </c>
      <c r="D243" s="25" t="s">
        <v>362</v>
      </c>
      <c r="E243" s="24" t="s">
        <v>4</v>
      </c>
      <c r="F243" s="25" t="str">
        <f t="shared" si="6"/>
        <v>https://docs.google.com/uc?export=download&amp;id=1LVlZv4x5keHjrPwUKVRCFcQZlHjrbnoK</v>
      </c>
      <c r="G243" s="23" t="str">
        <f t="shared" si="7"/>
        <v>1LVlZv4x5keHjrPwUKVRCFcQZlHjrbnoK</v>
      </c>
      <c r="H243" s="21" t="s">
        <v>782</v>
      </c>
    </row>
    <row r="244" spans="1:8" x14ac:dyDescent="0.25">
      <c r="B244" s="24" t="s">
        <v>139</v>
      </c>
      <c r="C244" s="24" t="s">
        <v>142</v>
      </c>
      <c r="D244" s="25" t="s">
        <v>363</v>
      </c>
      <c r="E244" s="24" t="s">
        <v>5</v>
      </c>
      <c r="F244" s="25" t="str">
        <f t="shared" si="6"/>
        <v/>
      </c>
      <c r="G244" s="23" t="str">
        <f t="shared" si="7"/>
        <v/>
      </c>
    </row>
    <row r="245" spans="1:8" x14ac:dyDescent="0.25">
      <c r="B245" s="24">
        <v>17</v>
      </c>
      <c r="C245" s="24" t="s">
        <v>143</v>
      </c>
      <c r="D245" s="25" t="s">
        <v>416</v>
      </c>
      <c r="E245" s="24" t="s">
        <v>11</v>
      </c>
      <c r="F245" s="25" t="str">
        <f t="shared" si="6"/>
        <v/>
      </c>
      <c r="G245" s="23" t="str">
        <f t="shared" si="7"/>
        <v/>
      </c>
    </row>
    <row r="246" spans="1:8" x14ac:dyDescent="0.25">
      <c r="B246" s="24" t="s">
        <v>144</v>
      </c>
      <c r="C246" s="24" t="s">
        <v>145</v>
      </c>
      <c r="D246" s="25" t="s">
        <v>484</v>
      </c>
      <c r="E246" s="24" t="s">
        <v>3</v>
      </c>
      <c r="F246" s="25" t="str">
        <f t="shared" si="6"/>
        <v/>
      </c>
      <c r="G246" s="23" t="str">
        <f t="shared" si="7"/>
        <v/>
      </c>
    </row>
    <row r="247" spans="1:8" x14ac:dyDescent="0.25">
      <c r="A247" s="15">
        <v>76</v>
      </c>
      <c r="B247" s="24" t="s">
        <v>144</v>
      </c>
      <c r="C247" s="24" t="s">
        <v>146</v>
      </c>
      <c r="D247" s="25" t="s">
        <v>364</v>
      </c>
      <c r="E247" s="24" t="s">
        <v>4</v>
      </c>
      <c r="F247" s="25" t="str">
        <f t="shared" si="6"/>
        <v>https://docs.google.com/uc?export=download&amp;id=1yNxyn3hTWN6Y-VcfasnADh1XQd1KLO5A</v>
      </c>
      <c r="G247" s="23" t="str">
        <f t="shared" si="7"/>
        <v>1yNxyn3hTWN6Y-VcfasnADh1XQd1KLO5A</v>
      </c>
      <c r="H247" s="21" t="s">
        <v>783</v>
      </c>
    </row>
    <row r="248" spans="1:8" x14ac:dyDescent="0.25">
      <c r="B248" s="24" t="s">
        <v>144</v>
      </c>
      <c r="C248" s="24" t="s">
        <v>147</v>
      </c>
      <c r="D248" s="25" t="s">
        <v>365</v>
      </c>
      <c r="E248" s="24" t="s">
        <v>5</v>
      </c>
      <c r="F248" s="25" t="str">
        <f t="shared" si="6"/>
        <v/>
      </c>
      <c r="G248" s="23" t="str">
        <f t="shared" si="7"/>
        <v/>
      </c>
    </row>
    <row r="249" spans="1:8" x14ac:dyDescent="0.25">
      <c r="B249" s="24" t="s">
        <v>148</v>
      </c>
      <c r="C249" s="24" t="s">
        <v>149</v>
      </c>
      <c r="D249" s="25" t="s">
        <v>485</v>
      </c>
      <c r="E249" s="24" t="s">
        <v>3</v>
      </c>
      <c r="F249" s="25" t="str">
        <f t="shared" si="6"/>
        <v/>
      </c>
      <c r="G249" s="23" t="str">
        <f t="shared" si="7"/>
        <v/>
      </c>
    </row>
    <row r="250" spans="1:8" x14ac:dyDescent="0.25">
      <c r="A250" s="15">
        <v>77</v>
      </c>
      <c r="B250" s="24" t="s">
        <v>148</v>
      </c>
      <c r="C250" s="24" t="s">
        <v>150</v>
      </c>
      <c r="D250" s="25" t="s">
        <v>366</v>
      </c>
      <c r="E250" s="24" t="s">
        <v>4</v>
      </c>
      <c r="F250" s="25" t="str">
        <f t="shared" si="6"/>
        <v>https://docs.google.com/uc?export=download&amp;id=1KcUy3OL6KIHay-4myAK2wgT05Mm506__</v>
      </c>
      <c r="G250" s="23" t="str">
        <f t="shared" si="7"/>
        <v>1KcUy3OL6KIHay-4myAK2wgT05Mm506__</v>
      </c>
      <c r="H250" s="21" t="s">
        <v>784</v>
      </c>
    </row>
    <row r="251" spans="1:8" x14ac:dyDescent="0.25">
      <c r="B251" s="24" t="s">
        <v>148</v>
      </c>
      <c r="C251" s="24" t="s">
        <v>151</v>
      </c>
      <c r="D251" s="25" t="s">
        <v>367</v>
      </c>
      <c r="E251" s="24" t="s">
        <v>5</v>
      </c>
      <c r="F251" s="25" t="str">
        <f t="shared" si="6"/>
        <v/>
      </c>
      <c r="G251" s="23" t="str">
        <f t="shared" si="7"/>
        <v/>
      </c>
    </row>
    <row r="252" spans="1:8" x14ac:dyDescent="0.25">
      <c r="B252" s="24" t="s">
        <v>152</v>
      </c>
      <c r="C252" s="24" t="s">
        <v>153</v>
      </c>
      <c r="D252" s="25" t="s">
        <v>486</v>
      </c>
      <c r="E252" s="24" t="s">
        <v>3</v>
      </c>
      <c r="F252" s="25" t="str">
        <f t="shared" si="6"/>
        <v/>
      </c>
      <c r="G252" s="23" t="str">
        <f t="shared" si="7"/>
        <v/>
      </c>
    </row>
    <row r="253" spans="1:8" x14ac:dyDescent="0.25">
      <c r="A253" s="15">
        <v>78</v>
      </c>
      <c r="B253" s="24" t="s">
        <v>152</v>
      </c>
      <c r="C253" s="24" t="s">
        <v>154</v>
      </c>
      <c r="D253" s="25" t="s">
        <v>368</v>
      </c>
      <c r="E253" s="24" t="s">
        <v>4</v>
      </c>
      <c r="F253" s="25" t="str">
        <f t="shared" si="6"/>
        <v>https://docs.google.com/uc?export=download&amp;id=1buvMzyghMGgUGnfBlAYfoEK0KELeWFAR</v>
      </c>
      <c r="G253" s="23" t="str">
        <f t="shared" si="7"/>
        <v>1buvMzyghMGgUGnfBlAYfoEK0KELeWFAR</v>
      </c>
      <c r="H253" s="21" t="s">
        <v>785</v>
      </c>
    </row>
    <row r="254" spans="1:8" x14ac:dyDescent="0.25">
      <c r="B254" s="24" t="s">
        <v>152</v>
      </c>
      <c r="C254" s="24" t="s">
        <v>155</v>
      </c>
      <c r="D254" s="25" t="s">
        <v>369</v>
      </c>
      <c r="E254" s="24" t="s">
        <v>5</v>
      </c>
      <c r="F254" s="25" t="str">
        <f t="shared" si="6"/>
        <v/>
      </c>
      <c r="G254" s="23" t="str">
        <f t="shared" si="7"/>
        <v/>
      </c>
    </row>
    <row r="255" spans="1:8" x14ac:dyDescent="0.25">
      <c r="B255" s="24" t="s">
        <v>512</v>
      </c>
      <c r="C255" s="24" t="s">
        <v>630</v>
      </c>
      <c r="D255" s="25" t="s">
        <v>487</v>
      </c>
      <c r="E255" s="24" t="s">
        <v>3</v>
      </c>
      <c r="F255" s="25" t="str">
        <f t="shared" si="6"/>
        <v/>
      </c>
      <c r="G255" s="23" t="str">
        <f t="shared" si="7"/>
        <v/>
      </c>
    </row>
    <row r="256" spans="1:8" x14ac:dyDescent="0.25">
      <c r="A256" s="15">
        <v>79</v>
      </c>
      <c r="B256" s="24" t="s">
        <v>512</v>
      </c>
      <c r="C256" s="24" t="s">
        <v>631</v>
      </c>
      <c r="D256" s="25" t="s">
        <v>370</v>
      </c>
      <c r="E256" s="24" t="s">
        <v>4</v>
      </c>
      <c r="F256" s="25" t="str">
        <f t="shared" si="6"/>
        <v>https://docs.google.com/uc?export=download&amp;id=1UElilMn3p3VEL5kLcsMKzUGVvUBexDQf</v>
      </c>
      <c r="G256" s="23" t="str">
        <f t="shared" si="7"/>
        <v>1UElilMn3p3VEL5kLcsMKzUGVvUBexDQf</v>
      </c>
      <c r="H256" s="21" t="s">
        <v>786</v>
      </c>
    </row>
    <row r="257" spans="1:8" s="10" customFormat="1" x14ac:dyDescent="0.25">
      <c r="A257" s="9"/>
      <c r="B257" s="24" t="s">
        <v>512</v>
      </c>
      <c r="C257" s="24" t="s">
        <v>687</v>
      </c>
      <c r="D257" s="25" t="s">
        <v>371</v>
      </c>
      <c r="E257" s="24" t="s">
        <v>5</v>
      </c>
      <c r="F257" s="25" t="str">
        <f t="shared" si="6"/>
        <v/>
      </c>
      <c r="G257" s="23" t="str">
        <f t="shared" si="7"/>
        <v/>
      </c>
      <c r="H257" s="21"/>
    </row>
    <row r="258" spans="1:8" x14ac:dyDescent="0.25">
      <c r="B258" s="24" t="s">
        <v>513</v>
      </c>
      <c r="C258" s="24" t="s">
        <v>632</v>
      </c>
      <c r="D258" s="25" t="s">
        <v>488</v>
      </c>
      <c r="E258" s="24" t="s">
        <v>3</v>
      </c>
      <c r="F258" s="25" t="str">
        <f t="shared" si="6"/>
        <v/>
      </c>
      <c r="G258" s="23" t="str">
        <f t="shared" si="7"/>
        <v/>
      </c>
    </row>
    <row r="259" spans="1:8" x14ac:dyDescent="0.25">
      <c r="A259" s="15">
        <v>80</v>
      </c>
      <c r="B259" s="24" t="s">
        <v>513</v>
      </c>
      <c r="C259" s="24" t="s">
        <v>633</v>
      </c>
      <c r="D259" s="25" t="s">
        <v>372</v>
      </c>
      <c r="E259" s="24" t="s">
        <v>4</v>
      </c>
      <c r="F259" s="25" t="str">
        <f t="shared" si="6"/>
        <v>https://docs.google.com/uc?export=download&amp;id=11ZUipi0jlb8afyaiYpcWZNlRooGa07tN</v>
      </c>
      <c r="G259" s="23" t="str">
        <f t="shared" si="7"/>
        <v>11ZUipi0jlb8afyaiYpcWZNlRooGa07tN</v>
      </c>
      <c r="H259" s="21" t="s">
        <v>787</v>
      </c>
    </row>
    <row r="260" spans="1:8" x14ac:dyDescent="0.25">
      <c r="B260" s="24" t="s">
        <v>513</v>
      </c>
      <c r="C260" s="24" t="s">
        <v>688</v>
      </c>
      <c r="D260" s="25" t="s">
        <v>373</v>
      </c>
      <c r="E260" s="24" t="s">
        <v>5</v>
      </c>
      <c r="F260" s="25" t="str">
        <f t="shared" si="6"/>
        <v/>
      </c>
      <c r="G260" s="23" t="str">
        <f t="shared" si="7"/>
        <v/>
      </c>
    </row>
    <row r="261" spans="1:8" x14ac:dyDescent="0.25">
      <c r="B261" s="24">
        <v>18</v>
      </c>
      <c r="C261" s="24" t="s">
        <v>156</v>
      </c>
      <c r="D261" s="25" t="s">
        <v>417</v>
      </c>
      <c r="E261" s="24" t="s">
        <v>11</v>
      </c>
      <c r="F261" s="25" t="str">
        <f t="shared" si="6"/>
        <v/>
      </c>
      <c r="G261" s="23" t="str">
        <f t="shared" si="7"/>
        <v/>
      </c>
    </row>
    <row r="262" spans="1:8" x14ac:dyDescent="0.25">
      <c r="B262" s="24" t="s">
        <v>157</v>
      </c>
      <c r="C262" s="24" t="s">
        <v>158</v>
      </c>
      <c r="D262" s="25" t="s">
        <v>489</v>
      </c>
      <c r="E262" s="24" t="s">
        <v>3</v>
      </c>
      <c r="F262" s="25" t="str">
        <f t="shared" si="6"/>
        <v/>
      </c>
      <c r="G262" s="23" t="str">
        <f t="shared" si="7"/>
        <v/>
      </c>
    </row>
    <row r="263" spans="1:8" x14ac:dyDescent="0.25">
      <c r="A263" s="15">
        <v>81</v>
      </c>
      <c r="B263" s="24" t="s">
        <v>157</v>
      </c>
      <c r="C263" s="24" t="s">
        <v>159</v>
      </c>
      <c r="D263" s="25" t="s">
        <v>374</v>
      </c>
      <c r="E263" s="24" t="s">
        <v>4</v>
      </c>
      <c r="F263" s="25" t="str">
        <f t="shared" ref="F263:F305" si="8">IF(G263="","","https://docs.google.com/uc?export=download&amp;id="&amp;G263)</f>
        <v>https://docs.google.com/uc?export=download&amp;id=1zkbQhAyyRNZnsgw_YB9h5b4xCigC9bYn</v>
      </c>
      <c r="G263" s="23" t="str">
        <f t="shared" ref="G263:G306" si="9">IFERROR(LEFT(RIGHT(H263,LEN(H263)-32),LEN(RIGHT(H263,LEN(H263)-32))-17),"")</f>
        <v>1zkbQhAyyRNZnsgw_YB9h5b4xCigC9bYn</v>
      </c>
      <c r="H263" s="21" t="s">
        <v>788</v>
      </c>
    </row>
    <row r="264" spans="1:8" x14ac:dyDescent="0.25">
      <c r="B264" s="24" t="s">
        <v>157</v>
      </c>
      <c r="C264" s="24" t="s">
        <v>160</v>
      </c>
      <c r="D264" s="25" t="s">
        <v>375</v>
      </c>
      <c r="E264" s="24" t="s">
        <v>5</v>
      </c>
      <c r="F264" s="25" t="str">
        <f t="shared" si="8"/>
        <v/>
      </c>
      <c r="G264" s="23" t="str">
        <f t="shared" si="9"/>
        <v/>
      </c>
    </row>
    <row r="265" spans="1:8" x14ac:dyDescent="0.25">
      <c r="B265" s="24" t="s">
        <v>161</v>
      </c>
      <c r="C265" s="24" t="s">
        <v>162</v>
      </c>
      <c r="D265" s="25" t="s">
        <v>490</v>
      </c>
      <c r="E265" s="24" t="s">
        <v>3</v>
      </c>
      <c r="F265" s="25" t="str">
        <f t="shared" si="8"/>
        <v/>
      </c>
      <c r="G265" s="23" t="str">
        <f t="shared" si="9"/>
        <v/>
      </c>
    </row>
    <row r="266" spans="1:8" x14ac:dyDescent="0.25">
      <c r="A266" s="15">
        <v>82</v>
      </c>
      <c r="B266" s="24" t="s">
        <v>161</v>
      </c>
      <c r="C266" s="24" t="s">
        <v>163</v>
      </c>
      <c r="D266" s="25" t="s">
        <v>376</v>
      </c>
      <c r="E266" s="24" t="s">
        <v>4</v>
      </c>
      <c r="F266" s="25" t="str">
        <f t="shared" si="8"/>
        <v>https://docs.google.com/uc?export=download&amp;id=1XE4sTHymFqJxFVZb-8GEoxVde1L7axed</v>
      </c>
      <c r="G266" s="23" t="str">
        <f t="shared" si="9"/>
        <v>1XE4sTHymFqJxFVZb-8GEoxVde1L7axed</v>
      </c>
      <c r="H266" s="21" t="s">
        <v>789</v>
      </c>
    </row>
    <row r="267" spans="1:8" s="10" customFormat="1" x14ac:dyDescent="0.25">
      <c r="A267" s="9"/>
      <c r="B267" s="24" t="s">
        <v>161</v>
      </c>
      <c r="C267" s="24" t="s">
        <v>164</v>
      </c>
      <c r="D267" s="25" t="s">
        <v>377</v>
      </c>
      <c r="E267" s="24" t="s">
        <v>5</v>
      </c>
      <c r="F267" s="25" t="str">
        <f t="shared" si="8"/>
        <v/>
      </c>
      <c r="G267" s="23" t="str">
        <f t="shared" si="9"/>
        <v/>
      </c>
      <c r="H267" s="21"/>
    </row>
    <row r="268" spans="1:8" x14ac:dyDescent="0.25">
      <c r="B268" s="24" t="s">
        <v>165</v>
      </c>
      <c r="C268" s="24" t="s">
        <v>166</v>
      </c>
      <c r="D268" s="25" t="s">
        <v>491</v>
      </c>
      <c r="E268" s="24" t="s">
        <v>3</v>
      </c>
      <c r="F268" s="25" t="str">
        <f t="shared" si="8"/>
        <v/>
      </c>
      <c r="G268" s="23" t="str">
        <f t="shared" si="9"/>
        <v/>
      </c>
    </row>
    <row r="269" spans="1:8" x14ac:dyDescent="0.25">
      <c r="A269" s="15">
        <v>83</v>
      </c>
      <c r="B269" s="24" t="s">
        <v>165</v>
      </c>
      <c r="C269" s="24" t="s">
        <v>167</v>
      </c>
      <c r="D269" s="25" t="s">
        <v>378</v>
      </c>
      <c r="E269" s="24" t="s">
        <v>4</v>
      </c>
      <c r="F269" s="25" t="str">
        <f t="shared" si="8"/>
        <v>https://docs.google.com/uc?export=download&amp;id=1I5oz3dzBJryCQu4b37WY33mgJZsY1Tbb</v>
      </c>
      <c r="G269" s="23" t="str">
        <f t="shared" si="9"/>
        <v>1I5oz3dzBJryCQu4b37WY33mgJZsY1Tbb</v>
      </c>
      <c r="H269" s="21" t="s">
        <v>790</v>
      </c>
    </row>
    <row r="270" spans="1:8" x14ac:dyDescent="0.25">
      <c r="B270" s="24" t="s">
        <v>165</v>
      </c>
      <c r="C270" s="24" t="s">
        <v>168</v>
      </c>
      <c r="D270" s="25" t="s">
        <v>379</v>
      </c>
      <c r="E270" s="24" t="s">
        <v>5</v>
      </c>
      <c r="F270" s="25" t="str">
        <f t="shared" si="8"/>
        <v/>
      </c>
      <c r="G270" s="23" t="str">
        <f t="shared" si="9"/>
        <v/>
      </c>
    </row>
    <row r="271" spans="1:8" x14ac:dyDescent="0.25">
      <c r="B271" s="24">
        <v>19</v>
      </c>
      <c r="C271" s="24" t="s">
        <v>169</v>
      </c>
      <c r="D271" s="25" t="s">
        <v>418</v>
      </c>
      <c r="E271" s="24" t="s">
        <v>11</v>
      </c>
      <c r="F271" s="25" t="str">
        <f t="shared" si="8"/>
        <v/>
      </c>
      <c r="G271" s="23" t="str">
        <f t="shared" si="9"/>
        <v/>
      </c>
    </row>
    <row r="272" spans="1:8" x14ac:dyDescent="0.25">
      <c r="B272" s="24" t="s">
        <v>170</v>
      </c>
      <c r="C272" s="24" t="s">
        <v>171</v>
      </c>
      <c r="D272" s="25" t="s">
        <v>492</v>
      </c>
      <c r="E272" s="24" t="s">
        <v>3</v>
      </c>
      <c r="F272" s="25" t="str">
        <f t="shared" si="8"/>
        <v/>
      </c>
      <c r="G272" s="23" t="str">
        <f t="shared" si="9"/>
        <v/>
      </c>
    </row>
    <row r="273" spans="1:8" x14ac:dyDescent="0.25">
      <c r="A273" s="15">
        <v>84</v>
      </c>
      <c r="B273" s="24" t="s">
        <v>170</v>
      </c>
      <c r="C273" s="24" t="s">
        <v>172</v>
      </c>
      <c r="D273" s="25" t="s">
        <v>380</v>
      </c>
      <c r="E273" s="24" t="s">
        <v>4</v>
      </c>
      <c r="F273" s="25" t="str">
        <f t="shared" si="8"/>
        <v>https://docs.google.com/uc?export=download&amp;id=1vNQskC9gK7ZPTTTZsqUH3hDrmY7YsU3C</v>
      </c>
      <c r="G273" s="23" t="str">
        <f t="shared" si="9"/>
        <v>1vNQskC9gK7ZPTTTZsqUH3hDrmY7YsU3C</v>
      </c>
      <c r="H273" s="21" t="s">
        <v>791</v>
      </c>
    </row>
    <row r="274" spans="1:8" x14ac:dyDescent="0.25">
      <c r="B274" s="24" t="s">
        <v>170</v>
      </c>
      <c r="C274" s="24" t="s">
        <v>173</v>
      </c>
      <c r="D274" s="25" t="s">
        <v>381</v>
      </c>
      <c r="E274" s="24" t="s">
        <v>5</v>
      </c>
      <c r="F274" s="25" t="str">
        <f t="shared" si="8"/>
        <v/>
      </c>
      <c r="G274" s="23" t="str">
        <f t="shared" si="9"/>
        <v/>
      </c>
    </row>
    <row r="275" spans="1:8" x14ac:dyDescent="0.25">
      <c r="B275" s="24" t="s">
        <v>174</v>
      </c>
      <c r="C275" s="24" t="s">
        <v>175</v>
      </c>
      <c r="D275" s="25" t="s">
        <v>493</v>
      </c>
      <c r="E275" s="24" t="s">
        <v>3</v>
      </c>
      <c r="F275" s="25" t="str">
        <f t="shared" si="8"/>
        <v/>
      </c>
      <c r="G275" s="23" t="str">
        <f t="shared" si="9"/>
        <v/>
      </c>
    </row>
    <row r="276" spans="1:8" x14ac:dyDescent="0.25">
      <c r="A276" s="15">
        <v>85</v>
      </c>
      <c r="B276" s="24" t="s">
        <v>174</v>
      </c>
      <c r="C276" s="24" t="s">
        <v>176</v>
      </c>
      <c r="D276" s="25" t="s">
        <v>382</v>
      </c>
      <c r="E276" s="24" t="s">
        <v>4</v>
      </c>
      <c r="F276" s="25" t="str">
        <f t="shared" si="8"/>
        <v>https://docs.google.com/uc?export=download&amp;id=1n-s09pG1aHqFBblMLn02KrdghRSYKpjU</v>
      </c>
      <c r="G276" s="23" t="str">
        <f t="shared" si="9"/>
        <v>1n-s09pG1aHqFBblMLn02KrdghRSYKpjU</v>
      </c>
      <c r="H276" s="21" t="s">
        <v>792</v>
      </c>
    </row>
    <row r="277" spans="1:8" x14ac:dyDescent="0.25">
      <c r="B277" s="24" t="s">
        <v>174</v>
      </c>
      <c r="C277" s="24" t="s">
        <v>177</v>
      </c>
      <c r="D277" s="25" t="s">
        <v>383</v>
      </c>
      <c r="E277" s="24" t="s">
        <v>5</v>
      </c>
      <c r="F277" s="25" t="str">
        <f t="shared" si="8"/>
        <v/>
      </c>
      <c r="G277" s="23" t="str">
        <f t="shared" si="9"/>
        <v/>
      </c>
    </row>
    <row r="278" spans="1:8" x14ac:dyDescent="0.25">
      <c r="B278" s="24" t="s">
        <v>178</v>
      </c>
      <c r="C278" s="24" t="s">
        <v>179</v>
      </c>
      <c r="D278" s="25" t="s">
        <v>494</v>
      </c>
      <c r="E278" s="24" t="s">
        <v>3</v>
      </c>
      <c r="F278" s="25" t="str">
        <f t="shared" si="8"/>
        <v/>
      </c>
      <c r="G278" s="23" t="str">
        <f t="shared" si="9"/>
        <v/>
      </c>
    </row>
    <row r="279" spans="1:8" x14ac:dyDescent="0.25">
      <c r="A279" s="15">
        <v>86</v>
      </c>
      <c r="B279" s="24" t="s">
        <v>178</v>
      </c>
      <c r="C279" s="24" t="s">
        <v>180</v>
      </c>
      <c r="D279" s="25" t="s">
        <v>384</v>
      </c>
      <c r="E279" s="24" t="s">
        <v>4</v>
      </c>
      <c r="F279" s="25" t="str">
        <f t="shared" si="8"/>
        <v>https://docs.google.com/uc?export=download&amp;id=1v5-0DOBsZ5u6o3720vvtG__VRC0OlhLO</v>
      </c>
      <c r="G279" s="23" t="str">
        <f t="shared" si="9"/>
        <v>1v5-0DOBsZ5u6o3720vvtG__VRC0OlhLO</v>
      </c>
      <c r="H279" s="21" t="s">
        <v>793</v>
      </c>
    </row>
    <row r="280" spans="1:8" x14ac:dyDescent="0.25">
      <c r="B280" s="24" t="s">
        <v>178</v>
      </c>
      <c r="C280" s="24" t="s">
        <v>181</v>
      </c>
      <c r="D280" s="25" t="s">
        <v>385</v>
      </c>
      <c r="E280" s="24" t="s">
        <v>5</v>
      </c>
      <c r="F280" s="25" t="str">
        <f t="shared" si="8"/>
        <v/>
      </c>
      <c r="G280" s="23" t="str">
        <f t="shared" si="9"/>
        <v/>
      </c>
    </row>
    <row r="281" spans="1:8" x14ac:dyDescent="0.25">
      <c r="B281" s="24">
        <v>20</v>
      </c>
      <c r="C281" s="24" t="s">
        <v>182</v>
      </c>
      <c r="D281" s="25" t="s">
        <v>419</v>
      </c>
      <c r="E281" s="24" t="s">
        <v>11</v>
      </c>
      <c r="F281" s="25" t="str">
        <f t="shared" si="8"/>
        <v/>
      </c>
      <c r="G281" s="23" t="str">
        <f t="shared" si="9"/>
        <v/>
      </c>
    </row>
    <row r="282" spans="1:8" x14ac:dyDescent="0.25">
      <c r="B282" s="24" t="s">
        <v>183</v>
      </c>
      <c r="C282" s="24" t="s">
        <v>184</v>
      </c>
      <c r="D282" s="25" t="s">
        <v>495</v>
      </c>
      <c r="E282" s="24" t="s">
        <v>3</v>
      </c>
      <c r="F282" s="25" t="str">
        <f t="shared" si="8"/>
        <v/>
      </c>
      <c r="G282" s="23" t="str">
        <f t="shared" si="9"/>
        <v/>
      </c>
    </row>
    <row r="283" spans="1:8" x14ac:dyDescent="0.25">
      <c r="A283" s="15">
        <v>87</v>
      </c>
      <c r="B283" s="24" t="s">
        <v>183</v>
      </c>
      <c r="C283" s="24" t="s">
        <v>185</v>
      </c>
      <c r="D283" s="25" t="s">
        <v>386</v>
      </c>
      <c r="E283" s="24" t="s">
        <v>4</v>
      </c>
      <c r="F283" s="25" t="str">
        <f t="shared" si="8"/>
        <v>https://docs.google.com/uc?export=download&amp;id=1Y6Apmrg3WqhTYnytRZcTk6RBNV2v01wi</v>
      </c>
      <c r="G283" s="23" t="str">
        <f t="shared" si="9"/>
        <v>1Y6Apmrg3WqhTYnytRZcTk6RBNV2v01wi</v>
      </c>
      <c r="H283" s="21" t="s">
        <v>794</v>
      </c>
    </row>
    <row r="284" spans="1:8" x14ac:dyDescent="0.25">
      <c r="B284" s="24" t="s">
        <v>183</v>
      </c>
      <c r="C284" s="24" t="s">
        <v>186</v>
      </c>
      <c r="D284" s="25" t="s">
        <v>387</v>
      </c>
      <c r="E284" s="24" t="s">
        <v>5</v>
      </c>
      <c r="F284" s="25" t="str">
        <f t="shared" si="8"/>
        <v/>
      </c>
      <c r="G284" s="23" t="str">
        <f t="shared" si="9"/>
        <v/>
      </c>
    </row>
    <row r="285" spans="1:8" x14ac:dyDescent="0.25">
      <c r="B285" s="24" t="s">
        <v>187</v>
      </c>
      <c r="C285" s="24" t="s">
        <v>188</v>
      </c>
      <c r="D285" s="25" t="s">
        <v>496</v>
      </c>
      <c r="E285" s="24" t="s">
        <v>3</v>
      </c>
      <c r="F285" s="25" t="str">
        <f t="shared" si="8"/>
        <v/>
      </c>
      <c r="G285" s="23" t="str">
        <f t="shared" si="9"/>
        <v/>
      </c>
    </row>
    <row r="286" spans="1:8" s="10" customFormat="1" x14ac:dyDescent="0.25">
      <c r="A286" s="15">
        <v>88</v>
      </c>
      <c r="B286" s="24" t="s">
        <v>187</v>
      </c>
      <c r="C286" s="24" t="s">
        <v>189</v>
      </c>
      <c r="D286" s="25" t="s">
        <v>388</v>
      </c>
      <c r="E286" s="24" t="s">
        <v>4</v>
      </c>
      <c r="F286" s="25" t="str">
        <f t="shared" si="8"/>
        <v>https://docs.google.com/uc?export=download&amp;id=14ht1XT9bw95cFGBjhC45d_YnbS9PGvii</v>
      </c>
      <c r="G286" s="23" t="str">
        <f t="shared" si="9"/>
        <v>14ht1XT9bw95cFGBjhC45d_YnbS9PGvii</v>
      </c>
      <c r="H286" s="21" t="s">
        <v>795</v>
      </c>
    </row>
    <row r="287" spans="1:8" x14ac:dyDescent="0.25">
      <c r="B287" s="24" t="s">
        <v>187</v>
      </c>
      <c r="C287" s="24" t="s">
        <v>190</v>
      </c>
      <c r="D287" s="25" t="s">
        <v>389</v>
      </c>
      <c r="E287" s="24" t="s">
        <v>5</v>
      </c>
      <c r="F287" s="25" t="str">
        <f t="shared" si="8"/>
        <v/>
      </c>
      <c r="G287" s="23" t="str">
        <f t="shared" si="9"/>
        <v/>
      </c>
    </row>
    <row r="288" spans="1:8" x14ac:dyDescent="0.25">
      <c r="B288" s="24" t="s">
        <v>191</v>
      </c>
      <c r="C288" s="24" t="s">
        <v>192</v>
      </c>
      <c r="D288" s="25" t="s">
        <v>497</v>
      </c>
      <c r="E288" s="24" t="s">
        <v>3</v>
      </c>
      <c r="F288" s="25" t="str">
        <f t="shared" si="8"/>
        <v/>
      </c>
      <c r="G288" s="23" t="str">
        <f t="shared" si="9"/>
        <v/>
      </c>
    </row>
    <row r="289" spans="1:8" x14ac:dyDescent="0.25">
      <c r="A289" s="15">
        <v>89</v>
      </c>
      <c r="B289" s="24" t="s">
        <v>191</v>
      </c>
      <c r="C289" s="24" t="s">
        <v>193</v>
      </c>
      <c r="D289" s="25" t="s">
        <v>390</v>
      </c>
      <c r="E289" s="24" t="s">
        <v>4</v>
      </c>
      <c r="F289" s="25" t="str">
        <f t="shared" si="8"/>
        <v>https://docs.google.com/uc?export=download&amp;id=1O5rAqdrwganc_VyBu_-wEbG8BO1_mViZ</v>
      </c>
      <c r="G289" s="23" t="str">
        <f t="shared" si="9"/>
        <v>1O5rAqdrwganc_VyBu_-wEbG8BO1_mViZ</v>
      </c>
      <c r="H289" s="21" t="s">
        <v>796</v>
      </c>
    </row>
    <row r="290" spans="1:8" x14ac:dyDescent="0.25">
      <c r="B290" s="24" t="s">
        <v>191</v>
      </c>
      <c r="C290" s="24" t="s">
        <v>194</v>
      </c>
      <c r="D290" s="25" t="s">
        <v>391</v>
      </c>
      <c r="E290" s="24" t="s">
        <v>5</v>
      </c>
      <c r="F290" s="25" t="str">
        <f t="shared" si="8"/>
        <v/>
      </c>
      <c r="G290" s="23" t="str">
        <f t="shared" si="9"/>
        <v/>
      </c>
    </row>
    <row r="291" spans="1:8" x14ac:dyDescent="0.25">
      <c r="B291" s="24">
        <v>21</v>
      </c>
      <c r="C291" s="24" t="s">
        <v>195</v>
      </c>
      <c r="D291" s="25" t="s">
        <v>420</v>
      </c>
      <c r="E291" s="24" t="s">
        <v>11</v>
      </c>
      <c r="F291" s="25" t="str">
        <f t="shared" si="8"/>
        <v/>
      </c>
      <c r="G291" s="23" t="str">
        <f t="shared" si="9"/>
        <v/>
      </c>
    </row>
    <row r="292" spans="1:8" x14ac:dyDescent="0.25">
      <c r="B292" s="24" t="s">
        <v>196</v>
      </c>
      <c r="C292" s="24" t="s">
        <v>197</v>
      </c>
      <c r="D292" s="25" t="s">
        <v>695</v>
      </c>
      <c r="E292" s="24" t="s">
        <v>3</v>
      </c>
      <c r="F292" s="25" t="str">
        <f t="shared" si="8"/>
        <v/>
      </c>
      <c r="G292" s="23" t="str">
        <f t="shared" si="9"/>
        <v/>
      </c>
    </row>
    <row r="293" spans="1:8" x14ac:dyDescent="0.25">
      <c r="A293" s="15">
        <v>90</v>
      </c>
      <c r="B293" s="24" t="s">
        <v>196</v>
      </c>
      <c r="C293" s="24" t="s">
        <v>198</v>
      </c>
      <c r="D293" s="25" t="s">
        <v>392</v>
      </c>
      <c r="E293" s="24" t="s">
        <v>4</v>
      </c>
      <c r="F293" s="25" t="str">
        <f t="shared" si="8"/>
        <v>https://docs.google.com/uc?export=download&amp;id=1hrDFFzlJ2J5zD8xzV8YGu4AO7kNyaWp2</v>
      </c>
      <c r="G293" s="23" t="str">
        <f t="shared" si="9"/>
        <v>1hrDFFzlJ2J5zD8xzV8YGu4AO7kNyaWp2</v>
      </c>
      <c r="H293" s="21" t="s">
        <v>797</v>
      </c>
    </row>
    <row r="294" spans="1:8" x14ac:dyDescent="0.25">
      <c r="B294" s="24" t="s">
        <v>196</v>
      </c>
      <c r="C294" s="24" t="s">
        <v>199</v>
      </c>
      <c r="D294" s="25" t="s">
        <v>393</v>
      </c>
      <c r="E294" s="24" t="s">
        <v>5</v>
      </c>
      <c r="F294" s="25" t="str">
        <f t="shared" si="8"/>
        <v/>
      </c>
      <c r="G294" s="23" t="str">
        <f t="shared" si="9"/>
        <v/>
      </c>
    </row>
    <row r="295" spans="1:8" x14ac:dyDescent="0.25">
      <c r="B295" s="24" t="s">
        <v>200</v>
      </c>
      <c r="C295" s="24" t="s">
        <v>201</v>
      </c>
      <c r="D295" s="25" t="s">
        <v>812</v>
      </c>
      <c r="E295" s="24" t="s">
        <v>3</v>
      </c>
      <c r="F295" s="25" t="str">
        <f t="shared" si="8"/>
        <v/>
      </c>
      <c r="G295" s="23" t="str">
        <f t="shared" si="9"/>
        <v/>
      </c>
    </row>
    <row r="296" spans="1:8" x14ac:dyDescent="0.25">
      <c r="A296" s="15">
        <v>91</v>
      </c>
      <c r="B296" s="24" t="s">
        <v>200</v>
      </c>
      <c r="C296" s="24" t="s">
        <v>202</v>
      </c>
      <c r="D296" s="25" t="s">
        <v>394</v>
      </c>
      <c r="E296" s="24" t="s">
        <v>4</v>
      </c>
      <c r="F296" s="25" t="str">
        <f t="shared" si="8"/>
        <v>https://docs.google.com/uc?export=download&amp;id=1V_5tgxw0BReKY-R8xSyGrbpCXU5nRg59</v>
      </c>
      <c r="G296" s="23" t="str">
        <f t="shared" si="9"/>
        <v>1V_5tgxw0BReKY-R8xSyGrbpCXU5nRg59</v>
      </c>
      <c r="H296" s="21" t="s">
        <v>798</v>
      </c>
    </row>
    <row r="297" spans="1:8" x14ac:dyDescent="0.25">
      <c r="B297" s="24" t="s">
        <v>200</v>
      </c>
      <c r="C297" s="24" t="s">
        <v>203</v>
      </c>
      <c r="D297" s="25" t="s">
        <v>395</v>
      </c>
      <c r="E297" s="24" t="s">
        <v>5</v>
      </c>
      <c r="F297" s="25" t="str">
        <f t="shared" si="8"/>
        <v/>
      </c>
      <c r="G297" s="23" t="str">
        <f t="shared" si="9"/>
        <v/>
      </c>
    </row>
    <row r="298" spans="1:8" x14ac:dyDescent="0.25">
      <c r="B298" s="24" t="s">
        <v>204</v>
      </c>
      <c r="C298" s="24" t="s">
        <v>205</v>
      </c>
      <c r="D298" s="25" t="s">
        <v>811</v>
      </c>
      <c r="E298" s="24" t="s">
        <v>3</v>
      </c>
      <c r="F298" s="25" t="str">
        <f t="shared" si="8"/>
        <v/>
      </c>
      <c r="G298" s="23" t="str">
        <f t="shared" si="9"/>
        <v/>
      </c>
    </row>
    <row r="299" spans="1:8" x14ac:dyDescent="0.25">
      <c r="A299" s="15">
        <v>92</v>
      </c>
      <c r="B299" s="24" t="s">
        <v>204</v>
      </c>
      <c r="C299" s="24" t="s">
        <v>206</v>
      </c>
      <c r="D299" s="25" t="s">
        <v>396</v>
      </c>
      <c r="E299" s="24" t="s">
        <v>4</v>
      </c>
      <c r="F299" s="25" t="str">
        <f t="shared" si="8"/>
        <v>https://docs.google.com/uc?export=download&amp;id=1szCwBQ1sRZIx2FnZPgXspSF5jV8Y35pH</v>
      </c>
      <c r="G299" s="23" t="str">
        <f t="shared" si="9"/>
        <v>1szCwBQ1sRZIx2FnZPgXspSF5jV8Y35pH</v>
      </c>
      <c r="H299" s="21" t="s">
        <v>799</v>
      </c>
    </row>
    <row r="300" spans="1:8" x14ac:dyDescent="0.25">
      <c r="B300" s="24" t="s">
        <v>204</v>
      </c>
      <c r="C300" s="24" t="s">
        <v>207</v>
      </c>
      <c r="D300" s="25" t="s">
        <v>397</v>
      </c>
      <c r="E300" s="24" t="s">
        <v>5</v>
      </c>
      <c r="F300" s="25" t="str">
        <f t="shared" si="8"/>
        <v/>
      </c>
      <c r="G300" s="23" t="str">
        <f t="shared" si="9"/>
        <v/>
      </c>
    </row>
    <row r="301" spans="1:8" x14ac:dyDescent="0.25">
      <c r="B301" s="24" t="s">
        <v>208</v>
      </c>
      <c r="C301" s="24" t="s">
        <v>209</v>
      </c>
      <c r="D301" s="25" t="s">
        <v>813</v>
      </c>
      <c r="E301" s="24" t="s">
        <v>3</v>
      </c>
      <c r="F301" s="25" t="str">
        <f t="shared" si="8"/>
        <v/>
      </c>
      <c r="G301" s="23" t="str">
        <f t="shared" si="9"/>
        <v/>
      </c>
    </row>
    <row r="302" spans="1:8" s="10" customFormat="1" x14ac:dyDescent="0.25">
      <c r="A302" s="15">
        <v>93</v>
      </c>
      <c r="B302" s="24" t="s">
        <v>208</v>
      </c>
      <c r="C302" s="24" t="s">
        <v>210</v>
      </c>
      <c r="D302" s="25" t="s">
        <v>398</v>
      </c>
      <c r="E302" s="24" t="s">
        <v>4</v>
      </c>
      <c r="F302" s="25" t="str">
        <f t="shared" si="8"/>
        <v>https://docs.google.com/uc?export=download&amp;id=1wXOnJY9JkqtMqLHpRId9029ob9S5l887</v>
      </c>
      <c r="G302" s="23" t="str">
        <f t="shared" si="9"/>
        <v>1wXOnJY9JkqtMqLHpRId9029ob9S5l887</v>
      </c>
      <c r="H302" s="21" t="s">
        <v>800</v>
      </c>
    </row>
    <row r="303" spans="1:8" x14ac:dyDescent="0.25">
      <c r="B303" s="24" t="s">
        <v>208</v>
      </c>
      <c r="C303" s="24" t="s">
        <v>211</v>
      </c>
      <c r="D303" s="25" t="s">
        <v>399</v>
      </c>
      <c r="E303" s="24" t="s">
        <v>5</v>
      </c>
      <c r="F303" s="25" t="str">
        <f t="shared" si="8"/>
        <v/>
      </c>
      <c r="G303" s="23" t="str">
        <f t="shared" si="9"/>
        <v/>
      </c>
    </row>
    <row r="304" spans="1:8" x14ac:dyDescent="0.25">
      <c r="B304" s="24" t="s">
        <v>212</v>
      </c>
      <c r="C304" s="24" t="s">
        <v>213</v>
      </c>
      <c r="D304" s="25" t="s">
        <v>814</v>
      </c>
      <c r="E304" s="24" t="s">
        <v>3</v>
      </c>
      <c r="F304" s="25" t="str">
        <f t="shared" si="8"/>
        <v/>
      </c>
      <c r="G304" s="23" t="str">
        <f t="shared" si="9"/>
        <v/>
      </c>
    </row>
    <row r="305" spans="1:8" x14ac:dyDescent="0.25">
      <c r="A305" s="15">
        <v>94</v>
      </c>
      <c r="B305" s="24" t="s">
        <v>212</v>
      </c>
      <c r="C305" s="24" t="s">
        <v>214</v>
      </c>
      <c r="D305" s="25" t="s">
        <v>400</v>
      </c>
      <c r="E305" s="24" t="s">
        <v>4</v>
      </c>
      <c r="F305" s="25" t="str">
        <f t="shared" si="8"/>
        <v>https://docs.google.com/uc?export=download&amp;id=1zwGsY_qgMgcHy4S87W0Aw0EVyt1M2e_V</v>
      </c>
      <c r="G305" s="23" t="str">
        <f t="shared" si="9"/>
        <v>1zwGsY_qgMgcHy4S87W0Aw0EVyt1M2e_V</v>
      </c>
      <c r="H305" s="21" t="s">
        <v>801</v>
      </c>
    </row>
    <row r="306" spans="1:8" x14ac:dyDescent="0.25">
      <c r="B306" s="26" t="s">
        <v>212</v>
      </c>
      <c r="C306" s="26" t="s">
        <v>215</v>
      </c>
      <c r="D306" s="27" t="s">
        <v>401</v>
      </c>
      <c r="E306" s="26" t="s">
        <v>5</v>
      </c>
      <c r="F306" s="27"/>
      <c r="G306" s="23" t="str">
        <f t="shared" si="9"/>
        <v/>
      </c>
    </row>
  </sheetData>
  <autoFilter ref="A3:H306" xr:uid="{409C9D1B-A452-401C-9733-8750E50DAAFC}"/>
  <conditionalFormatting sqref="I1:I1048576">
    <cfRule type="duplicateValues" dxfId="2" priority="2"/>
  </conditionalFormatting>
  <conditionalFormatting sqref="H1:H1048576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291B-7D61-4F66-87A2-BCE4B8C6F943}">
  <dimension ref="B2:E7"/>
  <sheetViews>
    <sheetView tabSelected="1" topLeftCell="A2" workbookViewId="0">
      <selection activeCell="C7" sqref="C7"/>
    </sheetView>
  </sheetViews>
  <sheetFormatPr defaultRowHeight="13.8" x14ac:dyDescent="0.25"/>
  <cols>
    <col min="2" max="2" width="12.19921875" style="1" bestFit="1" customWidth="1"/>
    <col min="3" max="3" width="75.8984375" bestFit="1" customWidth="1"/>
    <col min="5" max="5" width="74.296875" bestFit="1" customWidth="1"/>
  </cols>
  <sheetData>
    <row r="2" spans="2:5" x14ac:dyDescent="0.25">
      <c r="B2" s="2" t="s">
        <v>0</v>
      </c>
      <c r="C2" s="5" t="s">
        <v>9</v>
      </c>
      <c r="D2" s="1" t="s">
        <v>8</v>
      </c>
      <c r="E2" s="3" t="s">
        <v>10</v>
      </c>
    </row>
    <row r="3" spans="2:5" x14ac:dyDescent="0.25">
      <c r="B3" s="8" t="s">
        <v>51</v>
      </c>
      <c r="C3" s="6" t="str">
        <f>IF(D3="","","https://docs.google.com/uc?export=download&amp;id="&amp;D3)</f>
        <v>https://docs.google.com/uc?export=download&amp;id=1CMvsfJ0HhFL0BCmaLAHxZvSd4i5Y1-42</v>
      </c>
      <c r="D3" s="7" t="str">
        <f t="shared" ref="D3:D7" si="0">IFERROR(LEFT(RIGHT(E3,LEN(E3)-32),LEN(RIGHT(E3,LEN(E3)-32))-17),"")</f>
        <v>1CMvsfJ0HhFL0BCmaLAHxZvSd4i5Y1-42</v>
      </c>
      <c r="E3" s="7" t="s">
        <v>700</v>
      </c>
    </row>
    <row r="4" spans="2:5" x14ac:dyDescent="0.25">
      <c r="B4" s="8" t="s">
        <v>216</v>
      </c>
      <c r="C4" s="6" t="str">
        <f t="shared" ref="C4:C6" si="1">IF(D4="","","https://docs.google.com/uc?export=download&amp;id="&amp;D4)</f>
        <v>https://docs.google.com/uc?export=download&amp;id=146WHmNxMtDrfnMyTmP19o7RPM2UR7rAP</v>
      </c>
      <c r="D4" s="7" t="str">
        <f t="shared" si="0"/>
        <v>146WHmNxMtDrfnMyTmP19o7RPM2UR7rAP</v>
      </c>
      <c r="E4" s="7" t="s">
        <v>701</v>
      </c>
    </row>
    <row r="5" spans="2:5" x14ac:dyDescent="0.25">
      <c r="B5" s="8" t="s">
        <v>52</v>
      </c>
      <c r="C5" s="6" t="str">
        <f>IF(D5="","","https://docs.google.com/uc?export=download&amp;id="&amp;D5)</f>
        <v>https://docs.google.com/uc?export=download&amp;id=1y2DBC-IxXzp1J04TIqh1SAzDkS9eaHMF</v>
      </c>
      <c r="D5" s="7" t="str">
        <f t="shared" si="0"/>
        <v>1y2DBC-IxXzp1J04TIqh1SAzDkS9eaHMF</v>
      </c>
      <c r="E5" s="7" t="s">
        <v>805</v>
      </c>
    </row>
    <row r="6" spans="2:5" x14ac:dyDescent="0.25">
      <c r="B6" s="8" t="s">
        <v>690</v>
      </c>
      <c r="C6" s="6" t="str">
        <f t="shared" si="1"/>
        <v>https://docs.google.com/uc?export=download&amp;id=1u5DO6HFdqBGKu12Kdhfs5orC6qktxnLK</v>
      </c>
      <c r="D6" s="7" t="str">
        <f t="shared" si="0"/>
        <v>1u5DO6HFdqBGKu12Kdhfs5orC6qktxnLK</v>
      </c>
      <c r="E6" s="7" t="s">
        <v>806</v>
      </c>
    </row>
    <row r="7" spans="2:5" x14ac:dyDescent="0.25">
      <c r="B7" s="8" t="s">
        <v>816</v>
      </c>
      <c r="C7" s="6" t="str">
        <f t="shared" ref="C7" si="2">IF(D7="","","https://docs.google.com/uc?export=download&amp;id="&amp;D7)</f>
        <v>https://docs.google.com/uc?export=download&amp;id=1T3Cu8i_YzrfsdyW0VsIZuY9b-nfn7EPO</v>
      </c>
      <c r="D7" s="7" t="str">
        <f t="shared" si="0"/>
        <v>1T3Cu8i_YzrfsdyW0VsIZuY9b-nfn7EPO</v>
      </c>
      <c r="E7" t="s">
        <v>815</v>
      </c>
    </row>
  </sheetData>
  <phoneticPr fontId="3" type="noConversion"/>
  <pageMargins left="0.7" right="0.7" top="0.75" bottom="0.75" header="0.3" footer="0.3"/>
  <ignoredErrors>
    <ignoredError sqref="B5 B7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D948-479B-4B09-9139-09BEE512E2E7}">
  <dimension ref="B2:E4"/>
  <sheetViews>
    <sheetView workbookViewId="0">
      <selection activeCell="C8" sqref="C8"/>
    </sheetView>
  </sheetViews>
  <sheetFormatPr defaultRowHeight="13.8" x14ac:dyDescent="0.25"/>
  <cols>
    <col min="2" max="2" width="11.3984375" bestFit="1" customWidth="1"/>
    <col min="3" max="3" width="75.69921875" bestFit="1" customWidth="1"/>
    <col min="5" max="5" width="74.796875" bestFit="1" customWidth="1"/>
  </cols>
  <sheetData>
    <row r="2" spans="2:5" x14ac:dyDescent="0.25">
      <c r="B2" s="2" t="s">
        <v>0</v>
      </c>
      <c r="C2" s="5" t="s">
        <v>9</v>
      </c>
      <c r="D2" s="1" t="s">
        <v>8</v>
      </c>
      <c r="E2" s="3" t="s">
        <v>10</v>
      </c>
    </row>
    <row r="3" spans="2:5" x14ac:dyDescent="0.25">
      <c r="B3" s="8" t="s">
        <v>218</v>
      </c>
      <c r="C3" s="6" t="str">
        <f>IF(D3="","","https://docs.google.com/uc?export=download&amp;id="&amp;D3)</f>
        <v/>
      </c>
      <c r="D3" s="7" t="str">
        <f t="shared" ref="D3" si="0">IFERROR(LEFT(RIGHT(E3,LEN(E3)-32),LEN(RIGHT(E3,LEN(E3)-32))-17),"")</f>
        <v/>
      </c>
      <c r="E3" s="7"/>
    </row>
    <row r="4" spans="2:5" x14ac:dyDescent="0.25">
      <c r="B4" s="8" t="s">
        <v>217</v>
      </c>
      <c r="C4" s="6" t="str">
        <f>IF(D4="","","https://docs.google.com/uc?export=download&amp;id="&amp;D4)</f>
        <v/>
      </c>
      <c r="D4" s="7" t="str">
        <f t="shared" ref="D4" si="1">IFERROR(LEFT(RIGHT(E4,LEN(E4)-32),LEN(RIGHT(E4,LEN(E4)-32))-17),"")</f>
        <v/>
      </c>
      <c r="E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55BF-F702-4B6A-BC96-7718E75F032C}">
  <dimension ref="A1:M295"/>
  <sheetViews>
    <sheetView topLeftCell="C1" zoomScale="86" zoomScaleNormal="86" workbookViewId="0">
      <selection activeCell="E24" sqref="E4:E24"/>
    </sheetView>
  </sheetViews>
  <sheetFormatPr defaultRowHeight="13.8" x14ac:dyDescent="0.25"/>
  <cols>
    <col min="1" max="1" width="4.796875" hidden="1" customWidth="1"/>
    <col min="2" max="2" width="6.796875" hidden="1" customWidth="1"/>
    <col min="3" max="3" width="7.09765625" style="1" customWidth="1"/>
    <col min="4" max="4" width="7.09765625" customWidth="1"/>
    <col min="5" max="5" width="54.8984375" bestFit="1" customWidth="1"/>
    <col min="6" max="6" width="68.8984375" bestFit="1" customWidth="1"/>
  </cols>
  <sheetData>
    <row r="1" spans="1:12" ht="17.399999999999999" customHeight="1" x14ac:dyDescent="0.25">
      <c r="B1" t="s">
        <v>6</v>
      </c>
      <c r="C1" s="16">
        <v>74</v>
      </c>
      <c r="D1" s="3"/>
    </row>
    <row r="2" spans="1:12" x14ac:dyDescent="0.25">
      <c r="B2" t="s">
        <v>7</v>
      </c>
      <c r="C2" s="16">
        <v>94</v>
      </c>
      <c r="D2" s="3"/>
    </row>
    <row r="3" spans="1:12" x14ac:dyDescent="0.25">
      <c r="C3" s="17" t="s">
        <v>1</v>
      </c>
      <c r="D3" s="4" t="s">
        <v>1</v>
      </c>
      <c r="E3" s="4" t="s">
        <v>3</v>
      </c>
      <c r="F3" s="4" t="s">
        <v>4</v>
      </c>
    </row>
    <row r="4" spans="1:12" x14ac:dyDescent="0.25">
      <c r="A4">
        <f>C1</f>
        <v>74</v>
      </c>
      <c r="B4">
        <f t="shared" ref="B4:B67" ca="1" si="0">IF(A4="","",RANDBETWEEN($C$1,$C$2))</f>
        <v>90</v>
      </c>
      <c r="C4" s="1">
        <f ca="1">IFERROR($C$1-1+_xlfn.RANK.EQ(B4,$B$4:$B$101)+COUNTIF(B$4:$B4,B4)-1,"")</f>
        <v>78</v>
      </c>
      <c r="D4" s="1" t="str">
        <f ca="1">IFERROR(VLOOKUP(C4,Restaurant!A:B,2,0),"")</f>
        <v>17.3</v>
      </c>
      <c r="E4" t="str">
        <f ca="1">IFERROR(VLOOKUP(D4&amp;"Viet",Restaurant!C:D,2,0),"")</f>
        <v>Thành thật mà nói, món đó rất ngon.</v>
      </c>
      <c r="F4" t="str">
        <f ca="1">IFERROR(VLOOKUP(D4&amp;"Eng",Restaurant!C:D,2,0),"")</f>
        <v>To be honest, that was really delicious.</v>
      </c>
    </row>
    <row r="5" spans="1:12" x14ac:dyDescent="0.25">
      <c r="A5">
        <f>IFERROR(IF(A4+1&gt;$C$2,"",A4+1),"")</f>
        <v>75</v>
      </c>
      <c r="B5">
        <f t="shared" ca="1" si="0"/>
        <v>75</v>
      </c>
      <c r="C5" s="1">
        <f ca="1">IFERROR($C$1-1+_xlfn.RANK.EQ(B5,$B$4:$B$101)+COUNTIF(B$4:$B5,B5)-1,"")</f>
        <v>92</v>
      </c>
      <c r="D5" s="1" t="str">
        <f ca="1">IFERROR(VLOOKUP(C5,Restaurant!A:B,2,0),"")</f>
        <v>21.3</v>
      </c>
      <c r="E5" t="str">
        <f ca="1">IFERROR(VLOOKUP(D5&amp;"Viet",Restaurant!C:D,2,0),"")</f>
        <v>Cho tôi một bàn ở trong góc nhé.</v>
      </c>
      <c r="F5" t="str">
        <f ca="1">IFERROR(VLOOKUP(D5&amp;"Eng",Restaurant!C:D,2,0),"")</f>
        <v>I would like a table in the corner.</v>
      </c>
    </row>
    <row r="6" spans="1:12" x14ac:dyDescent="0.25">
      <c r="A6">
        <f t="shared" ref="A6:A69" si="1">IFERROR(IF(A5+1&gt;$C$2,"",A5+1),"")</f>
        <v>76</v>
      </c>
      <c r="B6">
        <f t="shared" ca="1" si="0"/>
        <v>75</v>
      </c>
      <c r="C6" s="1">
        <f ca="1">IFERROR($C$1-1+_xlfn.RANK.EQ(B6,$B$4:$B$101)+COUNTIF(B$4:$B6,B6)-1,"")</f>
        <v>93</v>
      </c>
      <c r="D6" s="1" t="str">
        <f ca="1">IFERROR(VLOOKUP(C6,Restaurant!A:B,2,0),"")</f>
        <v>21.4</v>
      </c>
      <c r="E6" t="str">
        <f ca="1">IFERROR(VLOOKUP(D6&amp;"Viet",Restaurant!C:D,2,0),"")</f>
        <v>Cho tôi một bàn ở khu không hút thuốc nhé.</v>
      </c>
      <c r="F6" t="str">
        <f ca="1">IFERROR(VLOOKUP(D6&amp;"Eng",Restaurant!C:D,2,0),"")</f>
        <v>I would like a table in the non-smoking area.</v>
      </c>
      <c r="K6" t="s">
        <v>802</v>
      </c>
    </row>
    <row r="7" spans="1:12" x14ac:dyDescent="0.25">
      <c r="A7">
        <f t="shared" si="1"/>
        <v>77</v>
      </c>
      <c r="B7">
        <f t="shared" ca="1" si="0"/>
        <v>81</v>
      </c>
      <c r="C7" s="1">
        <f ca="1">IFERROR($C$1-1+_xlfn.RANK.EQ(B7,$B$4:$B$101)+COUNTIF(B$4:$B7,B7)-1,"")</f>
        <v>88</v>
      </c>
      <c r="D7" s="1" t="str">
        <f ca="1">IFERROR(VLOOKUP(C7,Restaurant!A:B,2,0),"")</f>
        <v>20.2</v>
      </c>
      <c r="E7" t="str">
        <f ca="1">IFERROR(VLOOKUP(D7&amp;"Viet",Restaurant!C:D,2,0),"")</f>
        <v>Bạn đã ăn gỏi sứa bao giờ chưa?</v>
      </c>
      <c r="F7" t="str">
        <f ca="1">IFERROR(VLOOKUP(D7&amp;"Eng",Restaurant!C:D,2,0),"")</f>
        <v>Have you eaten jelly fish salad before?</v>
      </c>
    </row>
    <row r="8" spans="1:12" x14ac:dyDescent="0.25">
      <c r="A8">
        <f t="shared" si="1"/>
        <v>78</v>
      </c>
      <c r="B8">
        <f t="shared" ca="1" si="0"/>
        <v>94</v>
      </c>
      <c r="C8" s="1">
        <f ca="1">IFERROR($C$1-1+_xlfn.RANK.EQ(B8,$B$4:$B$101)+COUNTIF(B$4:$B8,B8)-1,"")</f>
        <v>74</v>
      </c>
      <c r="D8" s="1" t="str">
        <f ca="1">IFERROR(VLOOKUP(C8,Restaurant!A:B,2,0),"")</f>
        <v>16.1</v>
      </c>
      <c r="E8" t="str">
        <f ca="1">IFERROR(VLOOKUP(D8&amp;"Viet",Restaurant!C:D,2,0),"")</f>
        <v>A: Bạn thấy thèm ăn cái gì?, B: Tôi thấy thèm ăn bít tết.</v>
      </c>
      <c r="F8" t="str">
        <f ca="1">IFERROR(VLOOKUP(D8&amp;"Eng",Restaurant!C:D,2,0),"")</f>
        <v>A: What do you feel like eating?, B: I feel like eating steak.</v>
      </c>
    </row>
    <row r="9" spans="1:12" x14ac:dyDescent="0.25">
      <c r="A9">
        <f t="shared" si="1"/>
        <v>79</v>
      </c>
      <c r="B9">
        <f t="shared" ca="1" si="0"/>
        <v>77</v>
      </c>
      <c r="C9" s="1">
        <f ca="1">IFERROR($C$1-1+_xlfn.RANK.EQ(B9,$B$4:$B$101)+COUNTIF(B$4:$B9,B9)-1,"")</f>
        <v>91</v>
      </c>
      <c r="D9" s="1" t="str">
        <f ca="1">IFERROR(VLOOKUP(C9,Restaurant!A:B,2,0),"")</f>
        <v>21.2</v>
      </c>
      <c r="E9" t="str">
        <f ca="1">IFERROR(VLOOKUP(D9&amp;"Viet",Restaurant!C:D,2,0),"")</f>
        <v>Cho tôi một bàn ngoài ban công nhé.</v>
      </c>
      <c r="F9" t="str">
        <f ca="1">IFERROR(VLOOKUP(D9&amp;"Eng",Restaurant!C:D,2,0),"")</f>
        <v>I would like a table on the terrace.</v>
      </c>
    </row>
    <row r="10" spans="1:12" x14ac:dyDescent="0.25">
      <c r="A10">
        <f t="shared" si="1"/>
        <v>80</v>
      </c>
      <c r="B10">
        <f t="shared" ca="1" si="0"/>
        <v>79</v>
      </c>
      <c r="C10" s="1">
        <f ca="1">IFERROR($C$1-1+_xlfn.RANK.EQ(B10,$B$4:$B$101)+COUNTIF(B$4:$B10,B10)-1,"")</f>
        <v>89</v>
      </c>
      <c r="D10" s="1" t="str">
        <f ca="1">IFERROR(VLOOKUP(C10,Restaurant!A:B,2,0),"")</f>
        <v>20.3</v>
      </c>
      <c r="E10" t="str">
        <f ca="1">IFERROR(VLOOKUP(D10&amp;"Viet",Restaurant!C:D,2,0),"")</f>
        <v>Bạn đã ăn sườn cừu bao giờ chưa?</v>
      </c>
      <c r="F10" t="str">
        <f ca="1">IFERROR(VLOOKUP(D10&amp;"Eng",Restaurant!C:D,2,0),"")</f>
        <v>Have you eaten lamb chop before?</v>
      </c>
    </row>
    <row r="11" spans="1:12" x14ac:dyDescent="0.25">
      <c r="A11">
        <f t="shared" si="1"/>
        <v>81</v>
      </c>
      <c r="B11">
        <f t="shared" ca="1" si="0"/>
        <v>83</v>
      </c>
      <c r="C11" s="1">
        <f ca="1">IFERROR($C$1-1+_xlfn.RANK.EQ(B11,$B$4:$B$101)+COUNTIF(B$4:$B11,B11)-1,"")</f>
        <v>87</v>
      </c>
      <c r="D11" s="1" t="str">
        <f ca="1">IFERROR(VLOOKUP(C11,Restaurant!A:B,2,0),"")</f>
        <v>20.1</v>
      </c>
      <c r="E11" t="str">
        <f ca="1">IFERROR(VLOOKUP(D11&amp;"Viet",Restaurant!C:D,2,0),"")</f>
        <v>Bạn đã ăn cua hoàng đế bao giờ chưa?</v>
      </c>
      <c r="F11" t="str">
        <f ca="1">IFERROR(VLOOKUP(D11&amp;"Eng",Restaurant!C:D,2,0),"")</f>
        <v>Have you eaten king crab before?</v>
      </c>
    </row>
    <row r="12" spans="1:12" x14ac:dyDescent="0.25">
      <c r="A12">
        <f t="shared" si="1"/>
        <v>82</v>
      </c>
      <c r="B12">
        <f t="shared" ca="1" si="0"/>
        <v>89</v>
      </c>
      <c r="C12" s="1">
        <f ca="1">IFERROR($C$1-1+_xlfn.RANK.EQ(B12,$B$4:$B$101)+COUNTIF(B$4:$B12,B12)-1,"")</f>
        <v>79</v>
      </c>
      <c r="D12" s="1" t="str">
        <f ca="1">IFERROR(VLOOKUP(C12,Restaurant!A:B,2,0),"")</f>
        <v>17.4</v>
      </c>
      <c r="E12" t="str">
        <f ca="1">IFERROR(VLOOKUP(D12&amp;"Viet",Restaurant!C:D,2,0),"")</f>
        <v>Thành thật mà nói, mọi thứ đều hoàn hảo.</v>
      </c>
      <c r="F12" t="str">
        <f ca="1">IFERROR(VLOOKUP(D12&amp;"Eng",Restaurant!C:D,2,0),"")</f>
        <v>To be honest, everything was perfect.</v>
      </c>
      <c r="J12" s="18"/>
    </row>
    <row r="13" spans="1:12" x14ac:dyDescent="0.25">
      <c r="A13">
        <f t="shared" si="1"/>
        <v>83</v>
      </c>
      <c r="B13">
        <f t="shared" ca="1" si="0"/>
        <v>75</v>
      </c>
      <c r="C13" s="1">
        <f ca="1">IFERROR($C$1-1+_xlfn.RANK.EQ(B13,$B$4:$B$101)+COUNTIF(B$4:$B13,B13)-1,"")</f>
        <v>94</v>
      </c>
      <c r="D13" s="1" t="str">
        <f ca="1">IFERROR(VLOOKUP(C13,Restaurant!A:B,2,0),"")</f>
        <v>21.5</v>
      </c>
      <c r="E13" t="str">
        <f ca="1">IFERROR(VLOOKUP(D13&amp;"Viet",Restaurant!C:D,2,0),"")</f>
        <v>Cho tôi một bàn ở ngoài vườn nhé.</v>
      </c>
      <c r="F13" t="str">
        <f ca="1">IFERROR(VLOOKUP(D13&amp;"Eng",Restaurant!C:D,2,0),"")</f>
        <v>I would like a table in the garden.</v>
      </c>
    </row>
    <row r="14" spans="1:12" x14ac:dyDescent="0.25">
      <c r="A14">
        <f t="shared" si="1"/>
        <v>84</v>
      </c>
      <c r="B14">
        <f t="shared" ca="1" si="0"/>
        <v>89</v>
      </c>
      <c r="C14" s="1">
        <f ca="1">IFERROR($C$1-1+_xlfn.RANK.EQ(B14,$B$4:$B$101)+COUNTIF(B$4:$B14,B14)-1,"")</f>
        <v>80</v>
      </c>
      <c r="D14" s="1" t="str">
        <f ca="1">IFERROR(VLOOKUP(C14,Restaurant!A:B,2,0),"")</f>
        <v>17.5</v>
      </c>
      <c r="E14" t="str">
        <f ca="1">IFERROR(VLOOKUP(D14&amp;"Viet",Restaurant!C:D,2,0),"")</f>
        <v>Thành thật mà nói, thịt bị khét.</v>
      </c>
      <c r="F14" t="str">
        <f ca="1">IFERROR(VLOOKUP(D14&amp;"Eng",Restaurant!C:D,2,0),"")</f>
        <v>To be honest, the meat is burnt.</v>
      </c>
      <c r="L14" t="s">
        <v>803</v>
      </c>
    </row>
    <row r="15" spans="1:12" x14ac:dyDescent="0.25">
      <c r="A15">
        <f t="shared" si="1"/>
        <v>85</v>
      </c>
      <c r="B15">
        <f t="shared" ca="1" si="0"/>
        <v>91</v>
      </c>
      <c r="C15" s="1">
        <f ca="1">IFERROR($C$1-1+_xlfn.RANK.EQ(B15,$B$4:$B$101)+COUNTIF(B$4:$B15,B15)-1,"")</f>
        <v>76</v>
      </c>
      <c r="D15" s="1" t="str">
        <f ca="1">IFERROR(VLOOKUP(C15,Restaurant!A:B,2,0),"")</f>
        <v>17.1</v>
      </c>
      <c r="E15" t="str">
        <f ca="1">IFERROR(VLOOKUP(D15&amp;"Viet",Restaurant!C:D,2,0),"")</f>
        <v>Thành thật mà nói, nó không ngon lắm.</v>
      </c>
      <c r="F15" t="str">
        <f ca="1">IFERROR(VLOOKUP(D15&amp;"Eng",Restaurant!C:D,2,0),"")</f>
        <v>To be honest, it wasn’t great.</v>
      </c>
    </row>
    <row r="16" spans="1:12" x14ac:dyDescent="0.25">
      <c r="A16">
        <f t="shared" si="1"/>
        <v>86</v>
      </c>
      <c r="B16">
        <f t="shared" ca="1" si="0"/>
        <v>88</v>
      </c>
      <c r="C16" s="1">
        <f ca="1">IFERROR($C$1-1+_xlfn.RANK.EQ(B16,$B$4:$B$101)+COUNTIF(B$4:$B16,B16)-1,"")</f>
        <v>81</v>
      </c>
      <c r="D16" s="1" t="str">
        <f ca="1">IFERROR(VLOOKUP(C16,Restaurant!A:B,2,0),"")</f>
        <v>18.1</v>
      </c>
      <c r="E16" t="str">
        <f ca="1">IFERROR(VLOOKUP(D16&amp;"Viet",Restaurant!C:D,2,0),"")</f>
        <v>Xin lỗi, tôi không có gọi món này. Tôi gọi thịt bò nướng.</v>
      </c>
      <c r="F16" t="str">
        <f ca="1">IFERROR(VLOOKUP(D16&amp;"Eng",Restaurant!C:D,2,0),"")</f>
        <v>Excuse me, this is not what I ordered.I asked for roast beef.</v>
      </c>
    </row>
    <row r="17" spans="1:13" x14ac:dyDescent="0.25">
      <c r="A17">
        <f t="shared" si="1"/>
        <v>87</v>
      </c>
      <c r="B17">
        <f t="shared" ca="1" si="0"/>
        <v>88</v>
      </c>
      <c r="C17" s="1">
        <f ca="1">IFERROR($C$1-1+_xlfn.RANK.EQ(B17,$B$4:$B$101)+COUNTIF(B$4:$B17,B17)-1,"")</f>
        <v>82</v>
      </c>
      <c r="D17" s="1" t="str">
        <f ca="1">IFERROR(VLOOKUP(C17,Restaurant!A:B,2,0),"")</f>
        <v>18.2</v>
      </c>
      <c r="E17" t="str">
        <f ca="1">IFERROR(VLOOKUP(D17&amp;"Viet",Restaurant!C:D,2,0),"")</f>
        <v>Xin lỗi, tôi không có gọi món này. Tôi gọi súp cà chua.</v>
      </c>
      <c r="F17" t="str">
        <f ca="1">IFERROR(VLOOKUP(D17&amp;"Eng",Restaurant!C:D,2,0),"")</f>
        <v>Excuse me, this is not what I ordered. I asked for tomato soup.</v>
      </c>
    </row>
    <row r="18" spans="1:13" ht="12.6" customHeight="1" x14ac:dyDescent="0.25">
      <c r="A18">
        <f t="shared" si="1"/>
        <v>88</v>
      </c>
      <c r="B18">
        <f t="shared" ca="1" si="0"/>
        <v>85</v>
      </c>
      <c r="C18" s="1">
        <f ca="1">IFERROR($C$1-1+_xlfn.RANK.EQ(B18,$B$4:$B$101)+COUNTIF(B$4:$B18,B18)-1,"")</f>
        <v>85</v>
      </c>
      <c r="D18" s="1" t="str">
        <f ca="1">IFERROR(VLOOKUP(C18,Restaurant!A:B,2,0),"")</f>
        <v>19.2</v>
      </c>
      <c r="E18" t="str">
        <f ca="1">IFERROR(VLOOKUP(D18&amp;"Viet",Restaurant!C:D,2,0),"")</f>
        <v>Tôi bị dị ứng với sầu riêng, tôi không thích mùi của nó. Mỗi lần ăn xong, tôi bị tiêu chảy.</v>
      </c>
      <c r="F18" t="str">
        <f ca="1">IFERROR(VLOOKUP(D18&amp;"Eng",Restaurant!C:D,2,0),"")</f>
        <v>I am allergic to durian, and I dislike the smell. Whenever I have it, I will have diarrhea.</v>
      </c>
      <c r="L18" t="s">
        <v>804</v>
      </c>
    </row>
    <row r="19" spans="1:13" x14ac:dyDescent="0.25">
      <c r="A19">
        <f t="shared" si="1"/>
        <v>89</v>
      </c>
      <c r="B19">
        <f t="shared" ca="1" si="0"/>
        <v>87</v>
      </c>
      <c r="C19" s="1">
        <f ca="1">IFERROR($C$1-1+_xlfn.RANK.EQ(B19,$B$4:$B$101)+COUNTIF(B$4:$B19,B19)-1,"")</f>
        <v>84</v>
      </c>
      <c r="D19" s="1" t="str">
        <f ca="1">IFERROR(VLOOKUP(C19,Restaurant!A:B,2,0),"")</f>
        <v>19.1</v>
      </c>
      <c r="E19" t="str">
        <f ca="1">IFERROR(VLOOKUP(D19&amp;"Viet",Restaurant!C:D,2,0),"")</f>
        <v>Tôi bị dị ứng với đồ hải sản, tôi không thích mùi của nó. Mỗi lần ăn xong, tôi bị tiêu chảy.</v>
      </c>
      <c r="F19" t="str">
        <f ca="1">IFERROR(VLOOKUP(D19&amp;"Eng",Restaurant!C:D,2,0),"")</f>
        <v>I am allergic to seafood, and I dislike the smell. Whenever I have it, I will have diarrhea.</v>
      </c>
    </row>
    <row r="20" spans="1:13" x14ac:dyDescent="0.25">
      <c r="A20">
        <f t="shared" si="1"/>
        <v>90</v>
      </c>
      <c r="B20">
        <f t="shared" ca="1" si="0"/>
        <v>88</v>
      </c>
      <c r="C20" s="1">
        <f ca="1">IFERROR($C$1-1+_xlfn.RANK.EQ(B20,$B$4:$B$101)+COUNTIF(B$4:$B20,B20)-1,"")</f>
        <v>83</v>
      </c>
      <c r="D20" s="1" t="str">
        <f ca="1">IFERROR(VLOOKUP(C20,Restaurant!A:B,2,0),"")</f>
        <v>18.3</v>
      </c>
      <c r="E20" t="str">
        <f ca="1">IFERROR(VLOOKUP(D20&amp;"Viet",Restaurant!C:D,2,0),"")</f>
        <v>Xin lỗi, tôi không có gọi món này. Tôi gọi thịt hầm.</v>
      </c>
      <c r="F20" t="str">
        <f ca="1">IFERROR(VLOOKUP(D20&amp;"Eng",Restaurant!C:D,2,0),"")</f>
        <v>Excuse me, this is not what I ordered. I asked for a stew.</v>
      </c>
    </row>
    <row r="21" spans="1:13" x14ac:dyDescent="0.25">
      <c r="A21">
        <f t="shared" si="1"/>
        <v>91</v>
      </c>
      <c r="B21">
        <f t="shared" ca="1" si="0"/>
        <v>79</v>
      </c>
      <c r="C21" s="1">
        <f ca="1">IFERROR($C$1-1+_xlfn.RANK.EQ(B21,$B$4:$B$101)+COUNTIF(B$4:$B21,B21)-1,"")</f>
        <v>90</v>
      </c>
      <c r="D21" s="1" t="str">
        <f ca="1">IFERROR(VLOOKUP(C21,Restaurant!A:B,2,0),"")</f>
        <v>21.1</v>
      </c>
      <c r="E21" t="str">
        <f ca="1">IFERROR(VLOOKUP(D21&amp;"Viet",Restaurant!C:D,2,0),"")</f>
        <v>Cho tôi một bàn bên cạnh cửa sổ nhé?</v>
      </c>
      <c r="F21" t="str">
        <f ca="1">IFERROR(VLOOKUP(D21&amp;"Eng",Restaurant!C:D,2,0),"")</f>
        <v>I would like a table by the window.</v>
      </c>
      <c r="M21" t="s">
        <v>804</v>
      </c>
    </row>
    <row r="22" spans="1:13" x14ac:dyDescent="0.25">
      <c r="A22">
        <f t="shared" si="1"/>
        <v>92</v>
      </c>
      <c r="B22">
        <f t="shared" ca="1" si="0"/>
        <v>93</v>
      </c>
      <c r="C22" s="1">
        <f ca="1">IFERROR($C$1-1+_xlfn.RANK.EQ(B22,$B$4:$B$101)+COUNTIF(B$4:$B22,B22)-1,"")</f>
        <v>75</v>
      </c>
      <c r="D22" s="1" t="str">
        <f ca="1">IFERROR(VLOOKUP(C22,Restaurant!A:B,2,0),"")</f>
        <v>16.2</v>
      </c>
      <c r="E22" t="str">
        <f ca="1">IFERROR(VLOOKUP(D22&amp;"Viet",Restaurant!C:D,2,0),"")</f>
        <v>A: Bạn thấy thèm ăn cái gì? B: Tôi thấy thèm ăn mì ý.</v>
      </c>
      <c r="F22" t="str">
        <f ca="1">IFERROR(VLOOKUP(D22&amp;"Eng",Restaurant!C:D,2,0),"")</f>
        <v>A: What do you feel like eating?, B: I feel like eating pasta.</v>
      </c>
    </row>
    <row r="23" spans="1:13" x14ac:dyDescent="0.25">
      <c r="A23">
        <f t="shared" si="1"/>
        <v>93</v>
      </c>
      <c r="B23">
        <f t="shared" ca="1" si="0"/>
        <v>84</v>
      </c>
      <c r="C23" s="1">
        <f ca="1">IFERROR($C$1-1+_xlfn.RANK.EQ(B23,$B$4:$B$101)+COUNTIF(B$4:$B23,B23)-1,"")</f>
        <v>86</v>
      </c>
      <c r="D23" s="1" t="str">
        <f ca="1">IFERROR(VLOOKUP(C23,Restaurant!A:B,2,0),"")</f>
        <v>19.3</v>
      </c>
      <c r="E23" t="str">
        <f ca="1">IFERROR(VLOOKUP(D23&amp;"Viet",Restaurant!C:D,2,0),"")</f>
        <v>Tôi bị dị ứng với bột ngọt. Mỗi lần ăn xong, tôi bị đau đầu.</v>
      </c>
      <c r="F23" t="str">
        <f ca="1">IFERROR(VLOOKUP(D23&amp;"Eng",Restaurant!C:D,2,0),"")</f>
        <v>I am allergic to monosodium glutamate (MSG). Whenever I have it, I will have a headache.</v>
      </c>
    </row>
    <row r="24" spans="1:13" x14ac:dyDescent="0.25">
      <c r="A24">
        <f t="shared" si="1"/>
        <v>94</v>
      </c>
      <c r="B24">
        <f t="shared" ca="1" si="0"/>
        <v>91</v>
      </c>
      <c r="C24" s="1">
        <f ca="1">IFERROR($C$1-1+_xlfn.RANK.EQ(B24,$B$4:$B$101)+COUNTIF(B$4:$B24,B24)-1,"")</f>
        <v>77</v>
      </c>
      <c r="D24" s="1" t="str">
        <f ca="1">IFERROR(VLOOKUP(C24,Restaurant!A:B,2,0),"")</f>
        <v>17.2</v>
      </c>
      <c r="E24" t="str">
        <f ca="1">IFERROR(VLOOKUP(D24&amp;"Viet",Restaurant!C:D,2,0),"")</f>
        <v>Thành thật mà nói, món đó còn có thể ngon hơn.</v>
      </c>
      <c r="F24" t="str">
        <f ca="1">IFERROR(VLOOKUP(D24&amp;"Eng",Restaurant!C:D,2,0),"")</f>
        <v>To be honest, it could have been better.</v>
      </c>
    </row>
    <row r="25" spans="1:13" x14ac:dyDescent="0.25">
      <c r="A25" t="str">
        <f t="shared" si="1"/>
        <v/>
      </c>
      <c r="B25" t="str">
        <f t="shared" ca="1" si="0"/>
        <v/>
      </c>
      <c r="C25" s="1" t="str">
        <f ca="1">IFERROR($C$1-1+_xlfn.RANK.EQ(B25,$B$4:$B$101)+COUNTIF(B$4:$B25,B25)-1,"")</f>
        <v/>
      </c>
      <c r="D25" s="1" t="str">
        <f ca="1">IFERROR(VLOOKUP(C25,Restaurant!A:B,2,0),"")</f>
        <v/>
      </c>
      <c r="E25" t="str">
        <f ca="1">IFERROR(VLOOKUP(D25&amp;"Viet",Restaurant!C:D,2,0),"")</f>
        <v/>
      </c>
      <c r="F25" t="str">
        <f ca="1">IFERROR(VLOOKUP(D25&amp;"Eng",Restaurant!C:D,2,0),"")</f>
        <v/>
      </c>
    </row>
    <row r="26" spans="1:13" x14ac:dyDescent="0.25">
      <c r="A26" t="str">
        <f t="shared" si="1"/>
        <v/>
      </c>
      <c r="B26" t="str">
        <f t="shared" ca="1" si="0"/>
        <v/>
      </c>
      <c r="C26" s="1" t="str">
        <f ca="1">IFERROR($C$1-1+_xlfn.RANK.EQ(B26,$B$4:$B$101)+COUNTIF(B$4:$B26,B26)-1,"")</f>
        <v/>
      </c>
      <c r="D26" s="1" t="str">
        <f ca="1">IFERROR(VLOOKUP(C26,Restaurant!A:B,2,0),"")</f>
        <v/>
      </c>
      <c r="E26" t="str">
        <f ca="1">IFERROR(VLOOKUP(D26&amp;"Viet",Restaurant!C:D,2,0),"")</f>
        <v/>
      </c>
      <c r="F26" t="str">
        <f ca="1">IFERROR(VLOOKUP(D26&amp;"Eng",Restaurant!C:D,2,0),"")</f>
        <v/>
      </c>
    </row>
    <row r="27" spans="1:13" x14ac:dyDescent="0.25">
      <c r="A27" t="str">
        <f t="shared" si="1"/>
        <v/>
      </c>
      <c r="B27" t="str">
        <f t="shared" ca="1" si="0"/>
        <v/>
      </c>
      <c r="C27" s="1" t="str">
        <f ca="1">IFERROR($C$1-1+_xlfn.RANK.EQ(B27,$B$4:$B$101)+COUNTIF(B$4:$B27,B27)-1,"")</f>
        <v/>
      </c>
      <c r="D27" s="1" t="str">
        <f ca="1">IFERROR(VLOOKUP(C27,Restaurant!A:B,2,0),"")</f>
        <v/>
      </c>
      <c r="E27" t="str">
        <f ca="1">IFERROR(VLOOKUP(D27&amp;"Viet",Restaurant!C:D,2,0),"")</f>
        <v/>
      </c>
      <c r="F27" t="str">
        <f ca="1">IFERROR(VLOOKUP(D27&amp;"Eng",Restaurant!C:D,2,0),"")</f>
        <v/>
      </c>
    </row>
    <row r="28" spans="1:13" x14ac:dyDescent="0.25">
      <c r="A28" t="str">
        <f t="shared" si="1"/>
        <v/>
      </c>
      <c r="B28" t="str">
        <f t="shared" ca="1" si="0"/>
        <v/>
      </c>
      <c r="C28" s="1" t="str">
        <f ca="1">IFERROR($C$1-1+_xlfn.RANK.EQ(B28,$B$4:$B$101)+COUNTIF(B$4:$B28,B28)-1,"")</f>
        <v/>
      </c>
      <c r="D28" s="1" t="str">
        <f ca="1">IFERROR(VLOOKUP(C28,Restaurant!A:B,2,0),"")</f>
        <v/>
      </c>
      <c r="E28" t="str">
        <f ca="1">IFERROR(VLOOKUP(D28&amp;"Viet",Restaurant!C:D,2,0),"")</f>
        <v/>
      </c>
      <c r="F28" t="str">
        <f ca="1">IFERROR(VLOOKUP(D28&amp;"Eng",Restaurant!C:D,2,0),"")</f>
        <v/>
      </c>
    </row>
    <row r="29" spans="1:13" x14ac:dyDescent="0.25">
      <c r="A29" t="str">
        <f t="shared" si="1"/>
        <v/>
      </c>
      <c r="B29" t="str">
        <f t="shared" ca="1" si="0"/>
        <v/>
      </c>
      <c r="C29" s="1" t="str">
        <f ca="1">IFERROR($C$1-1+_xlfn.RANK.EQ(B29,$B$4:$B$101)+COUNTIF(B$4:$B29,B29)-1,"")</f>
        <v/>
      </c>
      <c r="D29" s="1" t="str">
        <f ca="1">IFERROR(VLOOKUP(C29,Restaurant!A:B,2,0),"")</f>
        <v/>
      </c>
      <c r="E29" t="str">
        <f ca="1">IFERROR(VLOOKUP(D29&amp;"Viet",Restaurant!C:D,2,0),"")</f>
        <v/>
      </c>
      <c r="F29" t="str">
        <f ca="1">IFERROR(VLOOKUP(D29&amp;"Eng",Restaurant!C:D,2,0),"")</f>
        <v/>
      </c>
    </row>
    <row r="30" spans="1:13" x14ac:dyDescent="0.25">
      <c r="A30" t="str">
        <f t="shared" si="1"/>
        <v/>
      </c>
      <c r="B30" t="str">
        <f t="shared" ca="1" si="0"/>
        <v/>
      </c>
      <c r="C30" s="1" t="str">
        <f ca="1">IFERROR($C$1-1+_xlfn.RANK.EQ(B30,$B$4:$B$101)+COUNTIF(B$4:$B30,B30)-1,"")</f>
        <v/>
      </c>
      <c r="D30" s="1" t="str">
        <f ca="1">IFERROR(VLOOKUP(C30,Restaurant!A:B,2,0),"")</f>
        <v/>
      </c>
      <c r="E30" t="str">
        <f ca="1">IFERROR(VLOOKUP(D30&amp;"Viet",Restaurant!C:D,2,0),"")</f>
        <v/>
      </c>
      <c r="F30" t="str">
        <f ca="1">IFERROR(VLOOKUP(D30&amp;"Eng",Restaurant!C:D,2,0),"")</f>
        <v/>
      </c>
    </row>
    <row r="31" spans="1:13" x14ac:dyDescent="0.25">
      <c r="A31" t="str">
        <f t="shared" si="1"/>
        <v/>
      </c>
      <c r="B31" t="str">
        <f t="shared" ca="1" si="0"/>
        <v/>
      </c>
      <c r="C31" s="1" t="str">
        <f ca="1">IFERROR($C$1-1+_xlfn.RANK.EQ(B31,$B$4:$B$101)+COUNTIF(B$4:$B31,B31)-1,"")</f>
        <v/>
      </c>
      <c r="D31" s="1" t="str">
        <f ca="1">IFERROR(VLOOKUP(C31,Restaurant!A:B,2,0),"")</f>
        <v/>
      </c>
      <c r="E31" t="str">
        <f ca="1">IFERROR(VLOOKUP(D31&amp;"Viet",Restaurant!C:D,2,0),"")</f>
        <v/>
      </c>
      <c r="F31" t="str">
        <f ca="1">IFERROR(VLOOKUP(D31&amp;"Eng",Restaurant!C:D,2,0),"")</f>
        <v/>
      </c>
    </row>
    <row r="32" spans="1:13" x14ac:dyDescent="0.25">
      <c r="A32" t="str">
        <f t="shared" si="1"/>
        <v/>
      </c>
      <c r="B32" t="str">
        <f t="shared" ca="1" si="0"/>
        <v/>
      </c>
      <c r="C32" s="1" t="str">
        <f ca="1">IFERROR($C$1-1+_xlfn.RANK.EQ(B32,$B$4:$B$101)+COUNTIF(B$4:$B32,B32)-1,"")</f>
        <v/>
      </c>
      <c r="D32" s="1" t="str">
        <f ca="1">IFERROR(VLOOKUP(C32,Restaurant!A:B,2,0),"")</f>
        <v/>
      </c>
      <c r="E32" t="str">
        <f ca="1">IFERROR(VLOOKUP(D32&amp;"Viet",Restaurant!C:D,2,0),"")</f>
        <v/>
      </c>
      <c r="F32" t="str">
        <f ca="1">IFERROR(VLOOKUP(D32&amp;"Eng",Restaurant!C:D,2,0),"")</f>
        <v/>
      </c>
    </row>
    <row r="33" spans="1:6" x14ac:dyDescent="0.25">
      <c r="A33" t="str">
        <f t="shared" si="1"/>
        <v/>
      </c>
      <c r="B33" t="str">
        <f t="shared" ca="1" si="0"/>
        <v/>
      </c>
      <c r="C33" s="1" t="str">
        <f ca="1">IFERROR($C$1-1+_xlfn.RANK.EQ(B33,$B$4:$B$101)+COUNTIF(B$4:$B33,B33)-1,"")</f>
        <v/>
      </c>
      <c r="D33" s="1" t="str">
        <f ca="1">IFERROR(VLOOKUP(C33,Restaurant!A:B,2,0),"")</f>
        <v/>
      </c>
      <c r="E33" t="str">
        <f ca="1">IFERROR(VLOOKUP(D33&amp;"Viet",Restaurant!C:D,2,0),"")</f>
        <v/>
      </c>
      <c r="F33" t="str">
        <f ca="1">IFERROR(VLOOKUP(D33&amp;"Eng",Restaurant!C:D,2,0),"")</f>
        <v/>
      </c>
    </row>
    <row r="34" spans="1:6" x14ac:dyDescent="0.25">
      <c r="A34" t="str">
        <f t="shared" si="1"/>
        <v/>
      </c>
      <c r="B34" t="str">
        <f t="shared" ca="1" si="0"/>
        <v/>
      </c>
      <c r="C34" s="1" t="str">
        <f ca="1">IFERROR($C$1-1+_xlfn.RANK.EQ(B34,$B$4:$B$101)+COUNTIF(B$4:$B34,B34)-1,"")</f>
        <v/>
      </c>
      <c r="D34" s="1" t="str">
        <f ca="1">IFERROR(VLOOKUP(C34,Restaurant!A:B,2,0),"")</f>
        <v/>
      </c>
      <c r="E34" t="str">
        <f ca="1">IFERROR(VLOOKUP(D34&amp;"Viet",Restaurant!C:D,2,0),"")</f>
        <v/>
      </c>
      <c r="F34" t="str">
        <f ca="1">IFERROR(VLOOKUP(D34&amp;"Eng",Restaurant!C:D,2,0),"")</f>
        <v/>
      </c>
    </row>
    <row r="35" spans="1:6" x14ac:dyDescent="0.25">
      <c r="A35" t="str">
        <f t="shared" si="1"/>
        <v/>
      </c>
      <c r="B35" t="str">
        <f t="shared" ca="1" si="0"/>
        <v/>
      </c>
      <c r="C35" s="1" t="str">
        <f ca="1">IFERROR($C$1-1+_xlfn.RANK.EQ(B35,$B$4:$B$101)+COUNTIF(B$4:$B35,B35)-1,"")</f>
        <v/>
      </c>
      <c r="D35" s="1" t="str">
        <f ca="1">IFERROR(VLOOKUP(C35,Restaurant!A:B,2,0),"")</f>
        <v/>
      </c>
      <c r="E35" t="str">
        <f ca="1">IFERROR(VLOOKUP(D35&amp;"Viet",Restaurant!C:D,2,0),"")</f>
        <v/>
      </c>
      <c r="F35" t="str">
        <f ca="1">IFERROR(VLOOKUP(D35&amp;"Eng",Restaurant!C:D,2,0),"")</f>
        <v/>
      </c>
    </row>
    <row r="36" spans="1:6" x14ac:dyDescent="0.25">
      <c r="A36" t="str">
        <f t="shared" si="1"/>
        <v/>
      </c>
      <c r="B36" t="str">
        <f t="shared" ca="1" si="0"/>
        <v/>
      </c>
      <c r="C36" s="1" t="str">
        <f ca="1">IFERROR($C$1-1+_xlfn.RANK.EQ(B36,$B$4:$B$101)+COUNTIF(B$4:$B36,B36)-1,"")</f>
        <v/>
      </c>
      <c r="D36" s="1" t="str">
        <f ca="1">IFERROR(VLOOKUP(C36,Restaurant!A:B,2,0),"")</f>
        <v/>
      </c>
      <c r="E36" t="str">
        <f ca="1">IFERROR(VLOOKUP(D36&amp;"Viet",Restaurant!C:D,2,0),"")</f>
        <v/>
      </c>
      <c r="F36" t="str">
        <f ca="1">IFERROR(VLOOKUP(D36&amp;"Eng",Restaurant!C:D,2,0),"")</f>
        <v/>
      </c>
    </row>
    <row r="37" spans="1:6" x14ac:dyDescent="0.25">
      <c r="A37" t="str">
        <f t="shared" si="1"/>
        <v/>
      </c>
      <c r="B37" t="str">
        <f t="shared" ca="1" si="0"/>
        <v/>
      </c>
      <c r="C37" s="1" t="str">
        <f ca="1">IFERROR($C$1-1+_xlfn.RANK.EQ(B37,$B$4:$B$101)+COUNTIF(B$4:$B37,B37)-1,"")</f>
        <v/>
      </c>
      <c r="D37" s="1" t="str">
        <f ca="1">IFERROR(VLOOKUP(C37,Restaurant!A:B,2,0),"")</f>
        <v/>
      </c>
      <c r="E37" t="str">
        <f ca="1">IFERROR(VLOOKUP(D37&amp;"Viet",Restaurant!C:D,2,0),"")</f>
        <v/>
      </c>
      <c r="F37" t="str">
        <f ca="1">IFERROR(VLOOKUP(D37&amp;"Eng",Restaurant!C:D,2,0),"")</f>
        <v/>
      </c>
    </row>
    <row r="38" spans="1:6" x14ac:dyDescent="0.25">
      <c r="A38" t="str">
        <f t="shared" si="1"/>
        <v/>
      </c>
      <c r="B38" t="str">
        <f t="shared" ca="1" si="0"/>
        <v/>
      </c>
      <c r="C38" s="1" t="str">
        <f ca="1">IFERROR($C$1-1+_xlfn.RANK.EQ(B38,$B$4:$B$101)+COUNTIF(B$4:$B38,B38)-1,"")</f>
        <v/>
      </c>
      <c r="D38" s="1" t="str">
        <f ca="1">IFERROR(VLOOKUP(C38,Restaurant!A:B,2,0),"")</f>
        <v/>
      </c>
      <c r="E38" t="str">
        <f ca="1">IFERROR(VLOOKUP(D38&amp;"Viet",Restaurant!C:D,2,0),"")</f>
        <v/>
      </c>
      <c r="F38" t="str">
        <f ca="1">IFERROR(VLOOKUP(D38&amp;"Eng",Restaurant!C:D,2,0),"")</f>
        <v/>
      </c>
    </row>
    <row r="39" spans="1:6" x14ac:dyDescent="0.25">
      <c r="A39" t="str">
        <f t="shared" si="1"/>
        <v/>
      </c>
      <c r="B39" t="str">
        <f t="shared" ca="1" si="0"/>
        <v/>
      </c>
      <c r="C39" s="1" t="str">
        <f ca="1">IFERROR($C$1-1+_xlfn.RANK.EQ(B39,$B$4:$B$101)+COUNTIF(B$4:$B39,B39)-1,"")</f>
        <v/>
      </c>
      <c r="D39" s="1" t="str">
        <f ca="1">IFERROR(VLOOKUP(C39,Restaurant!A:B,2,0),"")</f>
        <v/>
      </c>
      <c r="E39" t="str">
        <f ca="1">IFERROR(VLOOKUP(D39&amp;"Viet",Restaurant!C:D,2,0),"")</f>
        <v/>
      </c>
      <c r="F39" t="str">
        <f ca="1">IFERROR(VLOOKUP(D39&amp;"Eng",Restaurant!C:D,2,0),"")</f>
        <v/>
      </c>
    </row>
    <row r="40" spans="1:6" x14ac:dyDescent="0.25">
      <c r="A40" t="str">
        <f t="shared" si="1"/>
        <v/>
      </c>
      <c r="B40" t="str">
        <f t="shared" ca="1" si="0"/>
        <v/>
      </c>
      <c r="C40" s="1" t="str">
        <f ca="1">IFERROR($C$1-1+_xlfn.RANK.EQ(B40,$B$4:$B$101)+COUNTIF(B$4:$B40,B40)-1,"")</f>
        <v/>
      </c>
      <c r="D40" s="1" t="str">
        <f ca="1">IFERROR(VLOOKUP(C40,Restaurant!A:B,2,0),"")</f>
        <v/>
      </c>
      <c r="E40" t="str">
        <f ca="1">IFERROR(VLOOKUP(D40&amp;"Viet",Restaurant!C:D,2,0),"")</f>
        <v/>
      </c>
      <c r="F40" t="str">
        <f ca="1">IFERROR(VLOOKUP(D40&amp;"Eng",Restaurant!C:D,2,0),"")</f>
        <v/>
      </c>
    </row>
    <row r="41" spans="1:6" x14ac:dyDescent="0.25">
      <c r="A41" t="str">
        <f t="shared" si="1"/>
        <v/>
      </c>
      <c r="B41" t="str">
        <f t="shared" ca="1" si="0"/>
        <v/>
      </c>
      <c r="C41" s="1" t="str">
        <f ca="1">IFERROR($C$1-1+_xlfn.RANK.EQ(B41,$B$4:$B$101)+COUNTIF(B$4:$B41,B41)-1,"")</f>
        <v/>
      </c>
      <c r="D41" s="1" t="str">
        <f ca="1">IFERROR(VLOOKUP(C41,Restaurant!A:B,2,0),"")</f>
        <v/>
      </c>
      <c r="E41" t="str">
        <f ca="1">IFERROR(VLOOKUP(D41&amp;"Viet",Restaurant!C:D,2,0),"")</f>
        <v/>
      </c>
      <c r="F41" t="str">
        <f ca="1">IFERROR(VLOOKUP(D41&amp;"Eng",Restaurant!C:D,2,0),"")</f>
        <v/>
      </c>
    </row>
    <row r="42" spans="1:6" x14ac:dyDescent="0.25">
      <c r="A42" t="str">
        <f t="shared" si="1"/>
        <v/>
      </c>
      <c r="B42" t="str">
        <f t="shared" ca="1" si="0"/>
        <v/>
      </c>
      <c r="C42" s="1" t="str">
        <f ca="1">IFERROR($C$1-1+_xlfn.RANK.EQ(B42,$B$4:$B$101)+COUNTIF(B$4:$B42,B42)-1,"")</f>
        <v/>
      </c>
      <c r="D42" s="1" t="str">
        <f ca="1">IFERROR(VLOOKUP(C42,Restaurant!A:B,2,0),"")</f>
        <v/>
      </c>
      <c r="E42" t="str">
        <f ca="1">IFERROR(VLOOKUP(D42&amp;"Viet",Restaurant!C:D,2,0),"")</f>
        <v/>
      </c>
      <c r="F42" t="str">
        <f ca="1">IFERROR(VLOOKUP(D42&amp;"Eng",Restaurant!C:D,2,0),"")</f>
        <v/>
      </c>
    </row>
    <row r="43" spans="1:6" x14ac:dyDescent="0.25">
      <c r="A43" t="str">
        <f t="shared" si="1"/>
        <v/>
      </c>
      <c r="B43" t="str">
        <f t="shared" ca="1" si="0"/>
        <v/>
      </c>
      <c r="C43" s="1" t="str">
        <f ca="1">IFERROR($C$1-1+_xlfn.RANK.EQ(B43,$B$4:$B$101)+COUNTIF(B$4:$B43,B43)-1,"")</f>
        <v/>
      </c>
      <c r="D43" s="1" t="str">
        <f ca="1">IFERROR(VLOOKUP(C43,Restaurant!A:B,2,0),"")</f>
        <v/>
      </c>
      <c r="E43" t="str">
        <f ca="1">IFERROR(VLOOKUP(D43&amp;"Viet",Restaurant!C:D,2,0),"")</f>
        <v/>
      </c>
      <c r="F43" t="str">
        <f ca="1">IFERROR(VLOOKUP(D43&amp;"Eng",Restaurant!C:D,2,0),"")</f>
        <v/>
      </c>
    </row>
    <row r="44" spans="1:6" x14ac:dyDescent="0.25">
      <c r="A44" t="str">
        <f t="shared" si="1"/>
        <v/>
      </c>
      <c r="B44" t="str">
        <f t="shared" ca="1" si="0"/>
        <v/>
      </c>
      <c r="C44" s="1" t="str">
        <f ca="1">IFERROR($C$1-1+_xlfn.RANK.EQ(B44,$B$4:$B$101)+COUNTIF(B$4:$B44,B44)-1,"")</f>
        <v/>
      </c>
      <c r="D44" s="1" t="str">
        <f ca="1">IFERROR(VLOOKUP(C44,Restaurant!A:B,2,0),"")</f>
        <v/>
      </c>
      <c r="E44" t="str">
        <f ca="1">IFERROR(VLOOKUP(D44&amp;"Viet",Restaurant!C:D,2,0),"")</f>
        <v/>
      </c>
      <c r="F44" t="str">
        <f ca="1">IFERROR(VLOOKUP(D44&amp;"Eng",Restaurant!C:D,2,0),"")</f>
        <v/>
      </c>
    </row>
    <row r="45" spans="1:6" x14ac:dyDescent="0.25">
      <c r="A45" t="str">
        <f t="shared" si="1"/>
        <v/>
      </c>
      <c r="B45" t="str">
        <f t="shared" ca="1" si="0"/>
        <v/>
      </c>
      <c r="C45" s="1" t="str">
        <f ca="1">IFERROR($C$1-1+_xlfn.RANK.EQ(B45,$B$4:$B$101)+COUNTIF(B$4:$B45,B45)-1,"")</f>
        <v/>
      </c>
      <c r="D45" s="1" t="str">
        <f ca="1">IFERROR(VLOOKUP(C45,Restaurant!A:B,2,0),"")</f>
        <v/>
      </c>
      <c r="E45" t="str">
        <f ca="1">IFERROR(VLOOKUP(D45&amp;"Viet",Restaurant!C:D,2,0),"")</f>
        <v/>
      </c>
      <c r="F45" t="str">
        <f ca="1">IFERROR(VLOOKUP(D45&amp;"Eng",Restaurant!C:D,2,0),"")</f>
        <v/>
      </c>
    </row>
    <row r="46" spans="1:6" x14ac:dyDescent="0.25">
      <c r="A46" t="str">
        <f t="shared" si="1"/>
        <v/>
      </c>
      <c r="B46" t="str">
        <f t="shared" ca="1" si="0"/>
        <v/>
      </c>
      <c r="C46" s="1" t="str">
        <f ca="1">IFERROR($C$1-1+_xlfn.RANK.EQ(B46,$B$4:$B$101)+COUNTIF(B$4:$B46,B46)-1,"")</f>
        <v/>
      </c>
      <c r="D46" s="1" t="str">
        <f ca="1">IFERROR(VLOOKUP(C46,Restaurant!A:B,2,0),"")</f>
        <v/>
      </c>
      <c r="E46" t="str">
        <f ca="1">IFERROR(VLOOKUP(D46&amp;"Viet",Restaurant!C:D,2,0),"")</f>
        <v/>
      </c>
      <c r="F46" t="str">
        <f ca="1">IFERROR(VLOOKUP(D46&amp;"Eng",Restaurant!C:D,2,0),"")</f>
        <v/>
      </c>
    </row>
    <row r="47" spans="1:6" x14ac:dyDescent="0.25">
      <c r="A47" t="str">
        <f t="shared" si="1"/>
        <v/>
      </c>
      <c r="B47" t="str">
        <f t="shared" ca="1" si="0"/>
        <v/>
      </c>
      <c r="C47" s="1" t="str">
        <f ca="1">IFERROR($C$1-1+_xlfn.RANK.EQ(B47,$B$4:$B$101)+COUNTIF(B$4:$B47,B47)-1,"")</f>
        <v/>
      </c>
      <c r="D47" s="1" t="str">
        <f ca="1">IFERROR(VLOOKUP(C47,Restaurant!A:B,2,0),"")</f>
        <v/>
      </c>
      <c r="E47" t="str">
        <f ca="1">IFERROR(VLOOKUP(D47&amp;"Viet",Restaurant!C:D,2,0),"")</f>
        <v/>
      </c>
      <c r="F47" t="str">
        <f ca="1">IFERROR(VLOOKUP(D47&amp;"Eng",Restaurant!C:D,2,0),"")</f>
        <v/>
      </c>
    </row>
    <row r="48" spans="1:6" x14ac:dyDescent="0.25">
      <c r="A48" t="str">
        <f t="shared" si="1"/>
        <v/>
      </c>
      <c r="B48" t="str">
        <f t="shared" ca="1" si="0"/>
        <v/>
      </c>
      <c r="C48" s="1" t="str">
        <f ca="1">IFERROR($C$1-1+_xlfn.RANK.EQ(B48,$B$4:$B$101)+COUNTIF(B$4:$B48,B48)-1,"")</f>
        <v/>
      </c>
      <c r="D48" s="1" t="str">
        <f ca="1">IFERROR(VLOOKUP(C48,Restaurant!A:B,2,0),"")</f>
        <v/>
      </c>
      <c r="E48" t="str">
        <f ca="1">IFERROR(VLOOKUP(D48&amp;"Viet",Restaurant!C:D,2,0),"")</f>
        <v/>
      </c>
      <c r="F48" t="str">
        <f ca="1">IFERROR(VLOOKUP(D48&amp;"Eng",Restaurant!C:D,2,0),"")</f>
        <v/>
      </c>
    </row>
    <row r="49" spans="1:6" x14ac:dyDescent="0.25">
      <c r="A49" t="str">
        <f t="shared" si="1"/>
        <v/>
      </c>
      <c r="B49" t="str">
        <f t="shared" ca="1" si="0"/>
        <v/>
      </c>
      <c r="C49" s="1" t="str">
        <f ca="1">IFERROR($C$1-1+_xlfn.RANK.EQ(B49,$B$4:$B$101)+COUNTIF(B$4:$B49,B49)-1,"")</f>
        <v/>
      </c>
      <c r="D49" s="1" t="str">
        <f ca="1">IFERROR(VLOOKUP(C49,Restaurant!A:B,2,0),"")</f>
        <v/>
      </c>
      <c r="E49" t="str">
        <f ca="1">IFERROR(VLOOKUP(D49&amp;"Viet",Restaurant!C:D,2,0),"")</f>
        <v/>
      </c>
      <c r="F49" t="str">
        <f ca="1">IFERROR(VLOOKUP(D49&amp;"Eng",Restaurant!C:D,2,0),"")</f>
        <v/>
      </c>
    </row>
    <row r="50" spans="1:6" x14ac:dyDescent="0.25">
      <c r="A50" t="str">
        <f t="shared" si="1"/>
        <v/>
      </c>
      <c r="B50" t="str">
        <f t="shared" ca="1" si="0"/>
        <v/>
      </c>
      <c r="C50" s="1" t="str">
        <f ca="1">IFERROR($C$1-1+_xlfn.RANK.EQ(B50,$B$4:$B$101)+COUNTIF(B$4:$B50,B50)-1,"")</f>
        <v/>
      </c>
      <c r="D50" s="1" t="str">
        <f ca="1">IFERROR(VLOOKUP(C50,Restaurant!A:B,2,0),"")</f>
        <v/>
      </c>
      <c r="E50" t="str">
        <f ca="1">IFERROR(VLOOKUP(D50&amp;"Viet",Restaurant!C:D,2,0),"")</f>
        <v/>
      </c>
      <c r="F50" t="str">
        <f ca="1">IFERROR(VLOOKUP(D50&amp;"Eng",Restaurant!C:D,2,0),"")</f>
        <v/>
      </c>
    </row>
    <row r="51" spans="1:6" x14ac:dyDescent="0.25">
      <c r="A51" t="str">
        <f t="shared" si="1"/>
        <v/>
      </c>
      <c r="B51" t="str">
        <f t="shared" ca="1" si="0"/>
        <v/>
      </c>
      <c r="C51" s="1" t="str">
        <f ca="1">IFERROR($C$1-1+_xlfn.RANK.EQ(B51,$B$4:$B$101)+COUNTIF(B$4:$B51,B51)-1,"")</f>
        <v/>
      </c>
      <c r="D51" s="1" t="str">
        <f ca="1">IFERROR(VLOOKUP(C51,Restaurant!A:B,2,0),"")</f>
        <v/>
      </c>
      <c r="E51" t="str">
        <f ca="1">IFERROR(VLOOKUP(D51&amp;"Viet",Restaurant!C:D,2,0),"")</f>
        <v/>
      </c>
      <c r="F51" t="str">
        <f ca="1">IFERROR(VLOOKUP(D51&amp;"Eng",Restaurant!C:D,2,0),"")</f>
        <v/>
      </c>
    </row>
    <row r="52" spans="1:6" x14ac:dyDescent="0.25">
      <c r="A52" t="str">
        <f t="shared" si="1"/>
        <v/>
      </c>
      <c r="B52" t="str">
        <f t="shared" ca="1" si="0"/>
        <v/>
      </c>
      <c r="C52" s="1" t="str">
        <f ca="1">IFERROR($C$1-1+_xlfn.RANK.EQ(B52,$B$4:$B$101)+COUNTIF(B$4:$B52,B52)-1,"")</f>
        <v/>
      </c>
      <c r="D52" s="1" t="str">
        <f ca="1">IFERROR(VLOOKUP(C52,Restaurant!A:B,2,0),"")</f>
        <v/>
      </c>
      <c r="E52" t="str">
        <f ca="1">IFERROR(VLOOKUP(D52&amp;"Viet",Restaurant!C:D,2,0),"")</f>
        <v/>
      </c>
      <c r="F52" t="str">
        <f ca="1">IFERROR(VLOOKUP(D52&amp;"Eng",Restaurant!C:D,2,0),"")</f>
        <v/>
      </c>
    </row>
    <row r="53" spans="1:6" x14ac:dyDescent="0.25">
      <c r="A53" t="str">
        <f t="shared" si="1"/>
        <v/>
      </c>
      <c r="B53" t="str">
        <f t="shared" ca="1" si="0"/>
        <v/>
      </c>
      <c r="C53" s="1" t="str">
        <f ca="1">IFERROR($C$1-1+_xlfn.RANK.EQ(B53,$B$4:$B$101)+COUNTIF(B$4:$B53,B53)-1,"")</f>
        <v/>
      </c>
      <c r="D53" s="1" t="str">
        <f ca="1">IFERROR(VLOOKUP(C53,Restaurant!A:B,2,0),"")</f>
        <v/>
      </c>
      <c r="E53" t="str">
        <f ca="1">IFERROR(VLOOKUP(D53&amp;"Viet",Restaurant!C:D,2,0),"")</f>
        <v/>
      </c>
      <c r="F53" t="str">
        <f ca="1">IFERROR(VLOOKUP(D53&amp;"Eng",Restaurant!C:D,2,0),"")</f>
        <v/>
      </c>
    </row>
    <row r="54" spans="1:6" x14ac:dyDescent="0.25">
      <c r="A54" t="str">
        <f t="shared" si="1"/>
        <v/>
      </c>
      <c r="B54" t="str">
        <f t="shared" ca="1" si="0"/>
        <v/>
      </c>
      <c r="C54" s="1" t="str">
        <f ca="1">IFERROR($C$1-1+_xlfn.RANK.EQ(B54,$B$4:$B$101)+COUNTIF(B$4:$B54,B54)-1,"")</f>
        <v/>
      </c>
      <c r="D54" s="1" t="str">
        <f ca="1">IFERROR(VLOOKUP(C54,Restaurant!A:B,2,0),"")</f>
        <v/>
      </c>
      <c r="E54" t="str">
        <f ca="1">IFERROR(VLOOKUP(D54&amp;"Viet",Restaurant!C:D,2,0),"")</f>
        <v/>
      </c>
      <c r="F54" t="str">
        <f ca="1">IFERROR(VLOOKUP(D54&amp;"Eng",Restaurant!C:D,2,0),"")</f>
        <v/>
      </c>
    </row>
    <row r="55" spans="1:6" x14ac:dyDescent="0.25">
      <c r="A55" t="str">
        <f t="shared" si="1"/>
        <v/>
      </c>
      <c r="B55" t="str">
        <f t="shared" ca="1" si="0"/>
        <v/>
      </c>
      <c r="C55" s="1" t="str">
        <f ca="1">IFERROR($C$1-1+_xlfn.RANK.EQ(B55,$B$4:$B$101)+COUNTIF(B$4:$B55,B55)-1,"")</f>
        <v/>
      </c>
      <c r="D55" s="1" t="str">
        <f ca="1">IFERROR(VLOOKUP(C55,Restaurant!A:B,2,0),"")</f>
        <v/>
      </c>
      <c r="E55" t="str">
        <f ca="1">IFERROR(VLOOKUP(D55&amp;"Viet",Restaurant!C:D,2,0),"")</f>
        <v/>
      </c>
      <c r="F55" t="str">
        <f ca="1">IFERROR(VLOOKUP(D55&amp;"Eng",Restaurant!C:D,2,0),"")</f>
        <v/>
      </c>
    </row>
    <row r="56" spans="1:6" x14ac:dyDescent="0.25">
      <c r="A56" t="str">
        <f t="shared" si="1"/>
        <v/>
      </c>
      <c r="B56" t="str">
        <f t="shared" ca="1" si="0"/>
        <v/>
      </c>
      <c r="C56" s="1" t="str">
        <f ca="1">IFERROR($C$1-1+_xlfn.RANK.EQ(B56,$B$4:$B$101)+COUNTIF(B$4:$B56,B56)-1,"")</f>
        <v/>
      </c>
      <c r="D56" s="1" t="str">
        <f ca="1">IFERROR(VLOOKUP(C56,Restaurant!A:B,2,0),"")</f>
        <v/>
      </c>
      <c r="E56" t="str">
        <f ca="1">IFERROR(VLOOKUP(D56&amp;"Viet",Restaurant!C:D,2,0),"")</f>
        <v/>
      </c>
      <c r="F56" t="str">
        <f ca="1">IFERROR(VLOOKUP(D56&amp;"Eng",Restaurant!C:D,2,0),"")</f>
        <v/>
      </c>
    </row>
    <row r="57" spans="1:6" x14ac:dyDescent="0.25">
      <c r="A57" t="str">
        <f t="shared" si="1"/>
        <v/>
      </c>
      <c r="B57" t="str">
        <f t="shared" ca="1" si="0"/>
        <v/>
      </c>
      <c r="C57" s="1" t="str">
        <f ca="1">IFERROR($C$1-1+_xlfn.RANK.EQ(B57,$B$4:$B$101)+COUNTIF(B$4:$B57,B57)-1,"")</f>
        <v/>
      </c>
      <c r="D57" s="1" t="str">
        <f ca="1">IFERROR(VLOOKUP(C57,Restaurant!A:B,2,0),"")</f>
        <v/>
      </c>
      <c r="E57" t="str">
        <f ca="1">IFERROR(VLOOKUP(D57&amp;"Viet",Restaurant!C:D,2,0),"")</f>
        <v/>
      </c>
      <c r="F57" t="str">
        <f ca="1">IFERROR(VLOOKUP(D57&amp;"Eng",Restaurant!C:D,2,0),"")</f>
        <v/>
      </c>
    </row>
    <row r="58" spans="1:6" x14ac:dyDescent="0.25">
      <c r="A58" t="str">
        <f t="shared" si="1"/>
        <v/>
      </c>
      <c r="B58" t="str">
        <f t="shared" ca="1" si="0"/>
        <v/>
      </c>
      <c r="C58" s="1" t="str">
        <f ca="1">IFERROR($C$1-1+_xlfn.RANK.EQ(B58,$B$4:$B$101)+COUNTIF(B$4:$B58,B58)-1,"")</f>
        <v/>
      </c>
      <c r="D58" s="1" t="str">
        <f ca="1">IFERROR(VLOOKUP(C58,Restaurant!A:B,2,0),"")</f>
        <v/>
      </c>
      <c r="E58" t="str">
        <f ca="1">IFERROR(VLOOKUP(D58&amp;"Viet",Restaurant!C:D,2,0),"")</f>
        <v/>
      </c>
      <c r="F58" t="str">
        <f ca="1">IFERROR(VLOOKUP(D58&amp;"Eng",Restaurant!C:D,2,0),"")</f>
        <v/>
      </c>
    </row>
    <row r="59" spans="1:6" x14ac:dyDescent="0.25">
      <c r="A59" t="str">
        <f t="shared" si="1"/>
        <v/>
      </c>
      <c r="B59" t="str">
        <f t="shared" ca="1" si="0"/>
        <v/>
      </c>
      <c r="C59" s="1" t="str">
        <f ca="1">IFERROR($C$1-1+_xlfn.RANK.EQ(B59,$B$4:$B$101)+COUNTIF(B$4:$B59,B59)-1,"")</f>
        <v/>
      </c>
      <c r="D59" s="1" t="str">
        <f ca="1">IFERROR(VLOOKUP(C59,Restaurant!A:B,2,0),"")</f>
        <v/>
      </c>
      <c r="E59" t="str">
        <f ca="1">IFERROR(VLOOKUP(D59&amp;"Viet",Restaurant!C:D,2,0),"")</f>
        <v/>
      </c>
      <c r="F59" t="str">
        <f ca="1">IFERROR(VLOOKUP(D59&amp;"Eng",Restaurant!C:D,2,0),"")</f>
        <v/>
      </c>
    </row>
    <row r="60" spans="1:6" x14ac:dyDescent="0.25">
      <c r="A60" t="str">
        <f t="shared" si="1"/>
        <v/>
      </c>
      <c r="B60" t="str">
        <f t="shared" ca="1" si="0"/>
        <v/>
      </c>
      <c r="C60" s="1" t="str">
        <f ca="1">IFERROR($C$1-1+_xlfn.RANK.EQ(B60,$B$4:$B$101)+COUNTIF(B$4:$B60,B60)-1,"")</f>
        <v/>
      </c>
      <c r="D60" s="1" t="str">
        <f ca="1">IFERROR(VLOOKUP(C60,Restaurant!A:B,2,0),"")</f>
        <v/>
      </c>
      <c r="E60" t="str">
        <f ca="1">IFERROR(VLOOKUP(D60&amp;"Viet",Restaurant!C:D,2,0),"")</f>
        <v/>
      </c>
      <c r="F60" t="str">
        <f ca="1">IFERROR(VLOOKUP(D60&amp;"Eng",Restaurant!C:D,2,0),"")</f>
        <v/>
      </c>
    </row>
    <row r="61" spans="1:6" x14ac:dyDescent="0.25">
      <c r="A61" t="str">
        <f t="shared" si="1"/>
        <v/>
      </c>
      <c r="B61" t="str">
        <f t="shared" ca="1" si="0"/>
        <v/>
      </c>
      <c r="C61" s="1" t="str">
        <f ca="1">IFERROR($C$1-1+_xlfn.RANK.EQ(B61,$B$4:$B$101)+COUNTIF(B$4:$B61,B61)-1,"")</f>
        <v/>
      </c>
      <c r="D61" s="1" t="str">
        <f ca="1">IFERROR(VLOOKUP(C61,Restaurant!A:B,2,0),"")</f>
        <v/>
      </c>
      <c r="E61" t="str">
        <f ca="1">IFERROR(VLOOKUP(D61&amp;"Viet",Restaurant!C:D,2,0),"")</f>
        <v/>
      </c>
      <c r="F61" t="str">
        <f ca="1">IFERROR(VLOOKUP(D61&amp;"Eng",Restaurant!C:D,2,0),"")</f>
        <v/>
      </c>
    </row>
    <row r="62" spans="1:6" x14ac:dyDescent="0.25">
      <c r="A62" t="str">
        <f t="shared" si="1"/>
        <v/>
      </c>
      <c r="B62" t="str">
        <f t="shared" ca="1" si="0"/>
        <v/>
      </c>
      <c r="C62" s="1" t="str">
        <f ca="1">IFERROR($C$1-1+_xlfn.RANK.EQ(B62,$B$4:$B$101)+COUNTIF(B$4:$B62,B62)-1,"")</f>
        <v/>
      </c>
      <c r="D62" s="1" t="str">
        <f ca="1">IFERROR(VLOOKUP(C62,Restaurant!A:B,2,0),"")</f>
        <v/>
      </c>
      <c r="E62" t="str">
        <f ca="1">IFERROR(VLOOKUP(D62&amp;"Viet",Restaurant!C:D,2,0),"")</f>
        <v/>
      </c>
      <c r="F62" t="str">
        <f ca="1">IFERROR(VLOOKUP(D62&amp;"Eng",Restaurant!C:D,2,0),"")</f>
        <v/>
      </c>
    </row>
    <row r="63" spans="1:6" x14ac:dyDescent="0.25">
      <c r="A63" t="str">
        <f t="shared" si="1"/>
        <v/>
      </c>
      <c r="B63" t="str">
        <f t="shared" ca="1" si="0"/>
        <v/>
      </c>
      <c r="C63" s="1" t="str">
        <f ca="1">IFERROR($C$1-1+_xlfn.RANK.EQ(B63,$B$4:$B$101)+COUNTIF(B$4:$B63,B63)-1,"")</f>
        <v/>
      </c>
      <c r="D63" s="1" t="str">
        <f ca="1">IFERROR(VLOOKUP(C63,Restaurant!A:B,2,0),"")</f>
        <v/>
      </c>
      <c r="E63" t="str">
        <f ca="1">IFERROR(VLOOKUP(D63&amp;"Viet",Restaurant!C:D,2,0),"")</f>
        <v/>
      </c>
      <c r="F63" t="str">
        <f ca="1">IFERROR(VLOOKUP(D63&amp;"Eng",Restaurant!C:D,2,0),"")</f>
        <v/>
      </c>
    </row>
    <row r="64" spans="1:6" x14ac:dyDescent="0.25">
      <c r="A64" t="str">
        <f t="shared" si="1"/>
        <v/>
      </c>
      <c r="B64" t="str">
        <f t="shared" ca="1" si="0"/>
        <v/>
      </c>
      <c r="C64" s="1" t="str">
        <f ca="1">IFERROR($C$1-1+_xlfn.RANK.EQ(B64,$B$4:$B$101)+COUNTIF(B$4:$B64,B64)-1,"")</f>
        <v/>
      </c>
      <c r="D64" s="1" t="str">
        <f ca="1">IFERROR(VLOOKUP(C64,Restaurant!A:B,2,0),"")</f>
        <v/>
      </c>
      <c r="E64" t="str">
        <f ca="1">IFERROR(VLOOKUP(D64&amp;"Viet",Restaurant!C:D,2,0),"")</f>
        <v/>
      </c>
      <c r="F64" t="str">
        <f ca="1">IFERROR(VLOOKUP(D64&amp;"Eng",Restaurant!C:D,2,0),"")</f>
        <v/>
      </c>
    </row>
    <row r="65" spans="1:6" x14ac:dyDescent="0.25">
      <c r="A65" t="str">
        <f t="shared" si="1"/>
        <v/>
      </c>
      <c r="B65" t="str">
        <f t="shared" ca="1" si="0"/>
        <v/>
      </c>
      <c r="C65" s="1" t="str">
        <f ca="1">IFERROR($C$1-1+_xlfn.RANK.EQ(B65,$B$4:$B$101)+COUNTIF(B$4:$B65,B65)-1,"")</f>
        <v/>
      </c>
      <c r="D65" s="1" t="str">
        <f ca="1">IFERROR(VLOOKUP(C65,Restaurant!A:B,2,0),"")</f>
        <v/>
      </c>
      <c r="E65" t="str">
        <f ca="1">IFERROR(VLOOKUP(D65&amp;"Viet",Restaurant!C:D,2,0),"")</f>
        <v/>
      </c>
      <c r="F65" t="str">
        <f ca="1">IFERROR(VLOOKUP(D65&amp;"Eng",Restaurant!C:D,2,0),"")</f>
        <v/>
      </c>
    </row>
    <row r="66" spans="1:6" x14ac:dyDescent="0.25">
      <c r="A66" t="str">
        <f t="shared" si="1"/>
        <v/>
      </c>
      <c r="B66" t="str">
        <f t="shared" ca="1" si="0"/>
        <v/>
      </c>
      <c r="C66" s="1" t="str">
        <f ca="1">IFERROR($C$1-1+_xlfn.RANK.EQ(B66,$B$4:$B$101)+COUNTIF(B$4:$B66,B66)-1,"")</f>
        <v/>
      </c>
      <c r="D66" s="1" t="str">
        <f ca="1">IFERROR(VLOOKUP(C66,Restaurant!A:B,2,0),"")</f>
        <v/>
      </c>
      <c r="E66" t="str">
        <f ca="1">IFERROR(VLOOKUP(D66&amp;"Viet",Restaurant!C:D,2,0),"")</f>
        <v/>
      </c>
      <c r="F66" t="str">
        <f ca="1">IFERROR(VLOOKUP(D66&amp;"Eng",Restaurant!C:D,2,0),"")</f>
        <v/>
      </c>
    </row>
    <row r="67" spans="1:6" x14ac:dyDescent="0.25">
      <c r="A67" t="str">
        <f t="shared" si="1"/>
        <v/>
      </c>
      <c r="B67" t="str">
        <f t="shared" ca="1" si="0"/>
        <v/>
      </c>
      <c r="C67" s="1" t="str">
        <f ca="1">IFERROR($C$1-1+_xlfn.RANK.EQ(B67,$B$4:$B$101)+COUNTIF(B$4:$B67,B67)-1,"")</f>
        <v/>
      </c>
      <c r="D67" s="1" t="str">
        <f ca="1">IFERROR(VLOOKUP(C67,Restaurant!A:B,2,0),"")</f>
        <v/>
      </c>
      <c r="E67" t="str">
        <f ca="1">IFERROR(VLOOKUP(D67&amp;"Viet",Restaurant!C:D,2,0),"")</f>
        <v/>
      </c>
      <c r="F67" t="str">
        <f ca="1">IFERROR(VLOOKUP(D67&amp;"Eng",Restaurant!C:D,2,0),"")</f>
        <v/>
      </c>
    </row>
    <row r="68" spans="1:6" x14ac:dyDescent="0.25">
      <c r="A68" t="str">
        <f t="shared" si="1"/>
        <v/>
      </c>
      <c r="B68" t="str">
        <f t="shared" ref="B68:B131" ca="1" si="2">IF(A68="","",RANDBETWEEN($C$1,$C$2))</f>
        <v/>
      </c>
      <c r="C68" s="1" t="str">
        <f ca="1">IFERROR($C$1-1+_xlfn.RANK.EQ(B68,$B$4:$B$101)+COUNTIF(B$4:$B68,B68)-1,"")</f>
        <v/>
      </c>
      <c r="D68" s="1" t="str">
        <f ca="1">IFERROR(VLOOKUP(C68,Restaurant!A:B,2,0),"")</f>
        <v/>
      </c>
      <c r="E68" t="str">
        <f ca="1">IFERROR(VLOOKUP(D68&amp;"Viet",Restaurant!C:D,2,0),"")</f>
        <v/>
      </c>
      <c r="F68" t="str">
        <f ca="1">IFERROR(VLOOKUP(D68&amp;"Eng",Restaurant!C:D,2,0),"")</f>
        <v/>
      </c>
    </row>
    <row r="69" spans="1:6" x14ac:dyDescent="0.25">
      <c r="A69" t="str">
        <f t="shared" si="1"/>
        <v/>
      </c>
      <c r="B69" t="str">
        <f t="shared" ca="1" si="2"/>
        <v/>
      </c>
      <c r="C69" s="1" t="str">
        <f ca="1">IFERROR($C$1-1+_xlfn.RANK.EQ(B69,$B$4:$B$101)+COUNTIF(B$4:$B69,B69)-1,"")</f>
        <v/>
      </c>
      <c r="D69" s="1" t="str">
        <f ca="1">IFERROR(VLOOKUP(C69,Restaurant!A:B,2,0),"")</f>
        <v/>
      </c>
      <c r="E69" t="str">
        <f ca="1">IFERROR(VLOOKUP(D69&amp;"Viet",Restaurant!C:D,2,0),"")</f>
        <v/>
      </c>
      <c r="F69" t="str">
        <f ca="1">IFERROR(VLOOKUP(D69&amp;"Eng",Restaurant!C:D,2,0),"")</f>
        <v/>
      </c>
    </row>
    <row r="70" spans="1:6" x14ac:dyDescent="0.25">
      <c r="A70" t="str">
        <f t="shared" ref="A70:A133" si="3">IFERROR(IF(A69+1&gt;$C$2,"",A69+1),"")</f>
        <v/>
      </c>
      <c r="B70" t="str">
        <f t="shared" ca="1" si="2"/>
        <v/>
      </c>
      <c r="C70" s="1" t="str">
        <f ca="1">IFERROR($C$1-1+_xlfn.RANK.EQ(B70,$B$4:$B$101)+COUNTIF(B$4:$B70,B70)-1,"")</f>
        <v/>
      </c>
      <c r="D70" s="1" t="str">
        <f ca="1">IFERROR(VLOOKUP(C70,Restaurant!A:B,2,0),"")</f>
        <v/>
      </c>
      <c r="E70" t="str">
        <f ca="1">IFERROR(VLOOKUP(D70&amp;"Viet",Restaurant!C:D,2,0),"")</f>
        <v/>
      </c>
      <c r="F70" t="str">
        <f ca="1">IFERROR(VLOOKUP(D70&amp;"Eng",Restaurant!C:D,2,0),"")</f>
        <v/>
      </c>
    </row>
    <row r="71" spans="1:6" x14ac:dyDescent="0.25">
      <c r="A71" t="str">
        <f t="shared" si="3"/>
        <v/>
      </c>
      <c r="B71" t="str">
        <f t="shared" ca="1" si="2"/>
        <v/>
      </c>
      <c r="C71" s="1" t="str">
        <f ca="1">IFERROR($C$1-1+_xlfn.RANK.EQ(B71,$B$4:$B$101)+COUNTIF(B$4:$B71,B71)-1,"")</f>
        <v/>
      </c>
      <c r="D71" s="1" t="str">
        <f ca="1">IFERROR(VLOOKUP(C71,Restaurant!A:B,2,0),"")</f>
        <v/>
      </c>
      <c r="E71" t="str">
        <f ca="1">IFERROR(VLOOKUP(D71&amp;"Viet",Restaurant!C:D,2,0),"")</f>
        <v/>
      </c>
      <c r="F71" t="str">
        <f ca="1">IFERROR(VLOOKUP(D71&amp;"Eng",Restaurant!C:D,2,0),"")</f>
        <v/>
      </c>
    </row>
    <row r="72" spans="1:6" x14ac:dyDescent="0.25">
      <c r="A72" t="str">
        <f t="shared" si="3"/>
        <v/>
      </c>
      <c r="B72" t="str">
        <f t="shared" ca="1" si="2"/>
        <v/>
      </c>
      <c r="C72" s="1" t="str">
        <f ca="1">IFERROR($C$1-1+_xlfn.RANK.EQ(B72,$B$4:$B$101)+COUNTIF(B$4:$B72,B72)-1,"")</f>
        <v/>
      </c>
      <c r="D72" s="1" t="str">
        <f ca="1">IFERROR(VLOOKUP(C72,Restaurant!A:B,2,0),"")</f>
        <v/>
      </c>
      <c r="E72" t="str">
        <f ca="1">IFERROR(VLOOKUP(D72&amp;"Viet",Restaurant!C:D,2,0),"")</f>
        <v/>
      </c>
      <c r="F72" t="str">
        <f ca="1">IFERROR(VLOOKUP(D72&amp;"Eng",Restaurant!C:D,2,0),"")</f>
        <v/>
      </c>
    </row>
    <row r="73" spans="1:6" x14ac:dyDescent="0.25">
      <c r="A73" t="str">
        <f t="shared" si="3"/>
        <v/>
      </c>
      <c r="B73" t="str">
        <f t="shared" ca="1" si="2"/>
        <v/>
      </c>
      <c r="C73" s="1" t="str">
        <f ca="1">IFERROR($C$1-1+_xlfn.RANK.EQ(B73,$B$4:$B$101)+COUNTIF(B$4:$B73,B73)-1,"")</f>
        <v/>
      </c>
      <c r="D73" s="1" t="str">
        <f ca="1">IFERROR(VLOOKUP(C73,Restaurant!A:B,2,0),"")</f>
        <v/>
      </c>
    </row>
    <row r="74" spans="1:6" x14ac:dyDescent="0.25">
      <c r="A74" t="str">
        <f t="shared" si="3"/>
        <v/>
      </c>
      <c r="B74" t="str">
        <f t="shared" ca="1" si="2"/>
        <v/>
      </c>
      <c r="C74" s="1" t="str">
        <f ca="1">IFERROR($C$1-1+_xlfn.RANK.EQ(B74,$B$4:$B$101)+COUNTIF(B$4:$B74,B74)-1,"")</f>
        <v/>
      </c>
      <c r="D74" s="1" t="str">
        <f ca="1">IFERROR(VLOOKUP(C74,Restaurant!A:B,2,0),"")</f>
        <v/>
      </c>
    </row>
    <row r="75" spans="1:6" x14ac:dyDescent="0.25">
      <c r="A75" t="str">
        <f t="shared" si="3"/>
        <v/>
      </c>
      <c r="B75" t="str">
        <f t="shared" ca="1" si="2"/>
        <v/>
      </c>
      <c r="C75" s="1" t="str">
        <f ca="1">IFERROR($C$1-1+_xlfn.RANK.EQ(B75,$B$4:$B$101)+COUNTIF(B$4:$B75,B75)-1,"")</f>
        <v/>
      </c>
      <c r="D75" s="1" t="str">
        <f ca="1">IFERROR(VLOOKUP(C75,Restaurant!A:B,2,0),"")</f>
        <v/>
      </c>
    </row>
    <row r="76" spans="1:6" x14ac:dyDescent="0.25">
      <c r="A76" t="str">
        <f t="shared" si="3"/>
        <v/>
      </c>
      <c r="B76" t="str">
        <f t="shared" ca="1" si="2"/>
        <v/>
      </c>
      <c r="C76" s="1" t="str">
        <f ca="1">IFERROR($C$1-1+_xlfn.RANK.EQ(B76,$B$4:$B$101)+COUNTIF(B$4:$B76,B76)-1,"")</f>
        <v/>
      </c>
      <c r="D76" s="1" t="str">
        <f ca="1">IFERROR(VLOOKUP(C76,Restaurant!A:B,2,0),"")</f>
        <v/>
      </c>
    </row>
    <row r="77" spans="1:6" x14ac:dyDescent="0.25">
      <c r="A77" t="str">
        <f t="shared" si="3"/>
        <v/>
      </c>
      <c r="B77" t="str">
        <f t="shared" ca="1" si="2"/>
        <v/>
      </c>
      <c r="C77" s="1" t="str">
        <f ca="1">IFERROR($C$1-1+_xlfn.RANK.EQ(B77,$B$4:$B$101)+COUNTIF(B$4:$B77,B77)-1,"")</f>
        <v/>
      </c>
      <c r="D77" s="1" t="str">
        <f ca="1">IFERROR(VLOOKUP(C77,Restaurant!A:B,2,0),"")</f>
        <v/>
      </c>
    </row>
    <row r="78" spans="1:6" x14ac:dyDescent="0.25">
      <c r="A78" t="str">
        <f t="shared" si="3"/>
        <v/>
      </c>
      <c r="B78" t="str">
        <f t="shared" ca="1" si="2"/>
        <v/>
      </c>
      <c r="C78" s="1" t="str">
        <f ca="1">IFERROR($C$1-1+_xlfn.RANK.EQ(B78,$B$4:$B$101)+COUNTIF(B$4:$B78,B78)-1,"")</f>
        <v/>
      </c>
      <c r="D78" s="1" t="str">
        <f ca="1">IFERROR(VLOOKUP(C78,Restaurant!A:B,2,0),"")</f>
        <v/>
      </c>
    </row>
    <row r="79" spans="1:6" x14ac:dyDescent="0.25">
      <c r="A79" t="str">
        <f t="shared" si="3"/>
        <v/>
      </c>
      <c r="B79" t="str">
        <f t="shared" ca="1" si="2"/>
        <v/>
      </c>
      <c r="C79" s="1" t="str">
        <f ca="1">IFERROR($C$1-1+_xlfn.RANK.EQ(B79,$B$4:$B$101)+COUNTIF(B$4:$B79,B79)-1,"")</f>
        <v/>
      </c>
      <c r="D79" s="1" t="str">
        <f ca="1">IFERROR(VLOOKUP(C79,Restaurant!A:B,2,0),"")</f>
        <v/>
      </c>
    </row>
    <row r="80" spans="1:6" x14ac:dyDescent="0.25">
      <c r="A80" t="str">
        <f t="shared" si="3"/>
        <v/>
      </c>
      <c r="B80" t="str">
        <f t="shared" ca="1" si="2"/>
        <v/>
      </c>
      <c r="C80" s="1" t="str">
        <f ca="1">IFERROR($C$1-1+_xlfn.RANK.EQ(B80,$B$4:$B$101)+COUNTIF(B$4:$B80,B80)-1,"")</f>
        <v/>
      </c>
      <c r="D80" s="1" t="str">
        <f ca="1">IFERROR(VLOOKUP(C80,Restaurant!A:B,2,0),"")</f>
        <v/>
      </c>
    </row>
    <row r="81" spans="1:4" x14ac:dyDescent="0.25">
      <c r="A81" t="str">
        <f t="shared" si="3"/>
        <v/>
      </c>
      <c r="B81" t="str">
        <f t="shared" ca="1" si="2"/>
        <v/>
      </c>
      <c r="C81" s="1" t="str">
        <f ca="1">IFERROR($C$1-1+_xlfn.RANK.EQ(B81,$B$4:$B$101)+COUNTIF(B$4:$B81,B81)-1,"")</f>
        <v/>
      </c>
      <c r="D81" s="1" t="str">
        <f ca="1">IFERROR(VLOOKUP(C81,Restaurant!A:B,2,0),"")</f>
        <v/>
      </c>
    </row>
    <row r="82" spans="1:4" x14ac:dyDescent="0.25">
      <c r="A82" t="str">
        <f t="shared" si="3"/>
        <v/>
      </c>
      <c r="B82" t="str">
        <f t="shared" ca="1" si="2"/>
        <v/>
      </c>
      <c r="C82" s="1" t="str">
        <f ca="1">IFERROR($C$1-1+_xlfn.RANK.EQ(B82,$B$4:$B$101)+COUNTIF(B$4:$B82,B82)-1,"")</f>
        <v/>
      </c>
      <c r="D82" s="1" t="str">
        <f ca="1">IFERROR(VLOOKUP(C82,Restaurant!A:B,2,0),"")</f>
        <v/>
      </c>
    </row>
    <row r="83" spans="1:4" x14ac:dyDescent="0.25">
      <c r="A83" t="str">
        <f t="shared" si="3"/>
        <v/>
      </c>
      <c r="B83" t="str">
        <f t="shared" ca="1" si="2"/>
        <v/>
      </c>
      <c r="C83" s="1" t="str">
        <f ca="1">IFERROR($C$1-1+_xlfn.RANK.EQ(B83,$B$4:$B$101)+COUNTIF(B$4:$B83,B83)-1,"")</f>
        <v/>
      </c>
      <c r="D83" s="1" t="str">
        <f ca="1">IFERROR(VLOOKUP(C83,Restaurant!A:B,2,0),"")</f>
        <v/>
      </c>
    </row>
    <row r="84" spans="1:4" x14ac:dyDescent="0.25">
      <c r="A84" t="str">
        <f t="shared" si="3"/>
        <v/>
      </c>
      <c r="B84" t="str">
        <f t="shared" ca="1" si="2"/>
        <v/>
      </c>
      <c r="C84" s="1" t="str">
        <f ca="1">IFERROR($C$1-1+_xlfn.RANK.EQ(B84,$B$4:$B$101)+COUNTIF(B$4:$B84,B84)-1,"")</f>
        <v/>
      </c>
      <c r="D84" s="1" t="str">
        <f ca="1">IFERROR(VLOOKUP(C84,Restaurant!A:B,2,0),"")</f>
        <v/>
      </c>
    </row>
    <row r="85" spans="1:4" x14ac:dyDescent="0.25">
      <c r="A85" t="str">
        <f t="shared" si="3"/>
        <v/>
      </c>
      <c r="B85" t="str">
        <f t="shared" ca="1" si="2"/>
        <v/>
      </c>
      <c r="C85" s="1" t="str">
        <f ca="1">IFERROR($C$1-1+_xlfn.RANK.EQ(B85,$B$4:$B$101)+COUNTIF(B$4:$B85,B85)-1,"")</f>
        <v/>
      </c>
      <c r="D85" s="1" t="str">
        <f ca="1">IFERROR(VLOOKUP(C85,Restaurant!A:B,2,0),"")</f>
        <v/>
      </c>
    </row>
    <row r="86" spans="1:4" x14ac:dyDescent="0.25">
      <c r="A86" t="str">
        <f t="shared" si="3"/>
        <v/>
      </c>
      <c r="B86" t="str">
        <f t="shared" ca="1" si="2"/>
        <v/>
      </c>
      <c r="C86" s="1" t="str">
        <f ca="1">IFERROR($C$1-1+_xlfn.RANK.EQ(B86,$B$4:$B$101)+COUNTIF(B$4:$B86,B86)-1,"")</f>
        <v/>
      </c>
      <c r="D86" s="1" t="str">
        <f ca="1">IFERROR(VLOOKUP(C86,Restaurant!A:B,2,0),"")</f>
        <v/>
      </c>
    </row>
    <row r="87" spans="1:4" x14ac:dyDescent="0.25">
      <c r="A87" t="str">
        <f t="shared" si="3"/>
        <v/>
      </c>
      <c r="B87" t="str">
        <f t="shared" ca="1" si="2"/>
        <v/>
      </c>
      <c r="C87" s="1" t="str">
        <f ca="1">IFERROR($C$1-1+_xlfn.RANK.EQ(B87,$B$4:$B$101)+COUNTIF(B$4:$B87,B87)-1,"")</f>
        <v/>
      </c>
      <c r="D87" s="1" t="str">
        <f ca="1">IFERROR(VLOOKUP(C87,Restaurant!A:B,2,0),"")</f>
        <v/>
      </c>
    </row>
    <row r="88" spans="1:4" x14ac:dyDescent="0.25">
      <c r="A88" t="str">
        <f t="shared" si="3"/>
        <v/>
      </c>
      <c r="B88" t="str">
        <f t="shared" ca="1" si="2"/>
        <v/>
      </c>
      <c r="C88" s="1" t="str">
        <f ca="1">IFERROR($C$1-1+_xlfn.RANK.EQ(B88,$B$4:$B$101)+COUNTIF(B$4:$B88,B88)-1,"")</f>
        <v/>
      </c>
      <c r="D88" s="1" t="str">
        <f ca="1">IFERROR(VLOOKUP(C88,Restaurant!A:B,2,0),"")</f>
        <v/>
      </c>
    </row>
    <row r="89" spans="1:4" x14ac:dyDescent="0.25">
      <c r="A89" t="str">
        <f t="shared" si="3"/>
        <v/>
      </c>
      <c r="B89" t="str">
        <f t="shared" ca="1" si="2"/>
        <v/>
      </c>
      <c r="C89" s="1" t="str">
        <f ca="1">IFERROR($C$1-1+_xlfn.RANK.EQ(B89,$B$4:$B$101)+COUNTIF(B$4:$B89,B89)-1,"")</f>
        <v/>
      </c>
      <c r="D89" s="1" t="str">
        <f ca="1">IFERROR(VLOOKUP(C89,Restaurant!A:B,2,0),"")</f>
        <v/>
      </c>
    </row>
    <row r="90" spans="1:4" x14ac:dyDescent="0.25">
      <c r="A90" t="str">
        <f t="shared" si="3"/>
        <v/>
      </c>
      <c r="B90" t="str">
        <f t="shared" ca="1" si="2"/>
        <v/>
      </c>
      <c r="C90" s="1" t="str">
        <f ca="1">IFERROR($C$1-1+_xlfn.RANK.EQ(B90,$B$4:$B$101)+COUNTIF(B$4:$B90,B90)-1,"")</f>
        <v/>
      </c>
      <c r="D90" s="1" t="str">
        <f ca="1">IFERROR(VLOOKUP(C90,Restaurant!A:B,2,0),"")</f>
        <v/>
      </c>
    </row>
    <row r="91" spans="1:4" x14ac:dyDescent="0.25">
      <c r="A91" t="str">
        <f t="shared" si="3"/>
        <v/>
      </c>
      <c r="B91" t="str">
        <f t="shared" ca="1" si="2"/>
        <v/>
      </c>
      <c r="C91" s="1" t="str">
        <f ca="1">IFERROR($C$1-1+_xlfn.RANK.EQ(B91,$B$4:$B$101)+COUNTIF(B$4:$B91,B91)-1,"")</f>
        <v/>
      </c>
      <c r="D91" s="1" t="str">
        <f ca="1">IFERROR(VLOOKUP(C91,Restaurant!A:B,2,0),"")</f>
        <v/>
      </c>
    </row>
    <row r="92" spans="1:4" x14ac:dyDescent="0.25">
      <c r="A92" t="str">
        <f t="shared" si="3"/>
        <v/>
      </c>
      <c r="B92" t="str">
        <f t="shared" ca="1" si="2"/>
        <v/>
      </c>
      <c r="C92" s="1" t="str">
        <f ca="1">IFERROR($C$1-1+_xlfn.RANK.EQ(B92,$B$4:$B$101)+COUNTIF(B$4:$B92,B92)-1,"")</f>
        <v/>
      </c>
      <c r="D92" s="1" t="str">
        <f ca="1">IFERROR(VLOOKUP(C92,Restaurant!A:B,2,0),"")</f>
        <v/>
      </c>
    </row>
    <row r="93" spans="1:4" x14ac:dyDescent="0.25">
      <c r="A93" t="str">
        <f t="shared" si="3"/>
        <v/>
      </c>
      <c r="B93" t="str">
        <f t="shared" ca="1" si="2"/>
        <v/>
      </c>
      <c r="C93" s="1" t="str">
        <f ca="1">IFERROR($C$1-1+_xlfn.RANK.EQ(B93,$B$4:$B$101)+COUNTIF(B$4:$B93,B93)-1,"")</f>
        <v/>
      </c>
      <c r="D93" s="1" t="str">
        <f ca="1">IFERROR(VLOOKUP(C93,Restaurant!A:B,2,0),"")</f>
        <v/>
      </c>
    </row>
    <row r="94" spans="1:4" x14ac:dyDescent="0.25">
      <c r="A94" t="str">
        <f t="shared" si="3"/>
        <v/>
      </c>
      <c r="B94" t="str">
        <f t="shared" ca="1" si="2"/>
        <v/>
      </c>
      <c r="C94" s="1" t="str">
        <f ca="1">IFERROR($C$1-1+_xlfn.RANK.EQ(B94,$B$4:$B$101)+COUNTIF(B$4:$B94,B94)-1,"")</f>
        <v/>
      </c>
      <c r="D94" s="1" t="str">
        <f ca="1">IFERROR(VLOOKUP(C94,Restaurant!A:B,2,0),"")</f>
        <v/>
      </c>
    </row>
    <row r="95" spans="1:4" x14ac:dyDescent="0.25">
      <c r="A95" t="str">
        <f t="shared" si="3"/>
        <v/>
      </c>
      <c r="B95" t="str">
        <f t="shared" ca="1" si="2"/>
        <v/>
      </c>
      <c r="C95" s="1" t="str">
        <f ca="1">IFERROR($C$1-1+_xlfn.RANK.EQ(B95,$B$4:$B$101)+COUNTIF(B$4:$B95,B95)-1,"")</f>
        <v/>
      </c>
      <c r="D95" s="1" t="str">
        <f ca="1">IFERROR(VLOOKUP(C95,Restaurant!A:B,2,0),"")</f>
        <v/>
      </c>
    </row>
    <row r="96" spans="1:4" x14ac:dyDescent="0.25">
      <c r="A96" t="str">
        <f t="shared" si="3"/>
        <v/>
      </c>
      <c r="B96" t="str">
        <f t="shared" ca="1" si="2"/>
        <v/>
      </c>
      <c r="C96" s="1" t="str">
        <f ca="1">IFERROR($C$1-1+_xlfn.RANK.EQ(B96,$B$4:$B$101)+COUNTIF(B$4:$B96,B96)-1,"")</f>
        <v/>
      </c>
      <c r="D96" s="1" t="str">
        <f ca="1">IFERROR(VLOOKUP(C96,Restaurant!A:B,2,0),"")</f>
        <v/>
      </c>
    </row>
    <row r="97" spans="1:4" x14ac:dyDescent="0.25">
      <c r="A97" t="str">
        <f t="shared" si="3"/>
        <v/>
      </c>
      <c r="B97" t="str">
        <f t="shared" ca="1" si="2"/>
        <v/>
      </c>
      <c r="C97" s="1" t="str">
        <f ca="1">IFERROR($C$1-1+_xlfn.RANK.EQ(B97,$B$4:$B$101)+COUNTIF(B$4:$B97,B97)-1,"")</f>
        <v/>
      </c>
      <c r="D97" s="1" t="str">
        <f ca="1">IFERROR(VLOOKUP(C97,Restaurant!A:B,2,0),"")</f>
        <v/>
      </c>
    </row>
    <row r="98" spans="1:4" x14ac:dyDescent="0.25">
      <c r="A98" t="str">
        <f t="shared" si="3"/>
        <v/>
      </c>
      <c r="B98" t="str">
        <f t="shared" ca="1" si="2"/>
        <v/>
      </c>
      <c r="C98" s="1" t="str">
        <f ca="1">IFERROR($C$1-1+_xlfn.RANK.EQ(B98,$B$4:$B$101)+COUNTIF(B$4:$B98,B98)-1,"")</f>
        <v/>
      </c>
      <c r="D98" s="1" t="str">
        <f ca="1">IFERROR(VLOOKUP(C98,Restaurant!A:B,2,0),"")</f>
        <v/>
      </c>
    </row>
    <row r="99" spans="1:4" x14ac:dyDescent="0.25">
      <c r="A99" t="str">
        <f t="shared" si="3"/>
        <v/>
      </c>
      <c r="B99" t="str">
        <f t="shared" ca="1" si="2"/>
        <v/>
      </c>
      <c r="C99" s="1" t="str">
        <f ca="1">IFERROR($C$1-1+_xlfn.RANK.EQ(B99,$B$4:$B$101)+COUNTIF(B$4:$B99,B99)-1,"")</f>
        <v/>
      </c>
      <c r="D99" s="1" t="str">
        <f ca="1">IFERROR(VLOOKUP(C99,Restaurant!A:B,2,0),"")</f>
        <v/>
      </c>
    </row>
    <row r="100" spans="1:4" x14ac:dyDescent="0.25">
      <c r="A100" t="str">
        <f t="shared" si="3"/>
        <v/>
      </c>
      <c r="B100" t="str">
        <f t="shared" ca="1" si="2"/>
        <v/>
      </c>
      <c r="C100" s="1" t="str">
        <f ca="1">IFERROR($C$1-1+_xlfn.RANK.EQ(B100,$B$4:$B$101)+COUNTIF(B$4:$B100,B100)-1,"")</f>
        <v/>
      </c>
      <c r="D100" s="1" t="str">
        <f ca="1">IFERROR(VLOOKUP(C100,Restaurant!A:B,2,0),"")</f>
        <v/>
      </c>
    </row>
    <row r="101" spans="1:4" x14ac:dyDescent="0.25">
      <c r="A101" t="str">
        <f t="shared" si="3"/>
        <v/>
      </c>
      <c r="B101" t="str">
        <f t="shared" ca="1" si="2"/>
        <v/>
      </c>
      <c r="C101" s="1" t="str">
        <f ca="1">IFERROR($C$1-1+_xlfn.RANK.EQ(B101,$B$4:$B$101)+COUNTIF(B$4:$B101,B101)-1,"")</f>
        <v/>
      </c>
      <c r="D101" s="1" t="str">
        <f ca="1">IFERROR(VLOOKUP(C101,Restaurant!A:B,2,0),"")</f>
        <v/>
      </c>
    </row>
    <row r="102" spans="1:4" x14ac:dyDescent="0.25">
      <c r="A102" t="str">
        <f t="shared" si="3"/>
        <v/>
      </c>
      <c r="B102" t="str">
        <f t="shared" ca="1" si="2"/>
        <v/>
      </c>
      <c r="C102" s="1" t="str">
        <f ca="1">IFERROR($C$1-1+_xlfn.RANK.EQ(B102,$B$4:$B$101)+COUNTIF(B$4:$B102,B102)-1,"")</f>
        <v/>
      </c>
      <c r="D102" s="1" t="str">
        <f ca="1">IFERROR(VLOOKUP(C102,Restaurant!A:B,2,0),"")</f>
        <v/>
      </c>
    </row>
    <row r="103" spans="1:4" x14ac:dyDescent="0.25">
      <c r="A103" t="str">
        <f t="shared" si="3"/>
        <v/>
      </c>
      <c r="B103" t="str">
        <f t="shared" ca="1" si="2"/>
        <v/>
      </c>
      <c r="C103" s="1" t="str">
        <f ca="1">IFERROR($C$1-1+_xlfn.RANK.EQ(B103,$B$4:$B$101)+COUNTIF(B$4:$B103,B103)-1,"")</f>
        <v/>
      </c>
      <c r="D103" s="1" t="str">
        <f ca="1">IFERROR(VLOOKUP(C103,Restaurant!A:B,2,0),"")</f>
        <v/>
      </c>
    </row>
    <row r="104" spans="1:4" x14ac:dyDescent="0.25">
      <c r="A104" t="str">
        <f t="shared" si="3"/>
        <v/>
      </c>
      <c r="B104" t="str">
        <f t="shared" ca="1" si="2"/>
        <v/>
      </c>
      <c r="C104" s="1" t="str">
        <f ca="1">IFERROR($C$1-1+_xlfn.RANK.EQ(B104,$B$4:$B$101)+COUNTIF(B$4:$B104,B104)-1,"")</f>
        <v/>
      </c>
      <c r="D104" s="1" t="str">
        <f ca="1">IFERROR(VLOOKUP(C104,Restaurant!A:B,2,0),"")</f>
        <v/>
      </c>
    </row>
    <row r="105" spans="1:4" x14ac:dyDescent="0.25">
      <c r="A105" t="str">
        <f t="shared" si="3"/>
        <v/>
      </c>
      <c r="B105" t="str">
        <f t="shared" ca="1" si="2"/>
        <v/>
      </c>
      <c r="C105" s="1" t="str">
        <f ca="1">IFERROR($C$1-1+_xlfn.RANK.EQ(B105,$B$4:$B$101)+COUNTIF(B$4:$B105,B105)-1,"")</f>
        <v/>
      </c>
      <c r="D105" s="1" t="str">
        <f ca="1">IFERROR(VLOOKUP(C105,Restaurant!A:B,2,0),"")</f>
        <v/>
      </c>
    </row>
    <row r="106" spans="1:4" x14ac:dyDescent="0.25">
      <c r="A106" t="str">
        <f t="shared" si="3"/>
        <v/>
      </c>
      <c r="B106" t="str">
        <f t="shared" ca="1" si="2"/>
        <v/>
      </c>
      <c r="C106" s="1" t="str">
        <f ca="1">IFERROR($C$1-1+_xlfn.RANK.EQ(B106,$B$4:$B$101)+COUNTIF(B$4:$B106,B106)-1,"")</f>
        <v/>
      </c>
      <c r="D106" s="1" t="str">
        <f ca="1">IFERROR(VLOOKUP(C106,Restaurant!A:B,2,0),"")</f>
        <v/>
      </c>
    </row>
    <row r="107" spans="1:4" x14ac:dyDescent="0.25">
      <c r="A107" t="str">
        <f t="shared" si="3"/>
        <v/>
      </c>
      <c r="B107" t="str">
        <f t="shared" ca="1" si="2"/>
        <v/>
      </c>
      <c r="C107" s="1" t="str">
        <f ca="1">IFERROR($C$1-1+_xlfn.RANK.EQ(B107,$B$4:$B$101)+COUNTIF(B$4:$B107,B107)-1,"")</f>
        <v/>
      </c>
      <c r="D107" s="1" t="str">
        <f ca="1">IFERROR(VLOOKUP(C107,Restaurant!A:B,2,0),"")</f>
        <v/>
      </c>
    </row>
    <row r="108" spans="1:4" x14ac:dyDescent="0.25">
      <c r="A108" t="str">
        <f t="shared" si="3"/>
        <v/>
      </c>
      <c r="B108" t="str">
        <f t="shared" ca="1" si="2"/>
        <v/>
      </c>
      <c r="C108" s="1" t="str">
        <f ca="1">IFERROR($C$1-1+_xlfn.RANK.EQ(B108,$B$4:$B$101)+COUNTIF(B$4:$B108,B108)-1,"")</f>
        <v/>
      </c>
      <c r="D108" s="1" t="str">
        <f ca="1">IFERROR(VLOOKUP(C108,Restaurant!A:B,2,0),"")</f>
        <v/>
      </c>
    </row>
    <row r="109" spans="1:4" x14ac:dyDescent="0.25">
      <c r="A109" t="str">
        <f t="shared" si="3"/>
        <v/>
      </c>
      <c r="B109" t="str">
        <f t="shared" ca="1" si="2"/>
        <v/>
      </c>
      <c r="C109" s="1" t="str">
        <f ca="1">IFERROR($C$1-1+_xlfn.RANK.EQ(B109,$B$4:$B$101)+COUNTIF(B$4:$B109,B109)-1,"")</f>
        <v/>
      </c>
      <c r="D109" s="1" t="str">
        <f ca="1">IFERROR(VLOOKUP(C109,Restaurant!A:B,2,0),"")</f>
        <v/>
      </c>
    </row>
    <row r="110" spans="1:4" x14ac:dyDescent="0.25">
      <c r="A110" t="str">
        <f t="shared" si="3"/>
        <v/>
      </c>
      <c r="B110" t="str">
        <f t="shared" ca="1" si="2"/>
        <v/>
      </c>
      <c r="C110" s="1" t="str">
        <f ca="1">IFERROR($C$1-1+_xlfn.RANK.EQ(B110,$B$4:$B$101)+COUNTIF(B$4:$B110,B110)-1,"")</f>
        <v/>
      </c>
      <c r="D110" s="1" t="str">
        <f ca="1">IFERROR(VLOOKUP(C110,Restaurant!A:B,2,0),"")</f>
        <v/>
      </c>
    </row>
    <row r="111" spans="1:4" x14ac:dyDescent="0.25">
      <c r="A111" t="str">
        <f t="shared" si="3"/>
        <v/>
      </c>
      <c r="B111" t="str">
        <f t="shared" ca="1" si="2"/>
        <v/>
      </c>
      <c r="C111" s="1" t="str">
        <f ca="1">IFERROR($C$1-1+_xlfn.RANK.EQ(B111,$B$4:$B$101)+COUNTIF(B$4:$B111,B111)-1,"")</f>
        <v/>
      </c>
      <c r="D111" s="1" t="str">
        <f ca="1">IFERROR(VLOOKUP(C111,Restaurant!A:B,2,0),"")</f>
        <v/>
      </c>
    </row>
    <row r="112" spans="1:4" x14ac:dyDescent="0.25">
      <c r="A112" t="str">
        <f t="shared" si="3"/>
        <v/>
      </c>
      <c r="B112" t="str">
        <f t="shared" ca="1" si="2"/>
        <v/>
      </c>
      <c r="C112" s="1" t="str">
        <f ca="1">IFERROR($C$1-1+_xlfn.RANK.EQ(B112,$B$4:$B$101)+COUNTIF(B$4:$B112,B112)-1,"")</f>
        <v/>
      </c>
      <c r="D112" s="1" t="str">
        <f ca="1">IFERROR(VLOOKUP(C112,Restaurant!A:B,2,0),"")</f>
        <v/>
      </c>
    </row>
    <row r="113" spans="1:4" x14ac:dyDescent="0.25">
      <c r="A113" t="str">
        <f t="shared" si="3"/>
        <v/>
      </c>
      <c r="B113" t="str">
        <f t="shared" ca="1" si="2"/>
        <v/>
      </c>
      <c r="C113" s="1" t="str">
        <f ca="1">IFERROR($C$1-1+_xlfn.RANK.EQ(B113,$B$4:$B$101)+COUNTIF(B$4:$B113,B113)-1,"")</f>
        <v/>
      </c>
      <c r="D113" s="1" t="str">
        <f ca="1">IFERROR(VLOOKUP(C113,Restaurant!A:B,2,0),"")</f>
        <v/>
      </c>
    </row>
    <row r="114" spans="1:4" x14ac:dyDescent="0.25">
      <c r="A114" t="str">
        <f t="shared" si="3"/>
        <v/>
      </c>
      <c r="B114" t="str">
        <f t="shared" ca="1" si="2"/>
        <v/>
      </c>
      <c r="C114" s="1" t="str">
        <f ca="1">IFERROR($C$1-1+_xlfn.RANK.EQ(B114,$B$4:$B$101)+COUNTIF(B$4:$B114,B114)-1,"")</f>
        <v/>
      </c>
      <c r="D114" s="1" t="str">
        <f ca="1">IFERROR(VLOOKUP(C114,Restaurant!A:B,2,0),"")</f>
        <v/>
      </c>
    </row>
    <row r="115" spans="1:4" x14ac:dyDescent="0.25">
      <c r="A115" t="str">
        <f t="shared" si="3"/>
        <v/>
      </c>
      <c r="B115" t="str">
        <f t="shared" ca="1" si="2"/>
        <v/>
      </c>
      <c r="C115" s="1" t="str">
        <f ca="1">IFERROR($C$1-1+_xlfn.RANK.EQ(B115,$B$4:$B$101)+COUNTIF(B$4:$B115,B115)-1,"")</f>
        <v/>
      </c>
      <c r="D115" s="1" t="str">
        <f ca="1">IFERROR(VLOOKUP(C115,Restaurant!A:B,2,0),"")</f>
        <v/>
      </c>
    </row>
    <row r="116" spans="1:4" x14ac:dyDescent="0.25">
      <c r="A116" t="str">
        <f t="shared" si="3"/>
        <v/>
      </c>
      <c r="B116" t="str">
        <f t="shared" ca="1" si="2"/>
        <v/>
      </c>
      <c r="C116" s="1" t="str">
        <f ca="1">IFERROR($C$1-1+_xlfn.RANK.EQ(B116,$B$4:$B$101)+COUNTIF(B$4:$B116,B116)-1,"")</f>
        <v/>
      </c>
      <c r="D116" s="1" t="str">
        <f ca="1">IFERROR(VLOOKUP(C116,Restaurant!A:B,2,0),"")</f>
        <v/>
      </c>
    </row>
    <row r="117" spans="1:4" x14ac:dyDescent="0.25">
      <c r="A117" t="str">
        <f t="shared" si="3"/>
        <v/>
      </c>
      <c r="B117" t="str">
        <f t="shared" ca="1" si="2"/>
        <v/>
      </c>
      <c r="C117" s="1" t="str">
        <f ca="1">IFERROR($C$1-1+_xlfn.RANK.EQ(B117,$B$4:$B$101)+COUNTIF(B$4:$B117,B117)-1,"")</f>
        <v/>
      </c>
      <c r="D117" s="1" t="str">
        <f ca="1">IFERROR(VLOOKUP(C117,Restaurant!A:B,2,0),"")</f>
        <v/>
      </c>
    </row>
    <row r="118" spans="1:4" x14ac:dyDescent="0.25">
      <c r="A118" t="str">
        <f t="shared" si="3"/>
        <v/>
      </c>
      <c r="B118" t="str">
        <f t="shared" ca="1" si="2"/>
        <v/>
      </c>
      <c r="C118" s="1" t="str">
        <f ca="1">IFERROR($C$1-1+_xlfn.RANK.EQ(B118,$B$4:$B$101)+COUNTIF(B$4:$B118,B118)-1,"")</f>
        <v/>
      </c>
      <c r="D118" s="1" t="str">
        <f ca="1">IFERROR(VLOOKUP(C118,Restaurant!A:B,2,0),"")</f>
        <v/>
      </c>
    </row>
    <row r="119" spans="1:4" x14ac:dyDescent="0.25">
      <c r="A119" t="str">
        <f t="shared" si="3"/>
        <v/>
      </c>
      <c r="B119" t="str">
        <f t="shared" ca="1" si="2"/>
        <v/>
      </c>
      <c r="C119" s="1" t="str">
        <f ca="1">IFERROR($C$1-1+_xlfn.RANK.EQ(B119,$B$4:$B$101)+COUNTIF(B$4:$B119,B119)-1,"")</f>
        <v/>
      </c>
      <c r="D119" s="1" t="str">
        <f ca="1">IFERROR(VLOOKUP(C119,Restaurant!A:B,2,0),"")</f>
        <v/>
      </c>
    </row>
    <row r="120" spans="1:4" x14ac:dyDescent="0.25">
      <c r="A120" t="str">
        <f t="shared" si="3"/>
        <v/>
      </c>
      <c r="B120" t="str">
        <f t="shared" ca="1" si="2"/>
        <v/>
      </c>
      <c r="C120" s="1" t="str">
        <f ca="1">IFERROR($C$1-1+_xlfn.RANK.EQ(B120,$B$4:$B$101)+COUNTIF(B$4:$B120,B120)-1,"")</f>
        <v/>
      </c>
      <c r="D120" s="1" t="str">
        <f ca="1">IFERROR(VLOOKUP(C120,Restaurant!A:B,2,0),"")</f>
        <v/>
      </c>
    </row>
    <row r="121" spans="1:4" x14ac:dyDescent="0.25">
      <c r="A121" t="str">
        <f t="shared" si="3"/>
        <v/>
      </c>
      <c r="B121" t="str">
        <f t="shared" ca="1" si="2"/>
        <v/>
      </c>
      <c r="C121" s="1" t="str">
        <f ca="1">IFERROR($C$1-1+_xlfn.RANK.EQ(B121,$B$4:$B$101)+COUNTIF(B$4:$B121,B121)-1,"")</f>
        <v/>
      </c>
      <c r="D121" s="1" t="str">
        <f ca="1">IFERROR(VLOOKUP(C121,Restaurant!A:B,2,0),"")</f>
        <v/>
      </c>
    </row>
    <row r="122" spans="1:4" x14ac:dyDescent="0.25">
      <c r="A122" t="str">
        <f t="shared" si="3"/>
        <v/>
      </c>
      <c r="B122" t="str">
        <f t="shared" ca="1" si="2"/>
        <v/>
      </c>
      <c r="C122" s="1" t="str">
        <f ca="1">IFERROR($C$1-1+_xlfn.RANK.EQ(B122,$B$4:$B$101)+COUNTIF(B$4:$B122,B122)-1,"")</f>
        <v/>
      </c>
      <c r="D122" s="1" t="str">
        <f ca="1">IFERROR(VLOOKUP(C122,Restaurant!A:B,2,0),"")</f>
        <v/>
      </c>
    </row>
    <row r="123" spans="1:4" x14ac:dyDescent="0.25">
      <c r="A123" t="str">
        <f t="shared" si="3"/>
        <v/>
      </c>
      <c r="B123" t="str">
        <f t="shared" ca="1" si="2"/>
        <v/>
      </c>
      <c r="C123" s="1" t="str">
        <f ca="1">IFERROR($C$1-1+_xlfn.RANK.EQ(B123,$B$4:$B$101)+COUNTIF(B$4:$B123,B123)-1,"")</f>
        <v/>
      </c>
      <c r="D123" s="1" t="str">
        <f ca="1">IFERROR(VLOOKUP(C123,Restaurant!A:B,2,0),"")</f>
        <v/>
      </c>
    </row>
    <row r="124" spans="1:4" x14ac:dyDescent="0.25">
      <c r="A124" t="str">
        <f t="shared" si="3"/>
        <v/>
      </c>
      <c r="B124" t="str">
        <f t="shared" ca="1" si="2"/>
        <v/>
      </c>
      <c r="C124" s="1" t="str">
        <f ca="1">IFERROR($C$1-1+_xlfn.RANK.EQ(B124,$B$4:$B$101)+COUNTIF(B$4:$B124,B124)-1,"")</f>
        <v/>
      </c>
      <c r="D124" s="1" t="str">
        <f ca="1">IFERROR(VLOOKUP(C124,Restaurant!A:B,2,0),"")</f>
        <v/>
      </c>
    </row>
    <row r="125" spans="1:4" x14ac:dyDescent="0.25">
      <c r="A125" t="str">
        <f t="shared" si="3"/>
        <v/>
      </c>
      <c r="B125" t="str">
        <f t="shared" ca="1" si="2"/>
        <v/>
      </c>
      <c r="C125" s="1" t="str">
        <f ca="1">IFERROR($C$1-1+_xlfn.RANK.EQ(B125,$B$4:$B$101)+COUNTIF(B$4:$B125,B125)-1,"")</f>
        <v/>
      </c>
      <c r="D125" s="1" t="str">
        <f ca="1">IFERROR(VLOOKUP(C125,Restaurant!A:B,2,0),"")</f>
        <v/>
      </c>
    </row>
    <row r="126" spans="1:4" x14ac:dyDescent="0.25">
      <c r="A126" t="str">
        <f t="shared" si="3"/>
        <v/>
      </c>
      <c r="B126" t="str">
        <f t="shared" ca="1" si="2"/>
        <v/>
      </c>
      <c r="C126" s="1" t="str">
        <f ca="1">IFERROR($C$1-1+_xlfn.RANK.EQ(B126,$B$4:$B$101)+COUNTIF(B$4:$B126,B126)-1,"")</f>
        <v/>
      </c>
      <c r="D126" s="1" t="str">
        <f ca="1">IFERROR(VLOOKUP(C126,Restaurant!A:B,2,0),"")</f>
        <v/>
      </c>
    </row>
    <row r="127" spans="1:4" x14ac:dyDescent="0.25">
      <c r="A127" t="str">
        <f t="shared" si="3"/>
        <v/>
      </c>
      <c r="B127" t="str">
        <f t="shared" ca="1" si="2"/>
        <v/>
      </c>
      <c r="C127" s="1" t="str">
        <f ca="1">IFERROR($C$1-1+_xlfn.RANK.EQ(B127,$B$4:$B$101)+COUNTIF(B$4:$B127,B127)-1,"")</f>
        <v/>
      </c>
      <c r="D127" s="1" t="str">
        <f ca="1">IFERROR(VLOOKUP(C127,Restaurant!A:B,2,0),"")</f>
        <v/>
      </c>
    </row>
    <row r="128" spans="1:4" x14ac:dyDescent="0.25">
      <c r="A128" t="str">
        <f t="shared" si="3"/>
        <v/>
      </c>
      <c r="B128" t="str">
        <f t="shared" ca="1" si="2"/>
        <v/>
      </c>
      <c r="C128" s="1" t="str">
        <f ca="1">IFERROR($C$1-1+_xlfn.RANK.EQ(B128,$B$4:$B$101)+COUNTIF(B$4:$B128,B128)-1,"")</f>
        <v/>
      </c>
      <c r="D128" s="1" t="str">
        <f ca="1">IFERROR(VLOOKUP(C128,Restaurant!A:B,2,0),"")</f>
        <v/>
      </c>
    </row>
    <row r="129" spans="1:4" x14ac:dyDescent="0.25">
      <c r="A129" t="str">
        <f t="shared" si="3"/>
        <v/>
      </c>
      <c r="B129" t="str">
        <f t="shared" ca="1" si="2"/>
        <v/>
      </c>
      <c r="C129" s="1" t="str">
        <f ca="1">IFERROR($C$1-1+_xlfn.RANK.EQ(B129,$B$4:$B$101)+COUNTIF(B$4:$B129,B129)-1,"")</f>
        <v/>
      </c>
      <c r="D129" s="1" t="str">
        <f ca="1">IFERROR(VLOOKUP(C129,Restaurant!A:B,2,0),"")</f>
        <v/>
      </c>
    </row>
    <row r="130" spans="1:4" x14ac:dyDescent="0.25">
      <c r="A130" t="str">
        <f t="shared" si="3"/>
        <v/>
      </c>
      <c r="B130" t="str">
        <f t="shared" ca="1" si="2"/>
        <v/>
      </c>
      <c r="C130" s="1" t="str">
        <f ca="1">IFERROR($C$1-1+_xlfn.RANK.EQ(B130,$B$4:$B$101)+COUNTIF(B$4:$B130,B130)-1,"")</f>
        <v/>
      </c>
      <c r="D130" s="1" t="str">
        <f ca="1">IFERROR(VLOOKUP(C130,Restaurant!A:B,2,0),"")</f>
        <v/>
      </c>
    </row>
    <row r="131" spans="1:4" x14ac:dyDescent="0.25">
      <c r="A131" t="str">
        <f t="shared" si="3"/>
        <v/>
      </c>
      <c r="B131" t="str">
        <f t="shared" ca="1" si="2"/>
        <v/>
      </c>
      <c r="C131" s="1" t="str">
        <f ca="1">IFERROR($C$1-1+_xlfn.RANK.EQ(B131,$B$4:$B$101)+COUNTIF(B$4:$B131,B131)-1,"")</f>
        <v/>
      </c>
      <c r="D131" s="1" t="str">
        <f ca="1">IFERROR(VLOOKUP(C131,Restaurant!A:B,2,0),"")</f>
        <v/>
      </c>
    </row>
    <row r="132" spans="1:4" x14ac:dyDescent="0.25">
      <c r="A132" t="str">
        <f t="shared" si="3"/>
        <v/>
      </c>
      <c r="B132" t="str">
        <f t="shared" ref="B132:B195" ca="1" si="4">IF(A132="","",RANDBETWEEN($C$1,$C$2))</f>
        <v/>
      </c>
      <c r="C132" s="1" t="str">
        <f ca="1">IFERROR($C$1-1+_xlfn.RANK.EQ(B132,$B$4:$B$101)+COUNTIF(B$4:$B132,B132)-1,"")</f>
        <v/>
      </c>
      <c r="D132" s="1" t="str">
        <f ca="1">IFERROR(VLOOKUP(C132,Restaurant!A:B,2,0),"")</f>
        <v/>
      </c>
    </row>
    <row r="133" spans="1:4" x14ac:dyDescent="0.25">
      <c r="A133" t="str">
        <f t="shared" si="3"/>
        <v/>
      </c>
      <c r="B133" t="str">
        <f t="shared" ca="1" si="4"/>
        <v/>
      </c>
      <c r="C133" s="1" t="str">
        <f ca="1">IFERROR($C$1-1+_xlfn.RANK.EQ(B133,$B$4:$B$101)+COUNTIF(B$4:$B133,B133)-1,"")</f>
        <v/>
      </c>
      <c r="D133" s="1" t="str">
        <f ca="1">IFERROR(VLOOKUP(C133,Restaurant!A:B,2,0),"")</f>
        <v/>
      </c>
    </row>
    <row r="134" spans="1:4" x14ac:dyDescent="0.25">
      <c r="A134" t="str">
        <f t="shared" ref="A134:A197" si="5">IFERROR(IF(A133+1&gt;$C$2,"",A133+1),"")</f>
        <v/>
      </c>
      <c r="B134" t="str">
        <f t="shared" ca="1" si="4"/>
        <v/>
      </c>
      <c r="C134" s="1" t="str">
        <f ca="1">IFERROR($C$1-1+_xlfn.RANK.EQ(B134,$B$4:$B$101)+COUNTIF(B$4:$B134,B134)-1,"")</f>
        <v/>
      </c>
      <c r="D134" s="1" t="str">
        <f ca="1">IFERROR(VLOOKUP(C134,Restaurant!A:B,2,0),"")</f>
        <v/>
      </c>
    </row>
    <row r="135" spans="1:4" x14ac:dyDescent="0.25">
      <c r="A135" t="str">
        <f t="shared" si="5"/>
        <v/>
      </c>
      <c r="B135" t="str">
        <f t="shared" ca="1" si="4"/>
        <v/>
      </c>
      <c r="C135" s="1" t="str">
        <f ca="1">IFERROR($C$1-1+_xlfn.RANK.EQ(B135,$B$4:$B$101)+COUNTIF(B$4:$B135,B135)-1,"")</f>
        <v/>
      </c>
      <c r="D135" s="1" t="str">
        <f ca="1">IFERROR(VLOOKUP(C135,Restaurant!A:B,2,0),"")</f>
        <v/>
      </c>
    </row>
    <row r="136" spans="1:4" x14ac:dyDescent="0.25">
      <c r="A136" t="str">
        <f t="shared" si="5"/>
        <v/>
      </c>
      <c r="B136" t="str">
        <f t="shared" ca="1" si="4"/>
        <v/>
      </c>
      <c r="C136" s="1" t="str">
        <f ca="1">IFERROR($C$1-1+_xlfn.RANK.EQ(B136,$B$4:$B$101)+COUNTIF(B$4:$B136,B136)-1,"")</f>
        <v/>
      </c>
      <c r="D136" s="1" t="str">
        <f ca="1">IFERROR(VLOOKUP(C136,Restaurant!A:B,2,0),"")</f>
        <v/>
      </c>
    </row>
    <row r="137" spans="1:4" x14ac:dyDescent="0.25">
      <c r="A137" t="str">
        <f t="shared" si="5"/>
        <v/>
      </c>
      <c r="B137" t="str">
        <f t="shared" ca="1" si="4"/>
        <v/>
      </c>
      <c r="C137" s="1" t="str">
        <f ca="1">IFERROR($C$1-1+_xlfn.RANK.EQ(B137,$B$4:$B$101)+COUNTIF(B$4:$B137,B137)-1,"")</f>
        <v/>
      </c>
      <c r="D137" s="1" t="str">
        <f ca="1">IFERROR(VLOOKUP(C137,Restaurant!A:B,2,0),"")</f>
        <v/>
      </c>
    </row>
    <row r="138" spans="1:4" x14ac:dyDescent="0.25">
      <c r="A138" t="str">
        <f t="shared" si="5"/>
        <v/>
      </c>
      <c r="B138" t="str">
        <f t="shared" ca="1" si="4"/>
        <v/>
      </c>
      <c r="C138" s="1" t="str">
        <f ca="1">IFERROR($C$1-1+_xlfn.RANK.EQ(B138,$B$4:$B$101)+COUNTIF(B$4:$B138,B138)-1,"")</f>
        <v/>
      </c>
      <c r="D138" s="1" t="str">
        <f ca="1">IFERROR(VLOOKUP(C138,Restaurant!A:B,2,0),"")</f>
        <v/>
      </c>
    </row>
    <row r="139" spans="1:4" x14ac:dyDescent="0.25">
      <c r="A139" t="str">
        <f t="shared" si="5"/>
        <v/>
      </c>
      <c r="B139" t="str">
        <f t="shared" ca="1" si="4"/>
        <v/>
      </c>
      <c r="C139" s="1" t="str">
        <f ca="1">IFERROR($C$1-1+_xlfn.RANK.EQ(B139,$B$4:$B$101)+COUNTIF(B$4:$B139,B139)-1,"")</f>
        <v/>
      </c>
      <c r="D139" s="1" t="str">
        <f ca="1">IFERROR(VLOOKUP(C139,Restaurant!A:B,2,0),"")</f>
        <v/>
      </c>
    </row>
    <row r="140" spans="1:4" x14ac:dyDescent="0.25">
      <c r="A140" t="str">
        <f t="shared" si="5"/>
        <v/>
      </c>
      <c r="B140" t="str">
        <f t="shared" ca="1" si="4"/>
        <v/>
      </c>
      <c r="C140" s="1" t="str">
        <f ca="1">IFERROR($C$1-1+_xlfn.RANK.EQ(B140,$B$4:$B$101)+COUNTIF(B$4:$B140,B140)-1,"")</f>
        <v/>
      </c>
      <c r="D140" s="1" t="str">
        <f ca="1">IFERROR(VLOOKUP(C140,Restaurant!A:B,2,0),"")</f>
        <v/>
      </c>
    </row>
    <row r="141" spans="1:4" x14ac:dyDescent="0.25">
      <c r="A141" t="str">
        <f t="shared" si="5"/>
        <v/>
      </c>
      <c r="B141" t="str">
        <f t="shared" ca="1" si="4"/>
        <v/>
      </c>
      <c r="C141" s="1" t="str">
        <f ca="1">IFERROR($C$1-1+_xlfn.RANK.EQ(B141,$B$4:$B$101)+COUNTIF(B$4:$B141,B141)-1,"")</f>
        <v/>
      </c>
      <c r="D141" s="1" t="str">
        <f ca="1">IFERROR(VLOOKUP(C141,Restaurant!A:B,2,0),"")</f>
        <v/>
      </c>
    </row>
    <row r="142" spans="1:4" x14ac:dyDescent="0.25">
      <c r="A142" t="str">
        <f t="shared" si="5"/>
        <v/>
      </c>
      <c r="B142" t="str">
        <f t="shared" ca="1" si="4"/>
        <v/>
      </c>
      <c r="C142" s="1" t="str">
        <f ca="1">IFERROR($C$1-1+_xlfn.RANK.EQ(B142,$B$4:$B$101)+COUNTIF(B$4:$B142,B142)-1,"")</f>
        <v/>
      </c>
      <c r="D142" s="1" t="str">
        <f ca="1">IFERROR(VLOOKUP(C142,Restaurant!A:B,2,0),"")</f>
        <v/>
      </c>
    </row>
    <row r="143" spans="1:4" x14ac:dyDescent="0.25">
      <c r="A143" t="str">
        <f t="shared" si="5"/>
        <v/>
      </c>
      <c r="B143" t="str">
        <f t="shared" ca="1" si="4"/>
        <v/>
      </c>
      <c r="D143" s="1"/>
    </row>
    <row r="144" spans="1:4" x14ac:dyDescent="0.25">
      <c r="A144" t="str">
        <f t="shared" si="5"/>
        <v/>
      </c>
      <c r="B144" t="str">
        <f t="shared" ca="1" si="4"/>
        <v/>
      </c>
      <c r="D144" s="1"/>
    </row>
    <row r="145" spans="1:4" x14ac:dyDescent="0.25">
      <c r="A145" t="str">
        <f t="shared" si="5"/>
        <v/>
      </c>
      <c r="B145" t="str">
        <f t="shared" ca="1" si="4"/>
        <v/>
      </c>
      <c r="D145" s="1"/>
    </row>
    <row r="146" spans="1:4" x14ac:dyDescent="0.25">
      <c r="A146" t="str">
        <f t="shared" si="5"/>
        <v/>
      </c>
      <c r="B146" t="str">
        <f t="shared" ca="1" si="4"/>
        <v/>
      </c>
      <c r="D146" s="1"/>
    </row>
    <row r="147" spans="1:4" x14ac:dyDescent="0.25">
      <c r="A147" t="str">
        <f t="shared" si="5"/>
        <v/>
      </c>
      <c r="B147" t="str">
        <f t="shared" ca="1" si="4"/>
        <v/>
      </c>
      <c r="D147" s="1"/>
    </row>
    <row r="148" spans="1:4" x14ac:dyDescent="0.25">
      <c r="A148" t="str">
        <f t="shared" si="5"/>
        <v/>
      </c>
      <c r="B148" t="str">
        <f t="shared" ca="1" si="4"/>
        <v/>
      </c>
      <c r="D148" s="1"/>
    </row>
    <row r="149" spans="1:4" x14ac:dyDescent="0.25">
      <c r="A149" t="str">
        <f t="shared" si="5"/>
        <v/>
      </c>
      <c r="B149" t="str">
        <f t="shared" ca="1" si="4"/>
        <v/>
      </c>
      <c r="D149" s="1"/>
    </row>
    <row r="150" spans="1:4" x14ac:dyDescent="0.25">
      <c r="A150" t="str">
        <f t="shared" si="5"/>
        <v/>
      </c>
      <c r="B150" t="str">
        <f t="shared" ca="1" si="4"/>
        <v/>
      </c>
      <c r="D150" s="1"/>
    </row>
    <row r="151" spans="1:4" x14ac:dyDescent="0.25">
      <c r="A151" t="str">
        <f t="shared" si="5"/>
        <v/>
      </c>
      <c r="B151" t="str">
        <f t="shared" ca="1" si="4"/>
        <v/>
      </c>
      <c r="D151" s="1"/>
    </row>
    <row r="152" spans="1:4" x14ac:dyDescent="0.25">
      <c r="A152" t="str">
        <f t="shared" si="5"/>
        <v/>
      </c>
      <c r="B152" t="str">
        <f t="shared" ca="1" si="4"/>
        <v/>
      </c>
      <c r="D152" s="1"/>
    </row>
    <row r="153" spans="1:4" x14ac:dyDescent="0.25">
      <c r="A153" t="str">
        <f t="shared" si="5"/>
        <v/>
      </c>
      <c r="B153" t="str">
        <f t="shared" ca="1" si="4"/>
        <v/>
      </c>
      <c r="D153" s="1"/>
    </row>
    <row r="154" spans="1:4" x14ac:dyDescent="0.25">
      <c r="A154" t="str">
        <f t="shared" si="5"/>
        <v/>
      </c>
      <c r="B154" t="str">
        <f t="shared" ca="1" si="4"/>
        <v/>
      </c>
      <c r="D154" s="1"/>
    </row>
    <row r="155" spans="1:4" x14ac:dyDescent="0.25">
      <c r="A155" t="str">
        <f t="shared" si="5"/>
        <v/>
      </c>
      <c r="B155" t="str">
        <f t="shared" ca="1" si="4"/>
        <v/>
      </c>
      <c r="D155" s="1"/>
    </row>
    <row r="156" spans="1:4" x14ac:dyDescent="0.25">
      <c r="A156" t="str">
        <f t="shared" si="5"/>
        <v/>
      </c>
      <c r="B156" t="str">
        <f t="shared" ca="1" si="4"/>
        <v/>
      </c>
      <c r="D156" s="1"/>
    </row>
    <row r="157" spans="1:4" x14ac:dyDescent="0.25">
      <c r="A157" t="str">
        <f t="shared" si="5"/>
        <v/>
      </c>
      <c r="B157" t="str">
        <f t="shared" ca="1" si="4"/>
        <v/>
      </c>
      <c r="D157" s="1"/>
    </row>
    <row r="158" spans="1:4" x14ac:dyDescent="0.25">
      <c r="A158" t="str">
        <f t="shared" si="5"/>
        <v/>
      </c>
      <c r="B158" t="str">
        <f t="shared" ca="1" si="4"/>
        <v/>
      </c>
      <c r="D158" s="1"/>
    </row>
    <row r="159" spans="1:4" x14ac:dyDescent="0.25">
      <c r="A159" t="str">
        <f t="shared" si="5"/>
        <v/>
      </c>
      <c r="B159" t="str">
        <f t="shared" ca="1" si="4"/>
        <v/>
      </c>
      <c r="D159" s="1"/>
    </row>
    <row r="160" spans="1:4" x14ac:dyDescent="0.25">
      <c r="A160" t="str">
        <f t="shared" si="5"/>
        <v/>
      </c>
      <c r="B160" t="str">
        <f t="shared" ca="1" si="4"/>
        <v/>
      </c>
      <c r="D160" s="1"/>
    </row>
    <row r="161" spans="1:4" x14ac:dyDescent="0.25">
      <c r="A161" t="str">
        <f t="shared" si="5"/>
        <v/>
      </c>
      <c r="B161" t="str">
        <f t="shared" ca="1" si="4"/>
        <v/>
      </c>
      <c r="D161" s="1"/>
    </row>
    <row r="162" spans="1:4" x14ac:dyDescent="0.25">
      <c r="A162" t="str">
        <f t="shared" si="5"/>
        <v/>
      </c>
      <c r="B162" t="str">
        <f t="shared" ca="1" si="4"/>
        <v/>
      </c>
      <c r="D162" s="1"/>
    </row>
    <row r="163" spans="1:4" x14ac:dyDescent="0.25">
      <c r="A163" t="str">
        <f t="shared" si="5"/>
        <v/>
      </c>
      <c r="B163" t="str">
        <f t="shared" ca="1" si="4"/>
        <v/>
      </c>
      <c r="D163" s="1"/>
    </row>
    <row r="164" spans="1:4" x14ac:dyDescent="0.25">
      <c r="A164" t="str">
        <f t="shared" si="5"/>
        <v/>
      </c>
      <c r="B164" t="str">
        <f t="shared" ca="1" si="4"/>
        <v/>
      </c>
      <c r="D164" s="1"/>
    </row>
    <row r="165" spans="1:4" x14ac:dyDescent="0.25">
      <c r="A165" t="str">
        <f t="shared" si="5"/>
        <v/>
      </c>
      <c r="B165" t="str">
        <f t="shared" ca="1" si="4"/>
        <v/>
      </c>
      <c r="D165" s="1"/>
    </row>
    <row r="166" spans="1:4" x14ac:dyDescent="0.25">
      <c r="A166" t="str">
        <f t="shared" si="5"/>
        <v/>
      </c>
      <c r="B166" t="str">
        <f t="shared" ca="1" si="4"/>
        <v/>
      </c>
      <c r="D166" s="1"/>
    </row>
    <row r="167" spans="1:4" x14ac:dyDescent="0.25">
      <c r="A167" t="str">
        <f t="shared" si="5"/>
        <v/>
      </c>
      <c r="B167" t="str">
        <f t="shared" ca="1" si="4"/>
        <v/>
      </c>
      <c r="D167" s="1"/>
    </row>
    <row r="168" spans="1:4" x14ac:dyDescent="0.25">
      <c r="A168" t="str">
        <f t="shared" si="5"/>
        <v/>
      </c>
      <c r="B168" t="str">
        <f t="shared" ca="1" si="4"/>
        <v/>
      </c>
      <c r="D168" s="1"/>
    </row>
    <row r="169" spans="1:4" x14ac:dyDescent="0.25">
      <c r="A169" t="str">
        <f t="shared" si="5"/>
        <v/>
      </c>
      <c r="B169" t="str">
        <f t="shared" ca="1" si="4"/>
        <v/>
      </c>
      <c r="D169" s="1"/>
    </row>
    <row r="170" spans="1:4" x14ac:dyDescent="0.25">
      <c r="A170" t="str">
        <f t="shared" si="5"/>
        <v/>
      </c>
      <c r="B170" t="str">
        <f t="shared" ca="1" si="4"/>
        <v/>
      </c>
      <c r="D170" s="1"/>
    </row>
    <row r="171" spans="1:4" x14ac:dyDescent="0.25">
      <c r="A171" t="str">
        <f t="shared" si="5"/>
        <v/>
      </c>
      <c r="B171" t="str">
        <f t="shared" ca="1" si="4"/>
        <v/>
      </c>
      <c r="D171" s="1"/>
    </row>
    <row r="172" spans="1:4" x14ac:dyDescent="0.25">
      <c r="A172" t="str">
        <f t="shared" si="5"/>
        <v/>
      </c>
      <c r="B172" t="str">
        <f t="shared" ca="1" si="4"/>
        <v/>
      </c>
      <c r="D172" s="1"/>
    </row>
    <row r="173" spans="1:4" x14ac:dyDescent="0.25">
      <c r="A173" t="str">
        <f t="shared" si="5"/>
        <v/>
      </c>
      <c r="B173" t="str">
        <f t="shared" ca="1" si="4"/>
        <v/>
      </c>
      <c r="D173" s="1"/>
    </row>
    <row r="174" spans="1:4" x14ac:dyDescent="0.25">
      <c r="A174" t="str">
        <f t="shared" si="5"/>
        <v/>
      </c>
      <c r="B174" t="str">
        <f t="shared" ca="1" si="4"/>
        <v/>
      </c>
      <c r="D174" s="1"/>
    </row>
    <row r="175" spans="1:4" x14ac:dyDescent="0.25">
      <c r="A175" t="str">
        <f t="shared" si="5"/>
        <v/>
      </c>
      <c r="B175" t="str">
        <f t="shared" ca="1" si="4"/>
        <v/>
      </c>
      <c r="D175" s="1"/>
    </row>
    <row r="176" spans="1:4" x14ac:dyDescent="0.25">
      <c r="A176" t="str">
        <f t="shared" si="5"/>
        <v/>
      </c>
      <c r="B176" t="str">
        <f t="shared" ca="1" si="4"/>
        <v/>
      </c>
      <c r="D176" s="1"/>
    </row>
    <row r="177" spans="1:4" x14ac:dyDescent="0.25">
      <c r="A177" t="str">
        <f t="shared" si="5"/>
        <v/>
      </c>
      <c r="B177" t="str">
        <f t="shared" ca="1" si="4"/>
        <v/>
      </c>
      <c r="D177" s="1"/>
    </row>
    <row r="178" spans="1:4" x14ac:dyDescent="0.25">
      <c r="A178" t="str">
        <f t="shared" si="5"/>
        <v/>
      </c>
      <c r="B178" t="str">
        <f t="shared" ca="1" si="4"/>
        <v/>
      </c>
      <c r="D178" s="1"/>
    </row>
    <row r="179" spans="1:4" x14ac:dyDescent="0.25">
      <c r="A179" t="str">
        <f t="shared" si="5"/>
        <v/>
      </c>
      <c r="B179" t="str">
        <f t="shared" ca="1" si="4"/>
        <v/>
      </c>
      <c r="D179" s="1"/>
    </row>
    <row r="180" spans="1:4" x14ac:dyDescent="0.25">
      <c r="A180" t="str">
        <f t="shared" si="5"/>
        <v/>
      </c>
      <c r="B180" t="str">
        <f t="shared" ca="1" si="4"/>
        <v/>
      </c>
      <c r="D180" s="1"/>
    </row>
    <row r="181" spans="1:4" x14ac:dyDescent="0.25">
      <c r="A181" t="str">
        <f t="shared" si="5"/>
        <v/>
      </c>
      <c r="B181" t="str">
        <f t="shared" ca="1" si="4"/>
        <v/>
      </c>
      <c r="D181" s="1"/>
    </row>
    <row r="182" spans="1:4" x14ac:dyDescent="0.25">
      <c r="A182" t="str">
        <f t="shared" si="5"/>
        <v/>
      </c>
      <c r="B182" t="str">
        <f t="shared" ca="1" si="4"/>
        <v/>
      </c>
      <c r="D182" s="1"/>
    </row>
    <row r="183" spans="1:4" x14ac:dyDescent="0.25">
      <c r="A183" t="str">
        <f t="shared" si="5"/>
        <v/>
      </c>
      <c r="B183" t="str">
        <f t="shared" ca="1" si="4"/>
        <v/>
      </c>
      <c r="D183" s="1"/>
    </row>
    <row r="184" spans="1:4" x14ac:dyDescent="0.25">
      <c r="A184" t="str">
        <f t="shared" si="5"/>
        <v/>
      </c>
      <c r="B184" t="str">
        <f t="shared" ca="1" si="4"/>
        <v/>
      </c>
      <c r="D184" s="1"/>
    </row>
    <row r="185" spans="1:4" x14ac:dyDescent="0.25">
      <c r="A185" t="str">
        <f t="shared" si="5"/>
        <v/>
      </c>
      <c r="B185" t="str">
        <f t="shared" ca="1" si="4"/>
        <v/>
      </c>
      <c r="D185" s="1"/>
    </row>
    <row r="186" spans="1:4" x14ac:dyDescent="0.25">
      <c r="A186" t="str">
        <f t="shared" si="5"/>
        <v/>
      </c>
      <c r="B186" t="str">
        <f t="shared" ca="1" si="4"/>
        <v/>
      </c>
      <c r="D186" s="1"/>
    </row>
    <row r="187" spans="1:4" x14ac:dyDescent="0.25">
      <c r="A187" t="str">
        <f t="shared" si="5"/>
        <v/>
      </c>
      <c r="B187" t="str">
        <f t="shared" ca="1" si="4"/>
        <v/>
      </c>
      <c r="D187" s="1"/>
    </row>
    <row r="188" spans="1:4" x14ac:dyDescent="0.25">
      <c r="A188" t="str">
        <f t="shared" si="5"/>
        <v/>
      </c>
      <c r="B188" t="str">
        <f t="shared" ca="1" si="4"/>
        <v/>
      </c>
      <c r="D188" s="1"/>
    </row>
    <row r="189" spans="1:4" x14ac:dyDescent="0.25">
      <c r="A189" t="str">
        <f t="shared" si="5"/>
        <v/>
      </c>
      <c r="B189" t="str">
        <f t="shared" ca="1" si="4"/>
        <v/>
      </c>
      <c r="D189" s="1"/>
    </row>
    <row r="190" spans="1:4" x14ac:dyDescent="0.25">
      <c r="A190" t="str">
        <f t="shared" si="5"/>
        <v/>
      </c>
      <c r="B190" t="str">
        <f t="shared" ca="1" si="4"/>
        <v/>
      </c>
      <c r="D190" s="1"/>
    </row>
    <row r="191" spans="1:4" x14ac:dyDescent="0.25">
      <c r="A191" t="str">
        <f t="shared" si="5"/>
        <v/>
      </c>
      <c r="B191" t="str">
        <f t="shared" ca="1" si="4"/>
        <v/>
      </c>
      <c r="D191" s="1"/>
    </row>
    <row r="192" spans="1:4" x14ac:dyDescent="0.25">
      <c r="A192" t="str">
        <f t="shared" si="5"/>
        <v/>
      </c>
      <c r="B192" t="str">
        <f t="shared" ca="1" si="4"/>
        <v/>
      </c>
      <c r="D192" s="1"/>
    </row>
    <row r="193" spans="1:4" x14ac:dyDescent="0.25">
      <c r="A193" t="str">
        <f t="shared" si="5"/>
        <v/>
      </c>
      <c r="B193" t="str">
        <f t="shared" ca="1" si="4"/>
        <v/>
      </c>
      <c r="D193" s="1"/>
    </row>
    <row r="194" spans="1:4" x14ac:dyDescent="0.25">
      <c r="A194" t="str">
        <f t="shared" si="5"/>
        <v/>
      </c>
      <c r="B194" t="str">
        <f t="shared" ca="1" si="4"/>
        <v/>
      </c>
      <c r="D194" s="1"/>
    </row>
    <row r="195" spans="1:4" x14ac:dyDescent="0.25">
      <c r="A195" t="str">
        <f t="shared" si="5"/>
        <v/>
      </c>
      <c r="B195" t="str">
        <f t="shared" ca="1" si="4"/>
        <v/>
      </c>
      <c r="D195" s="1"/>
    </row>
    <row r="196" spans="1:4" x14ac:dyDescent="0.25">
      <c r="A196" t="str">
        <f t="shared" si="5"/>
        <v/>
      </c>
      <c r="B196" t="str">
        <f t="shared" ref="B196:B259" ca="1" si="6">IF(A196="","",RANDBETWEEN($C$1,$C$2))</f>
        <v/>
      </c>
      <c r="D196" s="1"/>
    </row>
    <row r="197" spans="1:4" x14ac:dyDescent="0.25">
      <c r="A197" t="str">
        <f t="shared" si="5"/>
        <v/>
      </c>
      <c r="B197" t="str">
        <f t="shared" ca="1" si="6"/>
        <v/>
      </c>
      <c r="D197" s="1"/>
    </row>
    <row r="198" spans="1:4" x14ac:dyDescent="0.25">
      <c r="A198" t="str">
        <f t="shared" ref="A198:A261" si="7">IFERROR(IF(A197+1&gt;$C$2,"",A197+1),"")</f>
        <v/>
      </c>
      <c r="B198" t="str">
        <f t="shared" ca="1" si="6"/>
        <v/>
      </c>
      <c r="D198" s="1"/>
    </row>
    <row r="199" spans="1:4" x14ac:dyDescent="0.25">
      <c r="A199" t="str">
        <f t="shared" si="7"/>
        <v/>
      </c>
      <c r="B199" t="str">
        <f t="shared" ca="1" si="6"/>
        <v/>
      </c>
      <c r="D199" s="1"/>
    </row>
    <row r="200" spans="1:4" x14ac:dyDescent="0.25">
      <c r="A200" t="str">
        <f t="shared" si="7"/>
        <v/>
      </c>
      <c r="B200" t="str">
        <f t="shared" ca="1" si="6"/>
        <v/>
      </c>
      <c r="D200" s="1"/>
    </row>
    <row r="201" spans="1:4" x14ac:dyDescent="0.25">
      <c r="A201" t="str">
        <f t="shared" si="7"/>
        <v/>
      </c>
      <c r="B201" t="str">
        <f t="shared" ca="1" si="6"/>
        <v/>
      </c>
      <c r="D201" s="1"/>
    </row>
    <row r="202" spans="1:4" x14ac:dyDescent="0.25">
      <c r="A202" t="str">
        <f t="shared" si="7"/>
        <v/>
      </c>
      <c r="B202" t="str">
        <f t="shared" ca="1" si="6"/>
        <v/>
      </c>
      <c r="D202" s="1"/>
    </row>
    <row r="203" spans="1:4" x14ac:dyDescent="0.25">
      <c r="A203" t="str">
        <f t="shared" si="7"/>
        <v/>
      </c>
      <c r="B203" t="str">
        <f t="shared" ca="1" si="6"/>
        <v/>
      </c>
      <c r="D203" s="1"/>
    </row>
    <row r="204" spans="1:4" x14ac:dyDescent="0.25">
      <c r="A204" t="str">
        <f t="shared" si="7"/>
        <v/>
      </c>
      <c r="B204" t="str">
        <f t="shared" ca="1" si="6"/>
        <v/>
      </c>
      <c r="D204" s="1"/>
    </row>
    <row r="205" spans="1:4" x14ac:dyDescent="0.25">
      <c r="A205" t="str">
        <f t="shared" si="7"/>
        <v/>
      </c>
      <c r="B205" t="str">
        <f t="shared" ca="1" si="6"/>
        <v/>
      </c>
      <c r="D205" s="1"/>
    </row>
    <row r="206" spans="1:4" x14ac:dyDescent="0.25">
      <c r="A206" t="str">
        <f t="shared" si="7"/>
        <v/>
      </c>
      <c r="B206" t="str">
        <f t="shared" ca="1" si="6"/>
        <v/>
      </c>
      <c r="D206" s="1"/>
    </row>
    <row r="207" spans="1:4" x14ac:dyDescent="0.25">
      <c r="A207" t="str">
        <f t="shared" si="7"/>
        <v/>
      </c>
      <c r="B207" t="str">
        <f t="shared" ca="1" si="6"/>
        <v/>
      </c>
      <c r="D207" s="1"/>
    </row>
    <row r="208" spans="1:4" x14ac:dyDescent="0.25">
      <c r="A208" t="str">
        <f t="shared" si="7"/>
        <v/>
      </c>
      <c r="B208" t="str">
        <f t="shared" ca="1" si="6"/>
        <v/>
      </c>
      <c r="D208" s="1"/>
    </row>
    <row r="209" spans="1:4" x14ac:dyDescent="0.25">
      <c r="A209" t="str">
        <f t="shared" si="7"/>
        <v/>
      </c>
      <c r="B209" t="str">
        <f t="shared" ca="1" si="6"/>
        <v/>
      </c>
      <c r="D209" s="1"/>
    </row>
    <row r="210" spans="1:4" x14ac:dyDescent="0.25">
      <c r="A210" t="str">
        <f t="shared" si="7"/>
        <v/>
      </c>
      <c r="B210" t="str">
        <f t="shared" ca="1" si="6"/>
        <v/>
      </c>
      <c r="D210" s="1"/>
    </row>
    <row r="211" spans="1:4" x14ac:dyDescent="0.25">
      <c r="A211" t="str">
        <f t="shared" si="7"/>
        <v/>
      </c>
      <c r="B211" t="str">
        <f t="shared" ca="1" si="6"/>
        <v/>
      </c>
      <c r="D211" s="1"/>
    </row>
    <row r="212" spans="1:4" x14ac:dyDescent="0.25">
      <c r="A212" t="str">
        <f t="shared" si="7"/>
        <v/>
      </c>
      <c r="B212" t="str">
        <f t="shared" ca="1" si="6"/>
        <v/>
      </c>
      <c r="D212" s="1"/>
    </row>
    <row r="213" spans="1:4" x14ac:dyDescent="0.25">
      <c r="A213" t="str">
        <f t="shared" si="7"/>
        <v/>
      </c>
      <c r="B213" t="str">
        <f t="shared" ca="1" si="6"/>
        <v/>
      </c>
      <c r="D213" s="1"/>
    </row>
    <row r="214" spans="1:4" x14ac:dyDescent="0.25">
      <c r="A214" t="str">
        <f t="shared" si="7"/>
        <v/>
      </c>
      <c r="B214" t="str">
        <f t="shared" ca="1" si="6"/>
        <v/>
      </c>
      <c r="D214" s="1"/>
    </row>
    <row r="215" spans="1:4" x14ac:dyDescent="0.25">
      <c r="A215" t="str">
        <f t="shared" si="7"/>
        <v/>
      </c>
      <c r="B215" t="str">
        <f t="shared" ca="1" si="6"/>
        <v/>
      </c>
      <c r="D215" s="1"/>
    </row>
    <row r="216" spans="1:4" x14ac:dyDescent="0.25">
      <c r="A216" t="str">
        <f t="shared" si="7"/>
        <v/>
      </c>
      <c r="B216" t="str">
        <f t="shared" ca="1" si="6"/>
        <v/>
      </c>
      <c r="D216" s="1"/>
    </row>
    <row r="217" spans="1:4" x14ac:dyDescent="0.25">
      <c r="A217" t="str">
        <f t="shared" si="7"/>
        <v/>
      </c>
      <c r="B217" t="str">
        <f t="shared" ca="1" si="6"/>
        <v/>
      </c>
      <c r="D217" s="1"/>
    </row>
    <row r="218" spans="1:4" x14ac:dyDescent="0.25">
      <c r="A218" t="str">
        <f t="shared" si="7"/>
        <v/>
      </c>
      <c r="B218" t="str">
        <f t="shared" ca="1" si="6"/>
        <v/>
      </c>
      <c r="D218" s="1"/>
    </row>
    <row r="219" spans="1:4" x14ac:dyDescent="0.25">
      <c r="A219" t="str">
        <f t="shared" si="7"/>
        <v/>
      </c>
      <c r="B219" t="str">
        <f t="shared" ca="1" si="6"/>
        <v/>
      </c>
      <c r="D219" s="1"/>
    </row>
    <row r="220" spans="1:4" x14ac:dyDescent="0.25">
      <c r="A220" t="str">
        <f t="shared" si="7"/>
        <v/>
      </c>
      <c r="B220" t="str">
        <f t="shared" ca="1" si="6"/>
        <v/>
      </c>
      <c r="D220" s="1"/>
    </row>
    <row r="221" spans="1:4" x14ac:dyDescent="0.25">
      <c r="A221" t="str">
        <f t="shared" si="7"/>
        <v/>
      </c>
      <c r="B221" t="str">
        <f t="shared" ca="1" si="6"/>
        <v/>
      </c>
      <c r="D221" s="1"/>
    </row>
    <row r="222" spans="1:4" x14ac:dyDescent="0.25">
      <c r="A222" t="str">
        <f t="shared" si="7"/>
        <v/>
      </c>
      <c r="B222" t="str">
        <f t="shared" ca="1" si="6"/>
        <v/>
      </c>
      <c r="D222" s="1"/>
    </row>
    <row r="223" spans="1:4" x14ac:dyDescent="0.25">
      <c r="A223" t="str">
        <f t="shared" si="7"/>
        <v/>
      </c>
      <c r="B223" t="str">
        <f t="shared" ca="1" si="6"/>
        <v/>
      </c>
      <c r="D223" s="1"/>
    </row>
    <row r="224" spans="1:4" x14ac:dyDescent="0.25">
      <c r="A224" t="str">
        <f t="shared" si="7"/>
        <v/>
      </c>
      <c r="B224" t="str">
        <f t="shared" ca="1" si="6"/>
        <v/>
      </c>
      <c r="D224" s="1"/>
    </row>
    <row r="225" spans="1:4" x14ac:dyDescent="0.25">
      <c r="A225" t="str">
        <f t="shared" si="7"/>
        <v/>
      </c>
      <c r="B225" t="str">
        <f t="shared" ca="1" si="6"/>
        <v/>
      </c>
      <c r="D225" s="1"/>
    </row>
    <row r="226" spans="1:4" x14ac:dyDescent="0.25">
      <c r="A226" t="str">
        <f t="shared" si="7"/>
        <v/>
      </c>
      <c r="B226" t="str">
        <f t="shared" ca="1" si="6"/>
        <v/>
      </c>
      <c r="D226" s="1"/>
    </row>
    <row r="227" spans="1:4" x14ac:dyDescent="0.25">
      <c r="A227" t="str">
        <f t="shared" si="7"/>
        <v/>
      </c>
      <c r="B227" t="str">
        <f t="shared" ca="1" si="6"/>
        <v/>
      </c>
      <c r="D227" s="1"/>
    </row>
    <row r="228" spans="1:4" x14ac:dyDescent="0.25">
      <c r="A228" t="str">
        <f t="shared" si="7"/>
        <v/>
      </c>
      <c r="B228" t="str">
        <f t="shared" ca="1" si="6"/>
        <v/>
      </c>
      <c r="D228" s="1"/>
    </row>
    <row r="229" spans="1:4" x14ac:dyDescent="0.25">
      <c r="A229" t="str">
        <f t="shared" si="7"/>
        <v/>
      </c>
      <c r="B229" t="str">
        <f t="shared" ca="1" si="6"/>
        <v/>
      </c>
      <c r="D229" s="1"/>
    </row>
    <row r="230" spans="1:4" x14ac:dyDescent="0.25">
      <c r="A230" t="str">
        <f t="shared" si="7"/>
        <v/>
      </c>
      <c r="B230" t="str">
        <f t="shared" ca="1" si="6"/>
        <v/>
      </c>
      <c r="D230" s="1"/>
    </row>
    <row r="231" spans="1:4" x14ac:dyDescent="0.25">
      <c r="A231" t="str">
        <f t="shared" si="7"/>
        <v/>
      </c>
      <c r="B231" t="str">
        <f t="shared" ca="1" si="6"/>
        <v/>
      </c>
      <c r="D231" s="1"/>
    </row>
    <row r="232" spans="1:4" x14ac:dyDescent="0.25">
      <c r="A232" t="str">
        <f t="shared" si="7"/>
        <v/>
      </c>
      <c r="B232" t="str">
        <f t="shared" ca="1" si="6"/>
        <v/>
      </c>
      <c r="D232" s="1"/>
    </row>
    <row r="233" spans="1:4" x14ac:dyDescent="0.25">
      <c r="A233" t="str">
        <f t="shared" si="7"/>
        <v/>
      </c>
      <c r="B233" t="str">
        <f t="shared" ca="1" si="6"/>
        <v/>
      </c>
      <c r="D233" s="1"/>
    </row>
    <row r="234" spans="1:4" x14ac:dyDescent="0.25">
      <c r="A234" t="str">
        <f t="shared" si="7"/>
        <v/>
      </c>
      <c r="B234" t="str">
        <f t="shared" ca="1" si="6"/>
        <v/>
      </c>
      <c r="D234" s="1"/>
    </row>
    <row r="235" spans="1:4" x14ac:dyDescent="0.25">
      <c r="A235" t="str">
        <f t="shared" si="7"/>
        <v/>
      </c>
      <c r="B235" t="str">
        <f t="shared" ca="1" si="6"/>
        <v/>
      </c>
      <c r="D235" s="1"/>
    </row>
    <row r="236" spans="1:4" x14ac:dyDescent="0.25">
      <c r="A236" t="str">
        <f t="shared" si="7"/>
        <v/>
      </c>
      <c r="B236" t="str">
        <f t="shared" ca="1" si="6"/>
        <v/>
      </c>
      <c r="D236" s="1"/>
    </row>
    <row r="237" spans="1:4" x14ac:dyDescent="0.25">
      <c r="A237" t="str">
        <f t="shared" si="7"/>
        <v/>
      </c>
      <c r="B237" t="str">
        <f t="shared" ca="1" si="6"/>
        <v/>
      </c>
      <c r="D237" s="1"/>
    </row>
    <row r="238" spans="1:4" x14ac:dyDescent="0.25">
      <c r="A238" t="str">
        <f t="shared" si="7"/>
        <v/>
      </c>
      <c r="B238" t="str">
        <f t="shared" ca="1" si="6"/>
        <v/>
      </c>
      <c r="D238" s="1"/>
    </row>
    <row r="239" spans="1:4" x14ac:dyDescent="0.25">
      <c r="A239" t="str">
        <f t="shared" si="7"/>
        <v/>
      </c>
      <c r="B239" t="str">
        <f t="shared" ca="1" si="6"/>
        <v/>
      </c>
      <c r="D239" s="1"/>
    </row>
    <row r="240" spans="1:4" x14ac:dyDescent="0.25">
      <c r="A240" t="str">
        <f t="shared" si="7"/>
        <v/>
      </c>
      <c r="B240" t="str">
        <f t="shared" ca="1" si="6"/>
        <v/>
      </c>
      <c r="D240" s="1"/>
    </row>
    <row r="241" spans="1:4" x14ac:dyDescent="0.25">
      <c r="A241" t="str">
        <f t="shared" si="7"/>
        <v/>
      </c>
      <c r="B241" t="str">
        <f t="shared" ca="1" si="6"/>
        <v/>
      </c>
      <c r="D241" s="1"/>
    </row>
    <row r="242" spans="1:4" x14ac:dyDescent="0.25">
      <c r="A242" t="str">
        <f t="shared" si="7"/>
        <v/>
      </c>
      <c r="B242" t="str">
        <f t="shared" ca="1" si="6"/>
        <v/>
      </c>
      <c r="D242" s="1"/>
    </row>
    <row r="243" spans="1:4" x14ac:dyDescent="0.25">
      <c r="A243" t="str">
        <f t="shared" si="7"/>
        <v/>
      </c>
      <c r="B243" t="str">
        <f t="shared" ca="1" si="6"/>
        <v/>
      </c>
      <c r="D243" s="1"/>
    </row>
    <row r="244" spans="1:4" x14ac:dyDescent="0.25">
      <c r="A244" t="str">
        <f t="shared" si="7"/>
        <v/>
      </c>
      <c r="B244" t="str">
        <f t="shared" ca="1" si="6"/>
        <v/>
      </c>
      <c r="D244" s="1"/>
    </row>
    <row r="245" spans="1:4" x14ac:dyDescent="0.25">
      <c r="A245" t="str">
        <f t="shared" si="7"/>
        <v/>
      </c>
      <c r="B245" t="str">
        <f t="shared" ca="1" si="6"/>
        <v/>
      </c>
      <c r="D245" s="1"/>
    </row>
    <row r="246" spans="1:4" x14ac:dyDescent="0.25">
      <c r="A246" t="str">
        <f t="shared" si="7"/>
        <v/>
      </c>
      <c r="B246" t="str">
        <f t="shared" ca="1" si="6"/>
        <v/>
      </c>
      <c r="D246" s="1"/>
    </row>
    <row r="247" spans="1:4" x14ac:dyDescent="0.25">
      <c r="A247" t="str">
        <f t="shared" si="7"/>
        <v/>
      </c>
      <c r="B247" t="str">
        <f t="shared" ca="1" si="6"/>
        <v/>
      </c>
      <c r="D247" s="1"/>
    </row>
    <row r="248" spans="1:4" x14ac:dyDescent="0.25">
      <c r="A248" t="str">
        <f t="shared" si="7"/>
        <v/>
      </c>
      <c r="B248" t="str">
        <f t="shared" ca="1" si="6"/>
        <v/>
      </c>
      <c r="D248" s="1"/>
    </row>
    <row r="249" spans="1:4" x14ac:dyDescent="0.25">
      <c r="A249" t="str">
        <f t="shared" si="7"/>
        <v/>
      </c>
      <c r="B249" t="str">
        <f t="shared" ca="1" si="6"/>
        <v/>
      </c>
      <c r="D249" s="1"/>
    </row>
    <row r="250" spans="1:4" x14ac:dyDescent="0.25">
      <c r="A250" t="str">
        <f t="shared" si="7"/>
        <v/>
      </c>
      <c r="B250" t="str">
        <f t="shared" ca="1" si="6"/>
        <v/>
      </c>
      <c r="D250" s="1"/>
    </row>
    <row r="251" spans="1:4" x14ac:dyDescent="0.25">
      <c r="A251" t="str">
        <f t="shared" si="7"/>
        <v/>
      </c>
      <c r="B251" t="str">
        <f t="shared" ca="1" si="6"/>
        <v/>
      </c>
      <c r="D251" s="1"/>
    </row>
    <row r="252" spans="1:4" x14ac:dyDescent="0.25">
      <c r="A252" t="str">
        <f t="shared" si="7"/>
        <v/>
      </c>
      <c r="B252" t="str">
        <f t="shared" ca="1" si="6"/>
        <v/>
      </c>
      <c r="D252" s="1"/>
    </row>
    <row r="253" spans="1:4" x14ac:dyDescent="0.25">
      <c r="A253" t="str">
        <f t="shared" si="7"/>
        <v/>
      </c>
      <c r="B253" t="str">
        <f t="shared" ca="1" si="6"/>
        <v/>
      </c>
      <c r="D253" s="1"/>
    </row>
    <row r="254" spans="1:4" x14ac:dyDescent="0.25">
      <c r="A254" t="str">
        <f t="shared" si="7"/>
        <v/>
      </c>
      <c r="B254" t="str">
        <f t="shared" ca="1" si="6"/>
        <v/>
      </c>
      <c r="D254" s="1"/>
    </row>
    <row r="255" spans="1:4" x14ac:dyDescent="0.25">
      <c r="A255" t="str">
        <f t="shared" si="7"/>
        <v/>
      </c>
      <c r="B255" t="str">
        <f t="shared" ca="1" si="6"/>
        <v/>
      </c>
      <c r="D255" s="1"/>
    </row>
    <row r="256" spans="1:4" x14ac:dyDescent="0.25">
      <c r="A256" t="str">
        <f t="shared" si="7"/>
        <v/>
      </c>
      <c r="B256" t="str">
        <f t="shared" ca="1" si="6"/>
        <v/>
      </c>
      <c r="D256" s="1"/>
    </row>
    <row r="257" spans="1:4" x14ac:dyDescent="0.25">
      <c r="A257" t="str">
        <f t="shared" si="7"/>
        <v/>
      </c>
      <c r="B257" t="str">
        <f t="shared" ca="1" si="6"/>
        <v/>
      </c>
      <c r="D257" s="1"/>
    </row>
    <row r="258" spans="1:4" x14ac:dyDescent="0.25">
      <c r="A258" t="str">
        <f t="shared" si="7"/>
        <v/>
      </c>
      <c r="B258" t="str">
        <f t="shared" ca="1" si="6"/>
        <v/>
      </c>
      <c r="D258" s="1"/>
    </row>
    <row r="259" spans="1:4" x14ac:dyDescent="0.25">
      <c r="A259" t="str">
        <f t="shared" si="7"/>
        <v/>
      </c>
      <c r="B259" t="str">
        <f t="shared" ca="1" si="6"/>
        <v/>
      </c>
      <c r="D259" s="1"/>
    </row>
    <row r="260" spans="1:4" x14ac:dyDescent="0.25">
      <c r="A260" t="str">
        <f t="shared" si="7"/>
        <v/>
      </c>
      <c r="B260" t="str">
        <f t="shared" ref="B260:B295" ca="1" si="8">IF(A260="","",RANDBETWEEN($C$1,$C$2))</f>
        <v/>
      </c>
      <c r="D260" s="1"/>
    </row>
    <row r="261" spans="1:4" x14ac:dyDescent="0.25">
      <c r="A261" t="str">
        <f t="shared" si="7"/>
        <v/>
      </c>
      <c r="B261" t="str">
        <f t="shared" ca="1" si="8"/>
        <v/>
      </c>
      <c r="D261" s="1"/>
    </row>
    <row r="262" spans="1:4" x14ac:dyDescent="0.25">
      <c r="A262" t="str">
        <f t="shared" ref="A262:A295" si="9">IFERROR(IF(A261+1&gt;$C$2,"",A261+1),"")</f>
        <v/>
      </c>
      <c r="B262" t="str">
        <f t="shared" ca="1" si="8"/>
        <v/>
      </c>
      <c r="D262" s="1"/>
    </row>
    <row r="263" spans="1:4" x14ac:dyDescent="0.25">
      <c r="A263" t="str">
        <f t="shared" si="9"/>
        <v/>
      </c>
      <c r="B263" t="str">
        <f t="shared" ca="1" si="8"/>
        <v/>
      </c>
      <c r="D263" s="1"/>
    </row>
    <row r="264" spans="1:4" x14ac:dyDescent="0.25">
      <c r="A264" t="str">
        <f t="shared" si="9"/>
        <v/>
      </c>
      <c r="B264" t="str">
        <f t="shared" ca="1" si="8"/>
        <v/>
      </c>
      <c r="D264" s="1"/>
    </row>
    <row r="265" spans="1:4" x14ac:dyDescent="0.25">
      <c r="A265" t="str">
        <f t="shared" si="9"/>
        <v/>
      </c>
      <c r="B265" t="str">
        <f t="shared" ca="1" si="8"/>
        <v/>
      </c>
      <c r="D265" s="1"/>
    </row>
    <row r="266" spans="1:4" x14ac:dyDescent="0.25">
      <c r="A266" t="str">
        <f t="shared" si="9"/>
        <v/>
      </c>
      <c r="B266" t="str">
        <f t="shared" ca="1" si="8"/>
        <v/>
      </c>
      <c r="D266" s="1"/>
    </row>
    <row r="267" spans="1:4" x14ac:dyDescent="0.25">
      <c r="A267" t="str">
        <f t="shared" si="9"/>
        <v/>
      </c>
      <c r="B267" t="str">
        <f t="shared" ca="1" si="8"/>
        <v/>
      </c>
      <c r="D267" s="1"/>
    </row>
    <row r="268" spans="1:4" x14ac:dyDescent="0.25">
      <c r="A268" t="str">
        <f t="shared" si="9"/>
        <v/>
      </c>
      <c r="B268" t="str">
        <f t="shared" ca="1" si="8"/>
        <v/>
      </c>
      <c r="D268" s="1"/>
    </row>
    <row r="269" spans="1:4" x14ac:dyDescent="0.25">
      <c r="A269" t="str">
        <f t="shared" si="9"/>
        <v/>
      </c>
      <c r="B269" t="str">
        <f t="shared" ca="1" si="8"/>
        <v/>
      </c>
      <c r="D269" s="1"/>
    </row>
    <row r="270" spans="1:4" x14ac:dyDescent="0.25">
      <c r="A270" t="str">
        <f t="shared" si="9"/>
        <v/>
      </c>
      <c r="B270" t="str">
        <f t="shared" ca="1" si="8"/>
        <v/>
      </c>
      <c r="D270" s="1"/>
    </row>
    <row r="271" spans="1:4" x14ac:dyDescent="0.25">
      <c r="A271" t="str">
        <f t="shared" si="9"/>
        <v/>
      </c>
      <c r="B271" t="str">
        <f t="shared" ca="1" si="8"/>
        <v/>
      </c>
      <c r="D271" s="1"/>
    </row>
    <row r="272" spans="1:4" x14ac:dyDescent="0.25">
      <c r="A272" t="str">
        <f t="shared" si="9"/>
        <v/>
      </c>
      <c r="B272" t="str">
        <f t="shared" ca="1" si="8"/>
        <v/>
      </c>
      <c r="D272" s="1"/>
    </row>
    <row r="273" spans="1:4" x14ac:dyDescent="0.25">
      <c r="A273" t="str">
        <f t="shared" si="9"/>
        <v/>
      </c>
      <c r="B273" t="str">
        <f t="shared" ca="1" si="8"/>
        <v/>
      </c>
      <c r="D273" s="1"/>
    </row>
    <row r="274" spans="1:4" x14ac:dyDescent="0.25">
      <c r="A274" t="str">
        <f t="shared" si="9"/>
        <v/>
      </c>
      <c r="B274" t="str">
        <f t="shared" ca="1" si="8"/>
        <v/>
      </c>
      <c r="D274" s="1"/>
    </row>
    <row r="275" spans="1:4" x14ac:dyDescent="0.25">
      <c r="A275" t="str">
        <f t="shared" si="9"/>
        <v/>
      </c>
      <c r="B275" t="str">
        <f t="shared" ca="1" si="8"/>
        <v/>
      </c>
      <c r="D275" s="1"/>
    </row>
    <row r="276" spans="1:4" x14ac:dyDescent="0.25">
      <c r="A276" t="str">
        <f t="shared" si="9"/>
        <v/>
      </c>
      <c r="B276" t="str">
        <f t="shared" ca="1" si="8"/>
        <v/>
      </c>
      <c r="D276" s="1"/>
    </row>
    <row r="277" spans="1:4" x14ac:dyDescent="0.25">
      <c r="A277" t="str">
        <f t="shared" si="9"/>
        <v/>
      </c>
      <c r="B277" t="str">
        <f t="shared" ca="1" si="8"/>
        <v/>
      </c>
      <c r="D277" s="1"/>
    </row>
    <row r="278" spans="1:4" x14ac:dyDescent="0.25">
      <c r="A278" t="str">
        <f t="shared" si="9"/>
        <v/>
      </c>
      <c r="B278" t="str">
        <f t="shared" ca="1" si="8"/>
        <v/>
      </c>
      <c r="D278" s="1"/>
    </row>
    <row r="279" spans="1:4" x14ac:dyDescent="0.25">
      <c r="A279" t="str">
        <f t="shared" si="9"/>
        <v/>
      </c>
      <c r="B279" t="str">
        <f t="shared" ca="1" si="8"/>
        <v/>
      </c>
      <c r="D279" s="1"/>
    </row>
    <row r="280" spans="1:4" x14ac:dyDescent="0.25">
      <c r="A280" t="str">
        <f t="shared" si="9"/>
        <v/>
      </c>
      <c r="B280" t="str">
        <f t="shared" ca="1" si="8"/>
        <v/>
      </c>
      <c r="D280" s="1"/>
    </row>
    <row r="281" spans="1:4" x14ac:dyDescent="0.25">
      <c r="A281" t="str">
        <f t="shared" si="9"/>
        <v/>
      </c>
      <c r="B281" t="str">
        <f t="shared" ca="1" si="8"/>
        <v/>
      </c>
      <c r="D281" s="1"/>
    </row>
    <row r="282" spans="1:4" x14ac:dyDescent="0.25">
      <c r="A282" t="str">
        <f t="shared" si="9"/>
        <v/>
      </c>
      <c r="B282" t="str">
        <f t="shared" ca="1" si="8"/>
        <v/>
      </c>
      <c r="D282" s="1"/>
    </row>
    <row r="283" spans="1:4" x14ac:dyDescent="0.25">
      <c r="A283" t="str">
        <f t="shared" si="9"/>
        <v/>
      </c>
      <c r="B283" t="str">
        <f t="shared" ca="1" si="8"/>
        <v/>
      </c>
      <c r="D283" s="1"/>
    </row>
    <row r="284" spans="1:4" x14ac:dyDescent="0.25">
      <c r="A284" t="str">
        <f t="shared" si="9"/>
        <v/>
      </c>
      <c r="B284" t="str">
        <f t="shared" ca="1" si="8"/>
        <v/>
      </c>
      <c r="D284" s="1"/>
    </row>
    <row r="285" spans="1:4" x14ac:dyDescent="0.25">
      <c r="A285" t="str">
        <f t="shared" si="9"/>
        <v/>
      </c>
      <c r="B285" t="str">
        <f t="shared" ca="1" si="8"/>
        <v/>
      </c>
      <c r="D285" s="1"/>
    </row>
    <row r="286" spans="1:4" x14ac:dyDescent="0.25">
      <c r="A286" t="str">
        <f t="shared" si="9"/>
        <v/>
      </c>
      <c r="B286" t="str">
        <f t="shared" ca="1" si="8"/>
        <v/>
      </c>
      <c r="D286" s="1"/>
    </row>
    <row r="287" spans="1:4" x14ac:dyDescent="0.25">
      <c r="A287" t="str">
        <f t="shared" si="9"/>
        <v/>
      </c>
      <c r="B287" t="str">
        <f t="shared" ca="1" si="8"/>
        <v/>
      </c>
      <c r="D287" s="1"/>
    </row>
    <row r="288" spans="1:4" x14ac:dyDescent="0.25">
      <c r="A288" t="str">
        <f t="shared" si="9"/>
        <v/>
      </c>
      <c r="B288" t="str">
        <f t="shared" ca="1" si="8"/>
        <v/>
      </c>
      <c r="D288" s="1"/>
    </row>
    <row r="289" spans="1:4" x14ac:dyDescent="0.25">
      <c r="A289" t="str">
        <f t="shared" si="9"/>
        <v/>
      </c>
      <c r="B289" t="str">
        <f t="shared" ca="1" si="8"/>
        <v/>
      </c>
      <c r="D289" s="1"/>
    </row>
    <row r="290" spans="1:4" x14ac:dyDescent="0.25">
      <c r="A290" t="str">
        <f t="shared" si="9"/>
        <v/>
      </c>
      <c r="B290" t="str">
        <f t="shared" ca="1" si="8"/>
        <v/>
      </c>
      <c r="D290" s="1"/>
    </row>
    <row r="291" spans="1:4" x14ac:dyDescent="0.25">
      <c r="A291" t="str">
        <f t="shared" si="9"/>
        <v/>
      </c>
      <c r="B291" t="str">
        <f t="shared" ca="1" si="8"/>
        <v/>
      </c>
      <c r="D291" s="1"/>
    </row>
    <row r="292" spans="1:4" x14ac:dyDescent="0.25">
      <c r="A292" t="str">
        <f t="shared" si="9"/>
        <v/>
      </c>
      <c r="B292" t="str">
        <f t="shared" ca="1" si="8"/>
        <v/>
      </c>
      <c r="D292" s="1"/>
    </row>
    <row r="293" spans="1:4" x14ac:dyDescent="0.25">
      <c r="A293" t="str">
        <f t="shared" si="9"/>
        <v/>
      </c>
      <c r="B293" t="str">
        <f t="shared" ca="1" si="8"/>
        <v/>
      </c>
      <c r="D293" s="1"/>
    </row>
    <row r="294" spans="1:4" x14ac:dyDescent="0.25">
      <c r="A294" t="str">
        <f t="shared" si="9"/>
        <v/>
      </c>
      <c r="B294" t="str">
        <f t="shared" ca="1" si="8"/>
        <v/>
      </c>
      <c r="D294" s="1"/>
    </row>
    <row r="295" spans="1:4" x14ac:dyDescent="0.25">
      <c r="A295" t="str">
        <f t="shared" si="9"/>
        <v/>
      </c>
      <c r="B295" t="str">
        <f t="shared" ca="1" si="8"/>
        <v/>
      </c>
      <c r="D295" s="1"/>
    </row>
  </sheetData>
  <autoFilter ref="B3:F295" xr:uid="{510055BF-F702-4B6A-BC96-7718E75F032C}">
    <sortState xmlns:xlrd2="http://schemas.microsoft.com/office/spreadsheetml/2017/richdata2" ref="B4:F295">
      <sortCondition ref="C3:C72"/>
    </sortState>
  </autoFilter>
  <conditionalFormatting sqref="C296:D1048576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FE1B-A582-4851-A850-E4BF4217E78E}">
  <dimension ref="A1"/>
  <sheetViews>
    <sheetView workbookViewId="0">
      <selection activeCell="G19" sqref="G19"/>
    </sheetView>
  </sheetViews>
  <sheetFormatPr defaultRowHeight="13.8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Restaurant</vt:lpstr>
      <vt:lpstr>Viet</vt:lpstr>
      <vt:lpstr>Sum</vt:lpstr>
      <vt:lpstr>Ramdom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2023-04-28T06:54:49Z</dcterms:created>
  <dcterms:modified xsi:type="dcterms:W3CDTF">2023-07-08T13:12:02Z</dcterms:modified>
</cp:coreProperties>
</file>