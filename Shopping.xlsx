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Shopping\"/>
    </mc:Choice>
  </mc:AlternateContent>
  <xr:revisionPtr revIDLastSave="0" documentId="13_ncr:1_{36D0917F-F4AB-4BCB-B122-AE9D181A92C3}" xr6:coauthVersionLast="47" xr6:coauthVersionMax="47" xr10:uidLastSave="{00000000-0000-0000-0000-000000000000}"/>
  <bookViews>
    <workbookView xWindow="-108" yWindow="-108" windowWidth="23256" windowHeight="12456" tabRatio="608" activeTab="1" xr2:uid="{719E5D2F-C632-4960-9266-638D7C9B24E2}"/>
  </bookViews>
  <sheets>
    <sheet name="Shopping" sheetId="1" r:id="rId1"/>
    <sheet name="Viet" sheetId="5" r:id="rId2"/>
    <sheet name="Sum" sheetId="6" r:id="rId3"/>
    <sheet name="Ramdom" sheetId="2" r:id="rId4"/>
    <sheet name="Sheet1" sheetId="7" r:id="rId5"/>
  </sheets>
  <definedNames>
    <definedName name="_xlnm._FilterDatabase" localSheetId="3" hidden="1">Ramdom!$B$3:$F$295</definedName>
    <definedName name="_xlnm._FilterDatabase" localSheetId="0" hidden="1">Shopping!$A$3:$H$454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C10" i="5"/>
  <c r="C11" i="5"/>
  <c r="C12" i="5"/>
  <c r="D4" i="6" l="1"/>
  <c r="C4" i="6" s="1"/>
  <c r="G148" i="1"/>
  <c r="G149" i="1"/>
  <c r="G150" i="1"/>
  <c r="G151" i="1"/>
  <c r="F151" i="1" s="1"/>
  <c r="G152" i="1"/>
  <c r="G153" i="1"/>
  <c r="F153" i="1" s="1"/>
  <c r="G154" i="1"/>
  <c r="F154" i="1" s="1"/>
  <c r="G155" i="1"/>
  <c r="F155" i="1" s="1"/>
  <c r="G156" i="1"/>
  <c r="G157" i="1"/>
  <c r="F157" i="1" s="1"/>
  <c r="G158" i="1"/>
  <c r="G159" i="1"/>
  <c r="G160" i="1"/>
  <c r="G161" i="1"/>
  <c r="G162" i="1"/>
  <c r="F162" i="1" s="1"/>
  <c r="G163" i="1"/>
  <c r="F163" i="1" s="1"/>
  <c r="G164" i="1"/>
  <c r="G165" i="1"/>
  <c r="G166" i="1"/>
  <c r="G167" i="1"/>
  <c r="G168" i="1"/>
  <c r="G169" i="1"/>
  <c r="G170" i="1"/>
  <c r="F170" i="1" s="1"/>
  <c r="G171" i="1"/>
  <c r="F171" i="1" s="1"/>
  <c r="G172" i="1"/>
  <c r="G173" i="1"/>
  <c r="F173" i="1" s="1"/>
  <c r="G174" i="1"/>
  <c r="G175" i="1"/>
  <c r="G176" i="1"/>
  <c r="G177" i="1"/>
  <c r="F177" i="1" s="1"/>
  <c r="G178" i="1"/>
  <c r="F178" i="1" s="1"/>
  <c r="G179" i="1"/>
  <c r="F179" i="1" s="1"/>
  <c r="G180" i="1"/>
  <c r="F180" i="1" s="1"/>
  <c r="G181" i="1"/>
  <c r="G182" i="1"/>
  <c r="G183" i="1"/>
  <c r="F183" i="1" s="1"/>
  <c r="G184" i="1"/>
  <c r="G185" i="1"/>
  <c r="G186" i="1"/>
  <c r="F186" i="1" s="1"/>
  <c r="G187" i="1"/>
  <c r="F187" i="1" s="1"/>
  <c r="G188" i="1"/>
  <c r="G189" i="1"/>
  <c r="G190" i="1"/>
  <c r="G191" i="1"/>
  <c r="G192" i="1"/>
  <c r="G193" i="1"/>
  <c r="F193" i="1" s="1"/>
  <c r="G194" i="1"/>
  <c r="F194" i="1" s="1"/>
  <c r="G195" i="1"/>
  <c r="F195" i="1" s="1"/>
  <c r="G196" i="1"/>
  <c r="F196" i="1" s="1"/>
  <c r="G197" i="1"/>
  <c r="G198" i="1"/>
  <c r="G199" i="1"/>
  <c r="G200" i="1"/>
  <c r="G201" i="1"/>
  <c r="F201" i="1" s="1"/>
  <c r="G202" i="1"/>
  <c r="F202" i="1" s="1"/>
  <c r="G203" i="1"/>
  <c r="F203" i="1" s="1"/>
  <c r="G204" i="1"/>
  <c r="G205" i="1"/>
  <c r="G206" i="1"/>
  <c r="G208" i="1"/>
  <c r="G209" i="1"/>
  <c r="F209" i="1" s="1"/>
  <c r="G210" i="1"/>
  <c r="F210" i="1" s="1"/>
  <c r="G211" i="1"/>
  <c r="F211" i="1" s="1"/>
  <c r="G212" i="1"/>
  <c r="F212" i="1" s="1"/>
  <c r="G213" i="1"/>
  <c r="G214" i="1"/>
  <c r="G215" i="1"/>
  <c r="G216" i="1"/>
  <c r="G217" i="1"/>
  <c r="G218" i="1"/>
  <c r="F218" i="1" s="1"/>
  <c r="G219" i="1"/>
  <c r="F219" i="1" s="1"/>
  <c r="G220" i="1"/>
  <c r="F220" i="1" s="1"/>
  <c r="G221" i="1"/>
  <c r="G222" i="1"/>
  <c r="F222" i="1" s="1"/>
  <c r="G223" i="1"/>
  <c r="G224" i="1"/>
  <c r="G225" i="1"/>
  <c r="F225" i="1" s="1"/>
  <c r="G226" i="1"/>
  <c r="F226" i="1" s="1"/>
  <c r="G227" i="1"/>
  <c r="F227" i="1" s="1"/>
  <c r="G228" i="1"/>
  <c r="F228" i="1" s="1"/>
  <c r="G229" i="1"/>
  <c r="G230" i="1"/>
  <c r="G231" i="1"/>
  <c r="G232" i="1"/>
  <c r="F232" i="1" s="1"/>
  <c r="G233" i="1"/>
  <c r="G234" i="1"/>
  <c r="F234" i="1" s="1"/>
  <c r="G235" i="1"/>
  <c r="F235" i="1" s="1"/>
  <c r="G236" i="1"/>
  <c r="F236" i="1" s="1"/>
  <c r="G237" i="1"/>
  <c r="G238" i="1"/>
  <c r="F238" i="1" s="1"/>
  <c r="G239" i="1"/>
  <c r="G240" i="1"/>
  <c r="G241" i="1"/>
  <c r="G242" i="1"/>
  <c r="F242" i="1" s="1"/>
  <c r="G243" i="1"/>
  <c r="F243" i="1" s="1"/>
  <c r="G244" i="1"/>
  <c r="F244" i="1" s="1"/>
  <c r="G245" i="1"/>
  <c r="F245" i="1" s="1"/>
  <c r="G246" i="1"/>
  <c r="G247" i="1"/>
  <c r="G248" i="1"/>
  <c r="F248" i="1" s="1"/>
  <c r="G249" i="1"/>
  <c r="G250" i="1"/>
  <c r="F250" i="1" s="1"/>
  <c r="G251" i="1"/>
  <c r="F251" i="1" s="1"/>
  <c r="G252" i="1"/>
  <c r="F252" i="1" s="1"/>
  <c r="G253" i="1"/>
  <c r="G254" i="1"/>
  <c r="F254" i="1" s="1"/>
  <c r="G255" i="1"/>
  <c r="G256" i="1"/>
  <c r="G257" i="1"/>
  <c r="G258" i="1"/>
  <c r="F258" i="1" s="1"/>
  <c r="G259" i="1"/>
  <c r="F259" i="1" s="1"/>
  <c r="G260" i="1"/>
  <c r="F260" i="1" s="1"/>
  <c r="G261" i="1"/>
  <c r="F261" i="1" s="1"/>
  <c r="G262" i="1"/>
  <c r="G263" i="1"/>
  <c r="G264" i="1"/>
  <c r="F264" i="1" s="1"/>
  <c r="G265" i="1"/>
  <c r="G266" i="1"/>
  <c r="F266" i="1" s="1"/>
  <c r="G267" i="1"/>
  <c r="F267" i="1" s="1"/>
  <c r="G268" i="1"/>
  <c r="F268" i="1" s="1"/>
  <c r="G269" i="1"/>
  <c r="G270" i="1"/>
  <c r="F270" i="1" s="1"/>
  <c r="G271" i="1"/>
  <c r="F271" i="1" s="1"/>
  <c r="G272" i="1"/>
  <c r="G273" i="1"/>
  <c r="G274" i="1"/>
  <c r="F274" i="1" s="1"/>
  <c r="G275" i="1"/>
  <c r="F275" i="1" s="1"/>
  <c r="G276" i="1"/>
  <c r="F276" i="1" s="1"/>
  <c r="G277" i="1"/>
  <c r="F277" i="1" s="1"/>
  <c r="G278" i="1"/>
  <c r="G279" i="1"/>
  <c r="F279" i="1" s="1"/>
  <c r="G280" i="1"/>
  <c r="G281" i="1"/>
  <c r="G282" i="1"/>
  <c r="F282" i="1" s="1"/>
  <c r="G283" i="1"/>
  <c r="F283" i="1" s="1"/>
  <c r="G284" i="1"/>
  <c r="F284" i="1" s="1"/>
  <c r="G285" i="1"/>
  <c r="G286" i="1"/>
  <c r="G287" i="1"/>
  <c r="F287" i="1" s="1"/>
  <c r="G288" i="1"/>
  <c r="G289" i="1"/>
  <c r="G290" i="1"/>
  <c r="F290" i="1" s="1"/>
  <c r="G291" i="1"/>
  <c r="F291" i="1" s="1"/>
  <c r="G292" i="1"/>
  <c r="F292" i="1" s="1"/>
  <c r="G293" i="1"/>
  <c r="F293" i="1" s="1"/>
  <c r="G294" i="1"/>
  <c r="F294" i="1" s="1"/>
  <c r="G295" i="1"/>
  <c r="G296" i="1"/>
  <c r="F296" i="1" s="1"/>
  <c r="G297" i="1"/>
  <c r="G298" i="1"/>
  <c r="F298" i="1" s="1"/>
  <c r="G299" i="1"/>
  <c r="F299" i="1" s="1"/>
  <c r="G300" i="1"/>
  <c r="F300" i="1" s="1"/>
  <c r="G301" i="1"/>
  <c r="G302" i="1"/>
  <c r="F302" i="1" s="1"/>
  <c r="G303" i="1"/>
  <c r="F303" i="1" s="1"/>
  <c r="G304" i="1"/>
  <c r="G305" i="1"/>
  <c r="G306" i="1"/>
  <c r="F306" i="1" s="1"/>
  <c r="G307" i="1"/>
  <c r="F307" i="1" s="1"/>
  <c r="G308" i="1"/>
  <c r="F308" i="1" s="1"/>
  <c r="G309" i="1"/>
  <c r="F309" i="1" s="1"/>
  <c r="G310" i="1"/>
  <c r="F310" i="1" s="1"/>
  <c r="G311" i="1"/>
  <c r="F311" i="1" s="1"/>
  <c r="G312" i="1"/>
  <c r="G313" i="1"/>
  <c r="F313" i="1" s="1"/>
  <c r="G314" i="1"/>
  <c r="F314" i="1" s="1"/>
  <c r="G315" i="1"/>
  <c r="F315" i="1" s="1"/>
  <c r="G316" i="1"/>
  <c r="F316" i="1" s="1"/>
  <c r="G317" i="1"/>
  <c r="G318" i="1"/>
  <c r="G319" i="1"/>
  <c r="F319" i="1" s="1"/>
  <c r="G320" i="1"/>
  <c r="G321" i="1"/>
  <c r="G322" i="1"/>
  <c r="F322" i="1" s="1"/>
  <c r="G323" i="1"/>
  <c r="F323" i="1" s="1"/>
  <c r="G324" i="1"/>
  <c r="F324" i="1" s="1"/>
  <c r="G325" i="1"/>
  <c r="G326" i="1"/>
  <c r="F326" i="1" s="1"/>
  <c r="G327" i="1"/>
  <c r="G328" i="1"/>
  <c r="G329" i="1"/>
  <c r="F329" i="1" s="1"/>
  <c r="G330" i="1"/>
  <c r="F330" i="1" s="1"/>
  <c r="G331" i="1"/>
  <c r="F331" i="1" s="1"/>
  <c r="G332" i="1"/>
  <c r="F332" i="1" s="1"/>
  <c r="G333" i="1"/>
  <c r="G334" i="1"/>
  <c r="F334" i="1" s="1"/>
  <c r="G335" i="1"/>
  <c r="F335" i="1" s="1"/>
  <c r="G336" i="1"/>
  <c r="G337" i="1"/>
  <c r="G338" i="1"/>
  <c r="F338" i="1" s="1"/>
  <c r="G339" i="1"/>
  <c r="F339" i="1" s="1"/>
  <c r="G340" i="1"/>
  <c r="F340" i="1" s="1"/>
  <c r="G341" i="1"/>
  <c r="G342" i="1"/>
  <c r="F342" i="1" s="1"/>
  <c r="G343" i="1"/>
  <c r="F343" i="1" s="1"/>
  <c r="G344" i="1"/>
  <c r="G345" i="1"/>
  <c r="F345" i="1" s="1"/>
  <c r="G346" i="1"/>
  <c r="F346" i="1" s="1"/>
  <c r="G347" i="1"/>
  <c r="F347" i="1" s="1"/>
  <c r="G348" i="1"/>
  <c r="F348" i="1" s="1"/>
  <c r="G349" i="1"/>
  <c r="F349" i="1" s="1"/>
  <c r="G350" i="1"/>
  <c r="F350" i="1" s="1"/>
  <c r="G351" i="1"/>
  <c r="G352" i="1"/>
  <c r="F352" i="1" s="1"/>
  <c r="G353" i="1"/>
  <c r="G354" i="1"/>
  <c r="F354" i="1" s="1"/>
  <c r="G355" i="1"/>
  <c r="F355" i="1" s="1"/>
  <c r="G356" i="1"/>
  <c r="F356" i="1" s="1"/>
  <c r="G357" i="1"/>
  <c r="G358" i="1"/>
  <c r="F358" i="1" s="1"/>
  <c r="G359" i="1"/>
  <c r="F359" i="1" s="1"/>
  <c r="G360" i="1"/>
  <c r="G361" i="1"/>
  <c r="G362" i="1"/>
  <c r="F362" i="1" s="1"/>
  <c r="G363" i="1"/>
  <c r="F363" i="1" s="1"/>
  <c r="G364" i="1"/>
  <c r="F364" i="1" s="1"/>
  <c r="G365" i="1"/>
  <c r="F365" i="1" s="1"/>
  <c r="G366" i="1"/>
  <c r="F366" i="1" s="1"/>
  <c r="G367" i="1"/>
  <c r="F367" i="1" s="1"/>
  <c r="G368" i="1"/>
  <c r="G369" i="1"/>
  <c r="F369" i="1" s="1"/>
  <c r="G370" i="1"/>
  <c r="F370" i="1" s="1"/>
  <c r="G371" i="1"/>
  <c r="F371" i="1" s="1"/>
  <c r="G372" i="1"/>
  <c r="F372" i="1" s="1"/>
  <c r="G373" i="1"/>
  <c r="G374" i="1"/>
  <c r="F374" i="1" s="1"/>
  <c r="G375" i="1"/>
  <c r="F375" i="1" s="1"/>
  <c r="G376" i="1"/>
  <c r="G377" i="1"/>
  <c r="G378" i="1"/>
  <c r="F378" i="1" s="1"/>
  <c r="G379" i="1"/>
  <c r="F379" i="1" s="1"/>
  <c r="G380" i="1"/>
  <c r="F380" i="1" s="1"/>
  <c r="G381" i="1"/>
  <c r="F381" i="1" s="1"/>
  <c r="G382" i="1"/>
  <c r="F382" i="1" s="1"/>
  <c r="G383" i="1"/>
  <c r="F383" i="1" s="1"/>
  <c r="G384" i="1"/>
  <c r="F384" i="1" s="1"/>
  <c r="G385" i="1"/>
  <c r="F385" i="1" s="1"/>
  <c r="G386" i="1"/>
  <c r="F386" i="1" s="1"/>
  <c r="G387" i="1"/>
  <c r="F387" i="1" s="1"/>
  <c r="G388" i="1"/>
  <c r="F388" i="1" s="1"/>
  <c r="G389" i="1"/>
  <c r="G390" i="1"/>
  <c r="F390" i="1" s="1"/>
  <c r="G391" i="1"/>
  <c r="F391" i="1" s="1"/>
  <c r="G392" i="1"/>
  <c r="F392" i="1" s="1"/>
  <c r="G393" i="1"/>
  <c r="G394" i="1"/>
  <c r="F394" i="1" s="1"/>
  <c r="G395" i="1"/>
  <c r="F395" i="1" s="1"/>
  <c r="G396" i="1"/>
  <c r="F396" i="1" s="1"/>
  <c r="G397" i="1"/>
  <c r="G398" i="1"/>
  <c r="F398" i="1" s="1"/>
  <c r="G399" i="1"/>
  <c r="F399" i="1" s="1"/>
  <c r="G400" i="1"/>
  <c r="F400" i="1" s="1"/>
  <c r="G401" i="1"/>
  <c r="F401" i="1" s="1"/>
  <c r="G402" i="1"/>
  <c r="F402" i="1" s="1"/>
  <c r="G403" i="1"/>
  <c r="F403" i="1" s="1"/>
  <c r="G404" i="1"/>
  <c r="F404" i="1" s="1"/>
  <c r="G405" i="1"/>
  <c r="G406" i="1"/>
  <c r="G407" i="1"/>
  <c r="F407" i="1" s="1"/>
  <c r="G408" i="1"/>
  <c r="F408" i="1" s="1"/>
  <c r="G409" i="1"/>
  <c r="G410" i="1"/>
  <c r="F410" i="1" s="1"/>
  <c r="G411" i="1"/>
  <c r="F411" i="1" s="1"/>
  <c r="G412" i="1"/>
  <c r="F412" i="1" s="1"/>
  <c r="G413" i="1"/>
  <c r="F413" i="1" s="1"/>
  <c r="G414" i="1"/>
  <c r="F414" i="1" s="1"/>
  <c r="G415" i="1"/>
  <c r="F415" i="1" s="1"/>
  <c r="G416" i="1"/>
  <c r="F416" i="1" s="1"/>
  <c r="G417" i="1"/>
  <c r="F417" i="1" s="1"/>
  <c r="G418" i="1"/>
  <c r="F418" i="1" s="1"/>
  <c r="G419" i="1"/>
  <c r="F419" i="1" s="1"/>
  <c r="G420" i="1"/>
  <c r="F420" i="1" s="1"/>
  <c r="G421" i="1"/>
  <c r="F421" i="1" s="1"/>
  <c r="G422" i="1"/>
  <c r="F422" i="1" s="1"/>
  <c r="G423" i="1"/>
  <c r="F423" i="1" s="1"/>
  <c r="G424" i="1"/>
  <c r="F424" i="1" s="1"/>
  <c r="G425" i="1"/>
  <c r="G426" i="1"/>
  <c r="F426" i="1" s="1"/>
  <c r="G427" i="1"/>
  <c r="F427" i="1" s="1"/>
  <c r="G428" i="1"/>
  <c r="F428" i="1" s="1"/>
  <c r="G429" i="1"/>
  <c r="F429" i="1" s="1"/>
  <c r="G430" i="1"/>
  <c r="F430" i="1" s="1"/>
  <c r="G431" i="1"/>
  <c r="F431" i="1" s="1"/>
  <c r="G432" i="1"/>
  <c r="F432" i="1" s="1"/>
  <c r="G433" i="1"/>
  <c r="F433" i="1" s="1"/>
  <c r="G434" i="1"/>
  <c r="F434" i="1" s="1"/>
  <c r="G435" i="1"/>
  <c r="F435" i="1" s="1"/>
  <c r="G436" i="1"/>
  <c r="F436" i="1" s="1"/>
  <c r="G437" i="1"/>
  <c r="F437" i="1" s="1"/>
  <c r="G438" i="1"/>
  <c r="F438" i="1" s="1"/>
  <c r="G439" i="1"/>
  <c r="F439" i="1" s="1"/>
  <c r="G440" i="1"/>
  <c r="F440" i="1" s="1"/>
  <c r="G441" i="1"/>
  <c r="G442" i="1"/>
  <c r="F442" i="1" s="1"/>
  <c r="G443" i="1"/>
  <c r="F443" i="1" s="1"/>
  <c r="G444" i="1"/>
  <c r="F444" i="1" s="1"/>
  <c r="G445" i="1"/>
  <c r="F445" i="1" s="1"/>
  <c r="G446" i="1"/>
  <c r="F446" i="1" s="1"/>
  <c r="G447" i="1"/>
  <c r="F447" i="1" s="1"/>
  <c r="G448" i="1"/>
  <c r="F448" i="1" s="1"/>
  <c r="G449" i="1"/>
  <c r="F449" i="1" s="1"/>
  <c r="G450" i="1"/>
  <c r="F450" i="1" s="1"/>
  <c r="G451" i="1"/>
  <c r="F451" i="1" s="1"/>
  <c r="G452" i="1"/>
  <c r="F452" i="1" s="1"/>
  <c r="G453" i="1"/>
  <c r="F453" i="1" s="1"/>
  <c r="G454" i="1"/>
  <c r="F454" i="1" s="1"/>
  <c r="F441" i="1"/>
  <c r="F425" i="1"/>
  <c r="F409" i="1"/>
  <c r="F406" i="1"/>
  <c r="F405" i="1"/>
  <c r="F397" i="1"/>
  <c r="F393" i="1"/>
  <c r="F389" i="1"/>
  <c r="F377" i="1"/>
  <c r="F376" i="1"/>
  <c r="F373" i="1"/>
  <c r="F368" i="1"/>
  <c r="F361" i="1"/>
  <c r="F360" i="1"/>
  <c r="F357" i="1"/>
  <c r="F353" i="1"/>
  <c r="F351" i="1"/>
  <c r="F344" i="1"/>
  <c r="F341" i="1"/>
  <c r="F337" i="1"/>
  <c r="F336" i="1"/>
  <c r="F333" i="1"/>
  <c r="F328" i="1"/>
  <c r="F327" i="1"/>
  <c r="F325" i="1"/>
  <c r="F321" i="1"/>
  <c r="F320" i="1"/>
  <c r="F318" i="1"/>
  <c r="F317" i="1"/>
  <c r="F312" i="1"/>
  <c r="F305" i="1"/>
  <c r="F304" i="1"/>
  <c r="F301" i="1"/>
  <c r="F297" i="1"/>
  <c r="F295" i="1"/>
  <c r="F289" i="1"/>
  <c r="F288" i="1"/>
  <c r="F286" i="1"/>
  <c r="F285" i="1"/>
  <c r="F281" i="1"/>
  <c r="F280" i="1"/>
  <c r="F278" i="1"/>
  <c r="F273" i="1"/>
  <c r="F272" i="1"/>
  <c r="F269" i="1"/>
  <c r="F265" i="1"/>
  <c r="F263" i="1"/>
  <c r="F262" i="1"/>
  <c r="F257" i="1"/>
  <c r="F256" i="1"/>
  <c r="F255" i="1"/>
  <c r="F253" i="1"/>
  <c r="F249" i="1"/>
  <c r="F247" i="1"/>
  <c r="F246" i="1"/>
  <c r="F241" i="1"/>
  <c r="F240" i="1"/>
  <c r="F239" i="1"/>
  <c r="F237" i="1"/>
  <c r="F233" i="1"/>
  <c r="F231" i="1"/>
  <c r="F230" i="1"/>
  <c r="F229" i="1"/>
  <c r="F224" i="1"/>
  <c r="F223" i="1"/>
  <c r="F221" i="1"/>
  <c r="F217" i="1"/>
  <c r="F216" i="1"/>
  <c r="F215" i="1"/>
  <c r="F214" i="1"/>
  <c r="F213" i="1"/>
  <c r="F208" i="1"/>
  <c r="F207" i="1"/>
  <c r="F206" i="1"/>
  <c r="F205" i="1"/>
  <c r="F204" i="1"/>
  <c r="F200" i="1"/>
  <c r="F199" i="1"/>
  <c r="F198" i="1"/>
  <c r="F197" i="1"/>
  <c r="F192" i="1"/>
  <c r="F191" i="1"/>
  <c r="F190" i="1"/>
  <c r="F189" i="1"/>
  <c r="F188" i="1"/>
  <c r="F185" i="1"/>
  <c r="F184" i="1"/>
  <c r="F182" i="1"/>
  <c r="F181" i="1"/>
  <c r="F176" i="1"/>
  <c r="F175" i="1"/>
  <c r="F174" i="1"/>
  <c r="F172" i="1"/>
  <c r="F169" i="1"/>
  <c r="F168" i="1"/>
  <c r="F167" i="1"/>
  <c r="F166" i="1"/>
  <c r="F165" i="1"/>
  <c r="F164" i="1"/>
  <c r="F161" i="1"/>
  <c r="F160" i="1"/>
  <c r="F159" i="1"/>
  <c r="F158" i="1"/>
  <c r="F156" i="1"/>
  <c r="F152" i="1"/>
  <c r="F150" i="1"/>
  <c r="F149" i="1"/>
  <c r="F148" i="1"/>
  <c r="D3" i="6" l="1"/>
  <c r="C3" i="6" s="1"/>
  <c r="A9" i="1"/>
  <c r="A12" i="1" s="1"/>
  <c r="A15" i="1" s="1"/>
  <c r="A19" i="1" s="1"/>
  <c r="A22" i="1" s="1"/>
  <c r="A25" i="1" s="1"/>
  <c r="A28" i="1" s="1"/>
  <c r="G7" i="1"/>
  <c r="F7" i="1" s="1"/>
  <c r="G8" i="1"/>
  <c r="F8" i="1" s="1"/>
  <c r="G9" i="1"/>
  <c r="F9" i="1" s="1"/>
  <c r="G10" i="1"/>
  <c r="F10" i="1" s="1"/>
  <c r="G11" i="1"/>
  <c r="F11" i="1" s="1"/>
  <c r="G12" i="1"/>
  <c r="F12" i="1" s="1"/>
  <c r="G13" i="1"/>
  <c r="F13" i="1" s="1"/>
  <c r="G14" i="1"/>
  <c r="F14" i="1" s="1"/>
  <c r="G15" i="1"/>
  <c r="F15" i="1" s="1"/>
  <c r="G16" i="1"/>
  <c r="F16" i="1" s="1"/>
  <c r="G17" i="1"/>
  <c r="F17" i="1" s="1"/>
  <c r="G18" i="1"/>
  <c r="F18" i="1" s="1"/>
  <c r="G19" i="1"/>
  <c r="F19" i="1" s="1"/>
  <c r="G20" i="1"/>
  <c r="F20" i="1" s="1"/>
  <c r="G21" i="1"/>
  <c r="F21" i="1" s="1"/>
  <c r="G22" i="1"/>
  <c r="F22" i="1" s="1"/>
  <c r="G23" i="1"/>
  <c r="F23" i="1" s="1"/>
  <c r="G24" i="1"/>
  <c r="F24" i="1" s="1"/>
  <c r="G25" i="1"/>
  <c r="F25" i="1" s="1"/>
  <c r="G26" i="1"/>
  <c r="F26" i="1" s="1"/>
  <c r="G27" i="1"/>
  <c r="F27" i="1" s="1"/>
  <c r="G28" i="1"/>
  <c r="F28" i="1" s="1"/>
  <c r="G29" i="1"/>
  <c r="F29" i="1" s="1"/>
  <c r="G30" i="1"/>
  <c r="F30" i="1" s="1"/>
  <c r="G31" i="1"/>
  <c r="F31" i="1" s="1"/>
  <c r="G32" i="1"/>
  <c r="F32" i="1" s="1"/>
  <c r="G33" i="1"/>
  <c r="F33" i="1" s="1"/>
  <c r="G34" i="1"/>
  <c r="F34" i="1" s="1"/>
  <c r="G35" i="1"/>
  <c r="F35" i="1" s="1"/>
  <c r="G36" i="1"/>
  <c r="F36" i="1" s="1"/>
  <c r="G37" i="1"/>
  <c r="F37" i="1" s="1"/>
  <c r="G38" i="1"/>
  <c r="F38" i="1" s="1"/>
  <c r="G39" i="1"/>
  <c r="F39" i="1" s="1"/>
  <c r="G40" i="1"/>
  <c r="F40" i="1" s="1"/>
  <c r="G41" i="1"/>
  <c r="F41" i="1" s="1"/>
  <c r="G42" i="1"/>
  <c r="F42" i="1" s="1"/>
  <c r="G43" i="1"/>
  <c r="F43" i="1" s="1"/>
  <c r="G44" i="1"/>
  <c r="F44" i="1" s="1"/>
  <c r="G45" i="1"/>
  <c r="F45" i="1" s="1"/>
  <c r="G46" i="1"/>
  <c r="F46" i="1" s="1"/>
  <c r="G47" i="1"/>
  <c r="F47" i="1" s="1"/>
  <c r="G48" i="1"/>
  <c r="F48" i="1" s="1"/>
  <c r="G49" i="1"/>
  <c r="F49" i="1" s="1"/>
  <c r="G50" i="1"/>
  <c r="F50" i="1" s="1"/>
  <c r="G51" i="1"/>
  <c r="F51" i="1" s="1"/>
  <c r="G52" i="1"/>
  <c r="F52" i="1" s="1"/>
  <c r="G53" i="1"/>
  <c r="F53" i="1" s="1"/>
  <c r="G54" i="1"/>
  <c r="F54" i="1" s="1"/>
  <c r="G55" i="1"/>
  <c r="F55" i="1" s="1"/>
  <c r="G56" i="1"/>
  <c r="F56" i="1" s="1"/>
  <c r="G57" i="1"/>
  <c r="F57" i="1" s="1"/>
  <c r="G58" i="1"/>
  <c r="F58" i="1" s="1"/>
  <c r="G59" i="1"/>
  <c r="F59" i="1" s="1"/>
  <c r="G60" i="1"/>
  <c r="F60" i="1" s="1"/>
  <c r="G61" i="1"/>
  <c r="F61" i="1" s="1"/>
  <c r="G62" i="1"/>
  <c r="F62" i="1" s="1"/>
  <c r="G63" i="1"/>
  <c r="F63" i="1" s="1"/>
  <c r="G64" i="1"/>
  <c r="F64" i="1" s="1"/>
  <c r="G65" i="1"/>
  <c r="F65" i="1" s="1"/>
  <c r="G66" i="1"/>
  <c r="F66" i="1" s="1"/>
  <c r="G67" i="1"/>
  <c r="F67" i="1" s="1"/>
  <c r="G68" i="1"/>
  <c r="F68" i="1" s="1"/>
  <c r="G69" i="1"/>
  <c r="F69" i="1" s="1"/>
  <c r="G70" i="1"/>
  <c r="F70" i="1" s="1"/>
  <c r="G71" i="1"/>
  <c r="F71" i="1" s="1"/>
  <c r="G72" i="1"/>
  <c r="F72" i="1" s="1"/>
  <c r="G73" i="1"/>
  <c r="F73" i="1" s="1"/>
  <c r="G74" i="1"/>
  <c r="F74" i="1" s="1"/>
  <c r="G75" i="1"/>
  <c r="F75" i="1" s="1"/>
  <c r="G76" i="1"/>
  <c r="F76" i="1" s="1"/>
  <c r="G77" i="1"/>
  <c r="F77" i="1" s="1"/>
  <c r="G78" i="1"/>
  <c r="F78" i="1" s="1"/>
  <c r="G79" i="1"/>
  <c r="F79" i="1" s="1"/>
  <c r="G80" i="1"/>
  <c r="F80" i="1" s="1"/>
  <c r="G81" i="1"/>
  <c r="F81" i="1" s="1"/>
  <c r="G82" i="1"/>
  <c r="F82" i="1" s="1"/>
  <c r="G83" i="1"/>
  <c r="F83" i="1" s="1"/>
  <c r="G84" i="1"/>
  <c r="F84" i="1" s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G95" i="1"/>
  <c r="F95" i="1" s="1"/>
  <c r="G96" i="1"/>
  <c r="F96" i="1" s="1"/>
  <c r="G97" i="1"/>
  <c r="F97" i="1" s="1"/>
  <c r="G98" i="1"/>
  <c r="F98" i="1" s="1"/>
  <c r="G99" i="1"/>
  <c r="F99" i="1" s="1"/>
  <c r="G100" i="1"/>
  <c r="F100" i="1" s="1"/>
  <c r="G101" i="1"/>
  <c r="F101" i="1" s="1"/>
  <c r="G102" i="1"/>
  <c r="F102" i="1" s="1"/>
  <c r="G103" i="1"/>
  <c r="F103" i="1" s="1"/>
  <c r="G104" i="1"/>
  <c r="F104" i="1" s="1"/>
  <c r="G105" i="1"/>
  <c r="F105" i="1" s="1"/>
  <c r="G106" i="1"/>
  <c r="F106" i="1" s="1"/>
  <c r="G107" i="1"/>
  <c r="F107" i="1" s="1"/>
  <c r="G108" i="1"/>
  <c r="F108" i="1" s="1"/>
  <c r="G109" i="1"/>
  <c r="F109" i="1" s="1"/>
  <c r="G110" i="1"/>
  <c r="F110" i="1" s="1"/>
  <c r="G111" i="1"/>
  <c r="F111" i="1" s="1"/>
  <c r="G112" i="1"/>
  <c r="F112" i="1" s="1"/>
  <c r="G113" i="1"/>
  <c r="F113" i="1" s="1"/>
  <c r="G114" i="1"/>
  <c r="F114" i="1" s="1"/>
  <c r="G115" i="1"/>
  <c r="F115" i="1" s="1"/>
  <c r="G116" i="1"/>
  <c r="F116" i="1" s="1"/>
  <c r="G117" i="1"/>
  <c r="F117" i="1" s="1"/>
  <c r="G118" i="1"/>
  <c r="F118" i="1" s="1"/>
  <c r="G119" i="1"/>
  <c r="F119" i="1" s="1"/>
  <c r="G120" i="1"/>
  <c r="F120" i="1" s="1"/>
  <c r="G121" i="1"/>
  <c r="F121" i="1" s="1"/>
  <c r="G122" i="1"/>
  <c r="F122" i="1" s="1"/>
  <c r="G123" i="1"/>
  <c r="F123" i="1" s="1"/>
  <c r="G124" i="1"/>
  <c r="F124" i="1" s="1"/>
  <c r="G125" i="1"/>
  <c r="F125" i="1" s="1"/>
  <c r="G126" i="1"/>
  <c r="F126" i="1" s="1"/>
  <c r="G127" i="1"/>
  <c r="F127" i="1" s="1"/>
  <c r="G128" i="1"/>
  <c r="F128" i="1" s="1"/>
  <c r="G129" i="1"/>
  <c r="F129" i="1" s="1"/>
  <c r="G130" i="1"/>
  <c r="F130" i="1" s="1"/>
  <c r="G131" i="1"/>
  <c r="F131" i="1" s="1"/>
  <c r="G132" i="1"/>
  <c r="F132" i="1" s="1"/>
  <c r="G133" i="1"/>
  <c r="F133" i="1" s="1"/>
  <c r="G134" i="1"/>
  <c r="F134" i="1" s="1"/>
  <c r="G135" i="1"/>
  <c r="F135" i="1" s="1"/>
  <c r="G136" i="1"/>
  <c r="F136" i="1" s="1"/>
  <c r="G137" i="1"/>
  <c r="F137" i="1" s="1"/>
  <c r="G138" i="1"/>
  <c r="F138" i="1" s="1"/>
  <c r="G139" i="1"/>
  <c r="F139" i="1" s="1"/>
  <c r="G140" i="1"/>
  <c r="F140" i="1" s="1"/>
  <c r="G141" i="1"/>
  <c r="F141" i="1" s="1"/>
  <c r="G142" i="1"/>
  <c r="F142" i="1" s="1"/>
  <c r="G143" i="1"/>
  <c r="F143" i="1" s="1"/>
  <c r="G144" i="1"/>
  <c r="F144" i="1" s="1"/>
  <c r="G145" i="1"/>
  <c r="F145" i="1" s="1"/>
  <c r="G146" i="1"/>
  <c r="F146" i="1" s="1"/>
  <c r="G147" i="1"/>
  <c r="F147" i="1" s="1"/>
  <c r="B147" i="1"/>
  <c r="B148" i="1" s="1"/>
  <c r="C148" i="1" s="1"/>
  <c r="C146" i="1"/>
  <c r="B144" i="1"/>
  <c r="B145" i="1" s="1"/>
  <c r="C145" i="1" s="1"/>
  <c r="C143" i="1"/>
  <c r="B141" i="1"/>
  <c r="B142" i="1" s="1"/>
  <c r="C142" i="1" s="1"/>
  <c r="C140" i="1"/>
  <c r="B138" i="1"/>
  <c r="B139" i="1" s="1"/>
  <c r="C139" i="1" s="1"/>
  <c r="C137" i="1"/>
  <c r="B135" i="1"/>
  <c r="B136" i="1" s="1"/>
  <c r="C136" i="1" s="1"/>
  <c r="C134" i="1"/>
  <c r="C133" i="1"/>
  <c r="B131" i="1"/>
  <c r="B132" i="1" s="1"/>
  <c r="C132" i="1" s="1"/>
  <c r="C130" i="1"/>
  <c r="B128" i="1"/>
  <c r="B129" i="1" s="1"/>
  <c r="C129" i="1" s="1"/>
  <c r="C127" i="1"/>
  <c r="B125" i="1"/>
  <c r="C125" i="1" s="1"/>
  <c r="C124" i="1"/>
  <c r="B122" i="1"/>
  <c r="B123" i="1" s="1"/>
  <c r="C123" i="1" s="1"/>
  <c r="C121" i="1"/>
  <c r="B119" i="1"/>
  <c r="B120" i="1" s="1"/>
  <c r="C120" i="1" s="1"/>
  <c r="C118" i="1"/>
  <c r="C117" i="1"/>
  <c r="B115" i="1"/>
  <c r="B116" i="1" s="1"/>
  <c r="C116" i="1" s="1"/>
  <c r="C114" i="1"/>
  <c r="B112" i="1"/>
  <c r="C112" i="1" s="1"/>
  <c r="C111" i="1"/>
  <c r="B109" i="1"/>
  <c r="B110" i="1" s="1"/>
  <c r="C110" i="1" s="1"/>
  <c r="C108" i="1"/>
  <c r="B106" i="1"/>
  <c r="C106" i="1" s="1"/>
  <c r="C105" i="1"/>
  <c r="C104" i="1"/>
  <c r="B102" i="1"/>
  <c r="C102" i="1" s="1"/>
  <c r="C101" i="1"/>
  <c r="B99" i="1"/>
  <c r="B100" i="1" s="1"/>
  <c r="C100" i="1" s="1"/>
  <c r="C98" i="1"/>
  <c r="B96" i="1"/>
  <c r="B97" i="1" s="1"/>
  <c r="C97" i="1" s="1"/>
  <c r="C95" i="1"/>
  <c r="B93" i="1"/>
  <c r="B94" i="1" s="1"/>
  <c r="C94" i="1" s="1"/>
  <c r="C92" i="1"/>
  <c r="B90" i="1"/>
  <c r="B91" i="1" s="1"/>
  <c r="C91" i="1" s="1"/>
  <c r="C89" i="1"/>
  <c r="B87" i="1"/>
  <c r="B88" i="1" s="1"/>
  <c r="C88" i="1" s="1"/>
  <c r="C86" i="1"/>
  <c r="C85" i="1"/>
  <c r="B83" i="1"/>
  <c r="B84" i="1" s="1"/>
  <c r="C84" i="1" s="1"/>
  <c r="C82" i="1"/>
  <c r="B80" i="1"/>
  <c r="B81" i="1" s="1"/>
  <c r="C81" i="1" s="1"/>
  <c r="C79" i="1"/>
  <c r="B77" i="1"/>
  <c r="C77" i="1" s="1"/>
  <c r="C76" i="1"/>
  <c r="B74" i="1"/>
  <c r="C74" i="1" s="1"/>
  <c r="C73" i="1"/>
  <c r="C72" i="1"/>
  <c r="B70" i="1"/>
  <c r="B71" i="1" s="1"/>
  <c r="C71" i="1" s="1"/>
  <c r="C69" i="1"/>
  <c r="B67" i="1"/>
  <c r="B68" i="1" s="1"/>
  <c r="C68" i="1" s="1"/>
  <c r="C66" i="1"/>
  <c r="B64" i="1"/>
  <c r="C64" i="1" s="1"/>
  <c r="C63" i="1"/>
  <c r="B61" i="1"/>
  <c r="B62" i="1" s="1"/>
  <c r="C62" i="1" s="1"/>
  <c r="C60" i="1"/>
  <c r="C59" i="1"/>
  <c r="B57" i="1"/>
  <c r="B58" i="1" s="1"/>
  <c r="C58" i="1" s="1"/>
  <c r="C56" i="1"/>
  <c r="B54" i="1"/>
  <c r="B55" i="1" s="1"/>
  <c r="C55" i="1" s="1"/>
  <c r="C53" i="1"/>
  <c r="B51" i="1"/>
  <c r="C51" i="1" s="1"/>
  <c r="C50" i="1"/>
  <c r="B48" i="1"/>
  <c r="B49" i="1" s="1"/>
  <c r="C49" i="1" s="1"/>
  <c r="C47" i="1"/>
  <c r="B45" i="1"/>
  <c r="B46" i="1" s="1"/>
  <c r="C46" i="1" s="1"/>
  <c r="C44" i="1"/>
  <c r="C43" i="1"/>
  <c r="B41" i="1"/>
  <c r="C41" i="1" s="1"/>
  <c r="C40" i="1"/>
  <c r="B38" i="1"/>
  <c r="B39" i="1" s="1"/>
  <c r="C39" i="1" s="1"/>
  <c r="C37" i="1"/>
  <c r="B35" i="1"/>
  <c r="B36" i="1" s="1"/>
  <c r="C36" i="1" s="1"/>
  <c r="C34" i="1"/>
  <c r="B32" i="1"/>
  <c r="B33" i="1" s="1"/>
  <c r="C33" i="1" s="1"/>
  <c r="C31" i="1"/>
  <c r="C30" i="1"/>
  <c r="B22" i="1"/>
  <c r="B19" i="1"/>
  <c r="C19" i="1" s="1"/>
  <c r="B28" i="1"/>
  <c r="B29" i="1" s="1"/>
  <c r="C29" i="1" s="1"/>
  <c r="B25" i="1"/>
  <c r="B26" i="1" s="1"/>
  <c r="C26" i="1" s="1"/>
  <c r="C27" i="1"/>
  <c r="C24" i="1"/>
  <c r="C18" i="1"/>
  <c r="C17" i="1"/>
  <c r="C14" i="1"/>
  <c r="C11" i="1"/>
  <c r="B15" i="1"/>
  <c r="B16" i="1" s="1"/>
  <c r="C16" i="1" s="1"/>
  <c r="B12" i="1"/>
  <c r="B13" i="1" s="1"/>
  <c r="C13" i="1" s="1"/>
  <c r="B9" i="1"/>
  <c r="C9" i="1" s="1"/>
  <c r="C8" i="1"/>
  <c r="C4" i="1"/>
  <c r="C5" i="1"/>
  <c r="D10" i="5"/>
  <c r="D11" i="5"/>
  <c r="D12" i="5"/>
  <c r="D13" i="5"/>
  <c r="C13" i="5" s="1"/>
  <c r="D4" i="5"/>
  <c r="C4" i="5" s="1"/>
  <c r="D5" i="5"/>
  <c r="C5" i="5" s="1"/>
  <c r="D6" i="5"/>
  <c r="C6" i="5" s="1"/>
  <c r="D7" i="5"/>
  <c r="C7" i="5" s="1"/>
  <c r="D8" i="5"/>
  <c r="C8" i="5" s="1"/>
  <c r="D9" i="5"/>
  <c r="D3" i="5"/>
  <c r="C3" i="5" s="1"/>
  <c r="G6" i="1"/>
  <c r="F6" i="1" s="1"/>
  <c r="G5" i="1"/>
  <c r="F5" i="1" s="1"/>
  <c r="A4" i="2"/>
  <c r="A5" i="2" s="1"/>
  <c r="B4" i="2" s="1"/>
  <c r="B20" i="1" l="1"/>
  <c r="C20" i="1" s="1"/>
  <c r="C48" i="1"/>
  <c r="B126" i="1"/>
  <c r="C126" i="1" s="1"/>
  <c r="B107" i="1"/>
  <c r="C107" i="1" s="1"/>
  <c r="C12" i="1"/>
  <c r="C15" i="1"/>
  <c r="C144" i="1"/>
  <c r="C141" i="1"/>
  <c r="C138" i="1"/>
  <c r="C135" i="1"/>
  <c r="C147" i="1"/>
  <c r="C131" i="1"/>
  <c r="C122" i="1"/>
  <c r="C119" i="1"/>
  <c r="C128" i="1"/>
  <c r="B113" i="1"/>
  <c r="C113" i="1" s="1"/>
  <c r="C109" i="1"/>
  <c r="C115" i="1"/>
  <c r="B103" i="1"/>
  <c r="C103" i="1" s="1"/>
  <c r="C93" i="1"/>
  <c r="C87" i="1"/>
  <c r="C99" i="1"/>
  <c r="C90" i="1"/>
  <c r="C96" i="1"/>
  <c r="C80" i="1"/>
  <c r="B75" i="1"/>
  <c r="C75" i="1" s="1"/>
  <c r="C67" i="1"/>
  <c r="B78" i="1"/>
  <c r="C78" i="1" s="1"/>
  <c r="C83" i="1"/>
  <c r="B65" i="1"/>
  <c r="C65" i="1" s="1"/>
  <c r="C70" i="1"/>
  <c r="C61" i="1"/>
  <c r="C57" i="1"/>
  <c r="B52" i="1"/>
  <c r="C52" i="1" s="1"/>
  <c r="C45" i="1"/>
  <c r="C54" i="1"/>
  <c r="B42" i="1"/>
  <c r="C42" i="1" s="1"/>
  <c r="C38" i="1"/>
  <c r="C35" i="1"/>
  <c r="C32" i="1"/>
  <c r="B23" i="1"/>
  <c r="C23" i="1" s="1"/>
  <c r="C22" i="1"/>
  <c r="C21" i="1"/>
  <c r="C28" i="1"/>
  <c r="C25" i="1"/>
  <c r="B10" i="1"/>
  <c r="C10" i="1" s="1"/>
  <c r="A6" i="2"/>
  <c r="C6" i="1" l="1"/>
  <c r="C7" i="1"/>
  <c r="B6" i="2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A35" i="2" l="1"/>
  <c r="B34" i="2"/>
  <c r="A36" i="2" l="1"/>
  <c r="B35" i="2"/>
  <c r="A37" i="2" l="1"/>
  <c r="B36" i="2"/>
  <c r="A38" i="2" l="1"/>
  <c r="B37" i="2"/>
  <c r="A39" i="2" l="1"/>
  <c r="B38" i="2"/>
  <c r="A40" i="2" l="1"/>
  <c r="B39" i="2"/>
  <c r="A41" i="2" l="1"/>
  <c r="B40" i="2"/>
  <c r="A42" i="2" l="1"/>
  <c r="B41" i="2"/>
  <c r="A43" i="2" l="1"/>
  <c r="B42" i="2"/>
  <c r="A44" i="2" l="1"/>
  <c r="B43" i="2"/>
  <c r="A45" i="2" l="1"/>
  <c r="B44" i="2"/>
  <c r="A46" i="2" l="1"/>
  <c r="B45" i="2"/>
  <c r="A47" i="2" l="1"/>
  <c r="B46" i="2"/>
  <c r="A48" i="2" l="1"/>
  <c r="B47" i="2"/>
  <c r="A49" i="2" l="1"/>
  <c r="B48" i="2"/>
  <c r="A50" i="2" l="1"/>
  <c r="B49" i="2"/>
  <c r="A51" i="2" l="1"/>
  <c r="B50" i="2"/>
  <c r="A52" i="2" l="1"/>
  <c r="B51" i="2"/>
  <c r="A53" i="2" l="1"/>
  <c r="B52" i="2"/>
  <c r="A54" i="2" l="1"/>
  <c r="B53" i="2"/>
  <c r="A55" i="2" l="1"/>
  <c r="B54" i="2"/>
  <c r="A56" i="2" l="1"/>
  <c r="B55" i="2"/>
  <c r="A57" i="2" l="1"/>
  <c r="B56" i="2"/>
  <c r="A58" i="2" l="1"/>
  <c r="B57" i="2"/>
  <c r="A59" i="2" l="1"/>
  <c r="B58" i="2"/>
  <c r="A60" i="2" l="1"/>
  <c r="B59" i="2"/>
  <c r="A61" i="2" l="1"/>
  <c r="B60" i="2"/>
  <c r="A62" i="2" l="1"/>
  <c r="B61" i="2"/>
  <c r="A63" i="2" l="1"/>
  <c r="B62" i="2"/>
  <c r="A64" i="2" l="1"/>
  <c r="B63" i="2"/>
  <c r="A65" i="2" l="1"/>
  <c r="B64" i="2"/>
  <c r="A66" i="2" l="1"/>
  <c r="B65" i="2"/>
  <c r="A67" i="2" l="1"/>
  <c r="B66" i="2"/>
  <c r="A68" i="2" l="1"/>
  <c r="B67" i="2"/>
  <c r="A69" i="2" l="1"/>
  <c r="B68" i="2"/>
  <c r="A70" i="2" l="1"/>
  <c r="B69" i="2"/>
  <c r="A71" i="2" l="1"/>
  <c r="B70" i="2"/>
  <c r="A72" i="2" l="1"/>
  <c r="B71" i="2"/>
  <c r="A73" i="2" l="1"/>
  <c r="B72" i="2"/>
  <c r="A74" i="2" l="1"/>
  <c r="B73" i="2"/>
  <c r="A75" i="2" l="1"/>
  <c r="B74" i="2"/>
  <c r="A76" i="2" l="1"/>
  <c r="B75" i="2"/>
  <c r="A77" i="2" l="1"/>
  <c r="B76" i="2"/>
  <c r="A78" i="2" l="1"/>
  <c r="B77" i="2"/>
  <c r="A79" i="2" l="1"/>
  <c r="B78" i="2"/>
  <c r="A80" i="2" l="1"/>
  <c r="B79" i="2"/>
  <c r="A81" i="2" l="1"/>
  <c r="B80" i="2"/>
  <c r="A82" i="2" l="1"/>
  <c r="B81" i="2"/>
  <c r="A83" i="2" l="1"/>
  <c r="B82" i="2"/>
  <c r="A84" i="2" l="1"/>
  <c r="B83" i="2"/>
  <c r="A85" i="2" l="1"/>
  <c r="B84" i="2"/>
  <c r="A86" i="2" l="1"/>
  <c r="B85" i="2"/>
  <c r="A87" i="2" l="1"/>
  <c r="B86" i="2"/>
  <c r="A88" i="2" l="1"/>
  <c r="B87" i="2"/>
  <c r="A89" i="2" l="1"/>
  <c r="B88" i="2"/>
  <c r="A90" i="2" l="1"/>
  <c r="B89" i="2"/>
  <c r="A91" i="2" l="1"/>
  <c r="B90" i="2"/>
  <c r="A92" i="2" l="1"/>
  <c r="B91" i="2"/>
  <c r="A93" i="2" l="1"/>
  <c r="B92" i="2"/>
  <c r="A94" i="2" l="1"/>
  <c r="B93" i="2"/>
  <c r="A95" i="2" l="1"/>
  <c r="B94" i="2"/>
  <c r="A96" i="2" l="1"/>
  <c r="B95" i="2"/>
  <c r="A97" i="2" l="1"/>
  <c r="B96" i="2"/>
  <c r="A98" i="2" l="1"/>
  <c r="B97" i="2"/>
  <c r="A99" i="2" l="1"/>
  <c r="B98" i="2"/>
  <c r="A100" i="2" l="1"/>
  <c r="B99" i="2"/>
  <c r="A101" i="2" l="1"/>
  <c r="B100" i="2"/>
  <c r="A102" i="2" l="1"/>
  <c r="B101" i="2"/>
  <c r="A103" i="2" l="1"/>
  <c r="B102" i="2"/>
  <c r="A104" i="2" l="1"/>
  <c r="B103" i="2"/>
  <c r="A105" i="2" l="1"/>
  <c r="B104" i="2"/>
  <c r="A106" i="2" l="1"/>
  <c r="B105" i="2"/>
  <c r="A107" i="2" l="1"/>
  <c r="B106" i="2"/>
  <c r="A108" i="2" l="1"/>
  <c r="B107" i="2"/>
  <c r="A109" i="2" l="1"/>
  <c r="B108" i="2"/>
  <c r="A110" i="2" l="1"/>
  <c r="B109" i="2"/>
  <c r="A111" i="2" l="1"/>
  <c r="B110" i="2"/>
  <c r="A112" i="2" l="1"/>
  <c r="B111" i="2"/>
  <c r="A113" i="2" l="1"/>
  <c r="B112" i="2"/>
  <c r="A114" i="2" l="1"/>
  <c r="B113" i="2"/>
  <c r="A115" i="2" l="1"/>
  <c r="B114" i="2"/>
  <c r="A116" i="2" l="1"/>
  <c r="B115" i="2"/>
  <c r="A117" i="2" l="1"/>
  <c r="B116" i="2"/>
  <c r="A118" i="2" l="1"/>
  <c r="B117" i="2"/>
  <c r="A119" i="2" l="1"/>
  <c r="B118" i="2"/>
  <c r="A120" i="2" l="1"/>
  <c r="B119" i="2"/>
  <c r="A121" i="2" l="1"/>
  <c r="B120" i="2"/>
  <c r="A122" i="2" l="1"/>
  <c r="B121" i="2"/>
  <c r="A123" i="2" l="1"/>
  <c r="B122" i="2"/>
  <c r="A124" i="2" l="1"/>
  <c r="B123" i="2"/>
  <c r="A125" i="2" l="1"/>
  <c r="B124" i="2"/>
  <c r="A126" i="2" l="1"/>
  <c r="B125" i="2"/>
  <c r="A127" i="2" l="1"/>
  <c r="B126" i="2"/>
  <c r="A128" i="2" l="1"/>
  <c r="B127" i="2"/>
  <c r="A129" i="2" l="1"/>
  <c r="B128" i="2"/>
  <c r="A130" i="2" l="1"/>
  <c r="B129" i="2"/>
  <c r="A131" i="2" l="1"/>
  <c r="B130" i="2"/>
  <c r="A132" i="2" l="1"/>
  <c r="B131" i="2"/>
  <c r="A133" i="2" l="1"/>
  <c r="B132" i="2"/>
  <c r="A134" i="2" l="1"/>
  <c r="B133" i="2"/>
  <c r="A135" i="2" l="1"/>
  <c r="B134" i="2"/>
  <c r="A136" i="2" l="1"/>
  <c r="B135" i="2"/>
  <c r="A137" i="2" l="1"/>
  <c r="B136" i="2"/>
  <c r="A138" i="2" l="1"/>
  <c r="B137" i="2"/>
  <c r="A139" i="2" l="1"/>
  <c r="B138" i="2"/>
  <c r="A140" i="2" l="1"/>
  <c r="B139" i="2"/>
  <c r="A141" i="2" l="1"/>
  <c r="B140" i="2"/>
  <c r="A142" i="2" l="1"/>
  <c r="B141" i="2"/>
  <c r="A143" i="2" l="1"/>
  <c r="B142" i="2"/>
  <c r="C4" i="2" s="1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C9" i="2" l="1"/>
  <c r="D9" i="2" s="1"/>
  <c r="C7" i="2"/>
  <c r="D7" i="2" s="1"/>
  <c r="C10" i="2"/>
  <c r="D10" i="2" s="1"/>
  <c r="C8" i="2"/>
  <c r="D8" i="2" s="1"/>
  <c r="C6" i="2"/>
  <c r="D6" i="2" s="1"/>
  <c r="C12" i="2"/>
  <c r="D12" i="2" s="1"/>
  <c r="C11" i="2"/>
  <c r="D11" i="2" s="1"/>
  <c r="C5" i="2"/>
  <c r="D5" i="2" s="1"/>
  <c r="C13" i="2"/>
  <c r="D13" i="2" s="1"/>
  <c r="C14" i="2"/>
  <c r="D14" i="2" s="1"/>
  <c r="C16" i="2"/>
  <c r="D16" i="2" s="1"/>
  <c r="C15" i="2"/>
  <c r="D15" i="2" s="1"/>
  <c r="C17" i="2"/>
  <c r="D17" i="2" s="1"/>
  <c r="C18" i="2"/>
  <c r="D18" i="2" s="1"/>
  <c r="C20" i="2"/>
  <c r="D20" i="2" s="1"/>
  <c r="C19" i="2"/>
  <c r="D19" i="2" s="1"/>
  <c r="C22" i="2"/>
  <c r="D22" i="2" s="1"/>
  <c r="C21" i="2"/>
  <c r="D21" i="2" s="1"/>
  <c r="C23" i="2"/>
  <c r="D23" i="2" s="1"/>
  <c r="C24" i="2"/>
  <c r="D24" i="2" s="1"/>
  <c r="C25" i="2"/>
  <c r="D25" i="2" s="1"/>
  <c r="C26" i="2"/>
  <c r="D26" i="2" s="1"/>
  <c r="C27" i="2"/>
  <c r="D27" i="2" s="1"/>
  <c r="C29" i="2"/>
  <c r="D29" i="2" s="1"/>
  <c r="C28" i="2"/>
  <c r="D28" i="2" s="1"/>
  <c r="C31" i="2"/>
  <c r="D31" i="2" s="1"/>
  <c r="C30" i="2"/>
  <c r="D30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9" i="2"/>
  <c r="D39" i="2" s="1"/>
  <c r="C38" i="2"/>
  <c r="D38" i="2" s="1"/>
  <c r="C40" i="2"/>
  <c r="D40" i="2" s="1"/>
  <c r="C42" i="2"/>
  <c r="D42" i="2" s="1"/>
  <c r="C41" i="2"/>
  <c r="D41" i="2" s="1"/>
  <c r="C43" i="2"/>
  <c r="D43" i="2" s="1"/>
  <c r="C45" i="2"/>
  <c r="D45" i="2" s="1"/>
  <c r="C44" i="2"/>
  <c r="D44" i="2" s="1"/>
  <c r="C46" i="2"/>
  <c r="D46" i="2" s="1"/>
  <c r="C47" i="2"/>
  <c r="D47" i="2" s="1"/>
  <c r="C48" i="2"/>
  <c r="D48" i="2" s="1"/>
  <c r="C49" i="2"/>
  <c r="D49" i="2" s="1"/>
  <c r="C50" i="2"/>
  <c r="D50" i="2" s="1"/>
  <c r="C53" i="2"/>
  <c r="D53" i="2" s="1"/>
  <c r="C51" i="2"/>
  <c r="D51" i="2" s="1"/>
  <c r="C54" i="2"/>
  <c r="D54" i="2" s="1"/>
  <c r="C52" i="2"/>
  <c r="D52" i="2" s="1"/>
  <c r="C56" i="2"/>
  <c r="D56" i="2" s="1"/>
  <c r="C55" i="2"/>
  <c r="D55" i="2" s="1"/>
  <c r="C59" i="2"/>
  <c r="D59" i="2" s="1"/>
  <c r="C57" i="2"/>
  <c r="D57" i="2" s="1"/>
  <c r="C58" i="2"/>
  <c r="D58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8" i="2"/>
  <c r="D68" i="2" s="1"/>
  <c r="C67" i="2"/>
  <c r="D67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6" i="2"/>
  <c r="D76" i="2" s="1"/>
  <c r="C77" i="2"/>
  <c r="D77" i="2" s="1"/>
  <c r="C75" i="2"/>
  <c r="D75" i="2" s="1"/>
  <c r="C78" i="2"/>
  <c r="D78" i="2" s="1"/>
  <c r="C79" i="2"/>
  <c r="D79" i="2" s="1"/>
  <c r="C82" i="2"/>
  <c r="D82" i="2" s="1"/>
  <c r="C80" i="2"/>
  <c r="D80" i="2" s="1"/>
  <c r="C81" i="2"/>
  <c r="D81" i="2" s="1"/>
  <c r="C83" i="2"/>
  <c r="D83" i="2" s="1"/>
  <c r="C84" i="2"/>
  <c r="D84" i="2" s="1"/>
  <c r="C85" i="2"/>
  <c r="D85" i="2" s="1"/>
  <c r="C86" i="2"/>
  <c r="D86" i="2" s="1"/>
  <c r="C87" i="2"/>
  <c r="D87" i="2" s="1"/>
  <c r="C91" i="2"/>
  <c r="D91" i="2" s="1"/>
  <c r="C89" i="2"/>
  <c r="D89" i="2" s="1"/>
  <c r="C92" i="2"/>
  <c r="D92" i="2" s="1"/>
  <c r="C88" i="2"/>
  <c r="D88" i="2" s="1"/>
  <c r="C90" i="2"/>
  <c r="D90" i="2" s="1"/>
  <c r="C93" i="2"/>
  <c r="D93" i="2" s="1"/>
  <c r="C94" i="2"/>
  <c r="D94" i="2" s="1"/>
  <c r="C95" i="2"/>
  <c r="D95" i="2" s="1"/>
  <c r="C97" i="2"/>
  <c r="D97" i="2" s="1"/>
  <c r="C96" i="2"/>
  <c r="D96" i="2" s="1"/>
  <c r="C98" i="2"/>
  <c r="D98" i="2" s="1"/>
  <c r="C99" i="2"/>
  <c r="D99" i="2" s="1"/>
  <c r="C101" i="2"/>
  <c r="D101" i="2" s="1"/>
  <c r="C103" i="2"/>
  <c r="D103" i="2" s="1"/>
  <c r="C102" i="2"/>
  <c r="D102" i="2" s="1"/>
  <c r="C100" i="2"/>
  <c r="D100" i="2" s="1"/>
  <c r="C104" i="2"/>
  <c r="D104" i="2" s="1"/>
  <c r="C106" i="2"/>
  <c r="D106" i="2" s="1"/>
  <c r="C107" i="2"/>
  <c r="D107" i="2" s="1"/>
  <c r="C105" i="2"/>
  <c r="D105" i="2" s="1"/>
  <c r="C108" i="2"/>
  <c r="D108" i="2" s="1"/>
  <c r="C109" i="2"/>
  <c r="D109" i="2" s="1"/>
  <c r="C111" i="2"/>
  <c r="D111" i="2" s="1"/>
  <c r="C110" i="2"/>
  <c r="D110" i="2" s="1"/>
  <c r="C113" i="2"/>
  <c r="D113" i="2" s="1"/>
  <c r="C112" i="2"/>
  <c r="D112" i="2" s="1"/>
  <c r="C115" i="2"/>
  <c r="D115" i="2" s="1"/>
  <c r="C114" i="2"/>
  <c r="D114" i="2" s="1"/>
  <c r="C118" i="2"/>
  <c r="D118" i="2" s="1"/>
  <c r="C116" i="2"/>
  <c r="D116" i="2" s="1"/>
  <c r="C117" i="2"/>
  <c r="D117" i="2" s="1"/>
  <c r="C119" i="2"/>
  <c r="D119" i="2" s="1"/>
  <c r="C120" i="2"/>
  <c r="D120" i="2" s="1"/>
  <c r="C121" i="2"/>
  <c r="D121" i="2" s="1"/>
  <c r="C125" i="2"/>
  <c r="D125" i="2" s="1"/>
  <c r="C122" i="2"/>
  <c r="D122" i="2" s="1"/>
  <c r="C123" i="2"/>
  <c r="D123" i="2" s="1"/>
  <c r="C126" i="2"/>
  <c r="D126" i="2" s="1"/>
  <c r="C124" i="2"/>
  <c r="D124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7" i="2"/>
  <c r="D137" i="2" s="1"/>
  <c r="C136" i="2"/>
  <c r="D136" i="2" s="1"/>
  <c r="C139" i="2"/>
  <c r="D139" i="2" s="1"/>
  <c r="C138" i="2"/>
  <c r="D138" i="2" s="1"/>
  <c r="C142" i="2"/>
  <c r="D142" i="2" s="1"/>
  <c r="C140" i="2"/>
  <c r="D140" i="2" s="1"/>
  <c r="C141" i="2"/>
  <c r="D141" i="2" s="1"/>
  <c r="D4" i="2"/>
  <c r="A244" i="2"/>
  <c r="B243" i="2"/>
  <c r="F68" i="2" l="1"/>
  <c r="E68" i="2"/>
  <c r="F58" i="2"/>
  <c r="E58" i="2"/>
  <c r="F53" i="2"/>
  <c r="E53" i="2"/>
  <c r="E43" i="2"/>
  <c r="F43" i="2"/>
  <c r="E35" i="2"/>
  <c r="F35" i="2"/>
  <c r="F27" i="2"/>
  <c r="E27" i="2"/>
  <c r="F20" i="2"/>
  <c r="E20" i="2"/>
  <c r="F11" i="2"/>
  <c r="E11" i="2"/>
  <c r="E66" i="2"/>
  <c r="F66" i="2"/>
  <c r="F57" i="2"/>
  <c r="E57" i="2"/>
  <c r="E50" i="2"/>
  <c r="F50" i="2"/>
  <c r="F41" i="2"/>
  <c r="E41" i="2"/>
  <c r="E34" i="2"/>
  <c r="F34" i="2"/>
  <c r="E26" i="2"/>
  <c r="F26" i="2"/>
  <c r="F18" i="2"/>
  <c r="E18" i="2"/>
  <c r="E12" i="2"/>
  <c r="F12" i="2"/>
  <c r="F65" i="2"/>
  <c r="E65" i="2"/>
  <c r="E59" i="2"/>
  <c r="F59" i="2"/>
  <c r="F49" i="2"/>
  <c r="E49" i="2"/>
  <c r="E42" i="2"/>
  <c r="F42" i="2"/>
  <c r="F33" i="2"/>
  <c r="E33" i="2"/>
  <c r="E25" i="2"/>
  <c r="F25" i="2"/>
  <c r="F17" i="2"/>
  <c r="E17" i="2"/>
  <c r="F6" i="2"/>
  <c r="E6" i="2"/>
  <c r="F72" i="2"/>
  <c r="E72" i="2"/>
  <c r="E64" i="2"/>
  <c r="F64" i="2"/>
  <c r="E55" i="2"/>
  <c r="F55" i="2"/>
  <c r="E48" i="2"/>
  <c r="F48" i="2"/>
  <c r="F40" i="2"/>
  <c r="E40" i="2"/>
  <c r="E32" i="2"/>
  <c r="F32" i="2"/>
  <c r="F24" i="2"/>
  <c r="E24" i="2"/>
  <c r="F15" i="2"/>
  <c r="E15" i="2"/>
  <c r="E8" i="2"/>
  <c r="F8" i="2"/>
  <c r="E71" i="2"/>
  <c r="F71" i="2"/>
  <c r="F63" i="2"/>
  <c r="E63" i="2"/>
  <c r="F56" i="2"/>
  <c r="E56" i="2"/>
  <c r="E47" i="2"/>
  <c r="F47" i="2"/>
  <c r="E38" i="2"/>
  <c r="F38" i="2"/>
  <c r="E30" i="2"/>
  <c r="F30" i="2"/>
  <c r="F23" i="2"/>
  <c r="E23" i="2"/>
  <c r="F16" i="2"/>
  <c r="E16" i="2"/>
  <c r="E10" i="2"/>
  <c r="F10" i="2"/>
  <c r="E70" i="2"/>
  <c r="F70" i="2"/>
  <c r="F62" i="2"/>
  <c r="E62" i="2"/>
  <c r="E52" i="2"/>
  <c r="F52" i="2"/>
  <c r="F46" i="2"/>
  <c r="E46" i="2"/>
  <c r="E39" i="2"/>
  <c r="F39" i="2"/>
  <c r="E31" i="2"/>
  <c r="F31" i="2"/>
  <c r="E21" i="2"/>
  <c r="F21" i="2"/>
  <c r="F14" i="2"/>
  <c r="E14" i="2"/>
  <c r="F7" i="2"/>
  <c r="E7" i="2"/>
  <c r="E69" i="2"/>
  <c r="F69" i="2"/>
  <c r="F61" i="2"/>
  <c r="E61" i="2"/>
  <c r="E54" i="2"/>
  <c r="F54" i="2"/>
  <c r="F44" i="2"/>
  <c r="E44" i="2"/>
  <c r="E37" i="2"/>
  <c r="F37" i="2"/>
  <c r="E28" i="2"/>
  <c r="F28" i="2"/>
  <c r="F22" i="2"/>
  <c r="E22" i="2"/>
  <c r="E13" i="2"/>
  <c r="F13" i="2"/>
  <c r="F9" i="2"/>
  <c r="E9" i="2"/>
  <c r="F67" i="2"/>
  <c r="E67" i="2"/>
  <c r="E60" i="2"/>
  <c r="F60" i="2"/>
  <c r="F51" i="2"/>
  <c r="E51" i="2"/>
  <c r="F45" i="2"/>
  <c r="E45" i="2"/>
  <c r="F36" i="2"/>
  <c r="E36" i="2"/>
  <c r="E29" i="2"/>
  <c r="F29" i="2"/>
  <c r="E19" i="2"/>
  <c r="F19" i="2"/>
  <c r="F5" i="2"/>
  <c r="E5" i="2"/>
  <c r="E4" i="2"/>
  <c r="F4" i="2"/>
  <c r="A245" i="2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7" i="2"/>
  <c r="A259" i="2" l="1"/>
  <c r="B258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A267" i="2" l="1"/>
  <c r="B266" i="2"/>
  <c r="A268" i="2" l="1"/>
  <c r="B267" i="2"/>
  <c r="A269" i="2" l="1"/>
  <c r="B268" i="2"/>
  <c r="A270" i="2" l="1"/>
  <c r="B269" i="2"/>
  <c r="A271" i="2" l="1"/>
  <c r="B270" i="2"/>
  <c r="A272" i="2" l="1"/>
  <c r="B271" i="2"/>
  <c r="A273" i="2" l="1"/>
  <c r="B272" i="2"/>
  <c r="A274" i="2" l="1"/>
  <c r="B273" i="2"/>
  <c r="A275" i="2" l="1"/>
  <c r="B274" i="2"/>
  <c r="A276" i="2" l="1"/>
  <c r="B275" i="2"/>
  <c r="A277" i="2" l="1"/>
  <c r="B276" i="2"/>
  <c r="A278" i="2" l="1"/>
  <c r="B277" i="2"/>
  <c r="A279" i="2" l="1"/>
  <c r="B278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A288" i="2" l="1"/>
  <c r="B287" i="2"/>
  <c r="A289" i="2" l="1"/>
  <c r="B288" i="2"/>
  <c r="A290" i="2" l="1"/>
  <c r="B289" i="2"/>
  <c r="A291" i="2" l="1"/>
  <c r="B290" i="2"/>
  <c r="A292" i="2" l="1"/>
  <c r="B291" i="2"/>
  <c r="A293" i="2" l="1"/>
  <c r="B292" i="2"/>
  <c r="A294" i="2" l="1"/>
  <c r="B293" i="2"/>
  <c r="A295" i="2" l="1"/>
  <c r="B295" i="2" s="1"/>
  <c r="B294" i="2"/>
</calcChain>
</file>

<file path=xl/sharedStrings.xml><?xml version="1.0" encoding="utf-8"?>
<sst xmlns="http://schemas.openxmlformats.org/spreadsheetml/2006/main" count="1745" uniqueCount="1094">
  <si>
    <t>Sentence</t>
  </si>
  <si>
    <t>No</t>
  </si>
  <si>
    <t>Type</t>
  </si>
  <si>
    <t>Viet</t>
  </si>
  <si>
    <t>TOPIC: FROM MORNING TO NIGHT</t>
  </si>
  <si>
    <t>Eng</t>
  </si>
  <si>
    <t>Phon</t>
  </si>
  <si>
    <t>From</t>
  </si>
  <si>
    <t>To</t>
  </si>
  <si>
    <t>ID</t>
  </si>
  <si>
    <t>Link</t>
  </si>
  <si>
    <t>Copy Google drive to …</t>
  </si>
  <si>
    <t>Struc</t>
  </si>
  <si>
    <t>1.3</t>
  </si>
  <si>
    <t>1.1</t>
  </si>
  <si>
    <t>I got my socks wholesale.</t>
  </si>
  <si>
    <t>aɪ ga:t maɪ sa:ks ˈhoʊlseɪl</t>
  </si>
  <si>
    <t>I got my clothes wholesale.</t>
  </si>
  <si>
    <t>aɪ ga:t maɪ kloʊðz ˈhoʊlseɪl</t>
  </si>
  <si>
    <t>She got decorative lights wholesale.</t>
  </si>
  <si>
    <t>ʃi: ga:t ˈdɛkrətɪv laɪts ˈhoʊlseɪl</t>
  </si>
  <si>
    <t>He got wine wholesale.</t>
  </si>
  <si>
    <t>hi: ga:t waɪn ˈhoʊlseɪl</t>
  </si>
  <si>
    <t>1.2</t>
  </si>
  <si>
    <t>1.4</t>
  </si>
  <si>
    <t>S + GOT + NOUN + WHOLESALE… /… mua giá sỉ/</t>
  </si>
  <si>
    <t>Surplus goods are sold at half price.</t>
  </si>
  <si>
    <t>ˈsɜ:rpləs gʊdz a:r soʊld æt hæf praɪs</t>
  </si>
  <si>
    <t>This book is sold at half price.</t>
  </si>
  <si>
    <t>ðɪs bʊk ɪz soʊld æt hæf praɪs</t>
  </si>
  <si>
    <t>These pizzas are sold at half price.</t>
  </si>
  <si>
    <t>ði:z ˈpi:tsəz a:r soʊld æt hæf praɪs</t>
  </si>
  <si>
    <t>This product/item is sold at half price.</t>
  </si>
  <si>
    <t>ðɪs ˈpra:dʌkt/ˈaɪtəm ɪz soʊld æt hæf praɪs</t>
  </si>
  <si>
    <t>2.1</t>
  </si>
  <si>
    <t>2.3</t>
  </si>
  <si>
    <t>2.4</t>
  </si>
  <si>
    <t>2.2</t>
  </si>
  <si>
    <t>3.1</t>
  </si>
  <si>
    <t>3.2</t>
  </si>
  <si>
    <t>3.3</t>
  </si>
  <si>
    <t>My dad only buys brand-name products.</t>
  </si>
  <si>
    <t>maɪ dæd ˈoʊnli baɪz brænd neɪm ˈpra:dʌkts</t>
  </si>
  <si>
    <t>I only buy brand-name shoes.</t>
  </si>
  <si>
    <t>aɪ ˈoʊnli baɪ brænd neɪm ʃu:z</t>
  </si>
  <si>
    <t>My mom only buys brand-name glasses.</t>
  </si>
  <si>
    <t>maɪ ma:m ˈoʊnli baɪz brænd neɪm ˈglæsəz</t>
  </si>
  <si>
    <t>I only buy brand-name handbag.</t>
  </si>
  <si>
    <t>aɪ ˈoʊnli baɪ brænd neɪm ˈhændbæg</t>
  </si>
  <si>
    <t>3.4</t>
  </si>
  <si>
    <t>S + ONLY BUY BRAND-NAME PRODUCTS… /Ai đó chỉ mua hàng có thương hiệu…/</t>
  </si>
  <si>
    <t>Bố mình chỉ mua hàng có thương hiệu.</t>
  </si>
  <si>
    <t>Tôi chỉ mua giày có thương hiệu.</t>
  </si>
  <si>
    <t>Mẹ tôi chỉ mua mắt kính có thương hiệu.</t>
  </si>
  <si>
    <t>Tôi chỉ mua giỏ xách có thương hiệu.</t>
  </si>
  <si>
    <t>4.1</t>
  </si>
  <si>
    <t>4.2</t>
  </si>
  <si>
    <t>4.3</t>
  </si>
  <si>
    <t>4.4</t>
  </si>
  <si>
    <t>4.5</t>
  </si>
  <si>
    <t>Tôi đã  mua quần áo giá sỉ.</t>
  </si>
  <si>
    <t>Chị ấy mua bóng đèn trang trí với giá sỉ.</t>
  </si>
  <si>
    <t>Anh ấy mua rượu với giá sỉ.</t>
  </si>
  <si>
    <t>S + TO BE SOLD AT HALF PRICE… /Cái gì đó bán nửa giá…/</t>
  </si>
  <si>
    <t>Hàng sản xuất dư được bán nửa giá.</t>
  </si>
  <si>
    <t>Cuốn sách này được bán với nửa giá.</t>
  </si>
  <si>
    <t>Mấy cái bánh pizza này được bán với nửa giá.</t>
  </si>
  <si>
    <t>Mặt hàng này được bán nửa giá.</t>
  </si>
  <si>
    <t>The night market in Da Lat is always crowded.</t>
  </si>
  <si>
    <t>ðə naɪt ˈma:rkɪt ɪn Da Lat ɪz ˈa:lweɪz ˈkraʊdɪd</t>
  </si>
  <si>
    <t>Farmer’s market is always crowded.</t>
  </si>
  <si>
    <t>ˈfa:rmərz ˈma:rkɪt ɪz ˈa:lweɪz ˈkraʊdɪd</t>
  </si>
  <si>
    <t>Flea market is always crowded.</t>
  </si>
  <si>
    <t>fli: ˈma:rkɪt ɪz ˈa:lweɪz ˈkraʊdɪd</t>
  </si>
  <si>
    <t>ðə ˈsu:pərma:rkɪt ɪz ˈa:lweɪz ˈkraʊdɪd</t>
  </si>
  <si>
    <t>The street market is always crowded.</t>
  </si>
  <si>
    <t>ðə stri:t ˈma:rkɪt ɪz ˈa:lweɪz ˈkraʊdɪd</t>
  </si>
  <si>
    <t>PLACE + IS ALWAYS CROWDED… /Nơi nào đó lúc nào cũng đông đúc…/</t>
  </si>
  <si>
    <t>Chợ đêm ở Đà Lạt lúc nào cũng đông.</t>
  </si>
  <si>
    <t>Chợ nông sản lúc nào cũng đông.</t>
  </si>
  <si>
    <t>Chợ đồ cũ lúc nào cũng đông.</t>
  </si>
  <si>
    <t>Siêu thị lúc nào cũng đông.</t>
  </si>
  <si>
    <t>Chợ ngoài trời lúc nào cũng đông.</t>
  </si>
  <si>
    <t>5.1</t>
  </si>
  <si>
    <t>5.2</t>
  </si>
  <si>
    <t>5.3</t>
  </si>
  <si>
    <t>5.4</t>
  </si>
  <si>
    <t>6.1</t>
  </si>
  <si>
    <t>6.2</t>
  </si>
  <si>
    <t>6.3</t>
  </si>
  <si>
    <t>6.4</t>
  </si>
  <si>
    <t>This is the only place that sells arts and crafts.</t>
  </si>
  <si>
    <t>ðɪs ɪz ði: ˈoʊnli pleɪs ðæt sɛlz a:rts ænd cræfts</t>
  </si>
  <si>
    <t>This is the only place that sells handmade.</t>
  </si>
  <si>
    <t>ðɪs ɪz ði: ˈoʊnli pleɪs ðæt sɛlz hændˈmeɪd</t>
  </si>
  <si>
    <t>This is the only place that sells free-range eggs and organic food.</t>
  </si>
  <si>
    <t>ðɪs ɪz ði: ˈoʊnli pleɪs ðæt sɛlz fri: reɪnʤ ɛgz ænd ɔ:rˈgænɪk fu:d</t>
  </si>
  <si>
    <t>This is the only place that sells second-hand.</t>
  </si>
  <si>
    <t>ðɪs ɪz ði: ˈoʊnli pleɪs ðæt sɛlz ˈsɛkənd hænd</t>
  </si>
  <si>
    <t>This book is too expensive.</t>
  </si>
  <si>
    <t>ðɪs bʊk ɪz tu: ɪkˈspɛnsɪv</t>
  </si>
  <si>
    <t>These jeans are reasonable.</t>
  </si>
  <si>
    <t>ði:z ʤi:nz a:r ˈri:zənəbəl</t>
  </si>
  <si>
    <t>This item is too expensive.</t>
  </si>
  <si>
    <t>ðɪs ˈaɪtəm ɪz tu: ɪkˈspɛnsɪv</t>
  </si>
  <si>
    <t>This product is too cheap.</t>
  </si>
  <si>
    <t>ðɪs ˈpra:dʌkt ɪz tu: ʧi:p</t>
  </si>
  <si>
    <t>THIS IS THE ONLY PLACE THAT SELLS + NOUN /Đây là nơi duy nhất bán…/</t>
  </si>
  <si>
    <t>Đây là nơi duy nhất bán đồ thủ công mỹ nghệ.</t>
  </si>
  <si>
    <t>Đây là nơi duy nhất bán đồ làm bằng tay.</t>
  </si>
  <si>
    <t>Đây là nơi duy nhất bán trứng gà thả vườn và thực phẩm hữu cơ.</t>
  </si>
  <si>
    <t>Đây là nơi duy nhất bán đồ đã qua sử dụng.</t>
  </si>
  <si>
    <t>NOUN + IS/ARE TOO + ADJ /Cái gì đó quá…/</t>
  </si>
  <si>
    <t>Cuốn sách này quá đắt.</t>
  </si>
  <si>
    <t>Cái quần jean này quá phải chăng/hợp lý.</t>
  </si>
  <si>
    <t>Mặt hàng này quá đắt.</t>
  </si>
  <si>
    <t>Sản phẩm này quá rẻ.</t>
  </si>
  <si>
    <t>7.1</t>
  </si>
  <si>
    <t>7.2</t>
  </si>
  <si>
    <t>7.3</t>
  </si>
  <si>
    <t>7.4</t>
  </si>
  <si>
    <t>7.5</t>
  </si>
  <si>
    <t>7.6</t>
  </si>
  <si>
    <t>8.1</t>
  </si>
  <si>
    <t>8.2</t>
  </si>
  <si>
    <t>8.3</t>
  </si>
  <si>
    <t>8.4</t>
  </si>
  <si>
    <t>9.1</t>
  </si>
  <si>
    <t>9.2</t>
  </si>
  <si>
    <t>9.3</t>
  </si>
  <si>
    <t>9.4</t>
  </si>
  <si>
    <t>9.5</t>
  </si>
  <si>
    <t>10.1</t>
  </si>
  <si>
    <t>10.2</t>
  </si>
  <si>
    <t>10.3</t>
  </si>
  <si>
    <t>10.4</t>
  </si>
  <si>
    <t>10.5</t>
  </si>
  <si>
    <t>How much does this computer cost?</t>
  </si>
  <si>
    <t>haʊ mʌʧ dʌz ðɪs kəmˈpju:tər ka:st</t>
  </si>
  <si>
    <t>How much does this kettle cost?</t>
  </si>
  <si>
    <t>haʊ mʌʧ dʌz ðɪs ˈkɛtəl ka:st</t>
  </si>
  <si>
    <t>How much do these coats cost?</t>
  </si>
  <si>
    <t>haʊ mʌʧ du: ði:z koʊts ka:st</t>
  </si>
  <si>
    <t>How much does this bottle of perfume?</t>
  </si>
  <si>
    <t>haʊ mʌʧ dʌz ðɪs ˈba:təl ʌv pərˈfjuːm</t>
  </si>
  <si>
    <t>How much does this pair of shoes?</t>
  </si>
  <si>
    <t>haʊ mʌʧ dʌz ðɪs pɛr ʌv ʃu:z</t>
  </si>
  <si>
    <t>How much does this cup of coffee?</t>
  </si>
  <si>
    <t>haʊ mʌʧ dʌz ðɪs kʌp ʌv ˈka:fi</t>
  </si>
  <si>
    <t>60,000 dong for a cup of coffee, what a rip-off!</t>
  </si>
  <si>
    <t>ˈsɪksti ˈθaʊzənd da:ŋ fɔ:r ə kʌp ʌv ˈka:fi wʌt ə rɪp a:f</t>
  </si>
  <si>
    <t>600 dollars for this course, what a rip-off!</t>
  </si>
  <si>
    <t>sɪks ˈhʌndrəd ˈda:lərz fɔ:r ðɪs kɔ:rs wʌt ə rɪp a:f</t>
  </si>
  <si>
    <t>2 million VND for this pair of shoes, what a rip-off!</t>
  </si>
  <si>
    <t>tu: ˈmɪljən vjetˈnæm da:ŋ fɔ:r ðɪs pɛr ʌv ʃu:z wʌt ə rɪp a:f</t>
  </si>
  <si>
    <t>200,000 dong for this dish, what a rip-off!</t>
  </si>
  <si>
    <t>tu: ˈhʌndrəd ˈθaʊzənd da:ŋ fɔ:r ðɪs dɪʃ wʌt ə rɪp a:f</t>
  </si>
  <si>
    <t>This price is not within my budget.</t>
  </si>
  <si>
    <t>ðɪs praɪs ɪz na:t wɪˈðɪn maɪ ˈbʌʤɪt</t>
  </si>
  <si>
    <t>This price is negotiable.</t>
  </si>
  <si>
    <t>ðɪs praɪs ɪz nəˈgoʊʃəbəl</t>
  </si>
  <si>
    <t>The price is fixed.</t>
  </si>
  <si>
    <t>ðɪs praɪs ɪz fɪkst</t>
  </si>
  <si>
    <t>The price seems fair.</t>
  </si>
  <si>
    <t>ðə praɪs si:mz fɛr</t>
  </si>
  <si>
    <t>The price of this item is reasonable.</t>
  </si>
  <si>
    <t>ðə praɪs ʌv ðɪs ˈaɪtəm ɪz ˈri:zənəbəl</t>
  </si>
  <si>
    <t>The textbooks and dictionaries are on sale.</t>
  </si>
  <si>
    <t>ðə ˈtɛkstbʊks ænd ˈdɪkʃəˌnɛriz a:r a:n seɪl</t>
  </si>
  <si>
    <t>All tickets are on sale this Friday.</t>
  </si>
  <si>
    <t>a:l ˈtɪkɪts a:r a:n seɪl ðɪs ˈfraɪdeɪ</t>
  </si>
  <si>
    <t>These gloves are on sale.</t>
  </si>
  <si>
    <t>ði:z glʌvz a:r a:n seɪl</t>
  </si>
  <si>
    <t>This diamond ring is on sale.</t>
  </si>
  <si>
    <t>ðɪs ˈdaɪmənd rɪŋ ɪz a:n seɪl</t>
  </si>
  <si>
    <t>HOW MUCH DO/DOES + NOUN COST? /Giá bao nhiêu?/</t>
  </si>
  <si>
    <t>Cái máy tính này giá bao nhiêu?</t>
  </si>
  <si>
    <t>Cái ấm nước này giá bao nhiêu?</t>
  </si>
  <si>
    <t>Mấy cái áo khoác này giá bao nhiêu?</t>
  </si>
  <si>
    <t>Lọ nước hoa này giá bao nhiêu?</t>
  </si>
  <si>
    <t>Đôi giày này giá bao nhiêu?</t>
  </si>
  <si>
    <t>Ly cà phê này giá bao nhiêu?</t>
  </si>
  <si>
    <t>WHAT A RIP-OFF! /Đúng là cắt cổ/Đúng là mua hớ rồi!/</t>
  </si>
  <si>
    <t>60,000 một ly cà phê hả, đúng là cắt cổ!</t>
  </si>
  <si>
    <t>600 đô la cho khoá học đó hả, đúng là cắt cổ!</t>
  </si>
  <si>
    <t>2 triệu cho đôi giày này hả, đúng là cắt cổ!</t>
  </si>
  <si>
    <t>200,000 cho món ăn này hả, sao cắt cổ vậy!</t>
  </si>
  <si>
    <t>THE PRICE IS… /Giá này.../</t>
  </si>
  <si>
    <t>Mức giá này vượt quá túi tiền của tôi rồi.</t>
  </si>
  <si>
    <t>Giá này có thể thương lượng.</t>
  </si>
  <si>
    <t>N + IS/ARE ON SALE /... đang được giảm giá/</t>
  </si>
  <si>
    <t>Những món hàng này đang được giảm giá.</t>
  </si>
  <si>
    <t>Nhiều sách giáo khoa và từ điển đang được giảm giá.</t>
  </si>
  <si>
    <t>Tất cả vé được giảm giá vào thứ sáu.</t>
  </si>
  <si>
    <t>Mấy đôi găng tay này đang được giảm giá.</t>
  </si>
  <si>
    <t>Chiếc nhẫn kim cương này đang được giảm giá.</t>
  </si>
  <si>
    <t>Mức giá này là cố định.</t>
  </si>
  <si>
    <t>Giá món hàng này hợp lý.</t>
  </si>
  <si>
    <t>Giá cả có vẻ phải chăng.</t>
  </si>
  <si>
    <t>These items are on sale.</t>
  </si>
  <si>
    <t xml:space="preserve"> ði:z ˈaɪtəmz a:r a:n seɪl</t>
  </si>
  <si>
    <t>https://drive.google.com/file/d/1QvqycNx3JcG4G4TVHgXp1tDY_xL-WlxL/view?usp=sharing</t>
  </si>
  <si>
    <t>https://drive.google.com/file/d/1vasjBVqETqOl7bs3vQBOAzR4NiGpoxsF/view?usp=sharing</t>
  </si>
  <si>
    <t>https://drive.google.com/file/d/1peXZA3soILfxKtdaD4T537d9LgVveBzE/view?usp=sharing</t>
  </si>
  <si>
    <t>https://drive.google.com/file/d/1lpbZ84Z9-7MbW-sErkcSGi88_7MjVpSa/view?usp=sharing</t>
  </si>
  <si>
    <t>https://drive.google.com/file/d/1dGzVe3ZtjEoDcPRMJotwSrA9aF9xdm3Z/view?usp=sharing</t>
  </si>
  <si>
    <t>https://drive.google.com/file/d/1bE7kOP2RQNucQ7RbAkn0PeoO6yw_Dd_5/view?usp=sharing</t>
  </si>
  <si>
    <t>https://drive.google.com/file/d/1dj-mw8sQJcgFasY1pHP2zdirU8iZ-gOn/view?usp=sharing</t>
  </si>
  <si>
    <t>https://drive.google.com/file/d/1-UhOlY1W8cuYL3nsSEckPWi4jEUoztWj/view?usp=sharing</t>
  </si>
  <si>
    <t>https://drive.google.com/file/d/1sdtdrAYSm7wZwZPvc1IqZzv4wJifJfrW/view?usp=sharing</t>
  </si>
  <si>
    <t>https://drive.google.com/file/d/10u_HCX9arQY1jlRlG1z5K2HgwDSmOXSz/view?usp=sharing</t>
  </si>
  <si>
    <t>https://drive.google.com/file/d/1DxwV84b1d-9Q1CeTOntziHsKh3lEtmJ1/view?usp=sharing</t>
  </si>
  <si>
    <t>https://drive.google.com/file/d/1DKxc5zHfNWgXFv5C5UZ4RiRNPPfxNORG/view?usp=sharing</t>
  </si>
  <si>
    <t>https://drive.google.com/file/d/1OsALbANzgaMBu6jxjK_BHk7koe-A0xS4/view?usp=sharing</t>
  </si>
  <si>
    <t>https://drive.google.com/file/d/1RYNg-8T-SxcrEK0YswA-crQruQG2sFqE/view?usp=sharing</t>
  </si>
  <si>
    <t>https://drive.google.com/file/d/1aSN4MLuxrmf41BR98TlgYTcO8q6Hixij/view?usp=sharing</t>
  </si>
  <si>
    <t>https://drive.google.com/file/d/1oJZKn28iyyW1YLr55FvAHVqg4wdYcxvH/view?usp=sharing</t>
  </si>
  <si>
    <t>Tôi đã mua tất giá sỉ.</t>
  </si>
  <si>
    <t>The supermarket is always crowded.</t>
  </si>
  <si>
    <t>01-05</t>
  </si>
  <si>
    <t>11-15</t>
  </si>
  <si>
    <t>16-20</t>
  </si>
  <si>
    <t>21-25</t>
  </si>
  <si>
    <t>26-30</t>
  </si>
  <si>
    <t>31-34</t>
  </si>
  <si>
    <t>https://drive.google.com/file/d/1-YcvqlJjdZSA0TmV4uAr3rLIGBbp1XA5/view?usp=sharing</t>
  </si>
  <si>
    <t>https://drive.google.com/file/d/1OuwEgzWbwGqeCqtcCnE2AJZoQX4Bp5vx/view?usp=sharing</t>
  </si>
  <si>
    <t>https://drive.google.com/file/d/1RqT1eZo2TMTOclPTA_vh_ep71xrgY6Up/view?usp=sharing</t>
  </si>
  <si>
    <t>https://drive.google.com/file/d/1bMn7aasXXYVVwWbbKIoSuZOb6m9dK2Kd/view?usp=sharing</t>
  </si>
  <si>
    <t>https://drive.google.com/file/d/1Hp-h5XxwC5tGc8dxmnXl11DIn6a14Zcr/view?usp=sharing</t>
  </si>
  <si>
    <t>https://drive.google.com/file/d/16UItxbRFXQsHC6JqNryXRfu_CMxio5BD/view?usp=sharing</t>
  </si>
  <si>
    <t>https://drive.google.com/file/d/1Mo0zNJRm852tNM5nRP9CNLeiZpLpam3R/view?usp=sharing</t>
  </si>
  <si>
    <t>https://drive.google.com/file/d/1IZkvLYOQrxn8mPfjSOWbYV2rRsDm0WZA/view?usp=sharing</t>
  </si>
  <si>
    <t>https://drive.google.com/file/d/1UHT-x4TA2AQo9Wncr34Y-JvUXiANr8W_/view?usp=sharing</t>
  </si>
  <si>
    <t>https://drive.google.com/file/d/1-vC7fXssGUwpj1VGicfyefYgoAsEmJdW/view?usp=sharing</t>
  </si>
  <si>
    <t>https://drive.google.com/file/d/17m7nkXyoI_t1qH8PoaLcdb5zWVkN_it3/view?usp=sharing</t>
  </si>
  <si>
    <t>https://drive.google.com/file/d/1Xp86zRg2xZ_CzPy4JZbyUQJsDq7ZETUG/view?usp=sharing</t>
  </si>
  <si>
    <t>https://drive.google.com/file/d/1xYkl6BmYyyHLEjG3ozt4idvgohksTmrQ/view?usp=sharing</t>
  </si>
  <si>
    <t>https://drive.google.com/file/d/1w4SZPfzZDp9BR2WZqAfRLPBs1sgr2ByW/view?usp=sharing</t>
  </si>
  <si>
    <t>https://drive.google.com/file/d/1ogGPQCk1_isKB7tR3IRyp9ATY-ili1nM/view?usp=sharing</t>
  </si>
  <si>
    <t>https://drive.google.com/file/d/1KroZdyB7Sw9nb0WO2YAb0xNPCym1xVVd/view?usp=sharing</t>
  </si>
  <si>
    <t>https://drive.google.com/file/d/1OSnV17iU0A6sRZ3fztA5WhE8mVWiEOk1/view?usp=sharing</t>
  </si>
  <si>
    <t>https://drive.google.com/file/d/1_I3PcVW5_6e4fTK1eRvUgVwlhENryVLk/view?usp=sharing</t>
  </si>
  <si>
    <t>https://drive.google.com/file/d/1u1Fpg4SGo-KYTNNn3QDHAMtHD3QayTaP/view?usp=sharing</t>
  </si>
  <si>
    <t>https://drive.google.com/file/d/1b7x1FWPLOBDKGnr4B5onFXsEHD8y47W8/view?usp=sharing</t>
  </si>
  <si>
    <t>https://drive.google.com/file/d/1qe6qDR-166BguvyInk3zxAKMgZgiODjq/view?usp=sharing</t>
  </si>
  <si>
    <t>https://drive.google.com/file/d/1gjK4wvGuikZJ_aP2VBDfs8ZzJmY0Lqed/view?usp=sharing</t>
  </si>
  <si>
    <t>https://drive.google.com/file/d/1XQJay3qZW68f8ehksV88FmOPy2jlyszn/view?usp=sharing</t>
  </si>
  <si>
    <t>https://drive.google.com/file/d/1M_Ks1hqu7Hs9PNqKzQWrd3JzguK7GYkw/view?usp=sharing</t>
  </si>
  <si>
    <t>https://drive.google.com/file/d/14UlFT9nFPNXYC5nPHlHPTmwdXESv3E_7/view?usp=sharing</t>
  </si>
  <si>
    <t>https://drive.google.com/file/d/1NYpqKdS8gZ7WUK3cDqA47Hd09SzPsf_K/view?usp=sharing</t>
  </si>
  <si>
    <t>https://drive.google.com/file/d/1kTuzJ2QrBtgeA08xCFQdgONnafrddb66/view?usp=sharing</t>
  </si>
  <si>
    <t>https://drive.google.com/file/d/1drnZxCLgV5XENY6lXx_AfulZkcGHSOYw/view?usp=sharing</t>
  </si>
  <si>
    <t>https://drive.google.com/file/d/1Ns39iXikPc0bOiGCTSviEgANjPK5PqGr/view?usp=sharing</t>
  </si>
  <si>
    <t>https://drive.google.com/file/d/1oTsibhm41l1nonD2mslzDoWCHIxdkOVr/view?usp=sharing</t>
  </si>
  <si>
    <t>All products are 10% off.</t>
  </si>
  <si>
    <t>a:l ˈpra:dʌkts a:r tɛn pərˈsɛnt a:f</t>
  </si>
  <si>
    <t>This jacket/coat is 50% off.</t>
  </si>
  <si>
    <t>ðɪs ˈʤækɪt/koʊt ɪz ˈfɪfti pərˈsɛnt a:f</t>
  </si>
  <si>
    <t>This couch/sofa is 30% off.</t>
  </si>
  <si>
    <t>ðɪs kaʊʧ/ˈsoʊfə ɪz ˈθɜ:rti pərˈsɛnt a:f</t>
  </si>
  <si>
    <t>This skirt is 40% off.</t>
  </si>
  <si>
    <t>ðɪs skɜ:rt ɪz ˈfɔ:rti pərˈsɛnt a:f</t>
  </si>
  <si>
    <t>This English course is 15% off.</t>
  </si>
  <si>
    <t>ðɪs ˈɪŋglɪʃ kɔ:rs ɪz fɪfˈti:n pərˈsɛnt a:f</t>
  </si>
  <si>
    <t>The price tag says 200 dollars, that’s too expensive.</t>
  </si>
  <si>
    <t>ðə praɪs tæg sɛz tu: ˈhʌndrəd ˈda:lərz ðæts tu: ɪkˈspɛnsɪv</t>
  </si>
  <si>
    <t>The price tag says 500,000 VND, that’s reasonable.</t>
  </si>
  <si>
    <t>ðə praɪs tæg sɛz faɪv ˈhʌndrəd ˈθaʊzənd viɛtˈnæm da:ŋ ðæts ˈri:zənəbəl</t>
  </si>
  <si>
    <t>The price tag says 5$, that’s too cheap.</t>
  </si>
  <si>
    <t>ðə praɪs tæg sɛz faɪv ˈda:lərz ðæts tu: ʧi:p</t>
  </si>
  <si>
    <t xml:space="preserve"> </t>
  </si>
  <si>
    <t>The furniture I bought was damaged in transit.</t>
  </si>
  <si>
    <t>ðə ˈfɜ:rnɪʧər aɪ ba:t wʌz ˈdæmɪʤd ɪn ˈtrænzɪt</t>
  </si>
  <si>
    <t>The camera I bought was damaged in transit.</t>
  </si>
  <si>
    <t>ðə ˈkæmrə aɪ ba:t wʌz ˈdæmɪʤd ɪn ˈtrænzɪt</t>
  </si>
  <si>
    <t>The speaker I bought was damaged in transit.</t>
  </si>
  <si>
    <t>ðə ˈspi:kər aɪ ba:t wʌz ˈdæmɪʤd ɪn ˈtrænzɪt</t>
  </si>
  <si>
    <t>The toy I bought was damaged in transit.</t>
  </si>
  <si>
    <t>ðə tɔɪ aɪ ba:t wʌz ˈdæmɪʤd ɪn ˈtrænzɪt</t>
  </si>
  <si>
    <t>I’d like to exchange this item.</t>
  </si>
  <si>
    <t>aɪd laɪk tu: ɪksˈʧeɪnʤ ðɪs ˈaɪtəm</t>
  </si>
  <si>
    <t>I’d like to exchange the laptop I purchased yesterday.</t>
  </si>
  <si>
    <t>aɪd laɪk tu: ɪksˈʧeɪnʤ ðə ˈlæpta:p aɪ ˈpɜ:rʧəst ˈjɛstərdeɪ</t>
  </si>
  <si>
    <t>I’d like to exchange this shirt.</t>
  </si>
  <si>
    <t>aɪd laɪk tu: ɪksˈʧeɪnʤ ðɪs ʃɜ:rt</t>
  </si>
  <si>
    <t>I’d like to exchange this gift.</t>
  </si>
  <si>
    <t>aɪd laɪk tu: ɪksˈʧeɪnʤ ðɪs gɪft</t>
  </si>
  <si>
    <t>I place an order for a new phone online.</t>
  </si>
  <si>
    <t>aɪ pleɪs ən ˈɔ:rdər fɔ:r ə nu: foʊn aːnˈlaɪn</t>
  </si>
  <si>
    <t>I place an order for this flats online.</t>
  </si>
  <si>
    <t>aɪ pleɪs ən ˈɔ:rdər fɔ:r ðɪs flæts aːnˈlaɪn</t>
  </si>
  <si>
    <t>I place an order for gown online.</t>
  </si>
  <si>
    <t>aɪ pleɪs ən ˈɔ:rdər fɔ:r gaʊn aːnˈlaɪn</t>
  </si>
  <si>
    <t>I place an order for day cream online.</t>
  </si>
  <si>
    <t>aɪ pleɪs ən ˈɔ:rdər fɔ:r deɪ kri:m aːnˈlaɪn</t>
  </si>
  <si>
    <t>I place an order for face wash online.</t>
  </si>
  <si>
    <t>aɪ pleɪs ən ˈɔ:rdər fɔ:r feɪs wa:ʃ aːnˈlaɪn</t>
  </si>
  <si>
    <t>Sorry, this item is currently out of stock.</t>
  </si>
  <si>
    <t>ˈsa:ri ðɪs ˈaɪtəm ɪz ˈkɜ:rəntli aʊt ʌv sta:k</t>
  </si>
  <si>
    <t>Sorry, these earrings are currently out of stock.</t>
  </si>
  <si>
    <t>ˈsa:ri ði:z ˈɪrɪŋz a:r ˈkɜ:rəntli aʊt ʌv sta:k</t>
  </si>
  <si>
    <t>Sorry, this necklace is currently out of stock.</t>
  </si>
  <si>
    <t>ˈsa:ri ðɪs ˈnɛkləs ɪz ˈkɜ:rəntli aʊt ʌv sta:k</t>
  </si>
  <si>
    <t>Sorry, this purse is currently out of stock.</t>
  </si>
  <si>
    <t>ˈsa:ri ðɪs pɜ:rs ɪz ˈkɜ:rəntli aʊt ʌv sta:k</t>
  </si>
  <si>
    <t>Do you accept cash?</t>
  </si>
  <si>
    <t>du: ju: əkˈsɛpt kæʃ</t>
  </si>
  <si>
    <t>Do you accept credit card?</t>
  </si>
  <si>
    <t>du: ju: əkˈsɛpt ˈkrɛdɪt ka:rd</t>
  </si>
  <si>
    <t>Do you accept debit card?</t>
  </si>
  <si>
    <t>du: ju: əkˈsɛpt ˈdɛbɪt ka:rd</t>
  </si>
  <si>
    <t>Please transfer the money to my account.</t>
  </si>
  <si>
    <t>pli:z ˈtrænsfər ðə ˈmʌni: tu: maɪ əˈkaʊnt</t>
  </si>
  <si>
    <t>I will transfer money to your bank account.</t>
  </si>
  <si>
    <t>aɪ wɪl ˈtrænsfər ˈmʌni: tu: jʊər bæŋk əˈkaʊnt</t>
  </si>
  <si>
    <t>I will transfer money immediately.</t>
  </si>
  <si>
    <t>aɪ wɪl ˈtrænsfər ˈmʌni: ɪˈmi:diətli</t>
  </si>
  <si>
    <t>He transferred 500,000 VND to my bank account.</t>
  </si>
  <si>
    <t>hi: trænˈsfɜ:rd faɪv ˈhʌndrəd ˈθaʊzənd viɛtˈnæm da:ŋ tu: maɪ bæŋk əˈkaʊnt</t>
  </si>
  <si>
    <t>She transferred 1 million VND to my bank account.</t>
  </si>
  <si>
    <t>ʃi: trænsˈfɜ:rd wʌn ˈmɪljən viɛtˈnæm da:ŋ tu: maɪ bæŋk əˈkaʊnt</t>
  </si>
  <si>
    <t>Miễn phí vận chuyển cho hàng mua trên 500,000 VND.</t>
  </si>
  <si>
    <t>Shipping is free for purchase over 500,000 VND.</t>
  </si>
  <si>
    <t>ˈʃɪpɪŋ ɪz fri: fɔ:r ˈpɜ:rʧəs ˈoʊvər faɪv ˈhʌndrəd ˈθaʊzənd viɛtˈnæm da:ŋ</t>
  </si>
  <si>
    <t>Shipping is free for purchase over 1,000,000 VND.</t>
  </si>
  <si>
    <t>ˈʃɪpɪŋ ɪz fri: fɔ:r ˈpɜ:rʧəs ˈoʊvər wʌn ˈmɪljən viɛtˈnæm da:ŋ</t>
  </si>
  <si>
    <t>Shipping is free for purchase over 200 dollars.</t>
  </si>
  <si>
    <t>ˈʃɪpɪŋ ɪz fri: fɔ:r ˈpɜ:rʧəs ˈoʊvər tu: ˈhʌndrəd ˈda:lərz</t>
  </si>
  <si>
    <t>Excuse me, can you tell me where the fruit and vegetables section is?</t>
  </si>
  <si>
    <t>ɪkˈskju:z mi: kæn ju tɛl mi: wɛr ðə fru:t ænd ˈvɛʤtəbəlz ˈsɛkʃən ɪz</t>
  </si>
  <si>
    <t>Excuse me, can you tell me where the dairy products section is?</t>
  </si>
  <si>
    <t>ɪkˈskju:z mi: kæn ju tɛl mi: wɛr ðə ˈdɛri ˈpra:dʌkts ˈsɛkʃən ɪz</t>
  </si>
  <si>
    <t>Excuse me, can you tell me where health and beauty section is?</t>
  </si>
  <si>
    <t>ɪkˈskju:z mi: kæn ju tɛl mi: wɛr hɛlθ ænd ˈbju:ti ˈsɛkʃən ɪz</t>
  </si>
  <si>
    <t>Excuse me, can you tell me where meat and fish section is?</t>
  </si>
  <si>
    <t>ɪkˈskju:z mi: kæn ju tɛl mi: wɛr mi:t ænd fɪʃ ˈsɛkʃən ɪz</t>
  </si>
  <si>
    <t>Excuse me, can you tell me where sweets and snacks section is?</t>
  </si>
  <si>
    <t>ɪkˈskju:z mi: kæn ju tɛl mi: wɛr swi:ts ænd snæks ˈsɛkʃən ɪz</t>
  </si>
  <si>
    <t>Excuse me, can you tell me where canned food section is?</t>
  </si>
  <si>
    <t>ɪkˈskju:z mi: kæn ju tɛl mi: wɛr kænd fu:d ˈsɛkʃən ɪz</t>
  </si>
  <si>
    <t>I enjoy shopping online, because it’s convenient.</t>
  </si>
  <si>
    <t>aɪ ɪnˈʤɔɪ ˈʃa:pɪŋ ˈa:nlaɪn bɪˈkəz ɪts kənˈvi:njənt</t>
  </si>
  <si>
    <t>I enjoy shopping online, because it’s fast.</t>
  </si>
  <si>
    <t>aɪ ɪnˈʤɔɪ ˈʃa:pɪŋ ˈa:nlaɪn bɪˈkəz ɪts fæst</t>
  </si>
  <si>
    <t>I enjoy shopping in bricks-and-mortar stores because I can bargain.</t>
  </si>
  <si>
    <t>aɪ ɪnˈʤɔɪ ˈʃa:pɪŋ ɪn brɪks ænd ˈmɔ:rtər stɔ:rz bɪˈkəz aɪ kæn ˈba:rgən</t>
  </si>
  <si>
    <t>I enjoy shopping in bricks-and-mortar stores because goods can be guaranteed.</t>
  </si>
  <si>
    <t>aɪ ɪnˈʤɔɪ ˈʃa:pɪŋ ɪn brɪks ænd ˈmɔ:rtər stɔ:rz bɪˈkəz gʊdz kæn bi: ˌgærənˈti:d</t>
  </si>
  <si>
    <t>I enjoy shopping in bricks-and-mortar stores because there are many fake goods online.</t>
  </si>
  <si>
    <t>aɪ ɪnˈʤɔɪ ˈʃa:pɪŋ ɪn brɪks ænd ˈmɔ:rtər stɔ:rz bɪˈkəz ðɛr a:r ˈmɛni feɪk gʊdz ˈa:nlaɪn</t>
  </si>
  <si>
    <t>Can I receive a refund if I am not satisfied with the products I buy?</t>
  </si>
  <si>
    <t>kæn aɪ rɪˈsi:v ə ˈri:fʌnd ɪf aɪ æm na:t ˈsætɪsfaɪd wɪð ðə ˈpra:dʌkts aɪ baɪ</t>
  </si>
  <si>
    <t>Can I receive a refund if the product is damaged?</t>
  </si>
  <si>
    <t>kæn aɪ rɪˈsi:v ə ˈri:fʌnd ɪf ðə ˈpra:dʌkt ɪz ˈdæmɪʤd</t>
  </si>
  <si>
    <t>Can I receive a refund if the quality of the product is not guaranteed?</t>
  </si>
  <si>
    <t>kæn aɪ rɪˈsi:v ə ˈri:fʌnd ɪf ðə ˈkwa:ləti ʌv ðə ˈpra:dʌkt ɪz na:t ˌgærənˈti:d</t>
  </si>
  <si>
    <t>Have you got anything cheaper?</t>
  </si>
  <si>
    <t>hæv ju: ga:t ˈɛni:θɪŋ ˈʧi:pər</t>
  </si>
  <si>
    <t>Have you got anything larger?</t>
  </si>
  <si>
    <t>hæv ju: ga:t ˈɛni:θɪŋ ˈla:rʤər</t>
  </si>
  <si>
    <t>Have you got anything smaller?</t>
  </si>
  <si>
    <t>hæv ju: ga:t ˈɛni:θɪŋ ˈsma:lər</t>
  </si>
  <si>
    <t>Have you got anything with different colors?</t>
  </si>
  <si>
    <t>hæv ju: ga:t ˈɛni:θɪŋ wɪð ˈdɪfərənt ˈkʌlərz</t>
  </si>
  <si>
    <t>I would like to return this.</t>
  </si>
  <si>
    <t>aɪ wʊd laɪk tu: rɪˈtɜ:rn ðɪs</t>
  </si>
  <si>
    <t>I would like to change this for a different size.</t>
  </si>
  <si>
    <t>aɪ wʊd laɪk tu: ʧeɪnʤ ðɪs fɔ:r ə ˈdɪfərənt saɪz</t>
  </si>
  <si>
    <t>I would like to speak to the manager.</t>
  </si>
  <si>
    <t>aɪ wʊd laɪk tu: spi:k tu: ðə ˈmænəʤər</t>
  </si>
  <si>
    <t>I’d like to keep the receipt.</t>
  </si>
  <si>
    <t>aɪd laɪk tu: ki:p ðə rɪˈsi:t</t>
  </si>
  <si>
    <t>Could you lower the price some?</t>
  </si>
  <si>
    <t>kʊd ju: ˈloʊər ðə praɪs sʌm</t>
  </si>
  <si>
    <t>Could you give me any off?</t>
  </si>
  <si>
    <t>kʊd ju: gɪv mi: ˈɛni a:f</t>
  </si>
  <si>
    <t>Could you help me measure my waist?</t>
  </si>
  <si>
    <t>When can you deliver this bed?</t>
  </si>
  <si>
    <t>wɛn kæn ju: dɪˈlɪvər ðɪs bɛd</t>
  </si>
  <si>
    <t>When can you deliver it?</t>
  </si>
  <si>
    <t>wɛn kæn ju: dɪˈlɪvər ɪt</t>
  </si>
  <si>
    <t>When can you deliver this camera?</t>
  </si>
  <si>
    <t>wɛn kæn ju: dɪˈlɪvər ðɪs ˈkæmrə</t>
  </si>
  <si>
    <t>Can you deliver this pair of shoes tomorrow?</t>
  </si>
  <si>
    <t>kæn ju: dɪˈlɪvər ðɪs pɛr ʌv ʃu:z təˈmɔ:roʊ</t>
  </si>
  <si>
    <t>Can you deliver these glasses on Monday?</t>
  </si>
  <si>
    <t>kæn ju: dɪˈlɪvər ði:z ˈglæsəz a:n ˈmʌndeɪ</t>
  </si>
  <si>
    <t>Can you deliver this lamp on Friday?</t>
  </si>
  <si>
    <t>kæn ju: dɪˈlɪvər ðɪs læmp a:n ˈfraɪdeɪ</t>
  </si>
  <si>
    <t>I am looking for women’s underwear section.</t>
  </si>
  <si>
    <t>aɪ æm ˈlʊkɪŋ fɔ:r ˈwɪmɪnz ˈʌndərwɛr ˈsɛkʃən</t>
  </si>
  <si>
    <t>I am looking for beach sandals.</t>
  </si>
  <si>
    <t>aɪ æm ˈlʊkɪŋ fɔ:r bi:ʧ ˈsændəlz</t>
  </si>
  <si>
    <t>I am looking for accessories section.</t>
  </si>
  <si>
    <t>aɪ æm ˈlʊkɪŋ fɔ:r əkˈsɛsəri:z ˈsɛkʃən</t>
  </si>
  <si>
    <t>I am looking for skirts.</t>
  </si>
  <si>
    <t>aɪ æm ˈlʊkɪŋ fɔ:r skɜ:rts</t>
  </si>
  <si>
    <t>I am looking for wedding dresses.</t>
  </si>
  <si>
    <t>aɪ æm ˈlʊkɪŋ fɔ:r ˈwɛdɪŋ ˈdrɛsɪz</t>
  </si>
  <si>
    <t>What is this sweater made of?</t>
  </si>
  <si>
    <t>wʌt ɪz ðɪs ˈswɛtər meɪd ʌv</t>
  </si>
  <si>
    <t>What is this skirt made of?</t>
  </si>
  <si>
    <t>wʌt ɪz ðɪs skɜ:rt meɪd ʌv</t>
  </si>
  <si>
    <t>What are these earrings made of?</t>
  </si>
  <si>
    <t>wʌt a:r ði:z ˈɪrɪŋz meɪd ʌv</t>
  </si>
  <si>
    <t>What is this scarf made of?</t>
  </si>
  <si>
    <t>wʌt ɪz ðɪs ska:rf meɪd ʌv</t>
  </si>
  <si>
    <t>Do you have these jeans in a size 38?</t>
  </si>
  <si>
    <t>du: ju: hæv ði:z ʤi:nz ɪn ə saɪz ˈθɜ:rti eɪt</t>
  </si>
  <si>
    <t>Do you have this pair of shoes in a size 40?</t>
  </si>
  <si>
    <t>du: ju: hæv ðɪs pɛr ʌv ʃu:z ɪn ə saɪz ˈfɔ:rti</t>
  </si>
  <si>
    <t>Do you have this T-shirt in size S?</t>
  </si>
  <si>
    <t>du: ju: hæv ðɪs ˈtiː ʃɜːrt ɪn saɪz ɛs</t>
  </si>
  <si>
    <t>Do you have this coat/jacket in the next larger size?</t>
  </si>
  <si>
    <t>du: ju hæv ðɪs koʊt/ˈdʒækɪt ɪn ðə nɛkst ˈla:rʤər saɪz</t>
  </si>
  <si>
    <t>I would like a liter of milk.</t>
  </si>
  <si>
    <t>aɪ wʊd laɪk ə ˈli:tər ʌv mɪlk</t>
  </si>
  <si>
    <t>I would like 2 kilos of beef.</t>
  </si>
  <si>
    <t>aɪ wʊd laɪk tu: ˈkiloʊz ʌv bi:f</t>
  </si>
  <si>
    <t>I would like to get three items.</t>
  </si>
  <si>
    <t>aɪ wʊd laɪk tu: gɛt θri: ˈaɪtəmz</t>
  </si>
  <si>
    <t>I would like a 5-kilogram bag of rice.</t>
  </si>
  <si>
    <t>aɪ wʊd laɪk eɪ faɪv ˈkɪləgræm bæg ʌv raɪs</t>
  </si>
  <si>
    <t>When does this pork expire?</t>
  </si>
  <si>
    <t>wɛn dʌz ðɪs pɔ:rk ɪkˈspaɪr</t>
  </si>
  <si>
    <t>When does this chocolate expire?</t>
  </si>
  <si>
    <t>wɛn dʌz ðɪs ˈtʃa:klət ɪkˈspaɪr</t>
  </si>
  <si>
    <t>When does this sunscreen expire?</t>
  </si>
  <si>
    <t>wɛn dʌz ðɪs ˈsʌnskri:n ɪkˈspaɪr</t>
  </si>
  <si>
    <t>When does this honey expire?</t>
  </si>
  <si>
    <t>wɛn dʌz ðɪs ˈhʌni ɪkˈspaɪr</t>
  </si>
  <si>
    <t>I was wondering if you had this sweater in a larger size.</t>
  </si>
  <si>
    <t>aɪ wəz ˈwʌndərɪŋ ɪf ju: həd ðɪs ˈswetər ɪn ə ˈlaːdʒər saɪz</t>
  </si>
  <si>
    <t>I was wondering if you had another one that is not damaged.</t>
  </si>
  <si>
    <t>aɪ wəz ˈwʌndərɪŋ ɪf ju: həd əˈnʌðə wʌn ðæt ɪz na:t ˈdæmɪdʒd</t>
  </si>
  <si>
    <t>I prefer my clothes to be a little loose.</t>
  </si>
  <si>
    <t>aɪ prɪˈfɜːr maɪ kloʊðz tu: bi: ə ˈlɪtəl luːs</t>
  </si>
  <si>
    <t>I prefer my clothes to be baggy.</t>
  </si>
  <si>
    <t>aɪ prɪˈfɜːr maɪ kloʊðz tu: bi: ˈbæɡi</t>
  </si>
  <si>
    <t>I prefer my clothes to be fashionable.</t>
  </si>
  <si>
    <t>aɪ prɪˈfɜːr maɪ kloʊðz tu: bi: ˈfæʃənəbəl</t>
  </si>
  <si>
    <t>I was wondering if you had the same style of sweater made from another fabric.</t>
  </si>
  <si>
    <t>aɪ wəz ˈwʌndərɪŋ ɪf ju: həd ðə seɪm staɪl əv ˈswetər meɪd frəm əˈnʌðə ˈfæbrɪk</t>
  </si>
  <si>
    <t>11</t>
  </si>
  <si>
    <t>11Struc</t>
  </si>
  <si>
    <t>N + IS/ARE + NUMBER % + OFF /Giảm giá... phần trăm/</t>
  </si>
  <si>
    <t>11.1</t>
  </si>
  <si>
    <t>11.1Viet</t>
  </si>
  <si>
    <t>Giảm giá 10% tất cả các sản phẩm.</t>
  </si>
  <si>
    <t>11.1Eng</t>
  </si>
  <si>
    <t>11.1Phon</t>
  </si>
  <si>
    <t>11.2</t>
  </si>
  <si>
    <t>11.2Viet</t>
  </si>
  <si>
    <t>Áo khoác này đang giảm giá 50%.</t>
  </si>
  <si>
    <t>11.2Eng</t>
  </si>
  <si>
    <t>11.2Phon</t>
  </si>
  <si>
    <t>11.3</t>
  </si>
  <si>
    <t>11.3Viet</t>
  </si>
  <si>
    <t>Cái ghế sô pha này đang giảm 30%.</t>
  </si>
  <si>
    <t>11.3Eng</t>
  </si>
  <si>
    <t>11.3Phon</t>
  </si>
  <si>
    <t>11.4</t>
  </si>
  <si>
    <t>11.4Viet</t>
  </si>
  <si>
    <t>Cái váy này đang giảm 40%.</t>
  </si>
  <si>
    <t>11.4Eng</t>
  </si>
  <si>
    <t>11.4Phon</t>
  </si>
  <si>
    <t>11.5</t>
  </si>
  <si>
    <t>11.5Viet</t>
  </si>
  <si>
    <t>Khoá học tiếng Anh này đang giảm giá 15%.</t>
  </si>
  <si>
    <t>11.5Eng</t>
  </si>
  <si>
    <t>11.5Phon</t>
  </si>
  <si>
    <t>12</t>
  </si>
  <si>
    <t>12Struc</t>
  </si>
  <si>
    <t>THE PRICE TAG SAYS + GIÁ , THAT’S TOO + ADJ /Nhãn giá ghi..., vậy là quá.../</t>
  </si>
  <si>
    <t>12.1</t>
  </si>
  <si>
    <t>12.1Viet</t>
  </si>
  <si>
    <t>Nhãn giá ghi 200$, vậy là quá mắc.</t>
  </si>
  <si>
    <t>12.1Eng</t>
  </si>
  <si>
    <t>12.1Phon</t>
  </si>
  <si>
    <t>12.2</t>
  </si>
  <si>
    <t>12.2Viet</t>
  </si>
  <si>
    <t>Nhãn giá ghi 500,000, vậy là quá hợp lí.</t>
  </si>
  <si>
    <t>12.2Eng</t>
  </si>
  <si>
    <t>12.2Phon</t>
  </si>
  <si>
    <t>12.3</t>
  </si>
  <si>
    <t>12.3Viet</t>
  </si>
  <si>
    <t>hãn giá ghi 5$, vậy là quá rẻ.</t>
  </si>
  <si>
    <t>12.3Eng</t>
  </si>
  <si>
    <t>12.3Phon</t>
  </si>
  <si>
    <t>13</t>
  </si>
  <si>
    <t>13Struc</t>
  </si>
  <si>
    <t>THE + NOUN + I BOUGHT WAS DAMAGED IN TRANSIT /Bị hư hại trong quá trình vận chuyển/</t>
  </si>
  <si>
    <t>13.1</t>
  </si>
  <si>
    <t>13.1Viet</t>
  </si>
  <si>
    <t>Đồ nội thất tôi mua bị hư hỏng trong quá trình vận chuyển.</t>
  </si>
  <si>
    <t>13.1Eng</t>
  </si>
  <si>
    <t>13.1Phon</t>
  </si>
  <si>
    <t>13.2</t>
  </si>
  <si>
    <t>13.2Viet</t>
  </si>
  <si>
    <t>Cái máy ảnh tôi mua bị hư hỏng trong quá trình vận chuyển.</t>
  </si>
  <si>
    <t>13.2Eng</t>
  </si>
  <si>
    <t>13.2Phon</t>
  </si>
  <si>
    <t>13.3</t>
  </si>
  <si>
    <t>13.3Viet</t>
  </si>
  <si>
    <t>Cái loa tôi mua bị hư hỏng trong quá trình vận chuyển.</t>
  </si>
  <si>
    <t>13.3Eng</t>
  </si>
  <si>
    <t>13.3Phon</t>
  </si>
  <si>
    <t>13.4</t>
  </si>
  <si>
    <t>13.4Viet</t>
  </si>
  <si>
    <t>Đồ chơi tôi mua bị hư trong quá trình vận chuyển.</t>
  </si>
  <si>
    <t>13.4Eng</t>
  </si>
  <si>
    <t>13.4Phon</t>
  </si>
  <si>
    <t>14</t>
  </si>
  <si>
    <t>14Struc</t>
  </si>
  <si>
    <t>I’D LIKE TO EXCHANGE + SOMETHING /Tôi muốn đổi…/</t>
  </si>
  <si>
    <t>14.1</t>
  </si>
  <si>
    <t>14.1Viet</t>
  </si>
  <si>
    <t>Tôi muốn đổi món hàng này.</t>
  </si>
  <si>
    <t>14.1Eng</t>
  </si>
  <si>
    <t>14.1Phon</t>
  </si>
  <si>
    <t>14.2</t>
  </si>
  <si>
    <t>14.2Viet</t>
  </si>
  <si>
    <t>Tôi muốn đổi cái laptop tôi mua hôm qua.</t>
  </si>
  <si>
    <t>14.2Eng</t>
  </si>
  <si>
    <t>14.2Phon</t>
  </si>
  <si>
    <t>14.3</t>
  </si>
  <si>
    <t>14.3Viet</t>
  </si>
  <si>
    <t>Tôi muốn đổi lại cái áo sơ mi này.</t>
  </si>
  <si>
    <t>14.3Eng</t>
  </si>
  <si>
    <t>14.3Phon</t>
  </si>
  <si>
    <t>14.4</t>
  </si>
  <si>
    <t>14.4Viet</t>
  </si>
  <si>
    <t>Tôi muốn đổi món quà này.</t>
  </si>
  <si>
    <t>14.4Eng</t>
  </si>
  <si>
    <t>14.4Phon</t>
  </si>
  <si>
    <t>15</t>
  </si>
  <si>
    <t>15Struc</t>
  </si>
  <si>
    <t>I PLACE AN ORDER FOR A + NOUN + ONLINE /Tôi đặt mua... trên mạng/</t>
  </si>
  <si>
    <t>15.1</t>
  </si>
  <si>
    <t>15.1Viet</t>
  </si>
  <si>
    <t>Tôi đặt mua một chiếc điện thoại mới trên mạng.</t>
  </si>
  <si>
    <t>15.1Eng</t>
  </si>
  <si>
    <t>15.1Phon</t>
  </si>
  <si>
    <t>15.2</t>
  </si>
  <si>
    <t>15.2Viet</t>
  </si>
  <si>
    <t>15.2Eng</t>
  </si>
  <si>
    <t>15.2Phon</t>
  </si>
  <si>
    <t>15.3</t>
  </si>
  <si>
    <t>15.3Viet</t>
  </si>
  <si>
    <t>Tôi đặt mua một cái đầm dạ hội trên mạng.</t>
  </si>
  <si>
    <t>15.3Eng</t>
  </si>
  <si>
    <t>15.3Phon</t>
  </si>
  <si>
    <t>15.4</t>
  </si>
  <si>
    <t>15.4Viet</t>
  </si>
  <si>
    <t>Tôi đặt mua kem dưỡng da ban ngày trên mạng.</t>
  </si>
  <si>
    <t>15.4Eng</t>
  </si>
  <si>
    <t>15.4Phon</t>
  </si>
  <si>
    <t>15.5</t>
  </si>
  <si>
    <t>15.5Viet</t>
  </si>
  <si>
    <t>Tôi đặt mua sữa rửa mặt trên mạng.</t>
  </si>
  <si>
    <t>15.5Eng</t>
  </si>
  <si>
    <t>15.5Phon</t>
  </si>
  <si>
    <t>16</t>
  </si>
  <si>
    <t>16Struc</t>
  </si>
  <si>
    <t>SORRY, THIS... IS OUT OF STOCK /Xin lỗi, ... này đã hết/</t>
  </si>
  <si>
    <t>16.1</t>
  </si>
  <si>
    <t>16.1Viet</t>
  </si>
  <si>
    <t>Xin lỗi, món này đã hết hàng rồi.</t>
  </si>
  <si>
    <t>16.1Eng</t>
  </si>
  <si>
    <t>16.1Phon</t>
  </si>
  <si>
    <t>16.2</t>
  </si>
  <si>
    <t>16.2Viet</t>
  </si>
  <si>
    <t>Xin lỗi, đôi bông tai này hết rồi.</t>
  </si>
  <si>
    <t>16.2Eng</t>
  </si>
  <si>
    <t>16.2Phon</t>
  </si>
  <si>
    <t>16.3</t>
  </si>
  <si>
    <t>16.3Viet</t>
  </si>
  <si>
    <t>Xin lỗi, sợi dây chuyền này hết hàng rồi.</t>
  </si>
  <si>
    <t>16.3Eng</t>
  </si>
  <si>
    <t>16.3Phon</t>
  </si>
  <si>
    <t>16.4</t>
  </si>
  <si>
    <t>16.4Viet</t>
  </si>
  <si>
    <t>Xin lỗi, cái ví (bóp) này hết hàng rồi.</t>
  </si>
  <si>
    <t>16.4Eng</t>
  </si>
  <si>
    <t>16.4Phon</t>
  </si>
  <si>
    <t>17</t>
  </si>
  <si>
    <t>17Struc</t>
  </si>
  <si>
    <t>DO YOU ACCEPT + NOUN? /Bạn có nhận… không?/</t>
  </si>
  <si>
    <t>17.1</t>
  </si>
  <si>
    <t>17.1Viet</t>
  </si>
  <si>
    <t>Bạn có nhận tiền mặt không?</t>
  </si>
  <si>
    <t>17.1Eng</t>
  </si>
  <si>
    <t>17.1Phon</t>
  </si>
  <si>
    <t>17.2</t>
  </si>
  <si>
    <t>17.2Viet</t>
  </si>
  <si>
    <t>Bạn có nhận thẻ tín dụng không?</t>
  </si>
  <si>
    <t>17.2Eng</t>
  </si>
  <si>
    <t>17.2Phon</t>
  </si>
  <si>
    <t>17.3</t>
  </si>
  <si>
    <t>17.3Viet</t>
  </si>
  <si>
    <t>Bạn có nhận thẻ ghi nợ không?</t>
  </si>
  <si>
    <t>17.3Eng</t>
  </si>
  <si>
    <t>17.3Phon</t>
  </si>
  <si>
    <t>18</t>
  </si>
  <si>
    <t>18Struc</t>
  </si>
  <si>
    <t>TRANSFER THE MONEY TO… /Chuyển tiền cho…/</t>
  </si>
  <si>
    <t>18.1</t>
  </si>
  <si>
    <t>18.1Viet</t>
  </si>
  <si>
    <t>Làm ơn hãy chuyển số tiền vào tài khoản của tôi.</t>
  </si>
  <si>
    <t>18.1Eng</t>
  </si>
  <si>
    <t>18.1Phon</t>
  </si>
  <si>
    <t>18.2</t>
  </si>
  <si>
    <t>18.2Viet</t>
  </si>
  <si>
    <t>Tôi sẽ chuyển tiền vào tài khoản ngân hàng của anh.</t>
  </si>
  <si>
    <t>18.2Eng</t>
  </si>
  <si>
    <t>18.2Phon</t>
  </si>
  <si>
    <t>18.3</t>
  </si>
  <si>
    <t>18.3Viet</t>
  </si>
  <si>
    <t>Tôi sẽ chuyển tiền ngay.</t>
  </si>
  <si>
    <t>18.3Eng</t>
  </si>
  <si>
    <t>18.3Phon</t>
  </si>
  <si>
    <t>18.4</t>
  </si>
  <si>
    <t>18.4Viet</t>
  </si>
  <si>
    <t>Anh ấy đã chuyển 500,000 VND vào tài khoản của tôi.</t>
  </si>
  <si>
    <t>18.4Eng</t>
  </si>
  <si>
    <t>18.4Phon</t>
  </si>
  <si>
    <t>18.5</t>
  </si>
  <si>
    <t>18.5Viet</t>
  </si>
  <si>
    <t>Cô ấy đã chuyển khoản 1 triệu đồng vào tài khoản của tôi.</t>
  </si>
  <si>
    <t>18.5Eng</t>
  </si>
  <si>
    <t>18.5Phon</t>
  </si>
  <si>
    <t>19</t>
  </si>
  <si>
    <t>19Struc</t>
  </si>
  <si>
    <t>SHIPPING IS FREE FOR PURCHASE OVER + GIÁ TIỀN /Miễn phí vận chuyển cho hàng mua trên.../</t>
  </si>
  <si>
    <t>19.1</t>
  </si>
  <si>
    <t>19.1Viet</t>
  </si>
  <si>
    <t>19.1Eng</t>
  </si>
  <si>
    <t>19.1Phon</t>
  </si>
  <si>
    <t>19.2</t>
  </si>
  <si>
    <t>19.2Viet</t>
  </si>
  <si>
    <t>Miễn phí vận chuyển cho hàng mua trên 1 triệu đồng.</t>
  </si>
  <si>
    <t>19.2Eng</t>
  </si>
  <si>
    <t>19.2Phon</t>
  </si>
  <si>
    <t>19.3</t>
  </si>
  <si>
    <t>19.3Viet</t>
  </si>
  <si>
    <t>Miễn phí vận chuyển cho hàng mua trên 200 đô la.</t>
  </si>
  <si>
    <t>19.3Eng</t>
  </si>
  <si>
    <t>19.3Phon</t>
  </si>
  <si>
    <t>20</t>
  </si>
  <si>
    <t>20Struc</t>
  </si>
  <si>
    <t>EXCUSE ME, CAN YOU TELL ME WHERE THE + NOUN + SECTION IS? /Xin lỗi, cho tôi biết chỗ bán… ở đâu?/</t>
  </si>
  <si>
    <t>20.1</t>
  </si>
  <si>
    <t>20.1Viet</t>
  </si>
  <si>
    <t>Xin lỗi cho tôi biết chỗ bán rau củ ở đâu ạ?</t>
  </si>
  <si>
    <t>20.1Eng</t>
  </si>
  <si>
    <t>20.1Phon</t>
  </si>
  <si>
    <t>20.2</t>
  </si>
  <si>
    <t>20.2Viet</t>
  </si>
  <si>
    <t>Xin lỗi cho tôi biết các sản phẩm từ sữa bán ở đâu ạ?</t>
  </si>
  <si>
    <t>20.2Eng</t>
  </si>
  <si>
    <t>20.2Phon</t>
  </si>
  <si>
    <t>20.3</t>
  </si>
  <si>
    <t>20.3Viet</t>
  </si>
  <si>
    <t>Xin lỗi, cho tôi biết các sản phẩm sức khoẻ và làm đẹp ở đâu ạ?</t>
  </si>
  <si>
    <t>20.3Eng</t>
  </si>
  <si>
    <t>20.3Phon</t>
  </si>
  <si>
    <t>20.4</t>
  </si>
  <si>
    <t>20.4Viet</t>
  </si>
  <si>
    <t>Xin lỗi, cho tôi biết chỗ bán thịt và cá ở đâu ạ?</t>
  </si>
  <si>
    <t>20.4Eng</t>
  </si>
  <si>
    <t>20.4Phon</t>
  </si>
  <si>
    <t>20.5</t>
  </si>
  <si>
    <t>20.5Viet</t>
  </si>
  <si>
    <t>Xin lỗi, cho tôi biết chỗ bán bánh kẹo ở đâu ạ?</t>
  </si>
  <si>
    <t>20.5Eng</t>
  </si>
  <si>
    <t>20.5Phon</t>
  </si>
  <si>
    <t>20.6</t>
  </si>
  <si>
    <t>20.6Viet</t>
  </si>
  <si>
    <t>Xin lỗi, cho tôi biết chỗ bán thực phẩm đóng hộp ở đâu ạ?</t>
  </si>
  <si>
    <t>20.6Eng</t>
  </si>
  <si>
    <t>20.6Phon</t>
  </si>
  <si>
    <t>21</t>
  </si>
  <si>
    <t>21Struc</t>
  </si>
  <si>
    <t>I ENJOY SHOPPING..., BECAUSE IT’S... /Tôi thích mua sắm ở..., Bởi vì nó…/</t>
  </si>
  <si>
    <t>21.1</t>
  </si>
  <si>
    <t>21.1Viet</t>
  </si>
  <si>
    <t>Tôi thích mua hàng trên Internet vì nó tiện.</t>
  </si>
  <si>
    <t>21.1Eng</t>
  </si>
  <si>
    <t>21.1Phon</t>
  </si>
  <si>
    <t>21.2</t>
  </si>
  <si>
    <t>21.2Viet</t>
  </si>
  <si>
    <t>Tôi thích mua hàng trên Internet vì nó nhanh.</t>
  </si>
  <si>
    <t>21.2Eng</t>
  </si>
  <si>
    <t>21.2Phon</t>
  </si>
  <si>
    <t>21.3</t>
  </si>
  <si>
    <t>21.3Viet</t>
  </si>
  <si>
    <t>Tôi thích mua hàng tại cửa hàng vì tôi có thể trả giá.</t>
  </si>
  <si>
    <t>21.3Eng</t>
  </si>
  <si>
    <t>21.3Phon</t>
  </si>
  <si>
    <t>21.4</t>
  </si>
  <si>
    <t>21.4Viet</t>
  </si>
  <si>
    <t>Tôi thích mua hàng tại cửa hàng vì chất lượng được đảm bảo.</t>
  </si>
  <si>
    <t>21.4Eng</t>
  </si>
  <si>
    <t>21.4Phon</t>
  </si>
  <si>
    <t>21.5</t>
  </si>
  <si>
    <t>21.5Viet</t>
  </si>
  <si>
    <t>Tôi thích mua hàng tại cửa hàng vì có nhiều hàng giả trên mạng.</t>
  </si>
  <si>
    <t>21.5Eng</t>
  </si>
  <si>
    <t>21.5Phon</t>
  </si>
  <si>
    <t>22</t>
  </si>
  <si>
    <t>22Struc</t>
  </si>
  <si>
    <t>CAN I RECEIVE A REFUND IF…? /Tôi có thể được hoàn tiền nếu…?/</t>
  </si>
  <si>
    <t>22.1</t>
  </si>
  <si>
    <t>22.1Viet</t>
  </si>
  <si>
    <t>Tôi có thể được hoàn tiền nếu tôi không hài lòng với sản phẩm tôi mua không?</t>
  </si>
  <si>
    <t>22.1Eng</t>
  </si>
  <si>
    <t>22.1Phon</t>
  </si>
  <si>
    <t>22.2</t>
  </si>
  <si>
    <t>22.2Viet</t>
  </si>
  <si>
    <t>Tôi có thể được hoàn tiền nếu sản phẩm bị hư không?</t>
  </si>
  <si>
    <t>22.2Eng</t>
  </si>
  <si>
    <t>22.2Phon</t>
  </si>
  <si>
    <t>22.3</t>
  </si>
  <si>
    <t>22.3Viet</t>
  </si>
  <si>
    <t>Tôi có thể được hoàn tiền nếu chất lượng không đảm bảo không?</t>
  </si>
  <si>
    <t>22.3Eng</t>
  </si>
  <si>
    <t>22.3Phon</t>
  </si>
  <si>
    <t>23</t>
  </si>
  <si>
    <t>23Struc</t>
  </si>
  <si>
    <t>HAVE YOU GOT ANYTHING…? /Bạn có cái nào…?/</t>
  </si>
  <si>
    <t>23.1</t>
  </si>
  <si>
    <t>23.1Viet</t>
  </si>
  <si>
    <t>Bạn có cái nào rẻ hơn không?</t>
  </si>
  <si>
    <t>23.1Eng</t>
  </si>
  <si>
    <t>23.1Phon</t>
  </si>
  <si>
    <t>23.2</t>
  </si>
  <si>
    <t>23.2Viet</t>
  </si>
  <si>
    <t>Bạn có cái nào rộng hơn không?</t>
  </si>
  <si>
    <t>23.2Eng</t>
  </si>
  <si>
    <t>23.2Phon</t>
  </si>
  <si>
    <t>23.3</t>
  </si>
  <si>
    <t>23.3Viet</t>
  </si>
  <si>
    <t>Bạn có cái nào nhỏ hơn không?</t>
  </si>
  <si>
    <t>23.3Eng</t>
  </si>
  <si>
    <t>23.3Phon</t>
  </si>
  <si>
    <t>23.4</t>
  </si>
  <si>
    <t>23.4Viet</t>
  </si>
  <si>
    <t>Bạn có cái nào màu sắc khác không?</t>
  </si>
  <si>
    <t>23.4Eng</t>
  </si>
  <si>
    <t>23.4Phon</t>
  </si>
  <si>
    <t>24</t>
  </si>
  <si>
    <t>24Struc</t>
  </si>
  <si>
    <t>I WOULD LIKE TO… /Tôi muốn…/</t>
  </si>
  <si>
    <t>24.1</t>
  </si>
  <si>
    <t>24.1Viet</t>
  </si>
  <si>
    <t>Tôi muốn trả cái này.</t>
  </si>
  <si>
    <t>24.1Eng</t>
  </si>
  <si>
    <t>24.1Phon</t>
  </si>
  <si>
    <t>24.2</t>
  </si>
  <si>
    <t>24.2Viet</t>
  </si>
  <si>
    <t>Tôi muốn đổi cỡ khác.</t>
  </si>
  <si>
    <t>24.2Eng</t>
  </si>
  <si>
    <t>24.2Phon</t>
  </si>
  <si>
    <t>24.3</t>
  </si>
  <si>
    <t>24.3Viet</t>
  </si>
  <si>
    <t>Tôi muốn nói chuyện với người quản lí.</t>
  </si>
  <si>
    <t>24.3Eng</t>
  </si>
  <si>
    <t>24.3Phon</t>
  </si>
  <si>
    <t>24.4</t>
  </si>
  <si>
    <t>24.4Viet</t>
  </si>
  <si>
    <t>Tôi muốn giữ biên lai.</t>
  </si>
  <si>
    <t>24.4Eng</t>
  </si>
  <si>
    <t>24.4Phon</t>
  </si>
  <si>
    <t>25</t>
  </si>
  <si>
    <t>25Struc</t>
  </si>
  <si>
    <t>COULD YOU…? /Bạn có thể…?/</t>
  </si>
  <si>
    <t>25.1</t>
  </si>
  <si>
    <t>25.1Viet</t>
  </si>
  <si>
    <t>Bạn có thể bớt một chút không?</t>
  </si>
  <si>
    <t>25.1Eng</t>
  </si>
  <si>
    <t>25.1Phon</t>
  </si>
  <si>
    <t>25.2</t>
  </si>
  <si>
    <t>25.2Viet</t>
  </si>
  <si>
    <t>Bạn có thể giảm giá cho tôi không?</t>
  </si>
  <si>
    <t>25.2Eng</t>
  </si>
  <si>
    <t>25.2Phon</t>
  </si>
  <si>
    <t>25.3</t>
  </si>
  <si>
    <t>25.3Viet</t>
  </si>
  <si>
    <t>Bạn có thể đo vòng eo giùm tôi không?</t>
  </si>
  <si>
    <t>25.3Eng</t>
  </si>
  <si>
    <t>25.3Phon</t>
  </si>
  <si>
    <t>kʊd ju: hɛlp mi: ˈmɛʒər maɪ weɪst</t>
  </si>
  <si>
    <t>26</t>
  </si>
  <si>
    <t>26Struc</t>
  </si>
  <si>
    <t>WHEN CAN YOU DELIVER…? /Khi nào cửa hàng anh giao… được?/</t>
  </si>
  <si>
    <t>26.1</t>
  </si>
  <si>
    <t>26.1Viet</t>
  </si>
  <si>
    <t>Khi nào cửa hàng anh giao cái giường này được?</t>
  </si>
  <si>
    <t>26.1Eng</t>
  </si>
  <si>
    <t>26.1Phon</t>
  </si>
  <si>
    <t>26.2</t>
  </si>
  <si>
    <t>26.2Viet</t>
  </si>
  <si>
    <t>Khi nào cửa hàng anh giao nó?</t>
  </si>
  <si>
    <t>26.2Eng</t>
  </si>
  <si>
    <t>26.2Phon</t>
  </si>
  <si>
    <t>26.3</t>
  </si>
  <si>
    <t>26.3Viet</t>
  </si>
  <si>
    <t>Khi nào cửa hàng anh giao cái máy chụp hình này được?</t>
  </si>
  <si>
    <t>26.3Eng</t>
  </si>
  <si>
    <t>26.3Phon</t>
  </si>
  <si>
    <t>27</t>
  </si>
  <si>
    <t>27Struc</t>
  </si>
  <si>
    <t>CAN YOU DELIVER + TÊN MÓN HÀNG + THỜI GIAN? /Bạn giao cho tôi… vào… được không?/</t>
  </si>
  <si>
    <t>27.1</t>
  </si>
  <si>
    <t>27.1Viet</t>
  </si>
  <si>
    <t>Bạn giao đôi giày này cho tôi vào ngày mai được không?</t>
  </si>
  <si>
    <t>27.1Eng</t>
  </si>
  <si>
    <t>27.1Phon</t>
  </si>
  <si>
    <t>27.2</t>
  </si>
  <si>
    <t>27.2Viet</t>
  </si>
  <si>
    <t>Bạn giao cặp kính này cho tôi vào thứ 2 được không?</t>
  </si>
  <si>
    <t>27.2Eng</t>
  </si>
  <si>
    <t>27.2Phon</t>
  </si>
  <si>
    <t>27.3</t>
  </si>
  <si>
    <t>27.3Viet</t>
  </si>
  <si>
    <t>Bạn giao cái đèn bàn này cho tôi vào thứ 6 được không?</t>
  </si>
  <si>
    <t>27.3Eng</t>
  </si>
  <si>
    <t>27.3Phon</t>
  </si>
  <si>
    <t>28</t>
  </si>
  <si>
    <t>28Struc</t>
  </si>
  <si>
    <t>I’M LOOKING FOR… /Tôi đang tìm…/</t>
  </si>
  <si>
    <t>28.1</t>
  </si>
  <si>
    <t>28.1Viet</t>
  </si>
  <si>
    <t>Tôi đang tìm khu bán đồ lót nữ.</t>
  </si>
  <si>
    <t>28.1Eng</t>
  </si>
  <si>
    <t>28.1Phon</t>
  </si>
  <si>
    <t>28.2</t>
  </si>
  <si>
    <t>28.2Viet</t>
  </si>
  <si>
    <t>Tôi đang tìm xăng đan đi biển.</t>
  </si>
  <si>
    <t>28.2Eng</t>
  </si>
  <si>
    <t>28.2Phon</t>
  </si>
  <si>
    <t>28.3</t>
  </si>
  <si>
    <t>28.3Viet</t>
  </si>
  <si>
    <t>Tôi đang tìm khu bán phụ kiện.</t>
  </si>
  <si>
    <t>28.3Eng</t>
  </si>
  <si>
    <t>28.3Phon</t>
  </si>
  <si>
    <t>28.4</t>
  </si>
  <si>
    <t>28.4Viet</t>
  </si>
  <si>
    <t>Tôi đang tìm mua váy.</t>
  </si>
  <si>
    <t>28.4Eng</t>
  </si>
  <si>
    <t>28.4Phon</t>
  </si>
  <si>
    <t>28.5</t>
  </si>
  <si>
    <t>28.5Viet</t>
  </si>
  <si>
    <t>Tôi đang tìm mua váy cưới.</t>
  </si>
  <si>
    <t>28.5Eng</t>
  </si>
  <si>
    <t>28.5Phon</t>
  </si>
  <si>
    <t>29</t>
  </si>
  <si>
    <t>29Struc</t>
  </si>
  <si>
    <t>WHAT IS… MADE OF? /Làm từ chất liệu gì?/</t>
  </si>
  <si>
    <t>29.1</t>
  </si>
  <si>
    <t>29.1Viet</t>
  </si>
  <si>
    <t>Cái áo len này được làm bằng chất liệu gì?</t>
  </si>
  <si>
    <t>29.1Eng</t>
  </si>
  <si>
    <t>29.1Phon</t>
  </si>
  <si>
    <t>29.2</t>
  </si>
  <si>
    <t>29.2Viet</t>
  </si>
  <si>
    <t>Cái váy này làm bằng chất liệu gì?</t>
  </si>
  <si>
    <t>29.2Eng</t>
  </si>
  <si>
    <t>29.2Phon</t>
  </si>
  <si>
    <t>29.3</t>
  </si>
  <si>
    <t>29.3Viet</t>
  </si>
  <si>
    <t>Đôi bông tai này làm bằng chất liệu gì?</t>
  </si>
  <si>
    <t>29.3Eng</t>
  </si>
  <si>
    <t>29.3Phon</t>
  </si>
  <si>
    <t>29.4</t>
  </si>
  <si>
    <t>29.4Viet</t>
  </si>
  <si>
    <t>Cái khăn choàng cổ này được làm từ chất liệu gì?</t>
  </si>
  <si>
    <t>29.4Eng</t>
  </si>
  <si>
    <t>29.4Phon</t>
  </si>
  <si>
    <t>30</t>
  </si>
  <si>
    <t>30Struc</t>
  </si>
  <si>
    <t>DO YOU HAVE + NOUN + IN SIZE + NUMBER? /Bạn có… cỡ… không? (Hỏi kích cỡ)/</t>
  </si>
  <si>
    <t>30.1</t>
  </si>
  <si>
    <t>30.1Viet</t>
  </si>
  <si>
    <t>Bạn có cái quần jean này cỡ 38 không?</t>
  </si>
  <si>
    <t>30.1Eng</t>
  </si>
  <si>
    <t>30.1Phon</t>
  </si>
  <si>
    <t>30.2</t>
  </si>
  <si>
    <t>30.2Viet</t>
  </si>
  <si>
    <t>Bạn có đôi giày này mà cỡ 40 không?</t>
  </si>
  <si>
    <t>30.2Eng</t>
  </si>
  <si>
    <t>30.2Phon</t>
  </si>
  <si>
    <t>30.3</t>
  </si>
  <si>
    <t>30.3Viet</t>
  </si>
  <si>
    <t>Bạn có cái áo thun này cỡ S không?</t>
  </si>
  <si>
    <t>30.3Eng</t>
  </si>
  <si>
    <t>30.3Phon</t>
  </si>
  <si>
    <t>30.4</t>
  </si>
  <si>
    <t>30.4Viet</t>
  </si>
  <si>
    <t>Bạn có cái áo khoác này lớn hơn 1 cỡ không?</t>
  </si>
  <si>
    <t>30.4Eng</t>
  </si>
  <si>
    <t>30.4Phon</t>
  </si>
  <si>
    <t>31</t>
  </si>
  <si>
    <t>31Struc</t>
  </si>
  <si>
    <t>I WOULD LIKE TO HAVE + SỐ LƯỢNG/ CÂN NẶNG OF + TÊN SẢN PHẨM? /Tôi muốn mua…/</t>
  </si>
  <si>
    <t>31.1</t>
  </si>
  <si>
    <t>31.1Viet</t>
  </si>
  <si>
    <t>Tôi muốn mua 1 lít sữa.</t>
  </si>
  <si>
    <t>31.1Eng</t>
  </si>
  <si>
    <t>31.1Phon</t>
  </si>
  <si>
    <t>31.2</t>
  </si>
  <si>
    <t>31.2Viet</t>
  </si>
  <si>
    <t>Tôi muốn mua 2 kí thịt bò.</t>
  </si>
  <si>
    <t>31.2Eng</t>
  </si>
  <si>
    <t>31.2Phon</t>
  </si>
  <si>
    <t>31.3</t>
  </si>
  <si>
    <t>31.3Viet</t>
  </si>
  <si>
    <t>Tôi muốn mua 3 món.</t>
  </si>
  <si>
    <t>31.3Eng</t>
  </si>
  <si>
    <t>31.3Phon</t>
  </si>
  <si>
    <t>31.4</t>
  </si>
  <si>
    <t>31.4Viet</t>
  </si>
  <si>
    <t>Tôi muốn mua 1 túi 5 kí gạo.</t>
  </si>
  <si>
    <t>31.4Eng</t>
  </si>
  <si>
    <t>31.4Phon</t>
  </si>
  <si>
    <t>32</t>
  </si>
  <si>
    <t>32Struc</t>
  </si>
  <si>
    <t>WHEN DOES + TÊN MẶT HÀNG + EXPIRE? /Món đồ này khi nào hết hạn?/</t>
  </si>
  <si>
    <t>32.1</t>
  </si>
  <si>
    <t>32.1Viet</t>
  </si>
  <si>
    <t>Thịt heo này khi nào hết hạn?</t>
  </si>
  <si>
    <t>32.1Eng</t>
  </si>
  <si>
    <t>32.1Phon</t>
  </si>
  <si>
    <t>32.2</t>
  </si>
  <si>
    <t>32.2Viet</t>
  </si>
  <si>
    <t>Khi nào sô cô la này hết hạn?</t>
  </si>
  <si>
    <t>32.2Eng</t>
  </si>
  <si>
    <t>32.2Phon</t>
  </si>
  <si>
    <t>32.3</t>
  </si>
  <si>
    <t>32.3Viet</t>
  </si>
  <si>
    <t>Khi nào thì kem chống nắng này hết hạn?</t>
  </si>
  <si>
    <t>32.3Eng</t>
  </si>
  <si>
    <t>32.3Phon</t>
  </si>
  <si>
    <t>32.4</t>
  </si>
  <si>
    <t>32.4Viet</t>
  </si>
  <si>
    <t>Khi nào mật ong này hết hạn?</t>
  </si>
  <si>
    <t>32.4Eng</t>
  </si>
  <si>
    <t>32.4Phon</t>
  </si>
  <si>
    <t>33</t>
  </si>
  <si>
    <t>33Struc</t>
  </si>
  <si>
    <t>I WAS WONDERING IF YOU HAD THIS...? /Không biết cô có…?/</t>
  </si>
  <si>
    <t>33.1</t>
  </si>
  <si>
    <t>33.1Viet</t>
  </si>
  <si>
    <t>Không biết cô có chiếc áo len này cỡ lớn hơn không?</t>
  </si>
  <si>
    <t>33.1Eng</t>
  </si>
  <si>
    <t>33.1Phon</t>
  </si>
  <si>
    <t>33.2</t>
  </si>
  <si>
    <t>33.2Viet</t>
  </si>
  <si>
    <t>Không biết cô có cái áo len này cùng kiểu mà chất liệu khác không?</t>
  </si>
  <si>
    <t>33.2Eng</t>
  </si>
  <si>
    <t>33.2Phon</t>
  </si>
  <si>
    <t>33.3</t>
  </si>
  <si>
    <t>33.3Viet</t>
  </si>
  <si>
    <t>Không biết cô có cái nào khác mà không bị lỗi không?</t>
  </si>
  <si>
    <t>33.3Eng</t>
  </si>
  <si>
    <t>33.3Phon</t>
  </si>
  <si>
    <t>34</t>
  </si>
  <si>
    <t>34Struc</t>
  </si>
  <si>
    <t>I PREFER + … TO BE… /Tôi thích…/</t>
  </si>
  <si>
    <t>34.1</t>
  </si>
  <si>
    <t>34.1Viet</t>
  </si>
  <si>
    <t>Tôi thích quần áo hơi rộng một chút.</t>
  </si>
  <si>
    <t>34.1Eng</t>
  </si>
  <si>
    <t>34.1Phon</t>
  </si>
  <si>
    <t>34.2</t>
  </si>
  <si>
    <t>34.2Viet</t>
  </si>
  <si>
    <t>Tôi thích quần áo rộng rãi.</t>
  </si>
  <si>
    <t>34.2Eng</t>
  </si>
  <si>
    <t>34.2Phon</t>
  </si>
  <si>
    <t>34.3</t>
  </si>
  <si>
    <t>34.3Viet</t>
  </si>
  <si>
    <t>Tôi thích quần áo thời trang xíu.</t>
  </si>
  <si>
    <t>34.3Eng</t>
  </si>
  <si>
    <t>34.3Phon</t>
  </si>
  <si>
    <t>Tôi đặt mua đôi giày bệt này trên mạng.</t>
  </si>
  <si>
    <t>https://drive.google.com/file/d/1MoMV0URj7npNylCZdP2QzlL8gdG5r5tu/view?usp=sharing</t>
  </si>
  <si>
    <t>https://drive.google.com/file/d/17d8jEftw_KQbJFAjYfL1ZcaL9cxLW6ka/view?usp=sharing</t>
  </si>
  <si>
    <t>https://drive.google.com/file/d/1TW_tSU7EwH4UBmZ4cTEYiwBuM9nNWloH/view?usp=sharing</t>
  </si>
  <si>
    <t>https://drive.google.com/file/d/1iaO9uGKEMudhCjfchv_dRC9afVpmrhgt/view?usp=sharing</t>
  </si>
  <si>
    <t>https://drive.google.com/file/d/1U4uhc4qQmXDs02bb9k7ygjFPzWNZrKso/view?usp=sharing</t>
  </si>
  <si>
    <t>https://drive.google.com/file/d/1TGdYC1p76WknjaeagNlHCJK2hGjVfq3G/view?usp=sharing</t>
  </si>
  <si>
    <t>https://drive.google.com/file/d/1KN3ox-pwdtXho2626zIu5vBg7cHvwRD_/view?usp=sharing</t>
  </si>
  <si>
    <t>https://drive.google.com/file/d/1_VczI7qmw_CLMlQY-ozbD5eS20vG4pN2/view?usp=sharing</t>
  </si>
  <si>
    <t>https://drive.google.com/file/d/1qcDgEkeCRaPwGvx-vWKigtDN8UIaXC6f/view?usp=sharing</t>
  </si>
  <si>
    <t>https://drive.google.com/file/d/1GE6E_8JXLzp5rmAJcN4hWB0iRheBEGCp/view?usp=sharing</t>
  </si>
  <si>
    <t>https://drive.google.com/file/d/18-cUDioYpSpZf8dkJmIjaGGDKrklYHkv/view?usp=sharing</t>
  </si>
  <si>
    <t>https://drive.google.com/file/d/1b4i62kchFP8RCAr06VbSq7wvjsUjcXRd/view?usp=sharing</t>
  </si>
  <si>
    <t>https://drive.google.com/file/d/1J3n6XPDntcg9hXn_D4Eya5w8RGBP1eDP/view?usp=sharing</t>
  </si>
  <si>
    <t>https://drive.google.com/file/d/1sZt9jIK6Jmp7H9Tkchwca5bGqZInbnie/view?usp=sharing</t>
  </si>
  <si>
    <t>https://drive.google.com/file/d/1Y-9jzrvO7H2oyYidJVASeGKNT6fhUpph/view?usp=sharing</t>
  </si>
  <si>
    <t>https://drive.google.com/file/d/1lHvVFAISAQgvf-l7IMM1JAQlFkEuQTts/view?usp=sharing</t>
  </si>
  <si>
    <t>https://drive.google.com/file/d/15wYD7j2rx34-6PjA1pawrvhZymUv5Sir/view?usp=sharing</t>
  </si>
  <si>
    <t>https://drive.google.com/file/d/1pjbL49BL3XpFvlx4dZBdrIEQesImf_8K/view?usp=sharing</t>
  </si>
  <si>
    <t>https://drive.google.com/file/d/1e3osut6fOMMvvlMGD0QIxxmaYm3CvhhX/view?usp=sharing</t>
  </si>
  <si>
    <t>https://drive.google.com/file/d/1Jfs5dS2huzsSJ_CbJJlK5lJHOHG5R0Px/view?usp=sharing</t>
  </si>
  <si>
    <t>https://drive.google.com/file/d/1NiL57zhT9HwAfTrCcQ5wJ_2hSxLPkqsR/view?usp=sharing</t>
  </si>
  <si>
    <t>https://drive.google.com/file/d/1_zg2DNrf6RBJySiukxiN3sX0AHwhZ5AA/view?usp=sharing</t>
  </si>
  <si>
    <t>https://drive.google.com/file/d/1aeTJ9Tto8qJOQvpMQB3MNS1rCH3OEZnu/view?usp=sharing</t>
  </si>
  <si>
    <t>https://drive.google.com/file/d/1C9OCCzvu4_D_plfqM5Qd5qAMcuGfmQcq/view?usp=sharing</t>
  </si>
  <si>
    <t>https://drive.google.com/file/d/16WFK_cMznpwts9DvDGPoFIfpjAwr8VKq/view?usp=sharing</t>
  </si>
  <si>
    <t>https://drive.google.com/file/d/1Fvs6ex_ByRcu8ORWZkn3bhCbIqXQ-cIh/view?usp=sharing</t>
  </si>
  <si>
    <t>https://drive.google.com/file/d/1iF-a-xaPXODxxcE7Xr7oUALaA1X8PR22/view?usp=sharing</t>
  </si>
  <si>
    <t>https://drive.google.com/file/d/18YjlFXX1usIBlSfrbXDDccurS3_Dt4WT/view?usp=sharing</t>
  </si>
  <si>
    <t>https://drive.google.com/file/d/1X-rXAvViJgZeRsbvYE6vd9ylgq6VXFYs/view?usp=sharing</t>
  </si>
  <si>
    <t>https://drive.google.com/file/d/19VIg3xEZV-5lQVeZK_E_IWrxfiESzYDF/view?usp=sharing</t>
  </si>
  <si>
    <t>https://drive.google.com/file/d/1rUcqhB7_ECfUt2NcTYD7s9-iYm-sS1KI/view?usp=sharing</t>
  </si>
  <si>
    <t>https://drive.google.com/file/d/1lqjE8vbWlDsVfp27qJ59QD-PyxwYEtkB/view?usp=sharing</t>
  </si>
  <si>
    <t>https://drive.google.com/file/d/1LGzHXXdNn7aMf1aYwjh_oKy0MEbz3HtT/view?usp=sharing</t>
  </si>
  <si>
    <t>https://drive.google.com/file/d/1wOxtgvCY2meQzB5Xwo-0UgV-SIHGx_B0/view?usp=sharing</t>
  </si>
  <si>
    <t>https://drive.google.com/file/d/1VGEJ_ePb9ZpAt23-LRTZ60-aqM9fNeFE/view?usp=sharing</t>
  </si>
  <si>
    <t>https://drive.google.com/file/d/1VisbjVDN8NuQppWF4BeMClk-gqGTLXu2/view?usp=sharing</t>
  </si>
  <si>
    <t>https://drive.google.com/file/d/1InVBXPyG4hXvWZej58DHNignPzH_c09o/view?usp=sharing</t>
  </si>
  <si>
    <t>https://drive.google.com/file/d/1hCo_0op89Gona-XORBAzaOMP8onqFvvh/view?usp=sharing</t>
  </si>
  <si>
    <t>https://drive.google.com/file/d/1iAadEKLTjpG3m4kJyooeueCMatMz9ZMa/view?usp=sharing</t>
  </si>
  <si>
    <t>https://drive.google.com/file/d/1wspGdIH1MBMaU-EAICMBPp-OxgLUi4rh/view?usp=sharing</t>
  </si>
  <si>
    <t>https://drive.google.com/file/d/1tL_nx2YbSeerz8Dp-VKix_onAfD1oZMb/view?usp=sharing</t>
  </si>
  <si>
    <t>https://drive.google.com/file/d/1MGnm4RSpNg7e_a-cVXFJ_n1xi8jnQozT/view?usp=sharing</t>
  </si>
  <si>
    <t>https://drive.google.com/file/d/1tqASmv37J5zMRAaCyySLAl2omzPg-vbY/view?usp=sharing</t>
  </si>
  <si>
    <t>06-10</t>
  </si>
  <si>
    <t>https://drive.google.com/file/d/1zu8BmU5AsbyFTurAxfEUJog2JD12PCcj/view?usp=sharing</t>
  </si>
  <si>
    <t>https://drive.google.com/file/d/19ReWTE3nbR5jjo8wYUX4QIpAZOw_rnNA/view?usp=sharing</t>
  </si>
  <si>
    <t>https://drive.google.com/file/d/1czYOvwsI04d5LteSfs-bxGQwEIY5ZIK3/view?usp=sharing</t>
  </si>
  <si>
    <t>https://drive.google.com/file/d/1be620DNIZ_syBbTz5AaMQ7kYJ9QrpXdV/view?usp=sharing</t>
  </si>
  <si>
    <t>https://drive.google.com/file/d/1LJvaEPBRQTURRodBE0wvEnksbop7HdEe/view?usp=sharing</t>
  </si>
  <si>
    <t>https://drive.google.com/file/d/1BkasfBFKkdLB8ssLCjyHj5lZDYAvOm8Y/view?usp=sharing</t>
  </si>
  <si>
    <t>https://drive.google.com/file/d/17nYVkTQMZiGSOj4ElPRC66fgb05avZfM/view?usp=sharing</t>
  </si>
  <si>
    <t>https://drive.google.com/file/d/17E7wq-9FSey5oy1xHNymv5dsp5RDZNYf/view?usp=sharing</t>
  </si>
  <si>
    <t>https://drive.google.com/file/d/14BZUK7k0mLMYGwBFQsnq8m9vbokqlmGQ/view?usp=sharing</t>
  </si>
  <si>
    <t>https://drive.google.com/file/d/1lUYh7nMRoktu7BmrIETK4NDCCKP6Ix32/view?usp=sharing</t>
  </si>
  <si>
    <t>https://drive.google.com/file/d/1iukIZagXwJ22oBa-PK7iUd-y6xkBM5l6/view?usp=sharing</t>
  </si>
  <si>
    <t>https://drive.google.com/file/d/1jeYH4e0CiU7UMx0ungHA32km1a_Z9FJT/view?usp=sharing</t>
  </si>
  <si>
    <t>https://drive.google.com/file/d/14Tf2FTC0euEgdO2lkVAMlLocN15pVEyg/view?usp=sharing</t>
  </si>
  <si>
    <t>https://drive.google.com/file/d/1QT1x-s3YbvOrK0Pihg3IRwjtXjaSlrO7/view?usp=sharing</t>
  </si>
  <si>
    <t>https://drive.google.com/file/d/16ujJ1fDwCxd9mcT6PjJ95HV-IlcYVT-I/view?usp=sharing</t>
  </si>
  <si>
    <t>https://drive.google.com/file/d/1Ug0h5Z_SNSiZE74eH7qWPWuzPuBrM6QQ/view?usp=sharing</t>
  </si>
  <si>
    <t>https://drive.google.com/file/d/1GKy-WnEc00910-MmOpGzxOJHrfhm6BcN/view?usp=sharing</t>
  </si>
  <si>
    <t>https://drive.google.com/file/d/19OkvcNwSIsKIc_8RwVkqBLLcreuEbi3z/view?usp=sharing</t>
  </si>
  <si>
    <t>https://drive.google.com/file/d/1OGTraXkMJZNbWLtCInn6dtc003rdpRfD/view?usp=sharing</t>
  </si>
  <si>
    <t>https://drive.google.com/file/d/1qleUx1GBCSPzR6rexG2V_HtfG1631chc/view?usp=sharing</t>
  </si>
  <si>
    <t>https://drive.google.com/file/d/1JYzZXOOUlylTh12dis8PxwCGkP-6LHuN/view?usp=sharing</t>
  </si>
  <si>
    <t>https://drive.google.com/file/d/1qMdB3oykqPjtGur7KnLhO27TcthAxwC7/view?usp=sharing</t>
  </si>
  <si>
    <t>https://drive.google.com/file/d/1tWUZZQk_EpCqCAMLQsGl-ralbqNXH7BM/view?usp=sharing</t>
  </si>
  <si>
    <t>https://drive.google.com/file/d/16d65Cu_KaNKVJMNxJBUB-YnfNjftNnti/view?usp=sharing</t>
  </si>
  <si>
    <t>https://drive.google.com/file/d/1VKLjJXhO-HfBFBAwubWK22muaYtm662b/view?usp=sharing</t>
  </si>
  <si>
    <t>https://drive.google.com/file/d/1hNmVuyDO_b3KLITGPOPZjIYRqjpaF5lf/view?usp=sharing</t>
  </si>
  <si>
    <t>https://drive.google.com/file/d/1NrheC4DCKEEcBbayGMuT44KCnh1m7206/view?usp=sharing</t>
  </si>
  <si>
    <t>https://drive.google.com/file/d/1NBDscu7BrPCoHec9w53NK9XjiH7vb9v6/view?usp=sharing</t>
  </si>
  <si>
    <t>https://drive.google.com/file/d/1m9Ux6LlxvDQrWhhKqP0JuYhNAJna4DNU/view?usp=sharing</t>
  </si>
  <si>
    <t>https://drive.google.com/file/d/1TX_rWpBpiaiIzu0OzQwCAlAbezCKd671/view?usp=sharing</t>
  </si>
  <si>
    <t>https://drive.google.com/file/d/1F2yV3U1emLQAS-AxtY4dYZjYGErJsv7B/view?usp=sharing</t>
  </si>
  <si>
    <t>https://drive.google.com/file/d/1-JA0HY6zV4hJtbocVF70WhICfNcvcVHo/view?usp=sharing</t>
  </si>
  <si>
    <t>https://drive.google.com/file/d/1rzV5VBj9bsnBLcE9gVvLhTCCDWhX2DXZ/view?usp=sharing</t>
  </si>
  <si>
    <t>https://drive.google.com/file/d/1HN-iB86xLTZ9VQ4pHRyElEj_3yqw0vme/view?usp=sharing</t>
  </si>
  <si>
    <t>https://drive.google.com/file/d/1l1oe7PaMRBQcQvzGGF_yktcIydBE6HxX/view?usp=sharing</t>
  </si>
  <si>
    <t>https://drive.google.com/file/d/1WIj7ju-UaS0l2MXQIMprjANJoqlq6SWN/view?usp=sharing</t>
  </si>
  <si>
    <t>https://drive.google.com/file/d/10QXbxX3tYuhGjm7ShU7hbe9Wvcnpk4N4/view?usp=sharing</t>
  </si>
  <si>
    <t>https://drive.google.com/file/d/1N8fBFn57OZamqXyZxHziwPZwv8KGOKYR/view?usp=sharing</t>
  </si>
  <si>
    <t>https://drive.google.com/file/d/1gdeZ2LTuJ1Rn7mUrGlPJxon8XWzPFnE2/view?usp=sharing</t>
  </si>
  <si>
    <t>https://drive.google.com/file/d/1SmtAHTANoXXfnZjRZk0TG9LeT7IH-SyI/view?usp=sharing</t>
  </si>
  <si>
    <t>https://drive.google.com/file/d/1EJlMO3r575M7XSN6n5T20VgVDrjWdfWx/view?usp=sharing</t>
  </si>
  <si>
    <t>https://drive.google.com/file/d/1ekVbXYUo6mxQlg5eWJyWUfeUBF5tCwJm/view?usp=sharing</t>
  </si>
  <si>
    <t>https://drive.google.com/file/d/1nYzsZAcM00nHCCZem13qQPvSLnwx7EfH/view?usp=sharing</t>
  </si>
  <si>
    <t>https://drive.google.com/file/d/1iPUTvhuI0YQCo4TQ1RIlVpEffc3hWJGZ/view?usp=sharing</t>
  </si>
  <si>
    <t>https://drive.google.com/file/d/1CtjjteG3JTnG5xoNWmdlHqFMdIpgOwcV/view?usp=sharing</t>
  </si>
  <si>
    <t>https://drive.google.com/file/d/1seWUnbbTi_PaWNVE72vYD6xIOxfD9iuc/view?usp=sharing</t>
  </si>
  <si>
    <t>https://drive.google.com/file/d/1UA470ApcCsqaa_-w_lCTQ2-E7s7vPmWg/view?usp=sharing</t>
  </si>
  <si>
    <t>https://drive.google.com/file/d/1FAMFAXTYMlpUlq6HoqUJa-s3amhgSrAa/view?usp=sharing</t>
  </si>
  <si>
    <t>https://drive.google.com/file/d/1xtT5AxhJsflpKAlTIH25aM99B_JIFupY/view?usp=sharing</t>
  </si>
  <si>
    <t>https://drive.google.com/file/d/1DUCnf0V0IKmjjs84QWwzwZG5IVJ0kUpu/view?usp=sharing</t>
  </si>
  <si>
    <t>https://drive.google.com/file/d/1CLxOnYEb_wlETgkrkB1h8RwH_6YLMUUP/view?usp=sharing</t>
  </si>
  <si>
    <t>https://drive.google.com/file/d/1XFwaJ10PopyOrNDeDCtZR7Q9jQD8xW7K/view?usp=sharing</t>
  </si>
  <si>
    <t>https://drive.google.com/file/d/1knDBDH_py3zqhh1Zn4o-nmCukIavUtFO/view?usp=sharing</t>
  </si>
  <si>
    <t>https://drive.google.com/file/d/1bamHjxBMFnJrCNrWTImO8bKXp9lHLBjQ/view?usp=sharing</t>
  </si>
  <si>
    <t>ll;</t>
  </si>
  <si>
    <t>https://drive.google.com/file/d/1vZIwkXnA5xCUT3PRPjEXdiVcqQGsAEh8/view?usp=sharing</t>
  </si>
  <si>
    <t>https://drive.google.com/file/d/1Prr7EGqLz05h6XYDbwD3L2N6zUx-x7jO/view?usp=sharing</t>
  </si>
  <si>
    <t>Man</t>
  </si>
  <si>
    <t>https://drive.google.com/file/d/1Sxauxdmjchkj8TyASYJCj9mTOL5PSzWr/view?usp=sharing</t>
  </si>
  <si>
    <t>Woman</t>
  </si>
  <si>
    <t>https://drive.google.com/file/d/1TQKwAZuLCUmzvKorNgRFEptFrh9sF2Ko/view?usp=sharing</t>
  </si>
  <si>
    <t>https://drive.google.com/file/d/1DRzFbHlLN_HTeLrEHTYWI7X7-nsRDN9F/view?usp=sharing</t>
  </si>
  <si>
    <t>01-34</t>
  </si>
  <si>
    <t>https://drive.google.com/file/d/1RHvj1ANg1BAYXqvKADUtV9HWVai_93Ex/view?usp=sharing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</si>
</sst>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1"/>
      <color theme="0" tint="-0.34998626667073579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  <xf numFmtId="0" fontId="0" fillId="5" borderId="0" xfId="0" applyFill="1"/>
    <xf numFmtId="0" fontId="0" fillId="3" borderId="0" xfId="0" applyFill="1"/>
    <xf numFmtId="0" fontId="2" fillId="0" borderId="0" xfId="1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quotePrefix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8-cUDioYpSpZf8dkJmIjaGGDKrklYHkv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TQKwAZuLCUmzvKorNgRFEptFrh9sF2Ko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sheetPr filterMode="1"/>
  <dimension ref="A2:H454"/>
  <sheetViews>
    <sheetView showGridLines="0" topLeftCell="B248" zoomScale="81" zoomScaleNormal="81" workbookViewId="0">
      <selection activeCell="I268" sqref="I268"/>
    </sheetView>
  </sheetViews>
  <sheetFormatPr defaultRowHeight="13.8" x14ac:dyDescent="0.25"/>
  <cols>
    <col min="1" max="2" width="7.3984375" style="29" customWidth="1"/>
    <col min="3" max="3" width="8.8984375" style="29" customWidth="1"/>
    <col min="4" max="4" width="66" customWidth="1"/>
    <col min="5" max="5" width="10.69921875" style="29" customWidth="1"/>
    <col min="6" max="6" width="25.796875" style="10" customWidth="1"/>
    <col min="7" max="7" width="9.8984375" customWidth="1"/>
    <col min="8" max="8" width="16.19921875" customWidth="1"/>
  </cols>
  <sheetData>
    <row r="2" spans="1:8" x14ac:dyDescent="0.25">
      <c r="A2" s="23" t="s">
        <v>4</v>
      </c>
      <c r="C2" s="23"/>
    </row>
    <row r="3" spans="1:8" x14ac:dyDescent="0.25">
      <c r="A3" s="24" t="s">
        <v>1</v>
      </c>
      <c r="B3" s="24" t="s">
        <v>1</v>
      </c>
      <c r="C3" s="24" t="s">
        <v>9</v>
      </c>
      <c r="D3" s="4" t="s">
        <v>0</v>
      </c>
      <c r="E3" s="24" t="s">
        <v>2</v>
      </c>
      <c r="F3" s="11" t="s">
        <v>10</v>
      </c>
      <c r="G3" s="1" t="s">
        <v>9</v>
      </c>
      <c r="H3" s="7" t="s">
        <v>11</v>
      </c>
    </row>
    <row r="4" spans="1:8" s="22" customFormat="1" hidden="1" x14ac:dyDescent="0.25">
      <c r="A4" s="26"/>
      <c r="B4" s="25">
        <v>1</v>
      </c>
      <c r="C4" s="26" t="str">
        <f t="shared" ref="C4:C35" si="0">B4&amp;E4</f>
        <v>1Struc</v>
      </c>
      <c r="D4" s="19" t="s">
        <v>25</v>
      </c>
      <c r="E4" s="30" t="s">
        <v>12</v>
      </c>
      <c r="F4" s="20"/>
      <c r="G4" s="21"/>
      <c r="H4"/>
    </row>
    <row r="5" spans="1:8" hidden="1" x14ac:dyDescent="0.25">
      <c r="A5" s="27"/>
      <c r="B5" s="27" t="s">
        <v>14</v>
      </c>
      <c r="C5" s="27" t="str">
        <f t="shared" si="0"/>
        <v>1.1Viet</v>
      </c>
      <c r="D5" s="6" t="s">
        <v>217</v>
      </c>
      <c r="E5" s="31" t="s">
        <v>3</v>
      </c>
      <c r="F5" s="12" t="str">
        <f t="shared" ref="F5" si="1">IF(G5="","","https://docs.google.com/uc?export=download&amp;id="&amp;G5)</f>
        <v/>
      </c>
      <c r="G5" s="9" t="str">
        <f>IFERROR(LEFT(RIGHT(H5,LEN(H5)-32),LEN(RIGHT(H5,LEN(H5)-32))-17),"")</f>
        <v/>
      </c>
    </row>
    <row r="6" spans="1:8" x14ac:dyDescent="0.25">
      <c r="A6" s="27">
        <v>1</v>
      </c>
      <c r="B6" s="27" t="s">
        <v>14</v>
      </c>
      <c r="C6" s="27" t="str">
        <f t="shared" si="0"/>
        <v>1.1Eng</v>
      </c>
      <c r="D6" s="5" t="s">
        <v>15</v>
      </c>
      <c r="E6" s="32" t="s">
        <v>5</v>
      </c>
      <c r="F6" s="14" t="str">
        <f>IF(G6="","","https://docs.google.com/uc?export=download&amp;id="&amp;G6)</f>
        <v>https://docs.google.com/uc?export=download&amp;id=1QvqycNx3JcG4G4TVHgXp1tDY_xL-WlxL</v>
      </c>
      <c r="G6" s="9" t="str">
        <f t="shared" ref="G6:G69" si="2">IFERROR(LEFT(RIGHT(H6,LEN(H6)-32),LEN(RIGHT(H6,LEN(H6)-32))-17),"")</f>
        <v>1QvqycNx3JcG4G4TVHgXp1tDY_xL-WlxL</v>
      </c>
      <c r="H6" t="s">
        <v>201</v>
      </c>
    </row>
    <row r="7" spans="1:8" hidden="1" x14ac:dyDescent="0.25">
      <c r="A7" s="28"/>
      <c r="B7" s="28" t="s">
        <v>14</v>
      </c>
      <c r="C7" s="28" t="str">
        <f t="shared" si="0"/>
        <v>1.1Phon</v>
      </c>
      <c r="D7" s="2" t="s">
        <v>16</v>
      </c>
      <c r="E7" s="33" t="s">
        <v>6</v>
      </c>
      <c r="F7" s="13" t="str">
        <f t="shared" ref="F7:F70" si="3">IF(G7="","","https://docs.google.com/uc?export=download&amp;id="&amp;G7)</f>
        <v/>
      </c>
      <c r="G7" s="9" t="str">
        <f t="shared" si="2"/>
        <v/>
      </c>
    </row>
    <row r="8" spans="1:8" hidden="1" x14ac:dyDescent="0.25">
      <c r="A8" s="27"/>
      <c r="B8" s="27" t="s">
        <v>23</v>
      </c>
      <c r="C8" s="27" t="str">
        <f t="shared" si="0"/>
        <v>1.2Viet</v>
      </c>
      <c r="D8" s="6" t="s">
        <v>60</v>
      </c>
      <c r="E8" s="31" t="s">
        <v>3</v>
      </c>
      <c r="F8" s="12" t="str">
        <f t="shared" si="3"/>
        <v/>
      </c>
      <c r="G8" s="9" t="str">
        <f t="shared" si="2"/>
        <v/>
      </c>
    </row>
    <row r="9" spans="1:8" x14ac:dyDescent="0.25">
      <c r="A9" s="27">
        <f>+A6+1</f>
        <v>2</v>
      </c>
      <c r="B9" s="27" t="str">
        <f>B8</f>
        <v>1.2</v>
      </c>
      <c r="C9" s="27" t="str">
        <f t="shared" si="0"/>
        <v>1.2Eng</v>
      </c>
      <c r="D9" s="5" t="s">
        <v>17</v>
      </c>
      <c r="E9" s="32" t="s">
        <v>5</v>
      </c>
      <c r="F9" s="14" t="str">
        <f t="shared" si="3"/>
        <v>https://docs.google.com/uc?export=download&amp;id=1vasjBVqETqOl7bs3vQBOAzR4NiGpoxsF</v>
      </c>
      <c r="G9" s="9" t="str">
        <f t="shared" si="2"/>
        <v>1vasjBVqETqOl7bs3vQBOAzR4NiGpoxsF</v>
      </c>
      <c r="H9" t="s">
        <v>202</v>
      </c>
    </row>
    <row r="10" spans="1:8" hidden="1" x14ac:dyDescent="0.25">
      <c r="A10" s="28"/>
      <c r="B10" s="28" t="str">
        <f>B9</f>
        <v>1.2</v>
      </c>
      <c r="C10" s="28" t="str">
        <f t="shared" si="0"/>
        <v>1.2Phon</v>
      </c>
      <c r="D10" s="2" t="s">
        <v>18</v>
      </c>
      <c r="E10" s="33" t="s">
        <v>6</v>
      </c>
      <c r="F10" s="13" t="str">
        <f t="shared" si="3"/>
        <v/>
      </c>
      <c r="G10" s="9" t="str">
        <f t="shared" si="2"/>
        <v/>
      </c>
    </row>
    <row r="11" spans="1:8" hidden="1" x14ac:dyDescent="0.25">
      <c r="A11" s="27"/>
      <c r="B11" s="27" t="s">
        <v>13</v>
      </c>
      <c r="C11" s="27" t="str">
        <f t="shared" si="0"/>
        <v>1.3Viet</v>
      </c>
      <c r="D11" s="6" t="s">
        <v>61</v>
      </c>
      <c r="E11" s="31" t="s">
        <v>3</v>
      </c>
      <c r="F11" s="12" t="str">
        <f t="shared" si="3"/>
        <v/>
      </c>
      <c r="G11" s="9" t="str">
        <f t="shared" si="2"/>
        <v/>
      </c>
    </row>
    <row r="12" spans="1:8" x14ac:dyDescent="0.25">
      <c r="A12" s="27">
        <f t="shared" ref="A12" si="4">+A9+1</f>
        <v>3</v>
      </c>
      <c r="B12" s="27" t="str">
        <f>B11</f>
        <v>1.3</v>
      </c>
      <c r="C12" s="27" t="str">
        <f t="shared" si="0"/>
        <v>1.3Eng</v>
      </c>
      <c r="D12" s="5" t="s">
        <v>19</v>
      </c>
      <c r="E12" s="32" t="s">
        <v>5</v>
      </c>
      <c r="F12" s="14" t="str">
        <f t="shared" si="3"/>
        <v>https://docs.google.com/uc?export=download&amp;id=1peXZA3soILfxKtdaD4T537d9LgVveBzE</v>
      </c>
      <c r="G12" s="9" t="str">
        <f t="shared" si="2"/>
        <v>1peXZA3soILfxKtdaD4T537d9LgVveBzE</v>
      </c>
      <c r="H12" t="s">
        <v>203</v>
      </c>
    </row>
    <row r="13" spans="1:8" hidden="1" x14ac:dyDescent="0.25">
      <c r="A13" s="28"/>
      <c r="B13" s="28" t="str">
        <f>B12</f>
        <v>1.3</v>
      </c>
      <c r="C13" s="28" t="str">
        <f t="shared" si="0"/>
        <v>1.3Phon</v>
      </c>
      <c r="D13" s="2" t="s">
        <v>20</v>
      </c>
      <c r="E13" s="33" t="s">
        <v>6</v>
      </c>
      <c r="F13" s="13" t="str">
        <f t="shared" si="3"/>
        <v/>
      </c>
      <c r="G13" s="9" t="str">
        <f t="shared" si="2"/>
        <v/>
      </c>
    </row>
    <row r="14" spans="1:8" hidden="1" x14ac:dyDescent="0.25">
      <c r="A14" s="27"/>
      <c r="B14" s="27" t="s">
        <v>24</v>
      </c>
      <c r="C14" s="27" t="str">
        <f t="shared" si="0"/>
        <v>1.4Viet</v>
      </c>
      <c r="D14" s="6" t="s">
        <v>62</v>
      </c>
      <c r="E14" s="31" t="s">
        <v>3</v>
      </c>
      <c r="F14" s="12" t="str">
        <f t="shared" si="3"/>
        <v/>
      </c>
      <c r="G14" s="9" t="str">
        <f t="shared" si="2"/>
        <v/>
      </c>
    </row>
    <row r="15" spans="1:8" x14ac:dyDescent="0.25">
      <c r="A15" s="27">
        <f t="shared" ref="A15" si="5">+A12+1</f>
        <v>4</v>
      </c>
      <c r="B15" s="27" t="str">
        <f>B14</f>
        <v>1.4</v>
      </c>
      <c r="C15" s="27" t="str">
        <f t="shared" si="0"/>
        <v>1.4Eng</v>
      </c>
      <c r="D15" s="5" t="s">
        <v>21</v>
      </c>
      <c r="E15" s="32" t="s">
        <v>5</v>
      </c>
      <c r="F15" s="14" t="str">
        <f t="shared" si="3"/>
        <v>https://docs.google.com/uc?export=download&amp;id=1lpbZ84Z9-7MbW-sErkcSGi88_7MjVpSa</v>
      </c>
      <c r="G15" s="9" t="str">
        <f t="shared" si="2"/>
        <v>1lpbZ84Z9-7MbW-sErkcSGi88_7MjVpSa</v>
      </c>
      <c r="H15" t="s">
        <v>204</v>
      </c>
    </row>
    <row r="16" spans="1:8" hidden="1" x14ac:dyDescent="0.25">
      <c r="A16" s="28"/>
      <c r="B16" s="28" t="str">
        <f>B15</f>
        <v>1.4</v>
      </c>
      <c r="C16" s="28" t="str">
        <f t="shared" si="0"/>
        <v>1.4Phon</v>
      </c>
      <c r="D16" s="2" t="s">
        <v>22</v>
      </c>
      <c r="E16" s="33" t="s">
        <v>6</v>
      </c>
      <c r="F16" s="13" t="str">
        <f t="shared" si="3"/>
        <v/>
      </c>
      <c r="G16" s="9" t="str">
        <f t="shared" si="2"/>
        <v/>
      </c>
    </row>
    <row r="17" spans="1:8" s="22" customFormat="1" hidden="1" x14ac:dyDescent="0.25">
      <c r="A17" s="26"/>
      <c r="B17" s="25">
        <v>2</v>
      </c>
      <c r="C17" s="26" t="str">
        <f t="shared" si="0"/>
        <v>2Struc</v>
      </c>
      <c r="D17" s="19" t="s">
        <v>63</v>
      </c>
      <c r="E17" s="30" t="s">
        <v>12</v>
      </c>
      <c r="F17" s="20" t="str">
        <f t="shared" si="3"/>
        <v/>
      </c>
      <c r="G17" s="9" t="str">
        <f t="shared" si="2"/>
        <v/>
      </c>
      <c r="H17"/>
    </row>
    <row r="18" spans="1:8" hidden="1" x14ac:dyDescent="0.25">
      <c r="A18" s="27"/>
      <c r="B18" s="27" t="s">
        <v>34</v>
      </c>
      <c r="C18" s="27" t="str">
        <f t="shared" si="0"/>
        <v>2.1Viet</v>
      </c>
      <c r="D18" s="6" t="s">
        <v>64</v>
      </c>
      <c r="E18" s="31" t="s">
        <v>3</v>
      </c>
      <c r="F18" s="12" t="str">
        <f t="shared" si="3"/>
        <v/>
      </c>
      <c r="G18" s="9" t="str">
        <f t="shared" si="2"/>
        <v/>
      </c>
    </row>
    <row r="19" spans="1:8" x14ac:dyDescent="0.25">
      <c r="A19" s="27">
        <f>A15+1</f>
        <v>5</v>
      </c>
      <c r="B19" s="27" t="str">
        <f>B18</f>
        <v>2.1</v>
      </c>
      <c r="C19" s="27" t="str">
        <f t="shared" si="0"/>
        <v>2.1Eng</v>
      </c>
      <c r="D19" s="5" t="s">
        <v>26</v>
      </c>
      <c r="E19" s="32" t="s">
        <v>5</v>
      </c>
      <c r="F19" s="14" t="str">
        <f t="shared" si="3"/>
        <v>https://docs.google.com/uc?export=download&amp;id=1dGzVe3ZtjEoDcPRMJotwSrA9aF9xdm3Z</v>
      </c>
      <c r="G19" s="9" t="str">
        <f t="shared" si="2"/>
        <v>1dGzVe3ZtjEoDcPRMJotwSrA9aF9xdm3Z</v>
      </c>
      <c r="H19" t="s">
        <v>205</v>
      </c>
    </row>
    <row r="20" spans="1:8" hidden="1" x14ac:dyDescent="0.25">
      <c r="A20" s="28"/>
      <c r="B20" s="28" t="str">
        <f>B19</f>
        <v>2.1</v>
      </c>
      <c r="C20" s="28" t="str">
        <f t="shared" si="0"/>
        <v>2.1Phon</v>
      </c>
      <c r="D20" s="2" t="s">
        <v>27</v>
      </c>
      <c r="E20" s="33" t="s">
        <v>6</v>
      </c>
      <c r="F20" s="13" t="str">
        <f t="shared" si="3"/>
        <v/>
      </c>
      <c r="G20" s="9" t="str">
        <f t="shared" si="2"/>
        <v/>
      </c>
    </row>
    <row r="21" spans="1:8" hidden="1" x14ac:dyDescent="0.25">
      <c r="A21" s="27"/>
      <c r="B21" s="27" t="s">
        <v>37</v>
      </c>
      <c r="C21" s="27" t="str">
        <f t="shared" si="0"/>
        <v>2.2Viet</v>
      </c>
      <c r="D21" s="6" t="s">
        <v>65</v>
      </c>
      <c r="E21" s="31" t="s">
        <v>3</v>
      </c>
      <c r="F21" s="12" t="str">
        <f t="shared" si="3"/>
        <v/>
      </c>
      <c r="G21" s="9" t="str">
        <f t="shared" si="2"/>
        <v/>
      </c>
    </row>
    <row r="22" spans="1:8" x14ac:dyDescent="0.25">
      <c r="A22" s="27">
        <f>+A19+1</f>
        <v>6</v>
      </c>
      <c r="B22" s="27" t="str">
        <f>B21</f>
        <v>2.2</v>
      </c>
      <c r="C22" s="27" t="str">
        <f t="shared" si="0"/>
        <v>2.2Eng</v>
      </c>
      <c r="D22" s="5" t="s">
        <v>28</v>
      </c>
      <c r="E22" s="32" t="s">
        <v>5</v>
      </c>
      <c r="F22" s="14" t="str">
        <f t="shared" si="3"/>
        <v>https://docs.google.com/uc?export=download&amp;id=1bE7kOP2RQNucQ7RbAkn0PeoO6yw_Dd_5</v>
      </c>
      <c r="G22" s="9" t="str">
        <f t="shared" si="2"/>
        <v>1bE7kOP2RQNucQ7RbAkn0PeoO6yw_Dd_5</v>
      </c>
      <c r="H22" t="s">
        <v>206</v>
      </c>
    </row>
    <row r="23" spans="1:8" hidden="1" x14ac:dyDescent="0.25">
      <c r="A23" s="28"/>
      <c r="B23" s="28" t="str">
        <f>B22</f>
        <v>2.2</v>
      </c>
      <c r="C23" s="28" t="str">
        <f t="shared" si="0"/>
        <v>2.2Phon</v>
      </c>
      <c r="D23" s="2" t="s">
        <v>29</v>
      </c>
      <c r="E23" s="33" t="s">
        <v>6</v>
      </c>
      <c r="F23" s="13" t="str">
        <f t="shared" si="3"/>
        <v/>
      </c>
      <c r="G23" s="9" t="str">
        <f t="shared" si="2"/>
        <v/>
      </c>
    </row>
    <row r="24" spans="1:8" hidden="1" x14ac:dyDescent="0.25">
      <c r="A24" s="27"/>
      <c r="B24" s="27" t="s">
        <v>35</v>
      </c>
      <c r="C24" s="27" t="str">
        <f t="shared" si="0"/>
        <v>2.3Viet</v>
      </c>
      <c r="D24" s="6" t="s">
        <v>66</v>
      </c>
      <c r="E24" s="31" t="s">
        <v>3</v>
      </c>
      <c r="F24" s="12" t="str">
        <f t="shared" si="3"/>
        <v/>
      </c>
      <c r="G24" s="9" t="str">
        <f t="shared" si="2"/>
        <v/>
      </c>
    </row>
    <row r="25" spans="1:8" x14ac:dyDescent="0.25">
      <c r="A25" s="27">
        <f t="shared" ref="A25" si="6">+A22+1</f>
        <v>7</v>
      </c>
      <c r="B25" s="27" t="str">
        <f>B24</f>
        <v>2.3</v>
      </c>
      <c r="C25" s="27" t="str">
        <f t="shared" si="0"/>
        <v>2.3Eng</v>
      </c>
      <c r="D25" s="5" t="s">
        <v>30</v>
      </c>
      <c r="E25" s="32" t="s">
        <v>5</v>
      </c>
      <c r="F25" s="14" t="str">
        <f t="shared" si="3"/>
        <v>https://docs.google.com/uc?export=download&amp;id=1dj-mw8sQJcgFasY1pHP2zdirU8iZ-gOn</v>
      </c>
      <c r="G25" s="9" t="str">
        <f t="shared" si="2"/>
        <v>1dj-mw8sQJcgFasY1pHP2zdirU8iZ-gOn</v>
      </c>
      <c r="H25" t="s">
        <v>207</v>
      </c>
    </row>
    <row r="26" spans="1:8" hidden="1" x14ac:dyDescent="0.25">
      <c r="A26" s="28"/>
      <c r="B26" s="28" t="str">
        <f>B25</f>
        <v>2.3</v>
      </c>
      <c r="C26" s="28" t="str">
        <f t="shared" si="0"/>
        <v>2.3Phon</v>
      </c>
      <c r="D26" s="2" t="s">
        <v>31</v>
      </c>
      <c r="E26" s="33" t="s">
        <v>6</v>
      </c>
      <c r="F26" s="13" t="str">
        <f t="shared" si="3"/>
        <v/>
      </c>
      <c r="G26" s="9" t="str">
        <f t="shared" si="2"/>
        <v/>
      </c>
    </row>
    <row r="27" spans="1:8" hidden="1" x14ac:dyDescent="0.25">
      <c r="A27" s="27"/>
      <c r="B27" s="27" t="s">
        <v>36</v>
      </c>
      <c r="C27" s="27" t="str">
        <f t="shared" si="0"/>
        <v>2.4Viet</v>
      </c>
      <c r="D27" s="6" t="s">
        <v>67</v>
      </c>
      <c r="E27" s="31" t="s">
        <v>3</v>
      </c>
      <c r="F27" s="12" t="str">
        <f t="shared" si="3"/>
        <v/>
      </c>
      <c r="G27" s="9" t="str">
        <f t="shared" si="2"/>
        <v/>
      </c>
    </row>
    <row r="28" spans="1:8" x14ac:dyDescent="0.25">
      <c r="A28" s="27">
        <f t="shared" ref="A28" si="7">+A25+1</f>
        <v>8</v>
      </c>
      <c r="B28" s="27" t="str">
        <f>B27</f>
        <v>2.4</v>
      </c>
      <c r="C28" s="27" t="str">
        <f t="shared" si="0"/>
        <v>2.4Eng</v>
      </c>
      <c r="D28" s="5" t="s">
        <v>32</v>
      </c>
      <c r="E28" s="32" t="s">
        <v>5</v>
      </c>
      <c r="F28" s="14" t="str">
        <f t="shared" si="3"/>
        <v>https://docs.google.com/uc?export=download&amp;id=1Hp-h5XxwC5tGc8dxmnXl11DIn6a14Zcr</v>
      </c>
      <c r="G28" s="9" t="str">
        <f t="shared" si="2"/>
        <v>1Hp-h5XxwC5tGc8dxmnXl11DIn6a14Zcr</v>
      </c>
      <c r="H28" t="s">
        <v>229</v>
      </c>
    </row>
    <row r="29" spans="1:8" hidden="1" x14ac:dyDescent="0.25">
      <c r="A29" s="28"/>
      <c r="B29" s="28" t="str">
        <f>B28</f>
        <v>2.4</v>
      </c>
      <c r="C29" s="28" t="str">
        <f t="shared" si="0"/>
        <v>2.4Phon</v>
      </c>
      <c r="D29" s="2" t="s">
        <v>33</v>
      </c>
      <c r="E29" s="33" t="s">
        <v>6</v>
      </c>
      <c r="F29" s="13" t="str">
        <f t="shared" si="3"/>
        <v/>
      </c>
      <c r="G29" s="9" t="str">
        <f t="shared" si="2"/>
        <v/>
      </c>
    </row>
    <row r="30" spans="1:8" s="22" customFormat="1" hidden="1" x14ac:dyDescent="0.25">
      <c r="A30" s="26"/>
      <c r="B30" s="25">
        <v>3</v>
      </c>
      <c r="C30" s="26" t="str">
        <f t="shared" si="0"/>
        <v>3Struc</v>
      </c>
      <c r="D30" s="19" t="s">
        <v>50</v>
      </c>
      <c r="E30" s="30" t="s">
        <v>12</v>
      </c>
      <c r="F30" s="20" t="str">
        <f t="shared" si="3"/>
        <v/>
      </c>
      <c r="G30" s="9" t="str">
        <f t="shared" si="2"/>
        <v/>
      </c>
      <c r="H30"/>
    </row>
    <row r="31" spans="1:8" hidden="1" x14ac:dyDescent="0.25">
      <c r="A31" s="27"/>
      <c r="B31" s="27" t="s">
        <v>38</v>
      </c>
      <c r="C31" s="27" t="str">
        <f t="shared" si="0"/>
        <v>3.1Viet</v>
      </c>
      <c r="D31" s="6" t="s">
        <v>51</v>
      </c>
      <c r="E31" s="31" t="s">
        <v>3</v>
      </c>
      <c r="F31" s="12" t="str">
        <f t="shared" si="3"/>
        <v/>
      </c>
      <c r="G31" s="9" t="str">
        <f t="shared" si="2"/>
        <v/>
      </c>
    </row>
    <row r="32" spans="1:8" x14ac:dyDescent="0.25">
      <c r="A32" s="27">
        <v>9</v>
      </c>
      <c r="B32" s="27" t="str">
        <f>B31</f>
        <v>3.1</v>
      </c>
      <c r="C32" s="27" t="str">
        <f t="shared" si="0"/>
        <v>3.1Eng</v>
      </c>
      <c r="D32" s="5" t="s">
        <v>41</v>
      </c>
      <c r="E32" s="32" t="s">
        <v>5</v>
      </c>
      <c r="F32" s="14" t="str">
        <f t="shared" si="3"/>
        <v>https://docs.google.com/uc?export=download&amp;id=1-UhOlY1W8cuYL3nsSEckPWi4jEUoztWj</v>
      </c>
      <c r="G32" s="9" t="str">
        <f t="shared" si="2"/>
        <v>1-UhOlY1W8cuYL3nsSEckPWi4jEUoztWj</v>
      </c>
      <c r="H32" t="s">
        <v>208</v>
      </c>
    </row>
    <row r="33" spans="1:8" hidden="1" x14ac:dyDescent="0.25">
      <c r="A33" s="28"/>
      <c r="B33" s="28" t="str">
        <f>B32</f>
        <v>3.1</v>
      </c>
      <c r="C33" s="28" t="str">
        <f t="shared" si="0"/>
        <v>3.1Phon</v>
      </c>
      <c r="D33" s="2" t="s">
        <v>42</v>
      </c>
      <c r="E33" s="33" t="s">
        <v>6</v>
      </c>
      <c r="F33" s="13" t="str">
        <f t="shared" si="3"/>
        <v/>
      </c>
      <c r="G33" s="9" t="str">
        <f t="shared" si="2"/>
        <v/>
      </c>
    </row>
    <row r="34" spans="1:8" hidden="1" x14ac:dyDescent="0.25">
      <c r="A34" s="27"/>
      <c r="B34" s="27" t="s">
        <v>39</v>
      </c>
      <c r="C34" s="27" t="str">
        <f t="shared" si="0"/>
        <v>3.2Viet</v>
      </c>
      <c r="D34" s="6" t="s">
        <v>52</v>
      </c>
      <c r="E34" s="31" t="s">
        <v>3</v>
      </c>
      <c r="F34" s="12" t="str">
        <f t="shared" si="3"/>
        <v/>
      </c>
      <c r="G34" s="9" t="str">
        <f t="shared" si="2"/>
        <v/>
      </c>
    </row>
    <row r="35" spans="1:8" x14ac:dyDescent="0.25">
      <c r="A35" s="27">
        <v>10</v>
      </c>
      <c r="B35" s="27" t="str">
        <f>B34</f>
        <v>3.2</v>
      </c>
      <c r="C35" s="27" t="str">
        <f t="shared" si="0"/>
        <v>3.2Eng</v>
      </c>
      <c r="D35" s="5" t="s">
        <v>43</v>
      </c>
      <c r="E35" s="32" t="s">
        <v>5</v>
      </c>
      <c r="F35" s="14" t="str">
        <f t="shared" si="3"/>
        <v>https://docs.google.com/uc?export=download&amp;id=1sdtdrAYSm7wZwZPvc1IqZzv4wJifJfrW</v>
      </c>
      <c r="G35" s="9" t="str">
        <f t="shared" si="2"/>
        <v>1sdtdrAYSm7wZwZPvc1IqZzv4wJifJfrW</v>
      </c>
      <c r="H35" t="s">
        <v>209</v>
      </c>
    </row>
    <row r="36" spans="1:8" hidden="1" x14ac:dyDescent="0.25">
      <c r="A36" s="28"/>
      <c r="B36" s="28" t="str">
        <f>B35</f>
        <v>3.2</v>
      </c>
      <c r="C36" s="28" t="str">
        <f t="shared" ref="C36:C67" si="8">B36&amp;E36</f>
        <v>3.2Phon</v>
      </c>
      <c r="D36" s="2" t="s">
        <v>44</v>
      </c>
      <c r="E36" s="33" t="s">
        <v>6</v>
      </c>
      <c r="F36" s="13" t="str">
        <f t="shared" si="3"/>
        <v/>
      </c>
      <c r="G36" s="9" t="str">
        <f t="shared" si="2"/>
        <v/>
      </c>
    </row>
    <row r="37" spans="1:8" hidden="1" x14ac:dyDescent="0.25">
      <c r="A37" s="27"/>
      <c r="B37" s="27" t="s">
        <v>40</v>
      </c>
      <c r="C37" s="27" t="str">
        <f t="shared" si="8"/>
        <v>3.3Viet</v>
      </c>
      <c r="D37" s="6" t="s">
        <v>53</v>
      </c>
      <c r="E37" s="31" t="s">
        <v>3</v>
      </c>
      <c r="F37" s="12" t="str">
        <f t="shared" si="3"/>
        <v/>
      </c>
      <c r="G37" s="9" t="str">
        <f t="shared" si="2"/>
        <v/>
      </c>
    </row>
    <row r="38" spans="1:8" x14ac:dyDescent="0.25">
      <c r="A38" s="27">
        <v>11</v>
      </c>
      <c r="B38" s="27" t="str">
        <f>B37</f>
        <v>3.3</v>
      </c>
      <c r="C38" s="27" t="str">
        <f t="shared" si="8"/>
        <v>3.3Eng</v>
      </c>
      <c r="D38" s="5" t="s">
        <v>45</v>
      </c>
      <c r="E38" s="32" t="s">
        <v>5</v>
      </c>
      <c r="F38" s="14" t="str">
        <f t="shared" si="3"/>
        <v>https://docs.google.com/uc?export=download&amp;id=10u_HCX9arQY1jlRlG1z5K2HgwDSmOXSz</v>
      </c>
      <c r="G38" s="9" t="str">
        <f t="shared" si="2"/>
        <v>10u_HCX9arQY1jlRlG1z5K2HgwDSmOXSz</v>
      </c>
      <c r="H38" t="s">
        <v>210</v>
      </c>
    </row>
    <row r="39" spans="1:8" hidden="1" x14ac:dyDescent="0.25">
      <c r="A39" s="28"/>
      <c r="B39" s="28" t="str">
        <f>B38</f>
        <v>3.3</v>
      </c>
      <c r="C39" s="28" t="str">
        <f t="shared" si="8"/>
        <v>3.3Phon</v>
      </c>
      <c r="D39" s="2" t="s">
        <v>46</v>
      </c>
      <c r="E39" s="33" t="s">
        <v>6</v>
      </c>
      <c r="F39" s="13" t="str">
        <f t="shared" si="3"/>
        <v/>
      </c>
      <c r="G39" s="9" t="str">
        <f t="shared" si="2"/>
        <v/>
      </c>
    </row>
    <row r="40" spans="1:8" hidden="1" x14ac:dyDescent="0.25">
      <c r="A40" s="27"/>
      <c r="B40" s="27" t="s">
        <v>49</v>
      </c>
      <c r="C40" s="27" t="str">
        <f t="shared" si="8"/>
        <v>3.4Viet</v>
      </c>
      <c r="D40" s="6" t="s">
        <v>54</v>
      </c>
      <c r="E40" s="31" t="s">
        <v>3</v>
      </c>
      <c r="F40" s="12" t="str">
        <f t="shared" si="3"/>
        <v/>
      </c>
      <c r="G40" s="9" t="str">
        <f t="shared" si="2"/>
        <v/>
      </c>
    </row>
    <row r="41" spans="1:8" x14ac:dyDescent="0.25">
      <c r="A41" s="27">
        <v>12</v>
      </c>
      <c r="B41" s="27" t="str">
        <f>B40</f>
        <v>3.4</v>
      </c>
      <c r="C41" s="27" t="str">
        <f t="shared" si="8"/>
        <v>3.4Eng</v>
      </c>
      <c r="D41" s="5" t="s">
        <v>47</v>
      </c>
      <c r="E41" s="32" t="s">
        <v>5</v>
      </c>
      <c r="F41" s="14" t="str">
        <f t="shared" si="3"/>
        <v>https://docs.google.com/uc?export=download&amp;id=1DxwV84b1d-9Q1CeTOntziHsKh3lEtmJ1</v>
      </c>
      <c r="G41" s="9" t="str">
        <f t="shared" si="2"/>
        <v>1DxwV84b1d-9Q1CeTOntziHsKh3lEtmJ1</v>
      </c>
      <c r="H41" t="s">
        <v>211</v>
      </c>
    </row>
    <row r="42" spans="1:8" hidden="1" x14ac:dyDescent="0.25">
      <c r="A42" s="28"/>
      <c r="B42" s="28" t="str">
        <f>B41</f>
        <v>3.4</v>
      </c>
      <c r="C42" s="28" t="str">
        <f t="shared" si="8"/>
        <v>3.4Phon</v>
      </c>
      <c r="D42" s="2" t="s">
        <v>48</v>
      </c>
      <c r="E42" s="33" t="s">
        <v>6</v>
      </c>
      <c r="F42" s="13" t="str">
        <f t="shared" si="3"/>
        <v/>
      </c>
      <c r="G42" s="9" t="str">
        <f t="shared" si="2"/>
        <v/>
      </c>
    </row>
    <row r="43" spans="1:8" hidden="1" x14ac:dyDescent="0.25">
      <c r="A43" s="26"/>
      <c r="B43" s="25">
        <v>4</v>
      </c>
      <c r="C43" s="26" t="str">
        <f t="shared" si="8"/>
        <v>4Struc</v>
      </c>
      <c r="D43" s="19" t="s">
        <v>77</v>
      </c>
      <c r="E43" s="30" t="s">
        <v>12</v>
      </c>
      <c r="F43" s="18" t="str">
        <f t="shared" si="3"/>
        <v/>
      </c>
      <c r="G43" s="9" t="str">
        <f t="shared" si="2"/>
        <v/>
      </c>
    </row>
    <row r="44" spans="1:8" hidden="1" x14ac:dyDescent="0.25">
      <c r="A44" s="27"/>
      <c r="B44" s="27" t="s">
        <v>55</v>
      </c>
      <c r="C44" s="27" t="str">
        <f t="shared" si="8"/>
        <v>4.1Viet</v>
      </c>
      <c r="D44" s="6" t="s">
        <v>78</v>
      </c>
      <c r="E44" s="31" t="s">
        <v>3</v>
      </c>
      <c r="F44" s="12" t="str">
        <f t="shared" si="3"/>
        <v/>
      </c>
      <c r="G44" s="9" t="str">
        <f t="shared" si="2"/>
        <v/>
      </c>
    </row>
    <row r="45" spans="1:8" x14ac:dyDescent="0.25">
      <c r="A45" s="27">
        <v>13</v>
      </c>
      <c r="B45" s="27" t="str">
        <f>B44</f>
        <v>4.1</v>
      </c>
      <c r="C45" s="27" t="str">
        <f t="shared" si="8"/>
        <v>4.1Eng</v>
      </c>
      <c r="D45" s="5" t="s">
        <v>68</v>
      </c>
      <c r="E45" s="32" t="s">
        <v>5</v>
      </c>
      <c r="F45" s="14" t="str">
        <f t="shared" si="3"/>
        <v>https://docs.google.com/uc?export=download&amp;id=1DKxc5zHfNWgXFv5C5UZ4RiRNPPfxNORG</v>
      </c>
      <c r="G45" s="9" t="str">
        <f t="shared" si="2"/>
        <v>1DKxc5zHfNWgXFv5C5UZ4RiRNPPfxNORG</v>
      </c>
      <c r="H45" t="s">
        <v>212</v>
      </c>
    </row>
    <row r="46" spans="1:8" hidden="1" x14ac:dyDescent="0.25">
      <c r="A46" s="28"/>
      <c r="B46" s="28" t="str">
        <f>B45</f>
        <v>4.1</v>
      </c>
      <c r="C46" s="28" t="str">
        <f t="shared" si="8"/>
        <v>4.1Phon</v>
      </c>
      <c r="D46" s="2" t="s">
        <v>69</v>
      </c>
      <c r="E46" s="33" t="s">
        <v>6</v>
      </c>
      <c r="F46" s="13" t="str">
        <f t="shared" si="3"/>
        <v/>
      </c>
      <c r="G46" s="9" t="str">
        <f t="shared" si="2"/>
        <v/>
      </c>
    </row>
    <row r="47" spans="1:8" hidden="1" x14ac:dyDescent="0.25">
      <c r="A47" s="27"/>
      <c r="B47" s="27" t="s">
        <v>56</v>
      </c>
      <c r="C47" s="27" t="str">
        <f t="shared" si="8"/>
        <v>4.2Viet</v>
      </c>
      <c r="D47" s="6" t="s">
        <v>79</v>
      </c>
      <c r="E47" s="31" t="s">
        <v>3</v>
      </c>
      <c r="F47" s="12" t="str">
        <f t="shared" si="3"/>
        <v/>
      </c>
      <c r="G47" s="9" t="str">
        <f t="shared" si="2"/>
        <v/>
      </c>
    </row>
    <row r="48" spans="1:8" x14ac:dyDescent="0.25">
      <c r="A48" s="27">
        <v>14</v>
      </c>
      <c r="B48" s="27" t="str">
        <f>B47</f>
        <v>4.2</v>
      </c>
      <c r="C48" s="27" t="str">
        <f t="shared" si="8"/>
        <v>4.2Eng</v>
      </c>
      <c r="D48" s="5" t="s">
        <v>70</v>
      </c>
      <c r="E48" s="32" t="s">
        <v>5</v>
      </c>
      <c r="F48" s="14" t="str">
        <f t="shared" si="3"/>
        <v>https://docs.google.com/uc?export=download&amp;id=1OsALbANzgaMBu6jxjK_BHk7koe-A0xS4</v>
      </c>
      <c r="G48" s="9" t="str">
        <f t="shared" si="2"/>
        <v>1OsALbANzgaMBu6jxjK_BHk7koe-A0xS4</v>
      </c>
      <c r="H48" t="s">
        <v>213</v>
      </c>
    </row>
    <row r="49" spans="1:8" hidden="1" x14ac:dyDescent="0.25">
      <c r="A49" s="28"/>
      <c r="B49" s="28" t="str">
        <f>B48</f>
        <v>4.2</v>
      </c>
      <c r="C49" s="28" t="str">
        <f t="shared" si="8"/>
        <v>4.2Phon</v>
      </c>
      <c r="D49" s="2" t="s">
        <v>71</v>
      </c>
      <c r="E49" s="33" t="s">
        <v>6</v>
      </c>
      <c r="F49" s="13" t="str">
        <f t="shared" si="3"/>
        <v/>
      </c>
      <c r="G49" s="9" t="str">
        <f t="shared" si="2"/>
        <v/>
      </c>
    </row>
    <row r="50" spans="1:8" hidden="1" x14ac:dyDescent="0.25">
      <c r="A50" s="27"/>
      <c r="B50" s="27" t="s">
        <v>57</v>
      </c>
      <c r="C50" s="27" t="str">
        <f t="shared" si="8"/>
        <v>4.3Viet</v>
      </c>
      <c r="D50" s="6" t="s">
        <v>80</v>
      </c>
      <c r="E50" s="31" t="s">
        <v>3</v>
      </c>
      <c r="F50" s="12" t="str">
        <f t="shared" si="3"/>
        <v/>
      </c>
      <c r="G50" s="9" t="str">
        <f t="shared" si="2"/>
        <v/>
      </c>
    </row>
    <row r="51" spans="1:8" x14ac:dyDescent="0.25">
      <c r="A51" s="27">
        <v>15</v>
      </c>
      <c r="B51" s="27" t="str">
        <f>B50</f>
        <v>4.3</v>
      </c>
      <c r="C51" s="27" t="str">
        <f t="shared" si="8"/>
        <v>4.3Eng</v>
      </c>
      <c r="D51" s="5" t="s">
        <v>72</v>
      </c>
      <c r="E51" s="32" t="s">
        <v>5</v>
      </c>
      <c r="F51" s="14" t="str">
        <f t="shared" si="3"/>
        <v>https://docs.google.com/uc?export=download&amp;id=1RYNg-8T-SxcrEK0YswA-crQruQG2sFqE</v>
      </c>
      <c r="G51" s="9" t="str">
        <f t="shared" si="2"/>
        <v>1RYNg-8T-SxcrEK0YswA-crQruQG2sFqE</v>
      </c>
      <c r="H51" t="s">
        <v>214</v>
      </c>
    </row>
    <row r="52" spans="1:8" hidden="1" x14ac:dyDescent="0.25">
      <c r="A52" s="28"/>
      <c r="B52" s="28" t="str">
        <f>B51</f>
        <v>4.3</v>
      </c>
      <c r="C52" s="28" t="str">
        <f t="shared" si="8"/>
        <v>4.3Phon</v>
      </c>
      <c r="D52" s="2" t="s">
        <v>73</v>
      </c>
      <c r="E52" s="33" t="s">
        <v>6</v>
      </c>
      <c r="F52" s="13" t="str">
        <f t="shared" si="3"/>
        <v/>
      </c>
      <c r="G52" s="9" t="str">
        <f t="shared" si="2"/>
        <v/>
      </c>
    </row>
    <row r="53" spans="1:8" hidden="1" x14ac:dyDescent="0.25">
      <c r="A53" s="27"/>
      <c r="B53" s="27" t="s">
        <v>58</v>
      </c>
      <c r="C53" s="27" t="str">
        <f t="shared" si="8"/>
        <v>4.4Viet</v>
      </c>
      <c r="D53" s="6" t="s">
        <v>81</v>
      </c>
      <c r="E53" s="31" t="s">
        <v>3</v>
      </c>
      <c r="F53" s="12" t="str">
        <f t="shared" si="3"/>
        <v/>
      </c>
      <c r="G53" s="9" t="str">
        <f t="shared" si="2"/>
        <v/>
      </c>
    </row>
    <row r="54" spans="1:8" x14ac:dyDescent="0.25">
      <c r="A54" s="27">
        <v>16</v>
      </c>
      <c r="B54" s="27" t="str">
        <f>B53</f>
        <v>4.4</v>
      </c>
      <c r="C54" s="27" t="str">
        <f t="shared" si="8"/>
        <v>4.4Eng</v>
      </c>
      <c r="D54" s="5" t="s">
        <v>218</v>
      </c>
      <c r="E54" s="32" t="s">
        <v>5</v>
      </c>
      <c r="F54" s="14" t="str">
        <f t="shared" si="3"/>
        <v>https://docs.google.com/uc?export=download&amp;id=1aSN4MLuxrmf41BR98TlgYTcO8q6Hixij</v>
      </c>
      <c r="G54" s="9" t="str">
        <f t="shared" si="2"/>
        <v>1aSN4MLuxrmf41BR98TlgYTcO8q6Hixij</v>
      </c>
      <c r="H54" t="s">
        <v>215</v>
      </c>
    </row>
    <row r="55" spans="1:8" hidden="1" x14ac:dyDescent="0.25">
      <c r="A55" s="28"/>
      <c r="B55" s="28" t="str">
        <f>B54</f>
        <v>4.4</v>
      </c>
      <c r="C55" s="28" t="str">
        <f t="shared" si="8"/>
        <v>4.4Phon</v>
      </c>
      <c r="D55" s="2" t="s">
        <v>74</v>
      </c>
      <c r="E55" s="33" t="s">
        <v>6</v>
      </c>
      <c r="F55" s="13" t="str">
        <f t="shared" si="3"/>
        <v/>
      </c>
      <c r="G55" s="9" t="str">
        <f t="shared" si="2"/>
        <v/>
      </c>
    </row>
    <row r="56" spans="1:8" hidden="1" x14ac:dyDescent="0.25">
      <c r="A56" s="27"/>
      <c r="B56" s="27" t="s">
        <v>59</v>
      </c>
      <c r="C56" s="27" t="str">
        <f t="shared" si="8"/>
        <v>4.5Viet</v>
      </c>
      <c r="D56" s="6" t="s">
        <v>82</v>
      </c>
      <c r="E56" s="31" t="s">
        <v>3</v>
      </c>
      <c r="F56" s="12" t="str">
        <f t="shared" si="3"/>
        <v/>
      </c>
      <c r="G56" s="9" t="str">
        <f t="shared" si="2"/>
        <v/>
      </c>
    </row>
    <row r="57" spans="1:8" x14ac:dyDescent="0.25">
      <c r="A57" s="27">
        <v>17</v>
      </c>
      <c r="B57" s="27" t="str">
        <f>B56</f>
        <v>4.5</v>
      </c>
      <c r="C57" s="27" t="str">
        <f t="shared" si="8"/>
        <v>4.5Eng</v>
      </c>
      <c r="D57" s="5" t="s">
        <v>75</v>
      </c>
      <c r="E57" s="32" t="s">
        <v>5</v>
      </c>
      <c r="F57" s="14" t="str">
        <f t="shared" si="3"/>
        <v>https://docs.google.com/uc?export=download&amp;id=1oJZKn28iyyW1YLr55FvAHVqg4wdYcxvH</v>
      </c>
      <c r="G57" s="9" t="str">
        <f t="shared" si="2"/>
        <v>1oJZKn28iyyW1YLr55FvAHVqg4wdYcxvH</v>
      </c>
      <c r="H57" t="s">
        <v>216</v>
      </c>
    </row>
    <row r="58" spans="1:8" hidden="1" x14ac:dyDescent="0.25">
      <c r="A58" s="28"/>
      <c r="B58" s="28" t="str">
        <f>B57</f>
        <v>4.5</v>
      </c>
      <c r="C58" s="28" t="str">
        <f t="shared" si="8"/>
        <v>4.5Phon</v>
      </c>
      <c r="D58" s="2" t="s">
        <v>76</v>
      </c>
      <c r="E58" s="33" t="s">
        <v>6</v>
      </c>
      <c r="F58" s="13" t="str">
        <f t="shared" si="3"/>
        <v/>
      </c>
      <c r="G58" s="9" t="str">
        <f t="shared" si="2"/>
        <v/>
      </c>
    </row>
    <row r="59" spans="1:8" s="22" customFormat="1" hidden="1" x14ac:dyDescent="0.25">
      <c r="A59" s="26"/>
      <c r="B59" s="25">
        <v>5</v>
      </c>
      <c r="C59" s="26" t="str">
        <f t="shared" si="8"/>
        <v>5Struc</v>
      </c>
      <c r="D59" s="19" t="s">
        <v>107</v>
      </c>
      <c r="E59" s="30" t="s">
        <v>12</v>
      </c>
      <c r="F59" s="20" t="str">
        <f t="shared" si="3"/>
        <v/>
      </c>
      <c r="G59" s="9" t="str">
        <f t="shared" si="2"/>
        <v/>
      </c>
      <c r="H59"/>
    </row>
    <row r="60" spans="1:8" hidden="1" x14ac:dyDescent="0.25">
      <c r="A60" s="27"/>
      <c r="B60" s="27" t="s">
        <v>83</v>
      </c>
      <c r="C60" s="27" t="str">
        <f t="shared" si="8"/>
        <v>5.1Viet</v>
      </c>
      <c r="D60" s="6" t="s">
        <v>108</v>
      </c>
      <c r="E60" s="31" t="s">
        <v>3</v>
      </c>
      <c r="F60" s="12" t="str">
        <f t="shared" si="3"/>
        <v/>
      </c>
      <c r="G60" s="9" t="str">
        <f t="shared" si="2"/>
        <v/>
      </c>
    </row>
    <row r="61" spans="1:8" x14ac:dyDescent="0.25">
      <c r="A61" s="27">
        <v>18</v>
      </c>
      <c r="B61" s="27" t="str">
        <f>B60</f>
        <v>5.1</v>
      </c>
      <c r="C61" s="27" t="str">
        <f t="shared" si="8"/>
        <v>5.1Eng</v>
      </c>
      <c r="D61" s="5" t="s">
        <v>91</v>
      </c>
      <c r="E61" s="32" t="s">
        <v>5</v>
      </c>
      <c r="F61" s="14" t="str">
        <f t="shared" si="3"/>
        <v>https://docs.google.com/uc?export=download&amp;id=1-YcvqlJjdZSA0TmV4uAr3rLIGBbp1XA5</v>
      </c>
      <c r="G61" s="9" t="str">
        <f t="shared" si="2"/>
        <v>1-YcvqlJjdZSA0TmV4uAr3rLIGBbp1XA5</v>
      </c>
      <c r="H61" t="s">
        <v>225</v>
      </c>
    </row>
    <row r="62" spans="1:8" hidden="1" x14ac:dyDescent="0.25">
      <c r="A62" s="28"/>
      <c r="B62" s="28" t="str">
        <f>B61</f>
        <v>5.1</v>
      </c>
      <c r="C62" s="28" t="str">
        <f t="shared" si="8"/>
        <v>5.1Phon</v>
      </c>
      <c r="D62" s="2" t="s">
        <v>92</v>
      </c>
      <c r="E62" s="33" t="s">
        <v>6</v>
      </c>
      <c r="F62" s="13" t="str">
        <f t="shared" si="3"/>
        <v/>
      </c>
      <c r="G62" s="9" t="str">
        <f t="shared" si="2"/>
        <v/>
      </c>
    </row>
    <row r="63" spans="1:8" hidden="1" x14ac:dyDescent="0.25">
      <c r="A63" s="27"/>
      <c r="B63" s="27" t="s">
        <v>84</v>
      </c>
      <c r="C63" s="27" t="str">
        <f t="shared" si="8"/>
        <v>5.2Viet</v>
      </c>
      <c r="D63" s="6" t="s">
        <v>109</v>
      </c>
      <c r="E63" s="31" t="s">
        <v>3</v>
      </c>
      <c r="F63" s="12" t="str">
        <f t="shared" si="3"/>
        <v/>
      </c>
      <c r="G63" s="9" t="str">
        <f t="shared" si="2"/>
        <v/>
      </c>
    </row>
    <row r="64" spans="1:8" x14ac:dyDescent="0.25">
      <c r="A64" s="27">
        <v>19</v>
      </c>
      <c r="B64" s="27" t="str">
        <f>B63</f>
        <v>5.2</v>
      </c>
      <c r="C64" s="27" t="str">
        <f t="shared" si="8"/>
        <v>5.2Eng</v>
      </c>
      <c r="D64" s="5" t="s">
        <v>93</v>
      </c>
      <c r="E64" s="32" t="s">
        <v>5</v>
      </c>
      <c r="F64" s="14" t="str">
        <f t="shared" si="3"/>
        <v>https://docs.google.com/uc?export=download&amp;id=1OuwEgzWbwGqeCqtcCnE2AJZoQX4Bp5vx</v>
      </c>
      <c r="G64" s="9" t="str">
        <f t="shared" si="2"/>
        <v>1OuwEgzWbwGqeCqtcCnE2AJZoQX4Bp5vx</v>
      </c>
      <c r="H64" t="s">
        <v>226</v>
      </c>
    </row>
    <row r="65" spans="1:8" hidden="1" x14ac:dyDescent="0.25">
      <c r="A65" s="28"/>
      <c r="B65" s="28" t="str">
        <f>B64</f>
        <v>5.2</v>
      </c>
      <c r="C65" s="28" t="str">
        <f t="shared" si="8"/>
        <v>5.2Phon</v>
      </c>
      <c r="D65" s="2" t="s">
        <v>94</v>
      </c>
      <c r="E65" s="33" t="s">
        <v>6</v>
      </c>
      <c r="F65" s="13" t="str">
        <f t="shared" si="3"/>
        <v/>
      </c>
      <c r="G65" s="9" t="str">
        <f t="shared" si="2"/>
        <v/>
      </c>
    </row>
    <row r="66" spans="1:8" hidden="1" x14ac:dyDescent="0.25">
      <c r="A66" s="27"/>
      <c r="B66" s="27" t="s">
        <v>85</v>
      </c>
      <c r="C66" s="27" t="str">
        <f t="shared" si="8"/>
        <v>5.3Viet</v>
      </c>
      <c r="D66" s="6" t="s">
        <v>110</v>
      </c>
      <c r="E66" s="31" t="s">
        <v>3</v>
      </c>
      <c r="F66" s="12" t="str">
        <f t="shared" si="3"/>
        <v/>
      </c>
      <c r="G66" s="9" t="str">
        <f t="shared" si="2"/>
        <v/>
      </c>
    </row>
    <row r="67" spans="1:8" x14ac:dyDescent="0.25">
      <c r="A67" s="27">
        <v>20</v>
      </c>
      <c r="B67" s="27" t="str">
        <f>B66</f>
        <v>5.3</v>
      </c>
      <c r="C67" s="27" t="str">
        <f t="shared" si="8"/>
        <v>5.3Eng</v>
      </c>
      <c r="D67" s="5" t="s">
        <v>95</v>
      </c>
      <c r="E67" s="32" t="s">
        <v>5</v>
      </c>
      <c r="F67" s="14" t="str">
        <f t="shared" si="3"/>
        <v>https://docs.google.com/uc?export=download&amp;id=1RqT1eZo2TMTOclPTA_vh_ep71xrgY6Up</v>
      </c>
      <c r="G67" s="9" t="str">
        <f t="shared" si="2"/>
        <v>1RqT1eZo2TMTOclPTA_vh_ep71xrgY6Up</v>
      </c>
      <c r="H67" t="s">
        <v>227</v>
      </c>
    </row>
    <row r="68" spans="1:8" hidden="1" x14ac:dyDescent="0.25">
      <c r="A68" s="28"/>
      <c r="B68" s="28" t="str">
        <f>B67</f>
        <v>5.3</v>
      </c>
      <c r="C68" s="28" t="str">
        <f t="shared" ref="C68:C99" si="9">B68&amp;E68</f>
        <v>5.3Phon</v>
      </c>
      <c r="D68" s="2" t="s">
        <v>96</v>
      </c>
      <c r="E68" s="33" t="s">
        <v>6</v>
      </c>
      <c r="F68" s="13" t="str">
        <f t="shared" si="3"/>
        <v/>
      </c>
      <c r="G68" s="9" t="str">
        <f t="shared" si="2"/>
        <v/>
      </c>
    </row>
    <row r="69" spans="1:8" hidden="1" x14ac:dyDescent="0.25">
      <c r="A69" s="27"/>
      <c r="B69" s="27" t="s">
        <v>86</v>
      </c>
      <c r="C69" s="27" t="str">
        <f t="shared" si="9"/>
        <v>5.4Viet</v>
      </c>
      <c r="D69" s="6" t="s">
        <v>111</v>
      </c>
      <c r="E69" s="31" t="s">
        <v>3</v>
      </c>
      <c r="F69" s="12" t="str">
        <f t="shared" si="3"/>
        <v/>
      </c>
      <c r="G69" s="9" t="str">
        <f t="shared" si="2"/>
        <v/>
      </c>
    </row>
    <row r="70" spans="1:8" x14ac:dyDescent="0.25">
      <c r="A70" s="27">
        <v>21</v>
      </c>
      <c r="B70" s="27" t="str">
        <f>B69</f>
        <v>5.4</v>
      </c>
      <c r="C70" s="27" t="str">
        <f t="shared" si="9"/>
        <v>5.4Eng</v>
      </c>
      <c r="D70" s="5" t="s">
        <v>97</v>
      </c>
      <c r="E70" s="32" t="s">
        <v>5</v>
      </c>
      <c r="F70" s="14" t="str">
        <f t="shared" si="3"/>
        <v>https://docs.google.com/uc?export=download&amp;id=1bMn7aasXXYVVwWbbKIoSuZOb6m9dK2Kd</v>
      </c>
      <c r="G70" s="9" t="str">
        <f t="shared" ref="G70:G133" si="10">IFERROR(LEFT(RIGHT(H70,LEN(H70)-32),LEN(RIGHT(H70,LEN(H70)-32))-17),"")</f>
        <v>1bMn7aasXXYVVwWbbKIoSuZOb6m9dK2Kd</v>
      </c>
      <c r="H70" t="s">
        <v>228</v>
      </c>
    </row>
    <row r="71" spans="1:8" hidden="1" x14ac:dyDescent="0.25">
      <c r="A71" s="28"/>
      <c r="B71" s="28" t="str">
        <f>B70</f>
        <v>5.4</v>
      </c>
      <c r="C71" s="28" t="str">
        <f t="shared" si="9"/>
        <v>5.4Phon</v>
      </c>
      <c r="D71" s="2" t="s">
        <v>98</v>
      </c>
      <c r="E71" s="33" t="s">
        <v>6</v>
      </c>
      <c r="F71" s="13" t="str">
        <f t="shared" ref="F71:F134" si="11">IF(G71="","","https://docs.google.com/uc?export=download&amp;id="&amp;G71)</f>
        <v/>
      </c>
      <c r="G71" s="9" t="str">
        <f t="shared" si="10"/>
        <v/>
      </c>
    </row>
    <row r="72" spans="1:8" s="22" customFormat="1" hidden="1" x14ac:dyDescent="0.25">
      <c r="A72" s="26"/>
      <c r="B72" s="25">
        <v>6</v>
      </c>
      <c r="C72" s="26" t="str">
        <f t="shared" si="9"/>
        <v>6Struc</v>
      </c>
      <c r="D72" s="19" t="s">
        <v>112</v>
      </c>
      <c r="E72" s="30" t="s">
        <v>12</v>
      </c>
      <c r="F72" s="20" t="str">
        <f t="shared" si="11"/>
        <v/>
      </c>
      <c r="G72" s="9" t="str">
        <f t="shared" si="10"/>
        <v/>
      </c>
      <c r="H72"/>
    </row>
    <row r="73" spans="1:8" hidden="1" x14ac:dyDescent="0.25">
      <c r="A73" s="27"/>
      <c r="B73" s="27" t="s">
        <v>87</v>
      </c>
      <c r="C73" s="27" t="str">
        <f t="shared" si="9"/>
        <v>6.1Viet</v>
      </c>
      <c r="D73" s="6" t="s">
        <v>113</v>
      </c>
      <c r="E73" s="31" t="s">
        <v>3</v>
      </c>
      <c r="F73" s="12" t="str">
        <f t="shared" si="11"/>
        <v/>
      </c>
      <c r="G73" s="9" t="str">
        <f t="shared" si="10"/>
        <v/>
      </c>
    </row>
    <row r="74" spans="1:8" x14ac:dyDescent="0.25">
      <c r="A74" s="27">
        <v>22</v>
      </c>
      <c r="B74" s="27" t="str">
        <f>B73</f>
        <v>6.1</v>
      </c>
      <c r="C74" s="27" t="str">
        <f t="shared" si="9"/>
        <v>6.1Eng</v>
      </c>
      <c r="D74" s="5" t="s">
        <v>99</v>
      </c>
      <c r="E74" s="32" t="s">
        <v>5</v>
      </c>
      <c r="F74" s="14" t="str">
        <f t="shared" si="11"/>
        <v>https://docs.google.com/uc?export=download&amp;id=1Mo0zNJRm852tNM5nRP9CNLeiZpLpam3R</v>
      </c>
      <c r="G74" s="9" t="str">
        <f t="shared" si="10"/>
        <v>1Mo0zNJRm852tNM5nRP9CNLeiZpLpam3R</v>
      </c>
      <c r="H74" t="s">
        <v>231</v>
      </c>
    </row>
    <row r="75" spans="1:8" hidden="1" x14ac:dyDescent="0.25">
      <c r="A75" s="28"/>
      <c r="B75" s="28" t="str">
        <f>B74</f>
        <v>6.1</v>
      </c>
      <c r="C75" s="28" t="str">
        <f t="shared" si="9"/>
        <v>6.1Phon</v>
      </c>
      <c r="D75" s="2" t="s">
        <v>100</v>
      </c>
      <c r="E75" s="33" t="s">
        <v>6</v>
      </c>
      <c r="F75" s="13" t="str">
        <f t="shared" si="11"/>
        <v/>
      </c>
      <c r="G75" s="9" t="str">
        <f t="shared" si="10"/>
        <v/>
      </c>
    </row>
    <row r="76" spans="1:8" hidden="1" x14ac:dyDescent="0.25">
      <c r="A76" s="27"/>
      <c r="B76" s="27" t="s">
        <v>88</v>
      </c>
      <c r="C76" s="27" t="str">
        <f t="shared" si="9"/>
        <v>6.2Viet</v>
      </c>
      <c r="D76" s="6" t="s">
        <v>114</v>
      </c>
      <c r="E76" s="31" t="s">
        <v>3</v>
      </c>
      <c r="F76" s="12" t="str">
        <f t="shared" si="11"/>
        <v/>
      </c>
      <c r="G76" s="9" t="str">
        <f t="shared" si="10"/>
        <v/>
      </c>
    </row>
    <row r="77" spans="1:8" x14ac:dyDescent="0.25">
      <c r="A77" s="27">
        <v>23</v>
      </c>
      <c r="B77" s="27" t="str">
        <f>B76</f>
        <v>6.2</v>
      </c>
      <c r="C77" s="27" t="str">
        <f t="shared" si="9"/>
        <v>6.2Eng</v>
      </c>
      <c r="D77" s="5" t="s">
        <v>101</v>
      </c>
      <c r="E77" s="32" t="s">
        <v>5</v>
      </c>
      <c r="F77" s="14" t="str">
        <f t="shared" si="11"/>
        <v>https://docs.google.com/uc?export=download&amp;id=1IZkvLYOQrxn8mPfjSOWbYV2rRsDm0WZA</v>
      </c>
      <c r="G77" s="9" t="str">
        <f t="shared" si="10"/>
        <v>1IZkvLYOQrxn8mPfjSOWbYV2rRsDm0WZA</v>
      </c>
      <c r="H77" t="s">
        <v>232</v>
      </c>
    </row>
    <row r="78" spans="1:8" hidden="1" x14ac:dyDescent="0.25">
      <c r="A78" s="28"/>
      <c r="B78" s="28" t="str">
        <f>B77</f>
        <v>6.2</v>
      </c>
      <c r="C78" s="28" t="str">
        <f t="shared" si="9"/>
        <v>6.2Phon</v>
      </c>
      <c r="D78" s="2" t="s">
        <v>102</v>
      </c>
      <c r="E78" s="33" t="s">
        <v>6</v>
      </c>
      <c r="F78" s="13" t="str">
        <f t="shared" si="11"/>
        <v/>
      </c>
      <c r="G78" s="9" t="str">
        <f t="shared" si="10"/>
        <v/>
      </c>
    </row>
    <row r="79" spans="1:8" hidden="1" x14ac:dyDescent="0.25">
      <c r="A79" s="27"/>
      <c r="B79" s="27" t="s">
        <v>89</v>
      </c>
      <c r="C79" s="27" t="str">
        <f t="shared" si="9"/>
        <v>6.3Viet</v>
      </c>
      <c r="D79" s="6" t="s">
        <v>115</v>
      </c>
      <c r="E79" s="31" t="s">
        <v>3</v>
      </c>
      <c r="F79" s="12" t="str">
        <f t="shared" si="11"/>
        <v/>
      </c>
      <c r="G79" s="9" t="str">
        <f t="shared" si="10"/>
        <v/>
      </c>
    </row>
    <row r="80" spans="1:8" x14ac:dyDescent="0.25">
      <c r="A80" s="27">
        <v>24</v>
      </c>
      <c r="B80" s="27" t="str">
        <f>B79</f>
        <v>6.3</v>
      </c>
      <c r="C80" s="27" t="str">
        <f t="shared" si="9"/>
        <v>6.3Eng</v>
      </c>
      <c r="D80" s="5" t="s">
        <v>103</v>
      </c>
      <c r="E80" s="32" t="s">
        <v>5</v>
      </c>
      <c r="F80" s="14" t="str">
        <f t="shared" si="11"/>
        <v>https://docs.google.com/uc?export=download&amp;id=1UHT-x4TA2AQo9Wncr34Y-JvUXiANr8W_</v>
      </c>
      <c r="G80" s="9" t="str">
        <f t="shared" si="10"/>
        <v>1UHT-x4TA2AQo9Wncr34Y-JvUXiANr8W_</v>
      </c>
      <c r="H80" t="s">
        <v>233</v>
      </c>
    </row>
    <row r="81" spans="1:8" hidden="1" x14ac:dyDescent="0.25">
      <c r="A81" s="28"/>
      <c r="B81" s="28" t="str">
        <f>B80</f>
        <v>6.3</v>
      </c>
      <c r="C81" s="28" t="str">
        <f t="shared" si="9"/>
        <v>6.3Phon</v>
      </c>
      <c r="D81" s="2" t="s">
        <v>104</v>
      </c>
      <c r="E81" s="33" t="s">
        <v>6</v>
      </c>
      <c r="F81" s="13" t="str">
        <f t="shared" si="11"/>
        <v/>
      </c>
      <c r="G81" s="9" t="str">
        <f t="shared" si="10"/>
        <v/>
      </c>
    </row>
    <row r="82" spans="1:8" hidden="1" x14ac:dyDescent="0.25">
      <c r="A82" s="27"/>
      <c r="B82" s="27" t="s">
        <v>90</v>
      </c>
      <c r="C82" s="27" t="str">
        <f t="shared" si="9"/>
        <v>6.4Viet</v>
      </c>
      <c r="D82" s="6" t="s">
        <v>116</v>
      </c>
      <c r="E82" s="31" t="s">
        <v>3</v>
      </c>
      <c r="F82" s="12" t="str">
        <f t="shared" si="11"/>
        <v/>
      </c>
      <c r="G82" s="9" t="str">
        <f t="shared" si="10"/>
        <v/>
      </c>
    </row>
    <row r="83" spans="1:8" x14ac:dyDescent="0.25">
      <c r="A83" s="27">
        <v>25</v>
      </c>
      <c r="B83" s="27" t="str">
        <f>B82</f>
        <v>6.4</v>
      </c>
      <c r="C83" s="27" t="str">
        <f t="shared" si="9"/>
        <v>6.4Eng</v>
      </c>
      <c r="D83" s="5" t="s">
        <v>105</v>
      </c>
      <c r="E83" s="32" t="s">
        <v>5</v>
      </c>
      <c r="F83" s="14" t="str">
        <f t="shared" si="11"/>
        <v>https://docs.google.com/uc?export=download&amp;id=1-vC7fXssGUwpj1VGicfyefYgoAsEmJdW</v>
      </c>
      <c r="G83" s="9" t="str">
        <f t="shared" si="10"/>
        <v>1-vC7fXssGUwpj1VGicfyefYgoAsEmJdW</v>
      </c>
      <c r="H83" t="s">
        <v>234</v>
      </c>
    </row>
    <row r="84" spans="1:8" hidden="1" x14ac:dyDescent="0.25">
      <c r="A84" s="28"/>
      <c r="B84" s="28" t="str">
        <f>B83</f>
        <v>6.4</v>
      </c>
      <c r="C84" s="28" t="str">
        <f t="shared" si="9"/>
        <v>6.4Phon</v>
      </c>
      <c r="D84" s="2" t="s">
        <v>106</v>
      </c>
      <c r="E84" s="33" t="s">
        <v>6</v>
      </c>
      <c r="F84" s="13" t="str">
        <f t="shared" si="11"/>
        <v/>
      </c>
      <c r="G84" s="9" t="str">
        <f t="shared" si="10"/>
        <v/>
      </c>
    </row>
    <row r="85" spans="1:8" s="22" customFormat="1" hidden="1" x14ac:dyDescent="0.25">
      <c r="A85" s="26"/>
      <c r="B85" s="25">
        <v>7</v>
      </c>
      <c r="C85" s="26" t="str">
        <f t="shared" si="9"/>
        <v>7Struc</v>
      </c>
      <c r="D85" s="19" t="s">
        <v>175</v>
      </c>
      <c r="E85" s="30" t="s">
        <v>12</v>
      </c>
      <c r="F85" s="20" t="str">
        <f t="shared" si="11"/>
        <v/>
      </c>
      <c r="G85" s="9" t="str">
        <f t="shared" si="10"/>
        <v/>
      </c>
      <c r="H85"/>
    </row>
    <row r="86" spans="1:8" hidden="1" x14ac:dyDescent="0.25">
      <c r="A86" s="27"/>
      <c r="B86" s="27" t="s">
        <v>117</v>
      </c>
      <c r="C86" s="27" t="str">
        <f t="shared" si="9"/>
        <v>7.1Viet</v>
      </c>
      <c r="D86" s="6" t="s">
        <v>176</v>
      </c>
      <c r="E86" s="31" t="s">
        <v>3</v>
      </c>
      <c r="F86" s="12" t="str">
        <f t="shared" si="11"/>
        <v/>
      </c>
      <c r="G86" s="9" t="str">
        <f t="shared" si="10"/>
        <v/>
      </c>
    </row>
    <row r="87" spans="1:8" x14ac:dyDescent="0.25">
      <c r="A87" s="27">
        <v>26</v>
      </c>
      <c r="B87" s="27" t="str">
        <f>B86</f>
        <v>7.1</v>
      </c>
      <c r="C87" s="27" t="str">
        <f t="shared" si="9"/>
        <v>7.1Eng</v>
      </c>
      <c r="D87" s="5" t="s">
        <v>137</v>
      </c>
      <c r="E87" s="32" t="s">
        <v>5</v>
      </c>
      <c r="F87" s="14" t="str">
        <f t="shared" si="11"/>
        <v>https://docs.google.com/uc?export=download&amp;id=17m7nkXyoI_t1qH8PoaLcdb5zWVkN_it3</v>
      </c>
      <c r="G87" s="9" t="str">
        <f t="shared" si="10"/>
        <v>17m7nkXyoI_t1qH8PoaLcdb5zWVkN_it3</v>
      </c>
      <c r="H87" t="s">
        <v>235</v>
      </c>
    </row>
    <row r="88" spans="1:8" hidden="1" x14ac:dyDescent="0.25">
      <c r="A88" s="28"/>
      <c r="B88" s="28" t="str">
        <f>B87</f>
        <v>7.1</v>
      </c>
      <c r="C88" s="28" t="str">
        <f t="shared" si="9"/>
        <v>7.1Phon</v>
      </c>
      <c r="D88" s="2" t="s">
        <v>138</v>
      </c>
      <c r="E88" s="33" t="s">
        <v>6</v>
      </c>
      <c r="F88" s="13" t="str">
        <f t="shared" si="11"/>
        <v/>
      </c>
      <c r="G88" s="9" t="str">
        <f t="shared" si="10"/>
        <v/>
      </c>
    </row>
    <row r="89" spans="1:8" hidden="1" x14ac:dyDescent="0.25">
      <c r="A89" s="27"/>
      <c r="B89" s="27" t="s">
        <v>118</v>
      </c>
      <c r="C89" s="27" t="str">
        <f t="shared" si="9"/>
        <v>7.2Viet</v>
      </c>
      <c r="D89" s="6" t="s">
        <v>177</v>
      </c>
      <c r="E89" s="31" t="s">
        <v>3</v>
      </c>
      <c r="F89" s="12" t="str">
        <f t="shared" si="11"/>
        <v/>
      </c>
      <c r="G89" s="9" t="str">
        <f t="shared" si="10"/>
        <v/>
      </c>
    </row>
    <row r="90" spans="1:8" x14ac:dyDescent="0.25">
      <c r="A90" s="27">
        <v>27</v>
      </c>
      <c r="B90" s="27" t="str">
        <f>B89</f>
        <v>7.2</v>
      </c>
      <c r="C90" s="27" t="str">
        <f t="shared" si="9"/>
        <v>7.2Eng</v>
      </c>
      <c r="D90" s="5" t="s">
        <v>139</v>
      </c>
      <c r="E90" s="32" t="s">
        <v>5</v>
      </c>
      <c r="F90" s="14" t="str">
        <f t="shared" si="11"/>
        <v>https://docs.google.com/uc?export=download&amp;id=1Xp86zRg2xZ_CzPy4JZbyUQJsDq7ZETUG</v>
      </c>
      <c r="G90" s="9" t="str">
        <f t="shared" si="10"/>
        <v>1Xp86zRg2xZ_CzPy4JZbyUQJsDq7ZETUG</v>
      </c>
      <c r="H90" t="s">
        <v>236</v>
      </c>
    </row>
    <row r="91" spans="1:8" hidden="1" x14ac:dyDescent="0.25">
      <c r="A91" s="28"/>
      <c r="B91" s="28" t="str">
        <f>B90</f>
        <v>7.2</v>
      </c>
      <c r="C91" s="28" t="str">
        <f t="shared" si="9"/>
        <v>7.2Phon</v>
      </c>
      <c r="D91" s="2" t="s">
        <v>140</v>
      </c>
      <c r="E91" s="33" t="s">
        <v>6</v>
      </c>
      <c r="F91" s="13" t="str">
        <f t="shared" si="11"/>
        <v/>
      </c>
      <c r="G91" s="9" t="str">
        <f t="shared" si="10"/>
        <v/>
      </c>
    </row>
    <row r="92" spans="1:8" hidden="1" x14ac:dyDescent="0.25">
      <c r="A92" s="27"/>
      <c r="B92" s="27" t="s">
        <v>119</v>
      </c>
      <c r="C92" s="27" t="str">
        <f t="shared" si="9"/>
        <v>7.3Viet</v>
      </c>
      <c r="D92" s="6" t="s">
        <v>178</v>
      </c>
      <c r="E92" s="31" t="s">
        <v>3</v>
      </c>
      <c r="F92" s="12" t="str">
        <f t="shared" si="11"/>
        <v/>
      </c>
      <c r="G92" s="9" t="str">
        <f t="shared" si="10"/>
        <v/>
      </c>
    </row>
    <row r="93" spans="1:8" x14ac:dyDescent="0.25">
      <c r="A93" s="27">
        <v>28</v>
      </c>
      <c r="B93" s="27" t="str">
        <f>B92</f>
        <v>7.3</v>
      </c>
      <c r="C93" s="27" t="str">
        <f t="shared" si="9"/>
        <v>7.3Eng</v>
      </c>
      <c r="D93" s="5" t="s">
        <v>141</v>
      </c>
      <c r="E93" s="32" t="s">
        <v>5</v>
      </c>
      <c r="F93" s="14" t="str">
        <f t="shared" si="11"/>
        <v>https://docs.google.com/uc?export=download&amp;id=1xYkl6BmYyyHLEjG3ozt4idvgohksTmrQ</v>
      </c>
      <c r="G93" s="9" t="str">
        <f t="shared" si="10"/>
        <v>1xYkl6BmYyyHLEjG3ozt4idvgohksTmrQ</v>
      </c>
      <c r="H93" t="s">
        <v>237</v>
      </c>
    </row>
    <row r="94" spans="1:8" hidden="1" x14ac:dyDescent="0.25">
      <c r="A94" s="28"/>
      <c r="B94" s="28" t="str">
        <f>B93</f>
        <v>7.3</v>
      </c>
      <c r="C94" s="28" t="str">
        <f t="shared" si="9"/>
        <v>7.3Phon</v>
      </c>
      <c r="D94" s="2" t="s">
        <v>142</v>
      </c>
      <c r="E94" s="33" t="s">
        <v>6</v>
      </c>
      <c r="F94" s="13" t="str">
        <f t="shared" si="11"/>
        <v/>
      </c>
      <c r="G94" s="9" t="str">
        <f t="shared" si="10"/>
        <v/>
      </c>
    </row>
    <row r="95" spans="1:8" hidden="1" x14ac:dyDescent="0.25">
      <c r="A95" s="27"/>
      <c r="B95" s="27" t="s">
        <v>120</v>
      </c>
      <c r="C95" s="27" t="str">
        <f t="shared" si="9"/>
        <v>7.4Viet</v>
      </c>
      <c r="D95" s="6" t="s">
        <v>179</v>
      </c>
      <c r="E95" s="31" t="s">
        <v>3</v>
      </c>
      <c r="F95" s="12" t="str">
        <f t="shared" si="11"/>
        <v/>
      </c>
      <c r="G95" s="9" t="str">
        <f t="shared" si="10"/>
        <v/>
      </c>
    </row>
    <row r="96" spans="1:8" x14ac:dyDescent="0.25">
      <c r="A96" s="27">
        <v>29</v>
      </c>
      <c r="B96" s="27" t="str">
        <f>B95</f>
        <v>7.4</v>
      </c>
      <c r="C96" s="27" t="str">
        <f t="shared" si="9"/>
        <v>7.4Eng</v>
      </c>
      <c r="D96" s="5" t="s">
        <v>143</v>
      </c>
      <c r="E96" s="32" t="s">
        <v>5</v>
      </c>
      <c r="F96" s="14" t="str">
        <f t="shared" si="11"/>
        <v>https://docs.google.com/uc?export=download&amp;id=1w4SZPfzZDp9BR2WZqAfRLPBs1sgr2ByW</v>
      </c>
      <c r="G96" s="9" t="str">
        <f t="shared" si="10"/>
        <v>1w4SZPfzZDp9BR2WZqAfRLPBs1sgr2ByW</v>
      </c>
      <c r="H96" t="s">
        <v>238</v>
      </c>
    </row>
    <row r="97" spans="1:8" hidden="1" x14ac:dyDescent="0.25">
      <c r="A97" s="28"/>
      <c r="B97" s="28" t="str">
        <f>B96</f>
        <v>7.4</v>
      </c>
      <c r="C97" s="28" t="str">
        <f t="shared" si="9"/>
        <v>7.4Phon</v>
      </c>
      <c r="D97" s="2" t="s">
        <v>144</v>
      </c>
      <c r="E97" s="33" t="s">
        <v>6</v>
      </c>
      <c r="F97" s="13" t="str">
        <f t="shared" si="11"/>
        <v/>
      </c>
      <c r="G97" s="9" t="str">
        <f t="shared" si="10"/>
        <v/>
      </c>
    </row>
    <row r="98" spans="1:8" hidden="1" x14ac:dyDescent="0.25">
      <c r="A98" s="27"/>
      <c r="B98" s="27" t="s">
        <v>121</v>
      </c>
      <c r="C98" s="27" t="str">
        <f t="shared" si="9"/>
        <v>7.5Viet</v>
      </c>
      <c r="D98" s="6" t="s">
        <v>180</v>
      </c>
      <c r="E98" s="31" t="s">
        <v>3</v>
      </c>
      <c r="F98" s="12" t="str">
        <f t="shared" si="11"/>
        <v/>
      </c>
      <c r="G98" s="9" t="str">
        <f t="shared" si="10"/>
        <v/>
      </c>
    </row>
    <row r="99" spans="1:8" x14ac:dyDescent="0.25">
      <c r="A99" s="27">
        <v>30</v>
      </c>
      <c r="B99" s="27" t="str">
        <f>B98</f>
        <v>7.5</v>
      </c>
      <c r="C99" s="27" t="str">
        <f t="shared" si="9"/>
        <v>7.5Eng</v>
      </c>
      <c r="D99" s="5" t="s">
        <v>145</v>
      </c>
      <c r="E99" s="32" t="s">
        <v>5</v>
      </c>
      <c r="F99" s="14" t="str">
        <f t="shared" si="11"/>
        <v>https://docs.google.com/uc?export=download&amp;id=1ogGPQCk1_isKB7tR3IRyp9ATY-ili1nM</v>
      </c>
      <c r="G99" s="9" t="str">
        <f t="shared" si="10"/>
        <v>1ogGPQCk1_isKB7tR3IRyp9ATY-ili1nM</v>
      </c>
      <c r="H99" t="s">
        <v>239</v>
      </c>
    </row>
    <row r="100" spans="1:8" hidden="1" x14ac:dyDescent="0.25">
      <c r="A100" s="28"/>
      <c r="B100" s="28" t="str">
        <f>B99</f>
        <v>7.5</v>
      </c>
      <c r="C100" s="28" t="str">
        <f t="shared" ref="C100:C131" si="12">B100&amp;E100</f>
        <v>7.5Phon</v>
      </c>
      <c r="D100" s="2" t="s">
        <v>146</v>
      </c>
      <c r="E100" s="33" t="s">
        <v>6</v>
      </c>
      <c r="F100" s="13" t="str">
        <f t="shared" si="11"/>
        <v/>
      </c>
      <c r="G100" s="9" t="str">
        <f t="shared" si="10"/>
        <v/>
      </c>
    </row>
    <row r="101" spans="1:8" hidden="1" x14ac:dyDescent="0.25">
      <c r="A101" s="27"/>
      <c r="B101" s="27" t="s">
        <v>122</v>
      </c>
      <c r="C101" s="27" t="str">
        <f t="shared" si="12"/>
        <v>7.6Viet</v>
      </c>
      <c r="D101" s="6" t="s">
        <v>181</v>
      </c>
      <c r="E101" s="31" t="s">
        <v>3</v>
      </c>
      <c r="F101" s="12" t="str">
        <f t="shared" si="11"/>
        <v/>
      </c>
      <c r="G101" s="9" t="str">
        <f t="shared" si="10"/>
        <v/>
      </c>
    </row>
    <row r="102" spans="1:8" x14ac:dyDescent="0.25">
      <c r="A102" s="27">
        <v>31</v>
      </c>
      <c r="B102" s="27" t="str">
        <f>B101</f>
        <v>7.6</v>
      </c>
      <c r="C102" s="27" t="str">
        <f t="shared" si="12"/>
        <v>7.6Eng</v>
      </c>
      <c r="D102" s="5" t="s">
        <v>147</v>
      </c>
      <c r="E102" s="32" t="s">
        <v>5</v>
      </c>
      <c r="F102" s="14" t="str">
        <f t="shared" si="11"/>
        <v>https://docs.google.com/uc?export=download&amp;id=1KroZdyB7Sw9nb0WO2YAb0xNPCym1xVVd</v>
      </c>
      <c r="G102" s="9" t="str">
        <f t="shared" si="10"/>
        <v>1KroZdyB7Sw9nb0WO2YAb0xNPCym1xVVd</v>
      </c>
      <c r="H102" t="s">
        <v>240</v>
      </c>
    </row>
    <row r="103" spans="1:8" hidden="1" x14ac:dyDescent="0.25">
      <c r="A103" s="28"/>
      <c r="B103" s="28" t="str">
        <f>B102</f>
        <v>7.6</v>
      </c>
      <c r="C103" s="28" t="str">
        <f t="shared" si="12"/>
        <v>7.6Phon</v>
      </c>
      <c r="D103" s="2" t="s">
        <v>148</v>
      </c>
      <c r="E103" s="33" t="s">
        <v>6</v>
      </c>
      <c r="F103" s="13" t="str">
        <f t="shared" si="11"/>
        <v/>
      </c>
      <c r="G103" s="9" t="str">
        <f t="shared" si="10"/>
        <v/>
      </c>
    </row>
    <row r="104" spans="1:8" s="22" customFormat="1" hidden="1" x14ac:dyDescent="0.25">
      <c r="A104" s="26"/>
      <c r="B104" s="25">
        <v>8</v>
      </c>
      <c r="C104" s="26" t="str">
        <f t="shared" si="12"/>
        <v>8Struc</v>
      </c>
      <c r="D104" s="19" t="s">
        <v>182</v>
      </c>
      <c r="E104" s="30" t="s">
        <v>12</v>
      </c>
      <c r="F104" s="20" t="str">
        <f t="shared" si="11"/>
        <v/>
      </c>
      <c r="G104" s="9" t="str">
        <f t="shared" si="10"/>
        <v/>
      </c>
      <c r="H104"/>
    </row>
    <row r="105" spans="1:8" hidden="1" x14ac:dyDescent="0.25">
      <c r="A105" s="27"/>
      <c r="B105" s="27" t="s">
        <v>123</v>
      </c>
      <c r="C105" s="27" t="str">
        <f t="shared" si="12"/>
        <v>8.1Viet</v>
      </c>
      <c r="D105" s="6" t="s">
        <v>183</v>
      </c>
      <c r="E105" s="31" t="s">
        <v>3</v>
      </c>
      <c r="F105" s="12" t="str">
        <f t="shared" si="11"/>
        <v/>
      </c>
      <c r="G105" s="9" t="str">
        <f t="shared" si="10"/>
        <v/>
      </c>
    </row>
    <row r="106" spans="1:8" x14ac:dyDescent="0.25">
      <c r="A106" s="27">
        <v>32</v>
      </c>
      <c r="B106" s="27" t="str">
        <f>B105</f>
        <v>8.1</v>
      </c>
      <c r="C106" s="27" t="str">
        <f t="shared" si="12"/>
        <v>8.1Eng</v>
      </c>
      <c r="D106" s="5" t="s">
        <v>149</v>
      </c>
      <c r="E106" s="32" t="s">
        <v>5</v>
      </c>
      <c r="F106" s="14" t="str">
        <f t="shared" si="11"/>
        <v>https://docs.google.com/uc?export=download&amp;id=1OSnV17iU0A6sRZ3fztA5WhE8mVWiEOk1</v>
      </c>
      <c r="G106" s="9" t="str">
        <f t="shared" si="10"/>
        <v>1OSnV17iU0A6sRZ3fztA5WhE8mVWiEOk1</v>
      </c>
      <c r="H106" t="s">
        <v>241</v>
      </c>
    </row>
    <row r="107" spans="1:8" hidden="1" x14ac:dyDescent="0.25">
      <c r="A107" s="28"/>
      <c r="B107" s="28" t="str">
        <f>B106</f>
        <v>8.1</v>
      </c>
      <c r="C107" s="28" t="str">
        <f t="shared" si="12"/>
        <v>8.1Phon</v>
      </c>
      <c r="D107" s="2" t="s">
        <v>150</v>
      </c>
      <c r="E107" s="33" t="s">
        <v>6</v>
      </c>
      <c r="F107" s="13" t="str">
        <f t="shared" si="11"/>
        <v/>
      </c>
      <c r="G107" s="9" t="str">
        <f t="shared" si="10"/>
        <v/>
      </c>
    </row>
    <row r="108" spans="1:8" hidden="1" x14ac:dyDescent="0.25">
      <c r="A108" s="27"/>
      <c r="B108" s="27" t="s">
        <v>124</v>
      </c>
      <c r="C108" s="27" t="str">
        <f t="shared" si="12"/>
        <v>8.2Viet</v>
      </c>
      <c r="D108" s="6" t="s">
        <v>184</v>
      </c>
      <c r="E108" s="31" t="s">
        <v>3</v>
      </c>
      <c r="F108" s="12" t="str">
        <f t="shared" si="11"/>
        <v/>
      </c>
      <c r="G108" s="9" t="str">
        <f t="shared" si="10"/>
        <v/>
      </c>
    </row>
    <row r="109" spans="1:8" x14ac:dyDescent="0.25">
      <c r="A109" s="27">
        <v>33</v>
      </c>
      <c r="B109" s="27" t="str">
        <f>B108</f>
        <v>8.2</v>
      </c>
      <c r="C109" s="27" t="str">
        <f t="shared" si="12"/>
        <v>8.2Eng</v>
      </c>
      <c r="D109" s="5" t="s">
        <v>151</v>
      </c>
      <c r="E109" s="32" t="s">
        <v>5</v>
      </c>
      <c r="F109" s="14" t="str">
        <f t="shared" si="11"/>
        <v>https://docs.google.com/uc?export=download&amp;id=1_I3PcVW5_6e4fTK1eRvUgVwlhENryVLk</v>
      </c>
      <c r="G109" s="9" t="str">
        <f t="shared" si="10"/>
        <v>1_I3PcVW5_6e4fTK1eRvUgVwlhENryVLk</v>
      </c>
      <c r="H109" t="s">
        <v>242</v>
      </c>
    </row>
    <row r="110" spans="1:8" hidden="1" x14ac:dyDescent="0.25">
      <c r="A110" s="28"/>
      <c r="B110" s="28" t="str">
        <f>B109</f>
        <v>8.2</v>
      </c>
      <c r="C110" s="28" t="str">
        <f t="shared" si="12"/>
        <v>8.2Phon</v>
      </c>
      <c r="D110" s="2" t="s">
        <v>152</v>
      </c>
      <c r="E110" s="33" t="s">
        <v>6</v>
      </c>
      <c r="F110" s="13" t="str">
        <f t="shared" si="11"/>
        <v/>
      </c>
      <c r="G110" s="9" t="str">
        <f t="shared" si="10"/>
        <v/>
      </c>
    </row>
    <row r="111" spans="1:8" hidden="1" x14ac:dyDescent="0.25">
      <c r="A111" s="27"/>
      <c r="B111" s="27" t="s">
        <v>125</v>
      </c>
      <c r="C111" s="27" t="str">
        <f t="shared" si="12"/>
        <v>8.3Viet</v>
      </c>
      <c r="D111" s="6" t="s">
        <v>185</v>
      </c>
      <c r="E111" s="31" t="s">
        <v>3</v>
      </c>
      <c r="F111" s="12" t="str">
        <f t="shared" si="11"/>
        <v/>
      </c>
      <c r="G111" s="9" t="str">
        <f t="shared" si="10"/>
        <v/>
      </c>
    </row>
    <row r="112" spans="1:8" x14ac:dyDescent="0.25">
      <c r="A112" s="27">
        <v>34</v>
      </c>
      <c r="B112" s="27" t="str">
        <f>B111</f>
        <v>8.3</v>
      </c>
      <c r="C112" s="27" t="str">
        <f t="shared" si="12"/>
        <v>8.3Eng</v>
      </c>
      <c r="D112" s="5" t="s">
        <v>153</v>
      </c>
      <c r="E112" s="32" t="s">
        <v>5</v>
      </c>
      <c r="F112" s="14" t="str">
        <f t="shared" si="11"/>
        <v>https://docs.google.com/uc?export=download&amp;id=1u1Fpg4SGo-KYTNNn3QDHAMtHD3QayTaP</v>
      </c>
      <c r="G112" s="9" t="str">
        <f t="shared" si="10"/>
        <v>1u1Fpg4SGo-KYTNNn3QDHAMtHD3QayTaP</v>
      </c>
      <c r="H112" t="s">
        <v>243</v>
      </c>
    </row>
    <row r="113" spans="1:8" hidden="1" x14ac:dyDescent="0.25">
      <c r="A113" s="28"/>
      <c r="B113" s="28" t="str">
        <f>B112</f>
        <v>8.3</v>
      </c>
      <c r="C113" s="28" t="str">
        <f t="shared" si="12"/>
        <v>8.3Phon</v>
      </c>
      <c r="D113" s="2" t="s">
        <v>154</v>
      </c>
      <c r="E113" s="33" t="s">
        <v>6</v>
      </c>
      <c r="F113" s="13" t="str">
        <f t="shared" si="11"/>
        <v/>
      </c>
      <c r="G113" s="9" t="str">
        <f t="shared" si="10"/>
        <v/>
      </c>
    </row>
    <row r="114" spans="1:8" hidden="1" x14ac:dyDescent="0.25">
      <c r="A114" s="27"/>
      <c r="B114" s="27" t="s">
        <v>126</v>
      </c>
      <c r="C114" s="27" t="str">
        <f t="shared" si="12"/>
        <v>8.4Viet</v>
      </c>
      <c r="D114" s="6" t="s">
        <v>186</v>
      </c>
      <c r="E114" s="31" t="s">
        <v>3</v>
      </c>
      <c r="F114" s="12" t="str">
        <f t="shared" si="11"/>
        <v/>
      </c>
      <c r="G114" s="9" t="str">
        <f t="shared" si="10"/>
        <v/>
      </c>
    </row>
    <row r="115" spans="1:8" x14ac:dyDescent="0.25">
      <c r="A115" s="27">
        <v>35</v>
      </c>
      <c r="B115" s="27" t="str">
        <f>B114</f>
        <v>8.4</v>
      </c>
      <c r="C115" s="27" t="str">
        <f t="shared" si="12"/>
        <v>8.4Eng</v>
      </c>
      <c r="D115" s="5" t="s">
        <v>155</v>
      </c>
      <c r="E115" s="32" t="s">
        <v>5</v>
      </c>
      <c r="F115" s="14" t="str">
        <f t="shared" si="11"/>
        <v>https://docs.google.com/uc?export=download&amp;id=1b7x1FWPLOBDKGnr4B5onFXsEHD8y47W8</v>
      </c>
      <c r="G115" s="9" t="str">
        <f t="shared" si="10"/>
        <v>1b7x1FWPLOBDKGnr4B5onFXsEHD8y47W8</v>
      </c>
      <c r="H115" t="s">
        <v>244</v>
      </c>
    </row>
    <row r="116" spans="1:8" hidden="1" x14ac:dyDescent="0.25">
      <c r="A116" s="28"/>
      <c r="B116" s="28" t="str">
        <f>B115</f>
        <v>8.4</v>
      </c>
      <c r="C116" s="28" t="str">
        <f t="shared" si="12"/>
        <v>8.4Phon</v>
      </c>
      <c r="D116" s="2" t="s">
        <v>156</v>
      </c>
      <c r="E116" s="33" t="s">
        <v>6</v>
      </c>
      <c r="F116" s="13" t="str">
        <f t="shared" si="11"/>
        <v/>
      </c>
      <c r="G116" s="9" t="str">
        <f t="shared" si="10"/>
        <v/>
      </c>
    </row>
    <row r="117" spans="1:8" s="22" customFormat="1" hidden="1" x14ac:dyDescent="0.25">
      <c r="A117" s="26"/>
      <c r="B117" s="25">
        <v>9</v>
      </c>
      <c r="C117" s="26" t="str">
        <f t="shared" si="12"/>
        <v>9Struc</v>
      </c>
      <c r="D117" s="19" t="s">
        <v>187</v>
      </c>
      <c r="E117" s="30" t="s">
        <v>12</v>
      </c>
      <c r="F117" s="20" t="str">
        <f t="shared" si="11"/>
        <v/>
      </c>
      <c r="G117" s="9" t="str">
        <f t="shared" si="10"/>
        <v/>
      </c>
      <c r="H117"/>
    </row>
    <row r="118" spans="1:8" hidden="1" x14ac:dyDescent="0.25">
      <c r="A118" s="27"/>
      <c r="B118" s="27" t="s">
        <v>127</v>
      </c>
      <c r="C118" s="27" t="str">
        <f t="shared" si="12"/>
        <v>9.1Viet</v>
      </c>
      <c r="D118" s="6" t="s">
        <v>188</v>
      </c>
      <c r="E118" s="31" t="s">
        <v>3</v>
      </c>
      <c r="F118" s="12" t="str">
        <f t="shared" si="11"/>
        <v/>
      </c>
      <c r="G118" s="9" t="str">
        <f t="shared" si="10"/>
        <v/>
      </c>
    </row>
    <row r="119" spans="1:8" x14ac:dyDescent="0.25">
      <c r="A119" s="27">
        <v>36</v>
      </c>
      <c r="B119" s="27" t="str">
        <f>B118</f>
        <v>9.1</v>
      </c>
      <c r="C119" s="27" t="str">
        <f t="shared" si="12"/>
        <v>9.1Eng</v>
      </c>
      <c r="D119" s="5" t="s">
        <v>157</v>
      </c>
      <c r="E119" s="32" t="s">
        <v>5</v>
      </c>
      <c r="F119" s="14" t="str">
        <f t="shared" si="11"/>
        <v>https://docs.google.com/uc?export=download&amp;id=1qe6qDR-166BguvyInk3zxAKMgZgiODjq</v>
      </c>
      <c r="G119" s="9" t="str">
        <f t="shared" si="10"/>
        <v>1qe6qDR-166BguvyInk3zxAKMgZgiODjq</v>
      </c>
      <c r="H119" t="s">
        <v>245</v>
      </c>
    </row>
    <row r="120" spans="1:8" hidden="1" x14ac:dyDescent="0.25">
      <c r="A120" s="28"/>
      <c r="B120" s="28" t="str">
        <f>B119</f>
        <v>9.1</v>
      </c>
      <c r="C120" s="28" t="str">
        <f t="shared" si="12"/>
        <v>9.1Phon</v>
      </c>
      <c r="D120" s="2" t="s">
        <v>158</v>
      </c>
      <c r="E120" s="33" t="s">
        <v>6</v>
      </c>
      <c r="F120" s="13" t="str">
        <f t="shared" si="11"/>
        <v/>
      </c>
      <c r="G120" s="9" t="str">
        <f t="shared" si="10"/>
        <v/>
      </c>
    </row>
    <row r="121" spans="1:8" hidden="1" x14ac:dyDescent="0.25">
      <c r="A121" s="27"/>
      <c r="B121" s="27" t="s">
        <v>128</v>
      </c>
      <c r="C121" s="27" t="str">
        <f t="shared" si="12"/>
        <v>9.2Viet</v>
      </c>
      <c r="D121" s="6" t="s">
        <v>189</v>
      </c>
      <c r="E121" s="31" t="s">
        <v>3</v>
      </c>
      <c r="F121" s="12" t="str">
        <f t="shared" si="11"/>
        <v/>
      </c>
      <c r="G121" s="9" t="str">
        <f t="shared" si="10"/>
        <v/>
      </c>
    </row>
    <row r="122" spans="1:8" x14ac:dyDescent="0.25">
      <c r="A122" s="27">
        <v>37</v>
      </c>
      <c r="B122" s="27" t="str">
        <f>B121</f>
        <v>9.2</v>
      </c>
      <c r="C122" s="27" t="str">
        <f t="shared" si="12"/>
        <v>9.2Eng</v>
      </c>
      <c r="D122" s="5" t="s">
        <v>159</v>
      </c>
      <c r="E122" s="32" t="s">
        <v>5</v>
      </c>
      <c r="F122" s="14" t="str">
        <f t="shared" si="11"/>
        <v>https://docs.google.com/uc?export=download&amp;id=1gjK4wvGuikZJ_aP2VBDfs8ZzJmY0Lqed</v>
      </c>
      <c r="G122" s="9" t="str">
        <f t="shared" si="10"/>
        <v>1gjK4wvGuikZJ_aP2VBDfs8ZzJmY0Lqed</v>
      </c>
      <c r="H122" t="s">
        <v>246</v>
      </c>
    </row>
    <row r="123" spans="1:8" hidden="1" x14ac:dyDescent="0.25">
      <c r="A123" s="28"/>
      <c r="B123" s="28" t="str">
        <f>B122</f>
        <v>9.2</v>
      </c>
      <c r="C123" s="28" t="str">
        <f t="shared" si="12"/>
        <v>9.2Phon</v>
      </c>
      <c r="D123" s="2" t="s">
        <v>160</v>
      </c>
      <c r="E123" s="33" t="s">
        <v>6</v>
      </c>
      <c r="F123" s="13" t="str">
        <f t="shared" si="11"/>
        <v/>
      </c>
      <c r="G123" s="9" t="str">
        <f t="shared" si="10"/>
        <v/>
      </c>
    </row>
    <row r="124" spans="1:8" hidden="1" x14ac:dyDescent="0.25">
      <c r="A124" s="27"/>
      <c r="B124" s="27" t="s">
        <v>129</v>
      </c>
      <c r="C124" s="27" t="str">
        <f t="shared" si="12"/>
        <v>9.3Viet</v>
      </c>
      <c r="D124" s="6" t="s">
        <v>196</v>
      </c>
      <c r="E124" s="31" t="s">
        <v>3</v>
      </c>
      <c r="F124" s="12" t="str">
        <f t="shared" si="11"/>
        <v/>
      </c>
      <c r="G124" s="9" t="str">
        <f t="shared" si="10"/>
        <v/>
      </c>
    </row>
    <row r="125" spans="1:8" x14ac:dyDescent="0.25">
      <c r="A125" s="27">
        <v>38</v>
      </c>
      <c r="B125" s="27" t="str">
        <f>B124</f>
        <v>9.3</v>
      </c>
      <c r="C125" s="27" t="str">
        <f t="shared" si="12"/>
        <v>9.3Eng</v>
      </c>
      <c r="D125" s="5" t="s">
        <v>161</v>
      </c>
      <c r="E125" s="32" t="s">
        <v>5</v>
      </c>
      <c r="F125" s="14" t="str">
        <f t="shared" si="11"/>
        <v>https://docs.google.com/uc?export=download&amp;id=1XQJay3qZW68f8ehksV88FmOPy2jlyszn</v>
      </c>
      <c r="G125" s="9" t="str">
        <f t="shared" si="10"/>
        <v>1XQJay3qZW68f8ehksV88FmOPy2jlyszn</v>
      </c>
      <c r="H125" t="s">
        <v>247</v>
      </c>
    </row>
    <row r="126" spans="1:8" hidden="1" x14ac:dyDescent="0.25">
      <c r="A126" s="28"/>
      <c r="B126" s="28" t="str">
        <f>B125</f>
        <v>9.3</v>
      </c>
      <c r="C126" s="28" t="str">
        <f t="shared" si="12"/>
        <v>9.3Phon</v>
      </c>
      <c r="D126" s="2" t="s">
        <v>162</v>
      </c>
      <c r="E126" s="33" t="s">
        <v>6</v>
      </c>
      <c r="F126" s="13" t="str">
        <f t="shared" si="11"/>
        <v/>
      </c>
      <c r="G126" s="9" t="str">
        <f t="shared" si="10"/>
        <v/>
      </c>
    </row>
    <row r="127" spans="1:8" hidden="1" x14ac:dyDescent="0.25">
      <c r="A127" s="27"/>
      <c r="B127" s="27" t="s">
        <v>130</v>
      </c>
      <c r="C127" s="27" t="str">
        <f t="shared" si="12"/>
        <v>9.4Viet</v>
      </c>
      <c r="D127" s="6" t="s">
        <v>198</v>
      </c>
      <c r="E127" s="31" t="s">
        <v>3</v>
      </c>
      <c r="F127" s="12" t="str">
        <f t="shared" si="11"/>
        <v/>
      </c>
      <c r="G127" s="9" t="str">
        <f t="shared" si="10"/>
        <v/>
      </c>
    </row>
    <row r="128" spans="1:8" x14ac:dyDescent="0.25">
      <c r="A128" s="27">
        <v>39</v>
      </c>
      <c r="B128" s="27" t="str">
        <f>B127</f>
        <v>9.4</v>
      </c>
      <c r="C128" s="27" t="str">
        <f t="shared" si="12"/>
        <v>9.4Eng</v>
      </c>
      <c r="D128" s="5" t="s">
        <v>163</v>
      </c>
      <c r="E128" s="32" t="s">
        <v>5</v>
      </c>
      <c r="F128" s="14" t="str">
        <f t="shared" si="11"/>
        <v>https://docs.google.com/uc?export=download&amp;id=1M_Ks1hqu7Hs9PNqKzQWrd3JzguK7GYkw</v>
      </c>
      <c r="G128" s="9" t="str">
        <f t="shared" si="10"/>
        <v>1M_Ks1hqu7Hs9PNqKzQWrd3JzguK7GYkw</v>
      </c>
      <c r="H128" t="s">
        <v>248</v>
      </c>
    </row>
    <row r="129" spans="1:8" hidden="1" x14ac:dyDescent="0.25">
      <c r="A129" s="28"/>
      <c r="B129" s="28" t="str">
        <f>B128</f>
        <v>9.4</v>
      </c>
      <c r="C129" s="28" t="str">
        <f t="shared" si="12"/>
        <v>9.4Phon</v>
      </c>
      <c r="D129" s="2" t="s">
        <v>164</v>
      </c>
      <c r="E129" s="33" t="s">
        <v>6</v>
      </c>
      <c r="F129" s="13" t="str">
        <f t="shared" si="11"/>
        <v/>
      </c>
      <c r="G129" s="9" t="str">
        <f t="shared" si="10"/>
        <v/>
      </c>
    </row>
    <row r="130" spans="1:8" hidden="1" x14ac:dyDescent="0.25">
      <c r="A130" s="27"/>
      <c r="B130" s="27" t="s">
        <v>131</v>
      </c>
      <c r="C130" s="27" t="str">
        <f t="shared" si="12"/>
        <v>9.5Viet</v>
      </c>
      <c r="D130" s="6" t="s">
        <v>197</v>
      </c>
      <c r="E130" s="31" t="s">
        <v>3</v>
      </c>
      <c r="F130" s="12" t="str">
        <f t="shared" si="11"/>
        <v/>
      </c>
      <c r="G130" s="9" t="str">
        <f t="shared" si="10"/>
        <v/>
      </c>
    </row>
    <row r="131" spans="1:8" x14ac:dyDescent="0.25">
      <c r="A131" s="27">
        <v>40</v>
      </c>
      <c r="B131" s="27" t="str">
        <f>B130</f>
        <v>9.5</v>
      </c>
      <c r="C131" s="27" t="str">
        <f t="shared" si="12"/>
        <v>9.5Eng</v>
      </c>
      <c r="D131" s="5" t="s">
        <v>165</v>
      </c>
      <c r="E131" s="32" t="s">
        <v>5</v>
      </c>
      <c r="F131" s="14" t="str">
        <f t="shared" si="11"/>
        <v>https://docs.google.com/uc?export=download&amp;id=14UlFT9nFPNXYC5nPHlHPTmwdXESv3E_7</v>
      </c>
      <c r="G131" s="9" t="str">
        <f t="shared" si="10"/>
        <v>14UlFT9nFPNXYC5nPHlHPTmwdXESv3E_7</v>
      </c>
      <c r="H131" t="s">
        <v>249</v>
      </c>
    </row>
    <row r="132" spans="1:8" hidden="1" x14ac:dyDescent="0.25">
      <c r="A132" s="28"/>
      <c r="B132" s="28" t="str">
        <f>B131</f>
        <v>9.5</v>
      </c>
      <c r="C132" s="28" t="str">
        <f t="shared" ref="C132:C148" si="13">B132&amp;E132</f>
        <v>9.5Phon</v>
      </c>
      <c r="D132" s="2" t="s">
        <v>166</v>
      </c>
      <c r="E132" s="33" t="s">
        <v>6</v>
      </c>
      <c r="F132" s="13" t="str">
        <f t="shared" si="11"/>
        <v/>
      </c>
      <c r="G132" s="9" t="str">
        <f t="shared" si="10"/>
        <v/>
      </c>
    </row>
    <row r="133" spans="1:8" s="22" customFormat="1" hidden="1" x14ac:dyDescent="0.25">
      <c r="A133" s="26"/>
      <c r="B133" s="25">
        <v>10</v>
      </c>
      <c r="C133" s="26" t="str">
        <f t="shared" si="13"/>
        <v>10Struc</v>
      </c>
      <c r="D133" s="19" t="s">
        <v>190</v>
      </c>
      <c r="E133" s="30" t="s">
        <v>12</v>
      </c>
      <c r="F133" s="20" t="str">
        <f t="shared" si="11"/>
        <v/>
      </c>
      <c r="G133" s="9" t="str">
        <f t="shared" si="10"/>
        <v/>
      </c>
      <c r="H133"/>
    </row>
    <row r="134" spans="1:8" hidden="1" x14ac:dyDescent="0.25">
      <c r="A134" s="27"/>
      <c r="B134" s="27" t="s">
        <v>132</v>
      </c>
      <c r="C134" s="27" t="str">
        <f t="shared" si="13"/>
        <v>10.1Viet</v>
      </c>
      <c r="D134" s="6" t="s">
        <v>191</v>
      </c>
      <c r="E134" s="31" t="s">
        <v>3</v>
      </c>
      <c r="F134" s="12" t="str">
        <f t="shared" si="11"/>
        <v/>
      </c>
      <c r="G134" s="9" t="str">
        <f t="shared" ref="G134:G197" si="14">IFERROR(LEFT(RIGHT(H134,LEN(H134)-32),LEN(RIGHT(H134,LEN(H134)-32))-17),"")</f>
        <v/>
      </c>
    </row>
    <row r="135" spans="1:8" x14ac:dyDescent="0.25">
      <c r="A135" s="27">
        <v>41</v>
      </c>
      <c r="B135" s="27" t="str">
        <f>B134</f>
        <v>10.1</v>
      </c>
      <c r="C135" s="27" t="str">
        <f t="shared" si="13"/>
        <v>10.1Eng</v>
      </c>
      <c r="D135" s="5" t="s">
        <v>199</v>
      </c>
      <c r="E135" s="32" t="s">
        <v>5</v>
      </c>
      <c r="F135" s="14" t="str">
        <f t="shared" ref="F135:F198" si="15">IF(G135="","","https://docs.google.com/uc?export=download&amp;id="&amp;G135)</f>
        <v>https://docs.google.com/uc?export=download&amp;id=1NYpqKdS8gZ7WUK3cDqA47Hd09SzPsf_K</v>
      </c>
      <c r="G135" s="9" t="str">
        <f t="shared" si="14"/>
        <v>1NYpqKdS8gZ7WUK3cDqA47Hd09SzPsf_K</v>
      </c>
      <c r="H135" t="s">
        <v>250</v>
      </c>
    </row>
    <row r="136" spans="1:8" hidden="1" x14ac:dyDescent="0.25">
      <c r="A136" s="28"/>
      <c r="B136" s="28" t="str">
        <f>B135</f>
        <v>10.1</v>
      </c>
      <c r="C136" s="28" t="str">
        <f t="shared" si="13"/>
        <v>10.1Phon</v>
      </c>
      <c r="D136" s="2" t="s">
        <v>200</v>
      </c>
      <c r="E136" s="33" t="s">
        <v>6</v>
      </c>
      <c r="F136" s="13" t="str">
        <f t="shared" si="15"/>
        <v/>
      </c>
      <c r="G136" s="9" t="str">
        <f t="shared" si="14"/>
        <v/>
      </c>
    </row>
    <row r="137" spans="1:8" hidden="1" x14ac:dyDescent="0.25">
      <c r="A137" s="27"/>
      <c r="B137" s="27" t="s">
        <v>133</v>
      </c>
      <c r="C137" s="27" t="str">
        <f t="shared" si="13"/>
        <v>10.2Viet</v>
      </c>
      <c r="D137" s="6" t="s">
        <v>192</v>
      </c>
      <c r="E137" s="31" t="s">
        <v>3</v>
      </c>
      <c r="F137" s="12" t="str">
        <f t="shared" si="15"/>
        <v/>
      </c>
      <c r="G137" s="9" t="str">
        <f t="shared" si="14"/>
        <v/>
      </c>
    </row>
    <row r="138" spans="1:8" x14ac:dyDescent="0.25">
      <c r="A138" s="27">
        <v>42</v>
      </c>
      <c r="B138" s="27" t="str">
        <f>B137</f>
        <v>10.2</v>
      </c>
      <c r="C138" s="27" t="str">
        <f t="shared" si="13"/>
        <v>10.2Eng</v>
      </c>
      <c r="D138" s="5" t="s">
        <v>167</v>
      </c>
      <c r="E138" s="32" t="s">
        <v>5</v>
      </c>
      <c r="F138" s="14" t="str">
        <f t="shared" si="15"/>
        <v>https://docs.google.com/uc?export=download&amp;id=1kTuzJ2QrBtgeA08xCFQdgONnafrddb66</v>
      </c>
      <c r="G138" s="9" t="str">
        <f t="shared" si="14"/>
        <v>1kTuzJ2QrBtgeA08xCFQdgONnafrddb66</v>
      </c>
      <c r="H138" t="s">
        <v>251</v>
      </c>
    </row>
    <row r="139" spans="1:8" hidden="1" x14ac:dyDescent="0.25">
      <c r="A139" s="28"/>
      <c r="B139" s="28" t="str">
        <f>B138</f>
        <v>10.2</v>
      </c>
      <c r="C139" s="28" t="str">
        <f t="shared" si="13"/>
        <v>10.2Phon</v>
      </c>
      <c r="D139" s="2" t="s">
        <v>168</v>
      </c>
      <c r="E139" s="33" t="s">
        <v>6</v>
      </c>
      <c r="F139" s="13" t="str">
        <f t="shared" si="15"/>
        <v/>
      </c>
      <c r="G139" s="9" t="str">
        <f t="shared" si="14"/>
        <v/>
      </c>
    </row>
    <row r="140" spans="1:8" hidden="1" x14ac:dyDescent="0.25">
      <c r="A140" s="27"/>
      <c r="B140" s="27" t="s">
        <v>134</v>
      </c>
      <c r="C140" s="27" t="str">
        <f t="shared" si="13"/>
        <v>10.3Viet</v>
      </c>
      <c r="D140" s="6" t="s">
        <v>193</v>
      </c>
      <c r="E140" s="31" t="s">
        <v>3</v>
      </c>
      <c r="F140" s="12" t="str">
        <f t="shared" si="15"/>
        <v/>
      </c>
      <c r="G140" s="9" t="str">
        <f t="shared" si="14"/>
        <v/>
      </c>
    </row>
    <row r="141" spans="1:8" x14ac:dyDescent="0.25">
      <c r="A141" s="27">
        <v>43</v>
      </c>
      <c r="B141" s="27" t="str">
        <f>B140</f>
        <v>10.3</v>
      </c>
      <c r="C141" s="27" t="str">
        <f t="shared" si="13"/>
        <v>10.3Eng</v>
      </c>
      <c r="D141" s="5" t="s">
        <v>169</v>
      </c>
      <c r="E141" s="32" t="s">
        <v>5</v>
      </c>
      <c r="F141" s="14" t="str">
        <f t="shared" si="15"/>
        <v>https://docs.google.com/uc?export=download&amp;id=1drnZxCLgV5XENY6lXx_AfulZkcGHSOYw</v>
      </c>
      <c r="G141" s="9" t="str">
        <f t="shared" si="14"/>
        <v>1drnZxCLgV5XENY6lXx_AfulZkcGHSOYw</v>
      </c>
      <c r="H141" t="s">
        <v>252</v>
      </c>
    </row>
    <row r="142" spans="1:8" hidden="1" x14ac:dyDescent="0.25">
      <c r="A142" s="28"/>
      <c r="B142" s="28" t="str">
        <f>B141</f>
        <v>10.3</v>
      </c>
      <c r="C142" s="28" t="str">
        <f t="shared" si="13"/>
        <v>10.3Phon</v>
      </c>
      <c r="D142" s="2" t="s">
        <v>170</v>
      </c>
      <c r="E142" s="33" t="s">
        <v>6</v>
      </c>
      <c r="F142" s="13" t="str">
        <f t="shared" si="15"/>
        <v/>
      </c>
      <c r="G142" s="9" t="str">
        <f t="shared" si="14"/>
        <v/>
      </c>
    </row>
    <row r="143" spans="1:8" hidden="1" x14ac:dyDescent="0.25">
      <c r="A143" s="27"/>
      <c r="B143" s="27" t="s">
        <v>135</v>
      </c>
      <c r="C143" s="27" t="str">
        <f t="shared" si="13"/>
        <v>10.4Viet</v>
      </c>
      <c r="D143" s="6" t="s">
        <v>194</v>
      </c>
      <c r="E143" s="31" t="s">
        <v>3</v>
      </c>
      <c r="F143" s="12" t="str">
        <f t="shared" si="15"/>
        <v/>
      </c>
      <c r="G143" s="9" t="str">
        <f t="shared" si="14"/>
        <v/>
      </c>
    </row>
    <row r="144" spans="1:8" x14ac:dyDescent="0.25">
      <c r="A144" s="27">
        <v>44</v>
      </c>
      <c r="B144" s="27" t="str">
        <f>B143</f>
        <v>10.4</v>
      </c>
      <c r="C144" s="27" t="str">
        <f t="shared" si="13"/>
        <v>10.4Eng</v>
      </c>
      <c r="D144" s="5" t="s">
        <v>171</v>
      </c>
      <c r="E144" s="32" t="s">
        <v>5</v>
      </c>
      <c r="F144" s="14" t="str">
        <f t="shared" si="15"/>
        <v>https://docs.google.com/uc?export=download&amp;id=1Ns39iXikPc0bOiGCTSviEgANjPK5PqGr</v>
      </c>
      <c r="G144" s="9" t="str">
        <f t="shared" si="14"/>
        <v>1Ns39iXikPc0bOiGCTSviEgANjPK5PqGr</v>
      </c>
      <c r="H144" t="s">
        <v>253</v>
      </c>
    </row>
    <row r="145" spans="1:8" hidden="1" x14ac:dyDescent="0.25">
      <c r="A145" s="28"/>
      <c r="B145" s="28" t="str">
        <f>B144</f>
        <v>10.4</v>
      </c>
      <c r="C145" s="28" t="str">
        <f t="shared" si="13"/>
        <v>10.4Phon</v>
      </c>
      <c r="D145" s="2" t="s">
        <v>172</v>
      </c>
      <c r="E145" s="33" t="s">
        <v>6</v>
      </c>
      <c r="F145" s="13" t="str">
        <f t="shared" si="15"/>
        <v/>
      </c>
      <c r="G145" s="9" t="str">
        <f t="shared" si="14"/>
        <v/>
      </c>
    </row>
    <row r="146" spans="1:8" hidden="1" x14ac:dyDescent="0.25">
      <c r="A146" s="27"/>
      <c r="B146" s="27" t="s">
        <v>136</v>
      </c>
      <c r="C146" s="27" t="str">
        <f t="shared" si="13"/>
        <v>10.5Viet</v>
      </c>
      <c r="D146" s="6" t="s">
        <v>195</v>
      </c>
      <c r="E146" s="31" t="s">
        <v>3</v>
      </c>
      <c r="F146" s="12" t="str">
        <f t="shared" si="15"/>
        <v/>
      </c>
      <c r="G146" s="9" t="str">
        <f t="shared" si="14"/>
        <v/>
      </c>
    </row>
    <row r="147" spans="1:8" x14ac:dyDescent="0.25">
      <c r="A147" s="27">
        <v>45</v>
      </c>
      <c r="B147" s="27" t="str">
        <f>B146</f>
        <v>10.5</v>
      </c>
      <c r="C147" s="27" t="str">
        <f t="shared" si="13"/>
        <v>10.5Eng</v>
      </c>
      <c r="D147" s="5" t="s">
        <v>173</v>
      </c>
      <c r="E147" s="32" t="s">
        <v>5</v>
      </c>
      <c r="F147" s="14" t="str">
        <f t="shared" si="15"/>
        <v>https://docs.google.com/uc?export=download&amp;id=1oTsibhm41l1nonD2mslzDoWCHIxdkOVr</v>
      </c>
      <c r="G147" s="9" t="str">
        <f t="shared" si="14"/>
        <v>1oTsibhm41l1nonD2mslzDoWCHIxdkOVr</v>
      </c>
      <c r="H147" t="s">
        <v>254</v>
      </c>
    </row>
    <row r="148" spans="1:8" hidden="1" x14ac:dyDescent="0.25">
      <c r="A148" s="28"/>
      <c r="B148" s="28" t="str">
        <f>B147</f>
        <v>10.5</v>
      </c>
      <c r="C148" s="28" t="str">
        <f t="shared" si="13"/>
        <v>10.5Phon</v>
      </c>
      <c r="D148" s="2" t="s">
        <v>174</v>
      </c>
      <c r="E148" s="33" t="s">
        <v>6</v>
      </c>
      <c r="F148" s="13" t="str">
        <f t="shared" si="15"/>
        <v/>
      </c>
      <c r="G148" s="9" t="str">
        <f t="shared" si="14"/>
        <v/>
      </c>
    </row>
    <row r="149" spans="1:8" s="22" customFormat="1" hidden="1" x14ac:dyDescent="0.25">
      <c r="A149" s="26"/>
      <c r="B149" s="25" t="s">
        <v>444</v>
      </c>
      <c r="C149" s="26" t="s">
        <v>445</v>
      </c>
      <c r="D149" s="19" t="s">
        <v>446</v>
      </c>
      <c r="E149" s="30" t="s">
        <v>12</v>
      </c>
      <c r="F149" s="20" t="str">
        <f t="shared" si="15"/>
        <v/>
      </c>
      <c r="G149" s="9" t="str">
        <f t="shared" si="14"/>
        <v/>
      </c>
      <c r="H149"/>
    </row>
    <row r="150" spans="1:8" hidden="1" x14ac:dyDescent="0.25">
      <c r="A150" s="27"/>
      <c r="B150" s="27" t="s">
        <v>447</v>
      </c>
      <c r="C150" s="27" t="s">
        <v>448</v>
      </c>
      <c r="D150" s="6" t="s">
        <v>449</v>
      </c>
      <c r="E150" s="31" t="s">
        <v>3</v>
      </c>
      <c r="F150" s="12" t="str">
        <f t="shared" si="15"/>
        <v/>
      </c>
      <c r="G150" s="9" t="str">
        <f t="shared" si="14"/>
        <v/>
      </c>
    </row>
    <row r="151" spans="1:8" x14ac:dyDescent="0.25">
      <c r="A151" s="27">
        <v>46</v>
      </c>
      <c r="B151" s="27" t="s">
        <v>447</v>
      </c>
      <c r="C151" s="27" t="s">
        <v>450</v>
      </c>
      <c r="D151" s="5" t="s">
        <v>255</v>
      </c>
      <c r="E151" s="32" t="s">
        <v>5</v>
      </c>
      <c r="F151" s="14" t="str">
        <f t="shared" si="15"/>
        <v>https://docs.google.com/uc?export=download&amp;id=1MoMV0URj7npNylCZdP2QzlL8gdG5r5tu</v>
      </c>
      <c r="G151" s="9" t="str">
        <f t="shared" si="14"/>
        <v>1MoMV0URj7npNylCZdP2QzlL8gdG5r5tu</v>
      </c>
      <c r="H151" t="s">
        <v>986</v>
      </c>
    </row>
    <row r="152" spans="1:8" hidden="1" x14ac:dyDescent="0.25">
      <c r="A152" s="28"/>
      <c r="B152" s="28" t="s">
        <v>447</v>
      </c>
      <c r="C152" s="28" t="s">
        <v>451</v>
      </c>
      <c r="D152" s="2" t="s">
        <v>256</v>
      </c>
      <c r="E152" s="33" t="s">
        <v>6</v>
      </c>
      <c r="F152" s="13" t="str">
        <f t="shared" si="15"/>
        <v/>
      </c>
      <c r="G152" s="9" t="str">
        <f t="shared" si="14"/>
        <v/>
      </c>
    </row>
    <row r="153" spans="1:8" hidden="1" x14ac:dyDescent="0.25">
      <c r="A153" s="27"/>
      <c r="B153" s="27" t="s">
        <v>452</v>
      </c>
      <c r="C153" s="27" t="s">
        <v>453</v>
      </c>
      <c r="D153" s="6" t="s">
        <v>454</v>
      </c>
      <c r="E153" s="31" t="s">
        <v>3</v>
      </c>
      <c r="F153" s="12" t="str">
        <f t="shared" si="15"/>
        <v/>
      </c>
      <c r="G153" s="9" t="str">
        <f t="shared" si="14"/>
        <v/>
      </c>
    </row>
    <row r="154" spans="1:8" x14ac:dyDescent="0.25">
      <c r="A154" s="27">
        <v>47</v>
      </c>
      <c r="B154" s="27" t="s">
        <v>452</v>
      </c>
      <c r="C154" s="27" t="s">
        <v>455</v>
      </c>
      <c r="D154" s="5" t="s">
        <v>257</v>
      </c>
      <c r="E154" s="32" t="s">
        <v>5</v>
      </c>
      <c r="F154" s="14" t="str">
        <f t="shared" si="15"/>
        <v>https://docs.google.com/uc?export=download&amp;id=17d8jEftw_KQbJFAjYfL1ZcaL9cxLW6ka</v>
      </c>
      <c r="G154" s="9" t="str">
        <f t="shared" si="14"/>
        <v>17d8jEftw_KQbJFAjYfL1ZcaL9cxLW6ka</v>
      </c>
      <c r="H154" t="s">
        <v>987</v>
      </c>
    </row>
    <row r="155" spans="1:8" hidden="1" x14ac:dyDescent="0.25">
      <c r="A155" s="28"/>
      <c r="B155" s="28" t="s">
        <v>452</v>
      </c>
      <c r="C155" s="28" t="s">
        <v>456</v>
      </c>
      <c r="D155" s="2" t="s">
        <v>258</v>
      </c>
      <c r="E155" s="33" t="s">
        <v>6</v>
      </c>
      <c r="F155" s="13" t="str">
        <f t="shared" si="15"/>
        <v/>
      </c>
      <c r="G155" s="9" t="str">
        <f t="shared" si="14"/>
        <v/>
      </c>
    </row>
    <row r="156" spans="1:8" hidden="1" x14ac:dyDescent="0.25">
      <c r="A156" s="27"/>
      <c r="B156" s="27" t="s">
        <v>457</v>
      </c>
      <c r="C156" s="27" t="s">
        <v>458</v>
      </c>
      <c r="D156" s="6" t="s">
        <v>459</v>
      </c>
      <c r="E156" s="31" t="s">
        <v>3</v>
      </c>
      <c r="F156" s="12" t="str">
        <f t="shared" si="15"/>
        <v/>
      </c>
      <c r="G156" s="9" t="str">
        <f t="shared" si="14"/>
        <v/>
      </c>
    </row>
    <row r="157" spans="1:8" x14ac:dyDescent="0.25">
      <c r="A157" s="27">
        <v>48</v>
      </c>
      <c r="B157" s="27" t="s">
        <v>457</v>
      </c>
      <c r="C157" s="27" t="s">
        <v>460</v>
      </c>
      <c r="D157" s="5" t="s">
        <v>259</v>
      </c>
      <c r="E157" s="32" t="s">
        <v>5</v>
      </c>
      <c r="F157" s="14" t="str">
        <f t="shared" si="15"/>
        <v>https://docs.google.com/uc?export=download&amp;id=1TW_tSU7EwH4UBmZ4cTEYiwBuM9nNWloH</v>
      </c>
      <c r="G157" s="9" t="str">
        <f t="shared" si="14"/>
        <v>1TW_tSU7EwH4UBmZ4cTEYiwBuM9nNWloH</v>
      </c>
      <c r="H157" t="s">
        <v>988</v>
      </c>
    </row>
    <row r="158" spans="1:8" hidden="1" x14ac:dyDescent="0.25">
      <c r="A158" s="28"/>
      <c r="B158" s="28" t="s">
        <v>457</v>
      </c>
      <c r="C158" s="28" t="s">
        <v>461</v>
      </c>
      <c r="D158" s="2" t="s">
        <v>260</v>
      </c>
      <c r="E158" s="33" t="s">
        <v>6</v>
      </c>
      <c r="F158" s="13" t="str">
        <f t="shared" si="15"/>
        <v/>
      </c>
      <c r="G158" s="9" t="str">
        <f t="shared" si="14"/>
        <v/>
      </c>
    </row>
    <row r="159" spans="1:8" hidden="1" x14ac:dyDescent="0.25">
      <c r="A159" s="27"/>
      <c r="B159" s="27" t="s">
        <v>462</v>
      </c>
      <c r="C159" s="27" t="s">
        <v>463</v>
      </c>
      <c r="D159" s="6" t="s">
        <v>464</v>
      </c>
      <c r="E159" s="31" t="s">
        <v>3</v>
      </c>
      <c r="F159" s="12" t="str">
        <f t="shared" si="15"/>
        <v/>
      </c>
      <c r="G159" s="9" t="str">
        <f t="shared" si="14"/>
        <v/>
      </c>
    </row>
    <row r="160" spans="1:8" x14ac:dyDescent="0.25">
      <c r="A160" s="27">
        <v>49</v>
      </c>
      <c r="B160" s="27" t="s">
        <v>462</v>
      </c>
      <c r="C160" s="27" t="s">
        <v>465</v>
      </c>
      <c r="D160" s="5" t="s">
        <v>261</v>
      </c>
      <c r="E160" s="32" t="s">
        <v>5</v>
      </c>
      <c r="F160" s="14" t="str">
        <f t="shared" si="15"/>
        <v>https://docs.google.com/uc?export=download&amp;id=1iaO9uGKEMudhCjfchv_dRC9afVpmrhgt</v>
      </c>
      <c r="G160" s="9" t="str">
        <f t="shared" si="14"/>
        <v>1iaO9uGKEMudhCjfchv_dRC9afVpmrhgt</v>
      </c>
      <c r="H160" t="s">
        <v>989</v>
      </c>
    </row>
    <row r="161" spans="1:8" hidden="1" x14ac:dyDescent="0.25">
      <c r="A161" s="28"/>
      <c r="B161" s="28" t="s">
        <v>462</v>
      </c>
      <c r="C161" s="28" t="s">
        <v>466</v>
      </c>
      <c r="D161" s="2" t="s">
        <v>262</v>
      </c>
      <c r="E161" s="33" t="s">
        <v>6</v>
      </c>
      <c r="F161" s="13" t="str">
        <f t="shared" si="15"/>
        <v/>
      </c>
      <c r="G161" s="9" t="str">
        <f t="shared" si="14"/>
        <v/>
      </c>
    </row>
    <row r="162" spans="1:8" hidden="1" x14ac:dyDescent="0.25">
      <c r="A162" s="27"/>
      <c r="B162" s="27" t="s">
        <v>467</v>
      </c>
      <c r="C162" s="27" t="s">
        <v>468</v>
      </c>
      <c r="D162" s="6" t="s">
        <v>469</v>
      </c>
      <c r="E162" s="31" t="s">
        <v>3</v>
      </c>
      <c r="F162" s="12" t="str">
        <f t="shared" si="15"/>
        <v/>
      </c>
      <c r="G162" s="9" t="str">
        <f t="shared" si="14"/>
        <v/>
      </c>
    </row>
    <row r="163" spans="1:8" x14ac:dyDescent="0.25">
      <c r="A163" s="27">
        <v>50</v>
      </c>
      <c r="B163" s="27" t="s">
        <v>467</v>
      </c>
      <c r="C163" s="27" t="s">
        <v>470</v>
      </c>
      <c r="D163" s="5" t="s">
        <v>263</v>
      </c>
      <c r="E163" s="32" t="s">
        <v>5</v>
      </c>
      <c r="F163" s="14" t="str">
        <f t="shared" si="15"/>
        <v>https://docs.google.com/uc?export=download&amp;id=1U4uhc4qQmXDs02bb9k7ygjFPzWNZrKso</v>
      </c>
      <c r="G163" s="9" t="str">
        <f t="shared" si="14"/>
        <v>1U4uhc4qQmXDs02bb9k7ygjFPzWNZrKso</v>
      </c>
      <c r="H163" t="s">
        <v>990</v>
      </c>
    </row>
    <row r="164" spans="1:8" hidden="1" x14ac:dyDescent="0.25">
      <c r="A164" s="28"/>
      <c r="B164" s="28" t="s">
        <v>467</v>
      </c>
      <c r="C164" s="28" t="s">
        <v>471</v>
      </c>
      <c r="D164" s="2" t="s">
        <v>264</v>
      </c>
      <c r="E164" s="33" t="s">
        <v>6</v>
      </c>
      <c r="F164" s="13" t="str">
        <f t="shared" si="15"/>
        <v/>
      </c>
      <c r="G164" s="9" t="str">
        <f t="shared" si="14"/>
        <v/>
      </c>
    </row>
    <row r="165" spans="1:8" s="22" customFormat="1" hidden="1" x14ac:dyDescent="0.25">
      <c r="A165" s="26"/>
      <c r="B165" s="25" t="s">
        <v>472</v>
      </c>
      <c r="C165" s="26" t="s">
        <v>473</v>
      </c>
      <c r="D165" s="19" t="s">
        <v>474</v>
      </c>
      <c r="E165" s="30" t="s">
        <v>12</v>
      </c>
      <c r="F165" s="20" t="str">
        <f t="shared" si="15"/>
        <v/>
      </c>
      <c r="G165" s="9" t="str">
        <f t="shared" si="14"/>
        <v/>
      </c>
      <c r="H165"/>
    </row>
    <row r="166" spans="1:8" hidden="1" x14ac:dyDescent="0.25">
      <c r="A166" s="27"/>
      <c r="B166" s="27" t="s">
        <v>475</v>
      </c>
      <c r="C166" s="27" t="s">
        <v>476</v>
      </c>
      <c r="D166" s="6" t="s">
        <v>477</v>
      </c>
      <c r="E166" s="31" t="s">
        <v>3</v>
      </c>
      <c r="F166" s="12" t="str">
        <f t="shared" si="15"/>
        <v/>
      </c>
      <c r="G166" s="9" t="str">
        <f t="shared" si="14"/>
        <v/>
      </c>
    </row>
    <row r="167" spans="1:8" x14ac:dyDescent="0.25">
      <c r="A167" s="27">
        <v>51</v>
      </c>
      <c r="B167" s="27" t="s">
        <v>475</v>
      </c>
      <c r="C167" s="27" t="s">
        <v>478</v>
      </c>
      <c r="D167" s="5" t="s">
        <v>265</v>
      </c>
      <c r="E167" s="32" t="s">
        <v>5</v>
      </c>
      <c r="F167" s="14" t="str">
        <f t="shared" si="15"/>
        <v>https://docs.google.com/uc?export=download&amp;id=1TGdYC1p76WknjaeagNlHCJK2hGjVfq3G</v>
      </c>
      <c r="G167" s="9" t="str">
        <f t="shared" si="14"/>
        <v>1TGdYC1p76WknjaeagNlHCJK2hGjVfq3G</v>
      </c>
      <c r="H167" t="s">
        <v>991</v>
      </c>
    </row>
    <row r="168" spans="1:8" hidden="1" x14ac:dyDescent="0.25">
      <c r="A168" s="28"/>
      <c r="B168" s="28" t="s">
        <v>475</v>
      </c>
      <c r="C168" s="28" t="s">
        <v>479</v>
      </c>
      <c r="D168" s="2" t="s">
        <v>266</v>
      </c>
      <c r="E168" s="33" t="s">
        <v>6</v>
      </c>
      <c r="F168" s="13" t="str">
        <f t="shared" si="15"/>
        <v/>
      </c>
      <c r="G168" s="9" t="str">
        <f t="shared" si="14"/>
        <v/>
      </c>
    </row>
    <row r="169" spans="1:8" hidden="1" x14ac:dyDescent="0.25">
      <c r="A169" s="27"/>
      <c r="B169" s="27" t="s">
        <v>480</v>
      </c>
      <c r="C169" s="27" t="s">
        <v>481</v>
      </c>
      <c r="D169" s="6" t="s">
        <v>482</v>
      </c>
      <c r="E169" s="31" t="s">
        <v>3</v>
      </c>
      <c r="F169" s="12" t="str">
        <f t="shared" si="15"/>
        <v/>
      </c>
      <c r="G169" s="9" t="str">
        <f t="shared" si="14"/>
        <v/>
      </c>
    </row>
    <row r="170" spans="1:8" x14ac:dyDescent="0.25">
      <c r="A170" s="27">
        <v>52</v>
      </c>
      <c r="B170" s="27" t="s">
        <v>480</v>
      </c>
      <c r="C170" s="27" t="s">
        <v>483</v>
      </c>
      <c r="D170" s="5" t="s">
        <v>267</v>
      </c>
      <c r="E170" s="32" t="s">
        <v>5</v>
      </c>
      <c r="F170" s="14" t="str">
        <f t="shared" si="15"/>
        <v>https://docs.google.com/uc?export=download&amp;id=1KN3ox-pwdtXho2626zIu5vBg7cHvwRD_</v>
      </c>
      <c r="G170" s="9" t="str">
        <f t="shared" si="14"/>
        <v>1KN3ox-pwdtXho2626zIu5vBg7cHvwRD_</v>
      </c>
      <c r="H170" t="s">
        <v>992</v>
      </c>
    </row>
    <row r="171" spans="1:8" hidden="1" x14ac:dyDescent="0.25">
      <c r="A171" s="28"/>
      <c r="B171" s="28" t="s">
        <v>480</v>
      </c>
      <c r="C171" s="28" t="s">
        <v>484</v>
      </c>
      <c r="D171" s="2" t="s">
        <v>268</v>
      </c>
      <c r="E171" s="33" t="s">
        <v>6</v>
      </c>
      <c r="F171" s="13" t="str">
        <f t="shared" si="15"/>
        <v/>
      </c>
      <c r="G171" s="9" t="str">
        <f t="shared" si="14"/>
        <v/>
      </c>
    </row>
    <row r="172" spans="1:8" hidden="1" x14ac:dyDescent="0.25">
      <c r="A172" s="27"/>
      <c r="B172" s="27" t="s">
        <v>485</v>
      </c>
      <c r="C172" s="27" t="s">
        <v>486</v>
      </c>
      <c r="D172" s="6" t="s">
        <v>487</v>
      </c>
      <c r="E172" s="31" t="s">
        <v>3</v>
      </c>
      <c r="F172" s="12" t="str">
        <f t="shared" si="15"/>
        <v/>
      </c>
      <c r="G172" s="9" t="str">
        <f t="shared" si="14"/>
        <v/>
      </c>
    </row>
    <row r="173" spans="1:8" x14ac:dyDescent="0.25">
      <c r="A173" s="27">
        <v>53</v>
      </c>
      <c r="B173" s="27" t="s">
        <v>485</v>
      </c>
      <c r="C173" s="27" t="s">
        <v>488</v>
      </c>
      <c r="D173" s="5" t="s">
        <v>269</v>
      </c>
      <c r="E173" s="32" t="s">
        <v>5</v>
      </c>
      <c r="F173" s="14" t="str">
        <f t="shared" si="15"/>
        <v>https://docs.google.com/uc?export=download&amp;id=1_VczI7qmw_CLMlQY-ozbD5eS20vG4pN2</v>
      </c>
      <c r="G173" s="9" t="str">
        <f t="shared" si="14"/>
        <v>1_VczI7qmw_CLMlQY-ozbD5eS20vG4pN2</v>
      </c>
      <c r="H173" t="s">
        <v>993</v>
      </c>
    </row>
    <row r="174" spans="1:8" hidden="1" x14ac:dyDescent="0.25">
      <c r="A174" s="28"/>
      <c r="B174" s="28" t="s">
        <v>485</v>
      </c>
      <c r="C174" s="28" t="s">
        <v>489</v>
      </c>
      <c r="D174" s="2" t="s">
        <v>270</v>
      </c>
      <c r="E174" s="33" t="s">
        <v>6</v>
      </c>
      <c r="F174" s="13" t="str">
        <f t="shared" si="15"/>
        <v/>
      </c>
      <c r="G174" s="9" t="str">
        <f t="shared" si="14"/>
        <v/>
      </c>
    </row>
    <row r="175" spans="1:8" s="22" customFormat="1" hidden="1" x14ac:dyDescent="0.25">
      <c r="A175" s="26"/>
      <c r="B175" s="25" t="s">
        <v>490</v>
      </c>
      <c r="C175" s="26" t="s">
        <v>491</v>
      </c>
      <c r="D175" s="19" t="s">
        <v>492</v>
      </c>
      <c r="E175" s="30" t="s">
        <v>12</v>
      </c>
      <c r="F175" s="20" t="str">
        <f t="shared" si="15"/>
        <v/>
      </c>
      <c r="G175" s="9" t="str">
        <f t="shared" si="14"/>
        <v/>
      </c>
      <c r="H175"/>
    </row>
    <row r="176" spans="1:8" hidden="1" x14ac:dyDescent="0.25">
      <c r="A176" s="27"/>
      <c r="B176" s="27" t="s">
        <v>493</v>
      </c>
      <c r="C176" s="27" t="s">
        <v>494</v>
      </c>
      <c r="D176" s="6" t="s">
        <v>495</v>
      </c>
      <c r="E176" s="31" t="s">
        <v>3</v>
      </c>
      <c r="F176" s="12" t="str">
        <f t="shared" si="15"/>
        <v/>
      </c>
      <c r="G176" s="9" t="str">
        <f t="shared" si="14"/>
        <v/>
      </c>
    </row>
    <row r="177" spans="1:8" x14ac:dyDescent="0.25">
      <c r="A177" s="27">
        <v>54</v>
      </c>
      <c r="B177" s="27" t="s">
        <v>493</v>
      </c>
      <c r="C177" s="27" t="s">
        <v>496</v>
      </c>
      <c r="D177" s="5" t="s">
        <v>272</v>
      </c>
      <c r="E177" s="32" t="s">
        <v>5</v>
      </c>
      <c r="F177" s="14" t="str">
        <f t="shared" si="15"/>
        <v>https://docs.google.com/uc?export=download&amp;id=1qcDgEkeCRaPwGvx-vWKigtDN8UIaXC6f</v>
      </c>
      <c r="G177" s="9" t="str">
        <f t="shared" si="14"/>
        <v>1qcDgEkeCRaPwGvx-vWKigtDN8UIaXC6f</v>
      </c>
      <c r="H177" t="s">
        <v>994</v>
      </c>
    </row>
    <row r="178" spans="1:8" hidden="1" x14ac:dyDescent="0.25">
      <c r="A178" s="28"/>
      <c r="B178" s="28" t="s">
        <v>493</v>
      </c>
      <c r="C178" s="28" t="s">
        <v>497</v>
      </c>
      <c r="D178" s="2" t="s">
        <v>273</v>
      </c>
      <c r="E178" s="33" t="s">
        <v>6</v>
      </c>
      <c r="F178" s="13" t="str">
        <f t="shared" si="15"/>
        <v/>
      </c>
      <c r="G178" s="9" t="str">
        <f t="shared" si="14"/>
        <v/>
      </c>
    </row>
    <row r="179" spans="1:8" hidden="1" x14ac:dyDescent="0.25">
      <c r="A179" s="27"/>
      <c r="B179" s="27" t="s">
        <v>498</v>
      </c>
      <c r="C179" s="27" t="s">
        <v>499</v>
      </c>
      <c r="D179" s="6" t="s">
        <v>500</v>
      </c>
      <c r="E179" s="31" t="s">
        <v>3</v>
      </c>
      <c r="F179" s="12" t="str">
        <f t="shared" si="15"/>
        <v/>
      </c>
      <c r="G179" s="9" t="str">
        <f t="shared" si="14"/>
        <v/>
      </c>
    </row>
    <row r="180" spans="1:8" x14ac:dyDescent="0.25">
      <c r="A180" s="27">
        <v>55</v>
      </c>
      <c r="B180" s="27" t="s">
        <v>498</v>
      </c>
      <c r="C180" s="27" t="s">
        <v>501</v>
      </c>
      <c r="D180" s="5" t="s">
        <v>274</v>
      </c>
      <c r="E180" s="32" t="s">
        <v>5</v>
      </c>
      <c r="F180" s="14" t="str">
        <f t="shared" si="15"/>
        <v>https://docs.google.com/uc?export=download&amp;id=1GE6E_8JXLzp5rmAJcN4hWB0iRheBEGCp</v>
      </c>
      <c r="G180" s="9" t="str">
        <f t="shared" si="14"/>
        <v>1GE6E_8JXLzp5rmAJcN4hWB0iRheBEGCp</v>
      </c>
      <c r="H180" t="s">
        <v>995</v>
      </c>
    </row>
    <row r="181" spans="1:8" hidden="1" x14ac:dyDescent="0.25">
      <c r="A181" s="28"/>
      <c r="B181" s="28" t="s">
        <v>498</v>
      </c>
      <c r="C181" s="28" t="s">
        <v>502</v>
      </c>
      <c r="D181" s="2" t="s">
        <v>275</v>
      </c>
      <c r="E181" s="33" t="s">
        <v>6</v>
      </c>
      <c r="F181" s="13" t="str">
        <f t="shared" si="15"/>
        <v/>
      </c>
      <c r="G181" s="9" t="str">
        <f t="shared" si="14"/>
        <v/>
      </c>
    </row>
    <row r="182" spans="1:8" hidden="1" x14ac:dyDescent="0.25">
      <c r="A182" s="27"/>
      <c r="B182" s="27" t="s">
        <v>503</v>
      </c>
      <c r="C182" s="27" t="s">
        <v>504</v>
      </c>
      <c r="D182" s="6" t="s">
        <v>505</v>
      </c>
      <c r="E182" s="31" t="s">
        <v>3</v>
      </c>
      <c r="F182" s="12" t="str">
        <f t="shared" si="15"/>
        <v/>
      </c>
      <c r="G182" s="9" t="str">
        <f t="shared" si="14"/>
        <v/>
      </c>
    </row>
    <row r="183" spans="1:8" x14ac:dyDescent="0.25">
      <c r="A183" s="27">
        <v>56</v>
      </c>
      <c r="B183" s="27" t="s">
        <v>503</v>
      </c>
      <c r="C183" s="27" t="s">
        <v>506</v>
      </c>
      <c r="D183" s="5" t="s">
        <v>276</v>
      </c>
      <c r="E183" s="32" t="s">
        <v>5</v>
      </c>
      <c r="F183" s="14" t="str">
        <f t="shared" si="15"/>
        <v>https://docs.google.com/uc?export=download&amp;id=18-cUDioYpSpZf8dkJmIjaGGDKrklYHkv</v>
      </c>
      <c r="G183" s="9" t="str">
        <f t="shared" si="14"/>
        <v>18-cUDioYpSpZf8dkJmIjaGGDKrklYHkv</v>
      </c>
      <c r="H183" s="9" t="s">
        <v>996</v>
      </c>
    </row>
    <row r="184" spans="1:8" hidden="1" x14ac:dyDescent="0.25">
      <c r="A184" s="28"/>
      <c r="B184" s="28" t="s">
        <v>503</v>
      </c>
      <c r="C184" s="28" t="s">
        <v>507</v>
      </c>
      <c r="D184" s="2" t="s">
        <v>277</v>
      </c>
      <c r="E184" s="33" t="s">
        <v>6</v>
      </c>
      <c r="F184" s="13" t="str">
        <f t="shared" si="15"/>
        <v/>
      </c>
      <c r="G184" s="9" t="str">
        <f t="shared" si="14"/>
        <v/>
      </c>
    </row>
    <row r="185" spans="1:8" hidden="1" x14ac:dyDescent="0.25">
      <c r="A185" s="27"/>
      <c r="B185" s="27" t="s">
        <v>508</v>
      </c>
      <c r="C185" s="27" t="s">
        <v>509</v>
      </c>
      <c r="D185" s="6" t="s">
        <v>510</v>
      </c>
      <c r="E185" s="31" t="s">
        <v>3</v>
      </c>
      <c r="F185" s="12" t="str">
        <f t="shared" si="15"/>
        <v/>
      </c>
      <c r="G185" s="9" t="str">
        <f t="shared" si="14"/>
        <v/>
      </c>
    </row>
    <row r="186" spans="1:8" x14ac:dyDescent="0.25">
      <c r="A186" s="27">
        <v>57</v>
      </c>
      <c r="B186" s="27" t="s">
        <v>508</v>
      </c>
      <c r="C186" s="27" t="s">
        <v>511</v>
      </c>
      <c r="D186" s="5" t="s">
        <v>278</v>
      </c>
      <c r="E186" s="32" t="s">
        <v>5</v>
      </c>
      <c r="F186" s="14" t="str">
        <f t="shared" si="15"/>
        <v>https://docs.google.com/uc?export=download&amp;id=1b4i62kchFP8RCAr06VbSq7wvjsUjcXRd</v>
      </c>
      <c r="G186" s="9" t="str">
        <f t="shared" si="14"/>
        <v>1b4i62kchFP8RCAr06VbSq7wvjsUjcXRd</v>
      </c>
      <c r="H186" t="s">
        <v>997</v>
      </c>
    </row>
    <row r="187" spans="1:8" hidden="1" x14ac:dyDescent="0.25">
      <c r="A187" s="28"/>
      <c r="B187" s="28" t="s">
        <v>508</v>
      </c>
      <c r="C187" s="28" t="s">
        <v>512</v>
      </c>
      <c r="D187" s="2" t="s">
        <v>279</v>
      </c>
      <c r="E187" s="33" t="s">
        <v>6</v>
      </c>
      <c r="F187" s="13" t="str">
        <f t="shared" si="15"/>
        <v/>
      </c>
      <c r="G187" s="9" t="str">
        <f t="shared" si="14"/>
        <v/>
      </c>
    </row>
    <row r="188" spans="1:8" s="22" customFormat="1" hidden="1" x14ac:dyDescent="0.25">
      <c r="A188" s="26"/>
      <c r="B188" s="25" t="s">
        <v>513</v>
      </c>
      <c r="C188" s="26" t="s">
        <v>514</v>
      </c>
      <c r="D188" s="19" t="s">
        <v>515</v>
      </c>
      <c r="E188" s="30" t="s">
        <v>12</v>
      </c>
      <c r="F188" s="20" t="str">
        <f t="shared" si="15"/>
        <v/>
      </c>
      <c r="G188" s="9" t="str">
        <f t="shared" si="14"/>
        <v/>
      </c>
      <c r="H188"/>
    </row>
    <row r="189" spans="1:8" hidden="1" x14ac:dyDescent="0.25">
      <c r="A189" s="27"/>
      <c r="B189" s="27" t="s">
        <v>516</v>
      </c>
      <c r="C189" s="27" t="s">
        <v>517</v>
      </c>
      <c r="D189" s="6" t="s">
        <v>518</v>
      </c>
      <c r="E189" s="31" t="s">
        <v>3</v>
      </c>
      <c r="F189" s="12" t="str">
        <f t="shared" si="15"/>
        <v/>
      </c>
      <c r="G189" s="9" t="str">
        <f t="shared" si="14"/>
        <v/>
      </c>
    </row>
    <row r="190" spans="1:8" x14ac:dyDescent="0.25">
      <c r="A190" s="27">
        <v>58</v>
      </c>
      <c r="B190" s="27" t="s">
        <v>516</v>
      </c>
      <c r="C190" s="27" t="s">
        <v>519</v>
      </c>
      <c r="D190" s="5" t="s">
        <v>280</v>
      </c>
      <c r="E190" s="32" t="s">
        <v>5</v>
      </c>
      <c r="F190" s="14" t="str">
        <f t="shared" si="15"/>
        <v>https://docs.google.com/uc?export=download&amp;id=1J3n6XPDntcg9hXn_D4Eya5w8RGBP1eDP</v>
      </c>
      <c r="G190" s="9" t="str">
        <f t="shared" si="14"/>
        <v>1J3n6XPDntcg9hXn_D4Eya5w8RGBP1eDP</v>
      </c>
      <c r="H190" t="s">
        <v>998</v>
      </c>
    </row>
    <row r="191" spans="1:8" hidden="1" x14ac:dyDescent="0.25">
      <c r="A191" s="28"/>
      <c r="B191" s="28" t="s">
        <v>516</v>
      </c>
      <c r="C191" s="28" t="s">
        <v>520</v>
      </c>
      <c r="D191" s="2" t="s">
        <v>281</v>
      </c>
      <c r="E191" s="33" t="s">
        <v>6</v>
      </c>
      <c r="F191" s="13" t="str">
        <f t="shared" si="15"/>
        <v/>
      </c>
      <c r="G191" s="9" t="str">
        <f t="shared" si="14"/>
        <v/>
      </c>
    </row>
    <row r="192" spans="1:8" hidden="1" x14ac:dyDescent="0.25">
      <c r="A192" s="27"/>
      <c r="B192" s="27" t="s">
        <v>521</v>
      </c>
      <c r="C192" s="27" t="s">
        <v>522</v>
      </c>
      <c r="D192" s="6" t="s">
        <v>523</v>
      </c>
      <c r="E192" s="31" t="s">
        <v>3</v>
      </c>
      <c r="F192" s="12" t="str">
        <f t="shared" si="15"/>
        <v/>
      </c>
      <c r="G192" s="9" t="str">
        <f t="shared" si="14"/>
        <v/>
      </c>
    </row>
    <row r="193" spans="1:8" x14ac:dyDescent="0.25">
      <c r="A193" s="27">
        <v>59</v>
      </c>
      <c r="B193" s="27" t="s">
        <v>521</v>
      </c>
      <c r="C193" s="27" t="s">
        <v>524</v>
      </c>
      <c r="D193" s="5" t="s">
        <v>282</v>
      </c>
      <c r="E193" s="32" t="s">
        <v>5</v>
      </c>
      <c r="F193" s="14" t="str">
        <f t="shared" si="15"/>
        <v>https://docs.google.com/uc?export=download&amp;id=1sZt9jIK6Jmp7H9Tkchwca5bGqZInbnie</v>
      </c>
      <c r="G193" s="9" t="str">
        <f t="shared" si="14"/>
        <v>1sZt9jIK6Jmp7H9Tkchwca5bGqZInbnie</v>
      </c>
      <c r="H193" t="s">
        <v>999</v>
      </c>
    </row>
    <row r="194" spans="1:8" hidden="1" x14ac:dyDescent="0.25">
      <c r="A194" s="28"/>
      <c r="B194" s="28" t="s">
        <v>521</v>
      </c>
      <c r="C194" s="28" t="s">
        <v>525</v>
      </c>
      <c r="D194" s="2" t="s">
        <v>283</v>
      </c>
      <c r="E194" s="33" t="s">
        <v>6</v>
      </c>
      <c r="F194" s="13" t="str">
        <f t="shared" si="15"/>
        <v/>
      </c>
      <c r="G194" s="9" t="str">
        <f t="shared" si="14"/>
        <v/>
      </c>
    </row>
    <row r="195" spans="1:8" hidden="1" x14ac:dyDescent="0.25">
      <c r="A195" s="27"/>
      <c r="B195" s="27" t="s">
        <v>526</v>
      </c>
      <c r="C195" s="27" t="s">
        <v>527</v>
      </c>
      <c r="D195" s="6" t="s">
        <v>528</v>
      </c>
      <c r="E195" s="31" t="s">
        <v>3</v>
      </c>
      <c r="F195" s="12" t="str">
        <f t="shared" si="15"/>
        <v/>
      </c>
      <c r="G195" s="9" t="str">
        <f t="shared" si="14"/>
        <v/>
      </c>
    </row>
    <row r="196" spans="1:8" x14ac:dyDescent="0.25">
      <c r="A196" s="27">
        <v>60</v>
      </c>
      <c r="B196" s="27" t="s">
        <v>526</v>
      </c>
      <c r="C196" s="27" t="s">
        <v>529</v>
      </c>
      <c r="D196" s="5" t="s">
        <v>284</v>
      </c>
      <c r="E196" s="32" t="s">
        <v>5</v>
      </c>
      <c r="F196" s="14" t="str">
        <f t="shared" si="15"/>
        <v>https://docs.google.com/uc?export=download&amp;id=1Y-9jzrvO7H2oyYidJVASeGKNT6fhUpph</v>
      </c>
      <c r="G196" s="9" t="str">
        <f t="shared" si="14"/>
        <v>1Y-9jzrvO7H2oyYidJVASeGKNT6fhUpph</v>
      </c>
      <c r="H196" t="s">
        <v>1000</v>
      </c>
    </row>
    <row r="197" spans="1:8" hidden="1" x14ac:dyDescent="0.25">
      <c r="A197" s="28"/>
      <c r="B197" s="28" t="s">
        <v>526</v>
      </c>
      <c r="C197" s="28" t="s">
        <v>530</v>
      </c>
      <c r="D197" s="2" t="s">
        <v>285</v>
      </c>
      <c r="E197" s="33" t="s">
        <v>6</v>
      </c>
      <c r="F197" s="13" t="str">
        <f t="shared" si="15"/>
        <v/>
      </c>
      <c r="G197" s="9" t="str">
        <f t="shared" si="14"/>
        <v/>
      </c>
    </row>
    <row r="198" spans="1:8" hidden="1" x14ac:dyDescent="0.25">
      <c r="A198" s="27"/>
      <c r="B198" s="27" t="s">
        <v>531</v>
      </c>
      <c r="C198" s="27" t="s">
        <v>532</v>
      </c>
      <c r="D198" s="6" t="s">
        <v>533</v>
      </c>
      <c r="E198" s="31" t="s">
        <v>3</v>
      </c>
      <c r="F198" s="12" t="str">
        <f t="shared" si="15"/>
        <v/>
      </c>
      <c r="G198" s="9" t="str">
        <f t="shared" ref="G198:G261" si="16">IFERROR(LEFT(RIGHT(H198,LEN(H198)-32),LEN(RIGHT(H198,LEN(H198)-32))-17),"")</f>
        <v/>
      </c>
    </row>
    <row r="199" spans="1:8" x14ac:dyDescent="0.25">
      <c r="A199" s="27">
        <v>61</v>
      </c>
      <c r="B199" s="27" t="s">
        <v>531</v>
      </c>
      <c r="C199" s="27" t="s">
        <v>534</v>
      </c>
      <c r="D199" s="5" t="s">
        <v>286</v>
      </c>
      <c r="E199" s="32" t="s">
        <v>5</v>
      </c>
      <c r="F199" s="14" t="str">
        <f t="shared" ref="F199:F262" si="17">IF(G199="","","https://docs.google.com/uc?export=download&amp;id="&amp;G199)</f>
        <v>https://docs.google.com/uc?export=download&amp;id=1lHvVFAISAQgvf-l7IMM1JAQlFkEuQTts</v>
      </c>
      <c r="G199" s="9" t="str">
        <f t="shared" si="16"/>
        <v>1lHvVFAISAQgvf-l7IMM1JAQlFkEuQTts</v>
      </c>
      <c r="H199" t="s">
        <v>1001</v>
      </c>
    </row>
    <row r="200" spans="1:8" hidden="1" x14ac:dyDescent="0.25">
      <c r="A200" s="28"/>
      <c r="B200" s="28" t="s">
        <v>531</v>
      </c>
      <c r="C200" s="28" t="s">
        <v>535</v>
      </c>
      <c r="D200" s="2" t="s">
        <v>287</v>
      </c>
      <c r="E200" s="33" t="s">
        <v>6</v>
      </c>
      <c r="F200" s="13" t="str">
        <f t="shared" si="17"/>
        <v/>
      </c>
      <c r="G200" s="9" t="str">
        <f t="shared" si="16"/>
        <v/>
      </c>
    </row>
    <row r="201" spans="1:8" s="22" customFormat="1" hidden="1" x14ac:dyDescent="0.25">
      <c r="A201" s="26"/>
      <c r="B201" s="25" t="s">
        <v>536</v>
      </c>
      <c r="C201" s="26" t="s">
        <v>537</v>
      </c>
      <c r="D201" s="19" t="s">
        <v>538</v>
      </c>
      <c r="E201" s="30" t="s">
        <v>12</v>
      </c>
      <c r="F201" s="20" t="str">
        <f t="shared" si="17"/>
        <v/>
      </c>
      <c r="G201" s="9" t="str">
        <f t="shared" si="16"/>
        <v/>
      </c>
      <c r="H201"/>
    </row>
    <row r="202" spans="1:8" hidden="1" x14ac:dyDescent="0.25">
      <c r="A202" s="27"/>
      <c r="B202" s="27" t="s">
        <v>539</v>
      </c>
      <c r="C202" s="27" t="s">
        <v>540</v>
      </c>
      <c r="D202" s="6" t="s">
        <v>541</v>
      </c>
      <c r="E202" s="31" t="s">
        <v>3</v>
      </c>
      <c r="F202" s="12" t="str">
        <f t="shared" si="17"/>
        <v/>
      </c>
      <c r="G202" s="9" t="str">
        <f t="shared" si="16"/>
        <v/>
      </c>
    </row>
    <row r="203" spans="1:8" x14ac:dyDescent="0.25">
      <c r="A203" s="27">
        <v>62</v>
      </c>
      <c r="B203" s="27" t="s">
        <v>539</v>
      </c>
      <c r="C203" s="27" t="s">
        <v>542</v>
      </c>
      <c r="D203" s="5" t="s">
        <v>288</v>
      </c>
      <c r="E203" s="32" t="s">
        <v>5</v>
      </c>
      <c r="F203" s="14" t="str">
        <f t="shared" si="17"/>
        <v>https://docs.google.com/uc?export=download&amp;id=15wYD7j2rx34-6PjA1pawrvhZymUv5Sir</v>
      </c>
      <c r="G203" s="9" t="str">
        <f t="shared" si="16"/>
        <v>15wYD7j2rx34-6PjA1pawrvhZymUv5Sir</v>
      </c>
      <c r="H203" t="s">
        <v>1002</v>
      </c>
    </row>
    <row r="204" spans="1:8" hidden="1" x14ac:dyDescent="0.25">
      <c r="A204" s="28"/>
      <c r="B204" s="28" t="s">
        <v>539</v>
      </c>
      <c r="C204" s="28" t="s">
        <v>543</v>
      </c>
      <c r="D204" s="2" t="s">
        <v>289</v>
      </c>
      <c r="E204" s="33" t="s">
        <v>6</v>
      </c>
      <c r="F204" s="13" t="str">
        <f t="shared" si="17"/>
        <v/>
      </c>
      <c r="G204" s="9" t="str">
        <f t="shared" si="16"/>
        <v/>
      </c>
    </row>
    <row r="205" spans="1:8" hidden="1" x14ac:dyDescent="0.25">
      <c r="A205" s="27"/>
      <c r="B205" s="27" t="s">
        <v>544</v>
      </c>
      <c r="C205" s="27" t="s">
        <v>545</v>
      </c>
      <c r="D205" s="6" t="s">
        <v>985</v>
      </c>
      <c r="E205" s="31" t="s">
        <v>3</v>
      </c>
      <c r="F205" s="12" t="str">
        <f t="shared" si="17"/>
        <v/>
      </c>
      <c r="G205" s="9" t="str">
        <f t="shared" si="16"/>
        <v/>
      </c>
    </row>
    <row r="206" spans="1:8" x14ac:dyDescent="0.25">
      <c r="A206" s="27">
        <v>63</v>
      </c>
      <c r="B206" s="27" t="s">
        <v>544</v>
      </c>
      <c r="C206" s="27" t="s">
        <v>546</v>
      </c>
      <c r="D206" s="5" t="s">
        <v>290</v>
      </c>
      <c r="E206" s="32" t="s">
        <v>5</v>
      </c>
      <c r="F206" s="14" t="str">
        <f t="shared" si="17"/>
        <v>https://docs.google.com/uc?export=download&amp;id=1pjbL49BL3XpFvlx4dZBdrIEQesImf_8K</v>
      </c>
      <c r="G206" s="9" t="str">
        <f t="shared" si="16"/>
        <v>1pjbL49BL3XpFvlx4dZBdrIEQesImf_8K</v>
      </c>
      <c r="H206" t="s">
        <v>1003</v>
      </c>
    </row>
    <row r="207" spans="1:8" hidden="1" x14ac:dyDescent="0.25">
      <c r="A207" s="28"/>
      <c r="B207" s="28" t="s">
        <v>544</v>
      </c>
      <c r="C207" s="28" t="s">
        <v>547</v>
      </c>
      <c r="D207" s="2" t="s">
        <v>291</v>
      </c>
      <c r="E207" s="33" t="s">
        <v>6</v>
      </c>
      <c r="F207" s="13" t="str">
        <f t="shared" si="17"/>
        <v xml:space="preserve">https://docs.google.com/uc?export=download&amp;id= </v>
      </c>
      <c r="G207" s="9" t="s">
        <v>271</v>
      </c>
    </row>
    <row r="208" spans="1:8" hidden="1" x14ac:dyDescent="0.25">
      <c r="A208" s="27"/>
      <c r="B208" s="27" t="s">
        <v>548</v>
      </c>
      <c r="C208" s="27" t="s">
        <v>549</v>
      </c>
      <c r="D208" s="6" t="s">
        <v>550</v>
      </c>
      <c r="E208" s="31" t="s">
        <v>3</v>
      </c>
      <c r="F208" s="12" t="str">
        <f t="shared" si="17"/>
        <v/>
      </c>
      <c r="G208" s="9" t="str">
        <f t="shared" si="16"/>
        <v/>
      </c>
    </row>
    <row r="209" spans="1:8" x14ac:dyDescent="0.25">
      <c r="A209" s="27">
        <v>64</v>
      </c>
      <c r="B209" s="27" t="s">
        <v>548</v>
      </c>
      <c r="C209" s="27" t="s">
        <v>551</v>
      </c>
      <c r="D209" s="5" t="s">
        <v>292</v>
      </c>
      <c r="E209" s="32" t="s">
        <v>5</v>
      </c>
      <c r="F209" s="14" t="str">
        <f t="shared" si="17"/>
        <v>https://docs.google.com/uc?export=download&amp;id=1e3osut6fOMMvvlMGD0QIxxmaYm3CvhhX</v>
      </c>
      <c r="G209" s="9" t="str">
        <f t="shared" si="16"/>
        <v>1e3osut6fOMMvvlMGD0QIxxmaYm3CvhhX</v>
      </c>
      <c r="H209" t="s">
        <v>1004</v>
      </c>
    </row>
    <row r="210" spans="1:8" hidden="1" x14ac:dyDescent="0.25">
      <c r="A210" s="28"/>
      <c r="B210" s="28" t="s">
        <v>548</v>
      </c>
      <c r="C210" s="28" t="s">
        <v>552</v>
      </c>
      <c r="D210" s="2" t="s">
        <v>293</v>
      </c>
      <c r="E210" s="33" t="s">
        <v>6</v>
      </c>
      <c r="F210" s="13" t="str">
        <f t="shared" si="17"/>
        <v/>
      </c>
      <c r="G210" s="9" t="str">
        <f t="shared" si="16"/>
        <v/>
      </c>
    </row>
    <row r="211" spans="1:8" hidden="1" x14ac:dyDescent="0.25">
      <c r="A211" s="27"/>
      <c r="B211" s="27" t="s">
        <v>553</v>
      </c>
      <c r="C211" s="27" t="s">
        <v>554</v>
      </c>
      <c r="D211" s="6" t="s">
        <v>555</v>
      </c>
      <c r="E211" s="31" t="s">
        <v>3</v>
      </c>
      <c r="F211" s="12" t="str">
        <f t="shared" si="17"/>
        <v/>
      </c>
      <c r="G211" s="9" t="str">
        <f t="shared" si="16"/>
        <v/>
      </c>
    </row>
    <row r="212" spans="1:8" x14ac:dyDescent="0.25">
      <c r="A212" s="27">
        <v>65</v>
      </c>
      <c r="B212" s="27" t="s">
        <v>553</v>
      </c>
      <c r="C212" s="27" t="s">
        <v>556</v>
      </c>
      <c r="D212" s="5" t="s">
        <v>294</v>
      </c>
      <c r="E212" s="32" t="s">
        <v>5</v>
      </c>
      <c r="F212" s="14" t="str">
        <f t="shared" si="17"/>
        <v>https://docs.google.com/uc?export=download&amp;id=1Jfs5dS2huzsSJ_CbJJlK5lJHOHG5R0Px</v>
      </c>
      <c r="G212" s="9" t="str">
        <f t="shared" si="16"/>
        <v>1Jfs5dS2huzsSJ_CbJJlK5lJHOHG5R0Px</v>
      </c>
      <c r="H212" t="s">
        <v>1005</v>
      </c>
    </row>
    <row r="213" spans="1:8" hidden="1" x14ac:dyDescent="0.25">
      <c r="A213" s="28"/>
      <c r="B213" s="28" t="s">
        <v>553</v>
      </c>
      <c r="C213" s="28" t="s">
        <v>557</v>
      </c>
      <c r="D213" s="2" t="s">
        <v>295</v>
      </c>
      <c r="E213" s="33" t="s">
        <v>6</v>
      </c>
      <c r="F213" s="13" t="str">
        <f t="shared" si="17"/>
        <v/>
      </c>
      <c r="G213" s="9" t="str">
        <f t="shared" si="16"/>
        <v/>
      </c>
    </row>
    <row r="214" spans="1:8" hidden="1" x14ac:dyDescent="0.25">
      <c r="A214" s="27"/>
      <c r="B214" s="27" t="s">
        <v>558</v>
      </c>
      <c r="C214" s="27" t="s">
        <v>559</v>
      </c>
      <c r="D214" s="6" t="s">
        <v>560</v>
      </c>
      <c r="E214" s="31" t="s">
        <v>3</v>
      </c>
      <c r="F214" s="12" t="str">
        <f t="shared" si="17"/>
        <v/>
      </c>
      <c r="G214" s="9" t="str">
        <f t="shared" si="16"/>
        <v/>
      </c>
    </row>
    <row r="215" spans="1:8" x14ac:dyDescent="0.25">
      <c r="A215" s="27">
        <v>66</v>
      </c>
      <c r="B215" s="27" t="s">
        <v>558</v>
      </c>
      <c r="C215" s="27" t="s">
        <v>561</v>
      </c>
      <c r="D215" s="5" t="s">
        <v>296</v>
      </c>
      <c r="E215" s="32" t="s">
        <v>5</v>
      </c>
      <c r="F215" s="14" t="str">
        <f t="shared" si="17"/>
        <v>https://docs.google.com/uc?export=download&amp;id=1NiL57zhT9HwAfTrCcQ5wJ_2hSxLPkqsR</v>
      </c>
      <c r="G215" s="9" t="str">
        <f t="shared" si="16"/>
        <v>1NiL57zhT9HwAfTrCcQ5wJ_2hSxLPkqsR</v>
      </c>
      <c r="H215" t="s">
        <v>1006</v>
      </c>
    </row>
    <row r="216" spans="1:8" hidden="1" x14ac:dyDescent="0.25">
      <c r="A216" s="28"/>
      <c r="B216" s="28" t="s">
        <v>558</v>
      </c>
      <c r="C216" s="28" t="s">
        <v>562</v>
      </c>
      <c r="D216" s="2" t="s">
        <v>297</v>
      </c>
      <c r="E216" s="33" t="s">
        <v>6</v>
      </c>
      <c r="F216" s="13" t="str">
        <f t="shared" si="17"/>
        <v/>
      </c>
      <c r="G216" s="9" t="str">
        <f t="shared" si="16"/>
        <v/>
      </c>
    </row>
    <row r="217" spans="1:8" s="22" customFormat="1" hidden="1" x14ac:dyDescent="0.25">
      <c r="A217" s="26"/>
      <c r="B217" s="25" t="s">
        <v>563</v>
      </c>
      <c r="C217" s="26" t="s">
        <v>564</v>
      </c>
      <c r="D217" s="19" t="s">
        <v>565</v>
      </c>
      <c r="E217" s="30" t="s">
        <v>12</v>
      </c>
      <c r="F217" s="20" t="str">
        <f t="shared" si="17"/>
        <v/>
      </c>
      <c r="G217" s="9" t="str">
        <f t="shared" si="16"/>
        <v/>
      </c>
      <c r="H217"/>
    </row>
    <row r="218" spans="1:8" hidden="1" x14ac:dyDescent="0.25">
      <c r="A218" s="27"/>
      <c r="B218" s="27" t="s">
        <v>566</v>
      </c>
      <c r="C218" s="27" t="s">
        <v>567</v>
      </c>
      <c r="D218" s="6" t="s">
        <v>568</v>
      </c>
      <c r="E218" s="31" t="s">
        <v>3</v>
      </c>
      <c r="F218" s="12" t="str">
        <f t="shared" si="17"/>
        <v/>
      </c>
      <c r="G218" s="9" t="str">
        <f t="shared" si="16"/>
        <v/>
      </c>
    </row>
    <row r="219" spans="1:8" x14ac:dyDescent="0.25">
      <c r="A219" s="27">
        <v>67</v>
      </c>
      <c r="B219" s="27" t="s">
        <v>566</v>
      </c>
      <c r="C219" s="27" t="s">
        <v>569</v>
      </c>
      <c r="D219" s="5" t="s">
        <v>298</v>
      </c>
      <c r="E219" s="32" t="s">
        <v>5</v>
      </c>
      <c r="F219" s="14" t="str">
        <f t="shared" si="17"/>
        <v>https://docs.google.com/uc?export=download&amp;id=1_zg2DNrf6RBJySiukxiN3sX0AHwhZ5AA</v>
      </c>
      <c r="G219" s="9" t="str">
        <f t="shared" si="16"/>
        <v>1_zg2DNrf6RBJySiukxiN3sX0AHwhZ5AA</v>
      </c>
      <c r="H219" t="s">
        <v>1007</v>
      </c>
    </row>
    <row r="220" spans="1:8" hidden="1" x14ac:dyDescent="0.25">
      <c r="A220" s="28"/>
      <c r="B220" s="28" t="s">
        <v>566</v>
      </c>
      <c r="C220" s="28" t="s">
        <v>570</v>
      </c>
      <c r="D220" s="2" t="s">
        <v>299</v>
      </c>
      <c r="E220" s="33" t="s">
        <v>6</v>
      </c>
      <c r="F220" s="13" t="str">
        <f t="shared" si="17"/>
        <v/>
      </c>
      <c r="G220" s="9" t="str">
        <f t="shared" si="16"/>
        <v/>
      </c>
    </row>
    <row r="221" spans="1:8" hidden="1" x14ac:dyDescent="0.25">
      <c r="A221" s="27"/>
      <c r="B221" s="27" t="s">
        <v>571</v>
      </c>
      <c r="C221" s="27" t="s">
        <v>572</v>
      </c>
      <c r="D221" s="6" t="s">
        <v>573</v>
      </c>
      <c r="E221" s="31" t="s">
        <v>3</v>
      </c>
      <c r="F221" s="12" t="str">
        <f t="shared" si="17"/>
        <v/>
      </c>
      <c r="G221" s="9" t="str">
        <f t="shared" si="16"/>
        <v/>
      </c>
    </row>
    <row r="222" spans="1:8" x14ac:dyDescent="0.25">
      <c r="A222" s="27">
        <v>68</v>
      </c>
      <c r="B222" s="27" t="s">
        <v>571</v>
      </c>
      <c r="C222" s="27" t="s">
        <v>574</v>
      </c>
      <c r="D222" s="5" t="s">
        <v>300</v>
      </c>
      <c r="E222" s="32" t="s">
        <v>5</v>
      </c>
      <c r="F222" s="14" t="str">
        <f t="shared" si="17"/>
        <v>https://docs.google.com/uc?export=download&amp;id=1aeTJ9Tto8qJOQvpMQB3MNS1rCH3OEZnu</v>
      </c>
      <c r="G222" s="9" t="str">
        <f t="shared" si="16"/>
        <v>1aeTJ9Tto8qJOQvpMQB3MNS1rCH3OEZnu</v>
      </c>
      <c r="H222" t="s">
        <v>1008</v>
      </c>
    </row>
    <row r="223" spans="1:8" hidden="1" x14ac:dyDescent="0.25">
      <c r="A223" s="28"/>
      <c r="B223" s="28" t="s">
        <v>571</v>
      </c>
      <c r="C223" s="28" t="s">
        <v>575</v>
      </c>
      <c r="D223" s="2" t="s">
        <v>301</v>
      </c>
      <c r="E223" s="33" t="s">
        <v>6</v>
      </c>
      <c r="F223" s="13" t="str">
        <f t="shared" si="17"/>
        <v/>
      </c>
      <c r="G223" s="9" t="str">
        <f t="shared" si="16"/>
        <v/>
      </c>
    </row>
    <row r="224" spans="1:8" hidden="1" x14ac:dyDescent="0.25">
      <c r="A224" s="27"/>
      <c r="B224" s="27" t="s">
        <v>576</v>
      </c>
      <c r="C224" s="27" t="s">
        <v>577</v>
      </c>
      <c r="D224" s="6" t="s">
        <v>578</v>
      </c>
      <c r="E224" s="31" t="s">
        <v>3</v>
      </c>
      <c r="F224" s="12" t="str">
        <f t="shared" si="17"/>
        <v/>
      </c>
      <c r="G224" s="9" t="str">
        <f t="shared" si="16"/>
        <v/>
      </c>
    </row>
    <row r="225" spans="1:8" x14ac:dyDescent="0.25">
      <c r="A225" s="27">
        <v>69</v>
      </c>
      <c r="B225" s="27" t="s">
        <v>576</v>
      </c>
      <c r="C225" s="27" t="s">
        <v>579</v>
      </c>
      <c r="D225" s="5" t="s">
        <v>302</v>
      </c>
      <c r="E225" s="32" t="s">
        <v>5</v>
      </c>
      <c r="F225" s="14" t="str">
        <f t="shared" si="17"/>
        <v>https://docs.google.com/uc?export=download&amp;id=1C9OCCzvu4_D_plfqM5Qd5qAMcuGfmQcq</v>
      </c>
      <c r="G225" s="9" t="str">
        <f t="shared" si="16"/>
        <v>1C9OCCzvu4_D_plfqM5Qd5qAMcuGfmQcq</v>
      </c>
      <c r="H225" t="s">
        <v>1009</v>
      </c>
    </row>
    <row r="226" spans="1:8" hidden="1" x14ac:dyDescent="0.25">
      <c r="A226" s="28"/>
      <c r="B226" s="28" t="s">
        <v>576</v>
      </c>
      <c r="C226" s="28" t="s">
        <v>580</v>
      </c>
      <c r="D226" s="2" t="s">
        <v>303</v>
      </c>
      <c r="E226" s="33" t="s">
        <v>6</v>
      </c>
      <c r="F226" s="13" t="str">
        <f t="shared" si="17"/>
        <v/>
      </c>
      <c r="G226" s="9" t="str">
        <f t="shared" si="16"/>
        <v/>
      </c>
    </row>
    <row r="227" spans="1:8" hidden="1" x14ac:dyDescent="0.25">
      <c r="A227" s="27"/>
      <c r="B227" s="27" t="s">
        <v>581</v>
      </c>
      <c r="C227" s="27" t="s">
        <v>582</v>
      </c>
      <c r="D227" s="6" t="s">
        <v>583</v>
      </c>
      <c r="E227" s="31" t="s">
        <v>3</v>
      </c>
      <c r="F227" s="12" t="str">
        <f t="shared" si="17"/>
        <v/>
      </c>
      <c r="G227" s="9" t="str">
        <f t="shared" si="16"/>
        <v/>
      </c>
    </row>
    <row r="228" spans="1:8" x14ac:dyDescent="0.25">
      <c r="A228" s="27">
        <v>70</v>
      </c>
      <c r="B228" s="27" t="s">
        <v>581</v>
      </c>
      <c r="C228" s="27" t="s">
        <v>584</v>
      </c>
      <c r="D228" s="5" t="s">
        <v>304</v>
      </c>
      <c r="E228" s="32" t="s">
        <v>5</v>
      </c>
      <c r="F228" s="14" t="str">
        <f t="shared" si="17"/>
        <v>https://docs.google.com/uc?export=download&amp;id=16WFK_cMznpwts9DvDGPoFIfpjAwr8VKq</v>
      </c>
      <c r="G228" s="9" t="str">
        <f t="shared" si="16"/>
        <v>16WFK_cMznpwts9DvDGPoFIfpjAwr8VKq</v>
      </c>
      <c r="H228" t="s">
        <v>1010</v>
      </c>
    </row>
    <row r="229" spans="1:8" hidden="1" x14ac:dyDescent="0.25">
      <c r="A229" s="28"/>
      <c r="B229" s="28" t="s">
        <v>581</v>
      </c>
      <c r="C229" s="28" t="s">
        <v>585</v>
      </c>
      <c r="D229" s="2" t="s">
        <v>305</v>
      </c>
      <c r="E229" s="33" t="s">
        <v>6</v>
      </c>
      <c r="F229" s="13" t="str">
        <f t="shared" si="17"/>
        <v/>
      </c>
      <c r="G229" s="9" t="str">
        <f t="shared" si="16"/>
        <v/>
      </c>
    </row>
    <row r="230" spans="1:8" s="22" customFormat="1" hidden="1" x14ac:dyDescent="0.25">
      <c r="A230" s="26"/>
      <c r="B230" s="25" t="s">
        <v>586</v>
      </c>
      <c r="C230" s="26" t="s">
        <v>587</v>
      </c>
      <c r="D230" s="19" t="s">
        <v>588</v>
      </c>
      <c r="E230" s="30" t="s">
        <v>12</v>
      </c>
      <c r="F230" s="20" t="str">
        <f t="shared" si="17"/>
        <v/>
      </c>
      <c r="G230" s="9" t="str">
        <f t="shared" si="16"/>
        <v/>
      </c>
      <c r="H230"/>
    </row>
    <row r="231" spans="1:8" hidden="1" x14ac:dyDescent="0.25">
      <c r="A231" s="27"/>
      <c r="B231" s="27" t="s">
        <v>589</v>
      </c>
      <c r="C231" s="27" t="s">
        <v>590</v>
      </c>
      <c r="D231" s="6" t="s">
        <v>591</v>
      </c>
      <c r="E231" s="31" t="s">
        <v>3</v>
      </c>
      <c r="F231" s="12" t="str">
        <f t="shared" si="17"/>
        <v/>
      </c>
      <c r="G231" s="9" t="str">
        <f t="shared" si="16"/>
        <v/>
      </c>
    </row>
    <row r="232" spans="1:8" x14ac:dyDescent="0.25">
      <c r="A232" s="27">
        <v>71</v>
      </c>
      <c r="B232" s="27" t="s">
        <v>589</v>
      </c>
      <c r="C232" s="27" t="s">
        <v>592</v>
      </c>
      <c r="D232" s="5" t="s">
        <v>306</v>
      </c>
      <c r="E232" s="32" t="s">
        <v>5</v>
      </c>
      <c r="F232" s="14" t="str">
        <f t="shared" si="17"/>
        <v>https://docs.google.com/uc?export=download&amp;id=1Fvs6ex_ByRcu8ORWZkn3bhCbIqXQ-cIh</v>
      </c>
      <c r="G232" s="9" t="str">
        <f t="shared" si="16"/>
        <v>1Fvs6ex_ByRcu8ORWZkn3bhCbIqXQ-cIh</v>
      </c>
      <c r="H232" t="s">
        <v>1011</v>
      </c>
    </row>
    <row r="233" spans="1:8" hidden="1" x14ac:dyDescent="0.25">
      <c r="A233" s="28"/>
      <c r="B233" s="28" t="s">
        <v>589</v>
      </c>
      <c r="C233" s="28" t="s">
        <v>593</v>
      </c>
      <c r="D233" s="2" t="s">
        <v>307</v>
      </c>
      <c r="E233" s="33" t="s">
        <v>6</v>
      </c>
      <c r="F233" s="13" t="str">
        <f t="shared" si="17"/>
        <v/>
      </c>
      <c r="G233" s="9" t="str">
        <f t="shared" si="16"/>
        <v/>
      </c>
    </row>
    <row r="234" spans="1:8" hidden="1" x14ac:dyDescent="0.25">
      <c r="A234" s="27"/>
      <c r="B234" s="27" t="s">
        <v>594</v>
      </c>
      <c r="C234" s="27" t="s">
        <v>595</v>
      </c>
      <c r="D234" s="6" t="s">
        <v>596</v>
      </c>
      <c r="E234" s="31" t="s">
        <v>3</v>
      </c>
      <c r="F234" s="12" t="str">
        <f t="shared" si="17"/>
        <v/>
      </c>
      <c r="G234" s="9" t="str">
        <f t="shared" si="16"/>
        <v/>
      </c>
    </row>
    <row r="235" spans="1:8" x14ac:dyDescent="0.25">
      <c r="A235" s="27">
        <v>72</v>
      </c>
      <c r="B235" s="27" t="s">
        <v>594</v>
      </c>
      <c r="C235" s="27" t="s">
        <v>597</v>
      </c>
      <c r="D235" s="5" t="s">
        <v>308</v>
      </c>
      <c r="E235" s="32" t="s">
        <v>5</v>
      </c>
      <c r="F235" s="14" t="str">
        <f t="shared" si="17"/>
        <v>https://docs.google.com/uc?export=download&amp;id=1iF-a-xaPXODxxcE7Xr7oUALaA1X8PR22</v>
      </c>
      <c r="G235" s="9" t="str">
        <f t="shared" si="16"/>
        <v>1iF-a-xaPXODxxcE7Xr7oUALaA1X8PR22</v>
      </c>
      <c r="H235" t="s">
        <v>1012</v>
      </c>
    </row>
    <row r="236" spans="1:8" hidden="1" x14ac:dyDescent="0.25">
      <c r="A236" s="28"/>
      <c r="B236" s="28" t="s">
        <v>594</v>
      </c>
      <c r="C236" s="28" t="s">
        <v>598</v>
      </c>
      <c r="D236" s="2" t="s">
        <v>309</v>
      </c>
      <c r="E236" s="33" t="s">
        <v>6</v>
      </c>
      <c r="F236" s="13" t="str">
        <f t="shared" si="17"/>
        <v/>
      </c>
      <c r="G236" s="9" t="str">
        <f t="shared" si="16"/>
        <v/>
      </c>
    </row>
    <row r="237" spans="1:8" hidden="1" x14ac:dyDescent="0.25">
      <c r="A237" s="27"/>
      <c r="B237" s="27" t="s">
        <v>599</v>
      </c>
      <c r="C237" s="27" t="s">
        <v>600</v>
      </c>
      <c r="D237" s="6" t="s">
        <v>601</v>
      </c>
      <c r="E237" s="31" t="s">
        <v>3</v>
      </c>
      <c r="F237" s="12" t="str">
        <f t="shared" si="17"/>
        <v/>
      </c>
      <c r="G237" s="9" t="str">
        <f t="shared" si="16"/>
        <v/>
      </c>
    </row>
    <row r="238" spans="1:8" x14ac:dyDescent="0.25">
      <c r="A238" s="27">
        <v>73</v>
      </c>
      <c r="B238" s="27" t="s">
        <v>599</v>
      </c>
      <c r="C238" s="27" t="s">
        <v>602</v>
      </c>
      <c r="D238" s="5" t="s">
        <v>310</v>
      </c>
      <c r="E238" s="32" t="s">
        <v>5</v>
      </c>
      <c r="F238" s="14" t="str">
        <f t="shared" si="17"/>
        <v>https://docs.google.com/uc?export=download&amp;id=18YjlFXX1usIBlSfrbXDDccurS3_Dt4WT</v>
      </c>
      <c r="G238" s="9" t="str">
        <f t="shared" si="16"/>
        <v>18YjlFXX1usIBlSfrbXDDccurS3_Dt4WT</v>
      </c>
      <c r="H238" t="s">
        <v>1013</v>
      </c>
    </row>
    <row r="239" spans="1:8" hidden="1" x14ac:dyDescent="0.25">
      <c r="A239" s="28"/>
      <c r="B239" s="28" t="s">
        <v>599</v>
      </c>
      <c r="C239" s="28" t="s">
        <v>603</v>
      </c>
      <c r="D239" s="2" t="s">
        <v>311</v>
      </c>
      <c r="E239" s="33" t="s">
        <v>6</v>
      </c>
      <c r="F239" s="13" t="str">
        <f t="shared" si="17"/>
        <v/>
      </c>
      <c r="G239" s="9" t="str">
        <f t="shared" si="16"/>
        <v/>
      </c>
    </row>
    <row r="240" spans="1:8" s="22" customFormat="1" hidden="1" x14ac:dyDescent="0.25">
      <c r="A240" s="26"/>
      <c r="B240" s="25" t="s">
        <v>604</v>
      </c>
      <c r="C240" s="26" t="s">
        <v>605</v>
      </c>
      <c r="D240" s="19" t="s">
        <v>606</v>
      </c>
      <c r="E240" s="30" t="s">
        <v>12</v>
      </c>
      <c r="F240" s="20" t="str">
        <f t="shared" si="17"/>
        <v/>
      </c>
      <c r="G240" s="9" t="str">
        <f t="shared" si="16"/>
        <v/>
      </c>
      <c r="H240"/>
    </row>
    <row r="241" spans="1:8" hidden="1" x14ac:dyDescent="0.25">
      <c r="A241" s="27"/>
      <c r="B241" s="27" t="s">
        <v>607</v>
      </c>
      <c r="C241" s="27" t="s">
        <v>608</v>
      </c>
      <c r="D241" s="6" t="s">
        <v>609</v>
      </c>
      <c r="E241" s="31" t="s">
        <v>3</v>
      </c>
      <c r="F241" s="12" t="str">
        <f t="shared" si="17"/>
        <v/>
      </c>
      <c r="G241" s="9" t="str">
        <f t="shared" si="16"/>
        <v/>
      </c>
    </row>
    <row r="242" spans="1:8" x14ac:dyDescent="0.25">
      <c r="A242" s="27">
        <v>74</v>
      </c>
      <c r="B242" s="27" t="s">
        <v>607</v>
      </c>
      <c r="C242" s="27" t="s">
        <v>610</v>
      </c>
      <c r="D242" s="5" t="s">
        <v>312</v>
      </c>
      <c r="E242" s="32" t="s">
        <v>5</v>
      </c>
      <c r="F242" s="14" t="str">
        <f t="shared" si="17"/>
        <v>https://docs.google.com/uc?export=download&amp;id=1X-rXAvViJgZeRsbvYE6vd9ylgq6VXFYs</v>
      </c>
      <c r="G242" s="9" t="str">
        <f t="shared" si="16"/>
        <v>1X-rXAvViJgZeRsbvYE6vd9ylgq6VXFYs</v>
      </c>
      <c r="H242" t="s">
        <v>1014</v>
      </c>
    </row>
    <row r="243" spans="1:8" hidden="1" x14ac:dyDescent="0.25">
      <c r="A243" s="28"/>
      <c r="B243" s="28" t="s">
        <v>607</v>
      </c>
      <c r="C243" s="28" t="s">
        <v>611</v>
      </c>
      <c r="D243" s="2" t="s">
        <v>313</v>
      </c>
      <c r="E243" s="33" t="s">
        <v>6</v>
      </c>
      <c r="F243" s="13" t="str">
        <f t="shared" si="17"/>
        <v/>
      </c>
      <c r="G243" s="9" t="str">
        <f t="shared" si="16"/>
        <v/>
      </c>
    </row>
    <row r="244" spans="1:8" hidden="1" x14ac:dyDescent="0.25">
      <c r="A244" s="27"/>
      <c r="B244" s="27" t="s">
        <v>612</v>
      </c>
      <c r="C244" s="27" t="s">
        <v>613</v>
      </c>
      <c r="D244" s="6" t="s">
        <v>614</v>
      </c>
      <c r="E244" s="31" t="s">
        <v>3</v>
      </c>
      <c r="F244" s="12" t="str">
        <f t="shared" si="17"/>
        <v/>
      </c>
      <c r="G244" s="9" t="str">
        <f t="shared" si="16"/>
        <v/>
      </c>
    </row>
    <row r="245" spans="1:8" x14ac:dyDescent="0.25">
      <c r="A245" s="27">
        <v>75</v>
      </c>
      <c r="B245" s="27" t="s">
        <v>612</v>
      </c>
      <c r="C245" s="27" t="s">
        <v>615</v>
      </c>
      <c r="D245" s="5" t="s">
        <v>314</v>
      </c>
      <c r="E245" s="32" t="s">
        <v>5</v>
      </c>
      <c r="F245" s="14" t="str">
        <f t="shared" si="17"/>
        <v>https://docs.google.com/uc?export=download&amp;id=19VIg3xEZV-5lQVeZK_E_IWrxfiESzYDF</v>
      </c>
      <c r="G245" s="9" t="str">
        <f t="shared" si="16"/>
        <v>19VIg3xEZV-5lQVeZK_E_IWrxfiESzYDF</v>
      </c>
      <c r="H245" t="s">
        <v>1015</v>
      </c>
    </row>
    <row r="246" spans="1:8" hidden="1" x14ac:dyDescent="0.25">
      <c r="A246" s="28"/>
      <c r="B246" s="28" t="s">
        <v>612</v>
      </c>
      <c r="C246" s="28" t="s">
        <v>616</v>
      </c>
      <c r="D246" s="2" t="s">
        <v>315</v>
      </c>
      <c r="E246" s="33" t="s">
        <v>6</v>
      </c>
      <c r="F246" s="13" t="str">
        <f t="shared" si="17"/>
        <v/>
      </c>
      <c r="G246" s="9" t="str">
        <f t="shared" si="16"/>
        <v/>
      </c>
    </row>
    <row r="247" spans="1:8" hidden="1" x14ac:dyDescent="0.25">
      <c r="A247" s="27"/>
      <c r="B247" s="27" t="s">
        <v>617</v>
      </c>
      <c r="C247" s="27" t="s">
        <v>618</v>
      </c>
      <c r="D247" s="6" t="s">
        <v>619</v>
      </c>
      <c r="E247" s="31" t="s">
        <v>3</v>
      </c>
      <c r="F247" s="12" t="str">
        <f t="shared" si="17"/>
        <v/>
      </c>
      <c r="G247" s="9" t="str">
        <f t="shared" si="16"/>
        <v/>
      </c>
    </row>
    <row r="248" spans="1:8" x14ac:dyDescent="0.25">
      <c r="A248" s="27">
        <v>76</v>
      </c>
      <c r="B248" s="27" t="s">
        <v>617</v>
      </c>
      <c r="C248" s="27" t="s">
        <v>620</v>
      </c>
      <c r="D248" s="5" t="s">
        <v>316</v>
      </c>
      <c r="E248" s="32" t="s">
        <v>5</v>
      </c>
      <c r="F248" s="14" t="str">
        <f t="shared" si="17"/>
        <v>https://docs.google.com/uc?export=download&amp;id=1rUcqhB7_ECfUt2NcTYD7s9-iYm-sS1KI</v>
      </c>
      <c r="G248" s="9" t="str">
        <f t="shared" si="16"/>
        <v>1rUcqhB7_ECfUt2NcTYD7s9-iYm-sS1KI</v>
      </c>
      <c r="H248" t="s">
        <v>1016</v>
      </c>
    </row>
    <row r="249" spans="1:8" hidden="1" x14ac:dyDescent="0.25">
      <c r="A249" s="28"/>
      <c r="B249" s="28" t="s">
        <v>617</v>
      </c>
      <c r="C249" s="28" t="s">
        <v>621</v>
      </c>
      <c r="D249" s="2" t="s">
        <v>317</v>
      </c>
      <c r="E249" s="33" t="s">
        <v>6</v>
      </c>
      <c r="F249" s="13" t="str">
        <f t="shared" si="17"/>
        <v/>
      </c>
      <c r="G249" s="9" t="str">
        <f t="shared" si="16"/>
        <v/>
      </c>
    </row>
    <row r="250" spans="1:8" hidden="1" x14ac:dyDescent="0.25">
      <c r="A250" s="27"/>
      <c r="B250" s="27" t="s">
        <v>622</v>
      </c>
      <c r="C250" s="27" t="s">
        <v>623</v>
      </c>
      <c r="D250" s="6" t="s">
        <v>624</v>
      </c>
      <c r="E250" s="31" t="s">
        <v>3</v>
      </c>
      <c r="F250" s="12" t="str">
        <f t="shared" si="17"/>
        <v/>
      </c>
      <c r="G250" s="9" t="str">
        <f t="shared" si="16"/>
        <v/>
      </c>
    </row>
    <row r="251" spans="1:8" x14ac:dyDescent="0.25">
      <c r="A251" s="27">
        <v>77</v>
      </c>
      <c r="B251" s="27" t="s">
        <v>622</v>
      </c>
      <c r="C251" s="27" t="s">
        <v>625</v>
      </c>
      <c r="D251" s="5" t="s">
        <v>318</v>
      </c>
      <c r="E251" s="32" t="s">
        <v>5</v>
      </c>
      <c r="F251" s="14" t="str">
        <f t="shared" si="17"/>
        <v>https://docs.google.com/uc?export=download&amp;id=1lqjE8vbWlDsVfp27qJ59QD-PyxwYEtkB</v>
      </c>
      <c r="G251" s="9" t="str">
        <f t="shared" si="16"/>
        <v>1lqjE8vbWlDsVfp27qJ59QD-PyxwYEtkB</v>
      </c>
      <c r="H251" t="s">
        <v>1017</v>
      </c>
    </row>
    <row r="252" spans="1:8" hidden="1" x14ac:dyDescent="0.25">
      <c r="A252" s="28"/>
      <c r="B252" s="28" t="s">
        <v>622</v>
      </c>
      <c r="C252" s="28" t="s">
        <v>626</v>
      </c>
      <c r="D252" s="2" t="s">
        <v>319</v>
      </c>
      <c r="E252" s="33" t="s">
        <v>6</v>
      </c>
      <c r="F252" s="13" t="str">
        <f t="shared" si="17"/>
        <v/>
      </c>
      <c r="G252" s="9" t="str">
        <f t="shared" si="16"/>
        <v/>
      </c>
    </row>
    <row r="253" spans="1:8" hidden="1" x14ac:dyDescent="0.25">
      <c r="A253" s="27"/>
      <c r="B253" s="27" t="s">
        <v>627</v>
      </c>
      <c r="C253" s="27" t="s">
        <v>628</v>
      </c>
      <c r="D253" s="6" t="s">
        <v>629</v>
      </c>
      <c r="E253" s="31" t="s">
        <v>3</v>
      </c>
      <c r="F253" s="12" t="str">
        <f t="shared" si="17"/>
        <v/>
      </c>
      <c r="G253" s="9" t="str">
        <f t="shared" si="16"/>
        <v/>
      </c>
    </row>
    <row r="254" spans="1:8" x14ac:dyDescent="0.25">
      <c r="A254" s="27">
        <v>78</v>
      </c>
      <c r="B254" s="27" t="s">
        <v>627</v>
      </c>
      <c r="C254" s="27" t="s">
        <v>630</v>
      </c>
      <c r="D254" s="5" t="s">
        <v>320</v>
      </c>
      <c r="E254" s="32" t="s">
        <v>5</v>
      </c>
      <c r="F254" s="14" t="str">
        <f t="shared" si="17"/>
        <v>https://docs.google.com/uc?export=download&amp;id=1LGzHXXdNn7aMf1aYwjh_oKy0MEbz3HtT</v>
      </c>
      <c r="G254" s="9" t="str">
        <f t="shared" si="16"/>
        <v>1LGzHXXdNn7aMf1aYwjh_oKy0MEbz3HtT</v>
      </c>
      <c r="H254" t="s">
        <v>1018</v>
      </c>
    </row>
    <row r="255" spans="1:8" hidden="1" x14ac:dyDescent="0.25">
      <c r="A255" s="28"/>
      <c r="B255" s="28" t="s">
        <v>627</v>
      </c>
      <c r="C255" s="28" t="s">
        <v>631</v>
      </c>
      <c r="D255" s="2" t="s">
        <v>321</v>
      </c>
      <c r="E255" s="33" t="s">
        <v>6</v>
      </c>
      <c r="F255" s="13" t="str">
        <f t="shared" si="17"/>
        <v/>
      </c>
      <c r="G255" s="9" t="str">
        <f t="shared" si="16"/>
        <v/>
      </c>
    </row>
    <row r="256" spans="1:8" s="22" customFormat="1" hidden="1" x14ac:dyDescent="0.25">
      <c r="A256" s="26"/>
      <c r="B256" s="25" t="s">
        <v>632</v>
      </c>
      <c r="C256" s="26" t="s">
        <v>633</v>
      </c>
      <c r="D256" s="19" t="s">
        <v>634</v>
      </c>
      <c r="E256" s="30" t="s">
        <v>12</v>
      </c>
      <c r="F256" s="20" t="str">
        <f t="shared" si="17"/>
        <v/>
      </c>
      <c r="G256" s="9" t="str">
        <f t="shared" si="16"/>
        <v/>
      </c>
      <c r="H256"/>
    </row>
    <row r="257" spans="1:8" hidden="1" x14ac:dyDescent="0.25">
      <c r="A257" s="27"/>
      <c r="B257" s="27" t="s">
        <v>635</v>
      </c>
      <c r="C257" s="27" t="s">
        <v>636</v>
      </c>
      <c r="D257" s="6" t="s">
        <v>322</v>
      </c>
      <c r="E257" s="31" t="s">
        <v>3</v>
      </c>
      <c r="F257" s="12" t="str">
        <f t="shared" si="17"/>
        <v/>
      </c>
      <c r="G257" s="9" t="str">
        <f t="shared" si="16"/>
        <v/>
      </c>
    </row>
    <row r="258" spans="1:8" x14ac:dyDescent="0.25">
      <c r="A258" s="27">
        <v>79</v>
      </c>
      <c r="B258" s="27" t="s">
        <v>635</v>
      </c>
      <c r="C258" s="27" t="s">
        <v>637</v>
      </c>
      <c r="D258" s="5" t="s">
        <v>323</v>
      </c>
      <c r="E258" s="32" t="s">
        <v>5</v>
      </c>
      <c r="F258" s="14" t="str">
        <f t="shared" si="17"/>
        <v>https://docs.google.com/uc?export=download&amp;id=1wOxtgvCY2meQzB5Xwo-0UgV-SIHGx_B0</v>
      </c>
      <c r="G258" s="9" t="str">
        <f t="shared" si="16"/>
        <v>1wOxtgvCY2meQzB5Xwo-0UgV-SIHGx_B0</v>
      </c>
      <c r="H258" t="s">
        <v>1019</v>
      </c>
    </row>
    <row r="259" spans="1:8" hidden="1" x14ac:dyDescent="0.25">
      <c r="A259" s="28"/>
      <c r="B259" s="28" t="s">
        <v>635</v>
      </c>
      <c r="C259" s="28" t="s">
        <v>638</v>
      </c>
      <c r="D259" s="2" t="s">
        <v>324</v>
      </c>
      <c r="E259" s="33" t="s">
        <v>6</v>
      </c>
      <c r="F259" s="13" t="str">
        <f t="shared" si="17"/>
        <v/>
      </c>
      <c r="G259" s="9" t="str">
        <f t="shared" si="16"/>
        <v/>
      </c>
    </row>
    <row r="260" spans="1:8" hidden="1" x14ac:dyDescent="0.25">
      <c r="A260" s="27"/>
      <c r="B260" s="27" t="s">
        <v>639</v>
      </c>
      <c r="C260" s="27" t="s">
        <v>640</v>
      </c>
      <c r="D260" s="6" t="s">
        <v>641</v>
      </c>
      <c r="E260" s="31" t="s">
        <v>3</v>
      </c>
      <c r="F260" s="12" t="str">
        <f t="shared" si="17"/>
        <v/>
      </c>
      <c r="G260" s="9" t="str">
        <f t="shared" si="16"/>
        <v/>
      </c>
    </row>
    <row r="261" spans="1:8" x14ac:dyDescent="0.25">
      <c r="A261" s="27">
        <v>80</v>
      </c>
      <c r="B261" s="27" t="s">
        <v>639</v>
      </c>
      <c r="C261" s="27" t="s">
        <v>642</v>
      </c>
      <c r="D261" s="5" t="s">
        <v>325</v>
      </c>
      <c r="E261" s="32" t="s">
        <v>5</v>
      </c>
      <c r="F261" s="14" t="str">
        <f t="shared" si="17"/>
        <v>https://docs.google.com/uc?export=download&amp;id=1VGEJ_ePb9ZpAt23-LRTZ60-aqM9fNeFE</v>
      </c>
      <c r="G261" s="9" t="str">
        <f t="shared" si="16"/>
        <v>1VGEJ_ePb9ZpAt23-LRTZ60-aqM9fNeFE</v>
      </c>
      <c r="H261" t="s">
        <v>1020</v>
      </c>
    </row>
    <row r="262" spans="1:8" hidden="1" x14ac:dyDescent="0.25">
      <c r="A262" s="28"/>
      <c r="B262" s="28" t="s">
        <v>639</v>
      </c>
      <c r="C262" s="28" t="s">
        <v>643</v>
      </c>
      <c r="D262" s="2" t="s">
        <v>326</v>
      </c>
      <c r="E262" s="33" t="s">
        <v>6</v>
      </c>
      <c r="F262" s="13" t="str">
        <f t="shared" si="17"/>
        <v/>
      </c>
      <c r="G262" s="9" t="str">
        <f t="shared" ref="G262:G325" si="18">IFERROR(LEFT(RIGHT(H262,LEN(H262)-32),LEN(RIGHT(H262,LEN(H262)-32))-17),"")</f>
        <v/>
      </c>
    </row>
    <row r="263" spans="1:8" hidden="1" x14ac:dyDescent="0.25">
      <c r="A263" s="27"/>
      <c r="B263" s="27" t="s">
        <v>644</v>
      </c>
      <c r="C263" s="27" t="s">
        <v>645</v>
      </c>
      <c r="D263" s="6" t="s">
        <v>646</v>
      </c>
      <c r="E263" s="31" t="s">
        <v>3</v>
      </c>
      <c r="F263" s="12" t="str">
        <f t="shared" ref="F263:F326" si="19">IF(G263="","","https://docs.google.com/uc?export=download&amp;id="&amp;G263)</f>
        <v/>
      </c>
      <c r="G263" s="9" t="str">
        <f t="shared" si="18"/>
        <v/>
      </c>
    </row>
    <row r="264" spans="1:8" x14ac:dyDescent="0.25">
      <c r="A264" s="27">
        <v>81</v>
      </c>
      <c r="B264" s="27" t="s">
        <v>644</v>
      </c>
      <c r="C264" s="27" t="s">
        <v>647</v>
      </c>
      <c r="D264" s="5" t="s">
        <v>327</v>
      </c>
      <c r="E264" s="32" t="s">
        <v>5</v>
      </c>
      <c r="F264" s="14" t="str">
        <f t="shared" si="19"/>
        <v>https://docs.google.com/uc?export=download&amp;id=1VisbjVDN8NuQppWF4BeMClk-gqGTLXu2</v>
      </c>
      <c r="G264" s="9" t="str">
        <f t="shared" si="18"/>
        <v>1VisbjVDN8NuQppWF4BeMClk-gqGTLXu2</v>
      </c>
      <c r="H264" t="s">
        <v>1021</v>
      </c>
    </row>
    <row r="265" spans="1:8" hidden="1" x14ac:dyDescent="0.25">
      <c r="A265" s="28"/>
      <c r="B265" s="28" t="s">
        <v>644</v>
      </c>
      <c r="C265" s="28" t="s">
        <v>648</v>
      </c>
      <c r="D265" s="2" t="s">
        <v>328</v>
      </c>
      <c r="E265" s="33" t="s">
        <v>6</v>
      </c>
      <c r="F265" s="13" t="str">
        <f t="shared" si="19"/>
        <v/>
      </c>
      <c r="G265" s="9" t="str">
        <f t="shared" si="18"/>
        <v/>
      </c>
    </row>
    <row r="266" spans="1:8" s="22" customFormat="1" hidden="1" x14ac:dyDescent="0.25">
      <c r="A266" s="26"/>
      <c r="B266" s="25" t="s">
        <v>649</v>
      </c>
      <c r="C266" s="26" t="s">
        <v>650</v>
      </c>
      <c r="D266" s="19" t="s">
        <v>651</v>
      </c>
      <c r="E266" s="30" t="s">
        <v>12</v>
      </c>
      <c r="F266" s="20" t="str">
        <f t="shared" si="19"/>
        <v/>
      </c>
      <c r="G266" s="9" t="str">
        <f t="shared" si="18"/>
        <v/>
      </c>
      <c r="H266"/>
    </row>
    <row r="267" spans="1:8" hidden="1" x14ac:dyDescent="0.25">
      <c r="A267" s="27"/>
      <c r="B267" s="27" t="s">
        <v>652</v>
      </c>
      <c r="C267" s="27" t="s">
        <v>653</v>
      </c>
      <c r="D267" s="6" t="s">
        <v>654</v>
      </c>
      <c r="E267" s="31" t="s">
        <v>3</v>
      </c>
      <c r="F267" s="12" t="str">
        <f t="shared" si="19"/>
        <v/>
      </c>
      <c r="G267" s="9" t="str">
        <f t="shared" si="18"/>
        <v/>
      </c>
    </row>
    <row r="268" spans="1:8" x14ac:dyDescent="0.25">
      <c r="A268" s="27">
        <v>82</v>
      </c>
      <c r="B268" s="27" t="s">
        <v>652</v>
      </c>
      <c r="C268" s="27" t="s">
        <v>655</v>
      </c>
      <c r="D268" s="5" t="s">
        <v>329</v>
      </c>
      <c r="E268" s="32" t="s">
        <v>5</v>
      </c>
      <c r="F268" s="14" t="str">
        <f t="shared" si="19"/>
        <v>https://docs.google.com/uc?export=download&amp;id=1InVBXPyG4hXvWZej58DHNignPzH_c09o</v>
      </c>
      <c r="G268" s="9" t="str">
        <f t="shared" si="18"/>
        <v>1InVBXPyG4hXvWZej58DHNignPzH_c09o</v>
      </c>
      <c r="H268" t="s">
        <v>1022</v>
      </c>
    </row>
    <row r="269" spans="1:8" hidden="1" x14ac:dyDescent="0.25">
      <c r="A269" s="28"/>
      <c r="B269" s="28" t="s">
        <v>652</v>
      </c>
      <c r="C269" s="28" t="s">
        <v>656</v>
      </c>
      <c r="D269" s="2" t="s">
        <v>330</v>
      </c>
      <c r="E269" s="33" t="s">
        <v>6</v>
      </c>
      <c r="F269" s="13" t="str">
        <f t="shared" si="19"/>
        <v/>
      </c>
      <c r="G269" s="9" t="str">
        <f t="shared" si="18"/>
        <v/>
      </c>
    </row>
    <row r="270" spans="1:8" hidden="1" x14ac:dyDescent="0.25">
      <c r="A270" s="27"/>
      <c r="B270" s="27" t="s">
        <v>657</v>
      </c>
      <c r="C270" s="27" t="s">
        <v>658</v>
      </c>
      <c r="D270" s="6" t="s">
        <v>659</v>
      </c>
      <c r="E270" s="31" t="s">
        <v>3</v>
      </c>
      <c r="F270" s="12" t="str">
        <f t="shared" si="19"/>
        <v/>
      </c>
      <c r="G270" s="9" t="str">
        <f t="shared" si="18"/>
        <v/>
      </c>
    </row>
    <row r="271" spans="1:8" x14ac:dyDescent="0.25">
      <c r="A271" s="27">
        <v>83</v>
      </c>
      <c r="B271" s="27" t="s">
        <v>657</v>
      </c>
      <c r="C271" s="27" t="s">
        <v>660</v>
      </c>
      <c r="D271" s="5" t="s">
        <v>331</v>
      </c>
      <c r="E271" s="32" t="s">
        <v>5</v>
      </c>
      <c r="F271" s="14" t="str">
        <f t="shared" si="19"/>
        <v>https://docs.google.com/uc?export=download&amp;id=1hCo_0op89Gona-XORBAzaOMP8onqFvvh</v>
      </c>
      <c r="G271" s="9" t="str">
        <f t="shared" si="18"/>
        <v>1hCo_0op89Gona-XORBAzaOMP8onqFvvh</v>
      </c>
      <c r="H271" t="s">
        <v>1023</v>
      </c>
    </row>
    <row r="272" spans="1:8" hidden="1" x14ac:dyDescent="0.25">
      <c r="A272" s="28"/>
      <c r="B272" s="28" t="s">
        <v>657</v>
      </c>
      <c r="C272" s="28" t="s">
        <v>661</v>
      </c>
      <c r="D272" s="2" t="s">
        <v>332</v>
      </c>
      <c r="E272" s="33" t="s">
        <v>6</v>
      </c>
      <c r="F272" s="13" t="str">
        <f t="shared" si="19"/>
        <v/>
      </c>
      <c r="G272" s="9" t="str">
        <f t="shared" si="18"/>
        <v/>
      </c>
    </row>
    <row r="273" spans="1:8" hidden="1" x14ac:dyDescent="0.25">
      <c r="A273" s="27"/>
      <c r="B273" s="27" t="s">
        <v>662</v>
      </c>
      <c r="C273" s="27" t="s">
        <v>663</v>
      </c>
      <c r="D273" s="6" t="s">
        <v>664</v>
      </c>
      <c r="E273" s="31" t="s">
        <v>3</v>
      </c>
      <c r="F273" s="12" t="str">
        <f t="shared" si="19"/>
        <v/>
      </c>
      <c r="G273" s="9" t="str">
        <f t="shared" si="18"/>
        <v/>
      </c>
    </row>
    <row r="274" spans="1:8" x14ac:dyDescent="0.25">
      <c r="A274" s="27">
        <v>84</v>
      </c>
      <c r="B274" s="27" t="s">
        <v>662</v>
      </c>
      <c r="C274" s="27" t="s">
        <v>665</v>
      </c>
      <c r="D274" s="5" t="s">
        <v>333</v>
      </c>
      <c r="E274" s="32" t="s">
        <v>5</v>
      </c>
      <c r="F274" s="14" t="str">
        <f t="shared" si="19"/>
        <v>https://docs.google.com/uc?export=download&amp;id=1iAadEKLTjpG3m4kJyooeueCMatMz9ZMa</v>
      </c>
      <c r="G274" s="9" t="str">
        <f t="shared" si="18"/>
        <v>1iAadEKLTjpG3m4kJyooeueCMatMz9ZMa</v>
      </c>
      <c r="H274" t="s">
        <v>1024</v>
      </c>
    </row>
    <row r="275" spans="1:8" hidden="1" x14ac:dyDescent="0.25">
      <c r="A275" s="28"/>
      <c r="B275" s="28" t="s">
        <v>662</v>
      </c>
      <c r="C275" s="28" t="s">
        <v>666</v>
      </c>
      <c r="D275" s="2" t="s">
        <v>334</v>
      </c>
      <c r="E275" s="33" t="s">
        <v>6</v>
      </c>
      <c r="F275" s="13" t="str">
        <f t="shared" si="19"/>
        <v/>
      </c>
      <c r="G275" s="9" t="str">
        <f t="shared" si="18"/>
        <v/>
      </c>
    </row>
    <row r="276" spans="1:8" hidden="1" x14ac:dyDescent="0.25">
      <c r="A276" s="27"/>
      <c r="B276" s="27" t="s">
        <v>667</v>
      </c>
      <c r="C276" s="27" t="s">
        <v>668</v>
      </c>
      <c r="D276" s="6" t="s">
        <v>669</v>
      </c>
      <c r="E276" s="31" t="s">
        <v>3</v>
      </c>
      <c r="F276" s="12" t="str">
        <f t="shared" si="19"/>
        <v/>
      </c>
      <c r="G276" s="9" t="str">
        <f t="shared" si="18"/>
        <v/>
      </c>
    </row>
    <row r="277" spans="1:8" x14ac:dyDescent="0.25">
      <c r="A277" s="27">
        <v>85</v>
      </c>
      <c r="B277" s="27" t="s">
        <v>667</v>
      </c>
      <c r="C277" s="27" t="s">
        <v>670</v>
      </c>
      <c r="D277" s="5" t="s">
        <v>335</v>
      </c>
      <c r="E277" s="32" t="s">
        <v>5</v>
      </c>
      <c r="F277" s="14" t="str">
        <f t="shared" si="19"/>
        <v>https://docs.google.com/uc?export=download&amp;id=1wspGdIH1MBMaU-EAICMBPp-OxgLUi4rh</v>
      </c>
      <c r="G277" s="9" t="str">
        <f t="shared" si="18"/>
        <v>1wspGdIH1MBMaU-EAICMBPp-OxgLUi4rh</v>
      </c>
      <c r="H277" t="s">
        <v>1025</v>
      </c>
    </row>
    <row r="278" spans="1:8" hidden="1" x14ac:dyDescent="0.25">
      <c r="A278" s="28"/>
      <c r="B278" s="28" t="s">
        <v>667</v>
      </c>
      <c r="C278" s="28" t="s">
        <v>671</v>
      </c>
      <c r="D278" s="2" t="s">
        <v>336</v>
      </c>
      <c r="E278" s="33" t="s">
        <v>6</v>
      </c>
      <c r="F278" s="13" t="str">
        <f t="shared" si="19"/>
        <v/>
      </c>
      <c r="G278" s="9" t="str">
        <f t="shared" si="18"/>
        <v/>
      </c>
    </row>
    <row r="279" spans="1:8" hidden="1" x14ac:dyDescent="0.25">
      <c r="A279" s="27"/>
      <c r="B279" s="27" t="s">
        <v>672</v>
      </c>
      <c r="C279" s="27" t="s">
        <v>673</v>
      </c>
      <c r="D279" s="6" t="s">
        <v>674</v>
      </c>
      <c r="E279" s="31" t="s">
        <v>3</v>
      </c>
      <c r="F279" s="12" t="str">
        <f t="shared" si="19"/>
        <v/>
      </c>
      <c r="G279" s="9" t="str">
        <f t="shared" si="18"/>
        <v/>
      </c>
    </row>
    <row r="280" spans="1:8" x14ac:dyDescent="0.25">
      <c r="A280" s="27">
        <v>86</v>
      </c>
      <c r="B280" s="27" t="s">
        <v>672</v>
      </c>
      <c r="C280" s="27" t="s">
        <v>675</v>
      </c>
      <c r="D280" s="5" t="s">
        <v>337</v>
      </c>
      <c r="E280" s="32" t="s">
        <v>5</v>
      </c>
      <c r="F280" s="14" t="str">
        <f t="shared" si="19"/>
        <v>https://docs.google.com/uc?export=download&amp;id=1tL_nx2YbSeerz8Dp-VKix_onAfD1oZMb</v>
      </c>
      <c r="G280" s="9" t="str">
        <f t="shared" si="18"/>
        <v>1tL_nx2YbSeerz8Dp-VKix_onAfD1oZMb</v>
      </c>
      <c r="H280" t="s">
        <v>1026</v>
      </c>
    </row>
    <row r="281" spans="1:8" hidden="1" x14ac:dyDescent="0.25">
      <c r="A281" s="28"/>
      <c r="B281" s="28" t="s">
        <v>672</v>
      </c>
      <c r="C281" s="28" t="s">
        <v>676</v>
      </c>
      <c r="D281" s="2" t="s">
        <v>338</v>
      </c>
      <c r="E281" s="33" t="s">
        <v>6</v>
      </c>
      <c r="F281" s="13" t="str">
        <f t="shared" si="19"/>
        <v/>
      </c>
      <c r="G281" s="9" t="str">
        <f t="shared" si="18"/>
        <v/>
      </c>
    </row>
    <row r="282" spans="1:8" hidden="1" x14ac:dyDescent="0.25">
      <c r="A282" s="27"/>
      <c r="B282" s="27" t="s">
        <v>677</v>
      </c>
      <c r="C282" s="27" t="s">
        <v>678</v>
      </c>
      <c r="D282" s="6" t="s">
        <v>679</v>
      </c>
      <c r="E282" s="31" t="s">
        <v>3</v>
      </c>
      <c r="F282" s="12" t="str">
        <f t="shared" si="19"/>
        <v/>
      </c>
      <c r="G282" s="9" t="str">
        <f t="shared" si="18"/>
        <v/>
      </c>
    </row>
    <row r="283" spans="1:8" x14ac:dyDescent="0.25">
      <c r="A283" s="27">
        <v>87</v>
      </c>
      <c r="B283" s="27" t="s">
        <v>677</v>
      </c>
      <c r="C283" s="27" t="s">
        <v>680</v>
      </c>
      <c r="D283" s="5" t="s">
        <v>339</v>
      </c>
      <c r="E283" s="32" t="s">
        <v>5</v>
      </c>
      <c r="F283" s="14" t="str">
        <f t="shared" si="19"/>
        <v>https://docs.google.com/uc?export=download&amp;id=1MGnm4RSpNg7e_a-cVXFJ_n1xi8jnQozT</v>
      </c>
      <c r="G283" s="9" t="str">
        <f t="shared" si="18"/>
        <v>1MGnm4RSpNg7e_a-cVXFJ_n1xi8jnQozT</v>
      </c>
      <c r="H283" t="s">
        <v>1027</v>
      </c>
    </row>
    <row r="284" spans="1:8" hidden="1" x14ac:dyDescent="0.25">
      <c r="A284" s="28"/>
      <c r="B284" s="28" t="s">
        <v>677</v>
      </c>
      <c r="C284" s="28" t="s">
        <v>681</v>
      </c>
      <c r="D284" s="2" t="s">
        <v>340</v>
      </c>
      <c r="E284" s="33" t="s">
        <v>6</v>
      </c>
      <c r="F284" s="13" t="str">
        <f t="shared" si="19"/>
        <v/>
      </c>
      <c r="G284" s="9" t="str">
        <f t="shared" si="18"/>
        <v/>
      </c>
    </row>
    <row r="285" spans="1:8" s="22" customFormat="1" hidden="1" x14ac:dyDescent="0.25">
      <c r="A285" s="26"/>
      <c r="B285" s="25" t="s">
        <v>682</v>
      </c>
      <c r="C285" s="26" t="s">
        <v>683</v>
      </c>
      <c r="D285" s="19" t="s">
        <v>684</v>
      </c>
      <c r="E285" s="30" t="s">
        <v>12</v>
      </c>
      <c r="F285" s="20" t="str">
        <f t="shared" si="19"/>
        <v/>
      </c>
      <c r="G285" s="9" t="str">
        <f t="shared" si="18"/>
        <v/>
      </c>
      <c r="H285"/>
    </row>
    <row r="286" spans="1:8" hidden="1" x14ac:dyDescent="0.25">
      <c r="A286" s="27"/>
      <c r="B286" s="27" t="s">
        <v>685</v>
      </c>
      <c r="C286" s="27" t="s">
        <v>686</v>
      </c>
      <c r="D286" s="6" t="s">
        <v>687</v>
      </c>
      <c r="E286" s="31" t="s">
        <v>3</v>
      </c>
      <c r="F286" s="12" t="str">
        <f t="shared" si="19"/>
        <v/>
      </c>
      <c r="G286" s="9" t="str">
        <f t="shared" si="18"/>
        <v/>
      </c>
    </row>
    <row r="287" spans="1:8" x14ac:dyDescent="0.25">
      <c r="A287" s="27">
        <v>88</v>
      </c>
      <c r="B287" s="27" t="s">
        <v>685</v>
      </c>
      <c r="C287" s="27" t="s">
        <v>688</v>
      </c>
      <c r="D287" s="5" t="s">
        <v>341</v>
      </c>
      <c r="E287" s="32" t="s">
        <v>5</v>
      </c>
      <c r="F287" s="14" t="str">
        <f t="shared" si="19"/>
        <v>https://docs.google.com/uc?export=download&amp;id=1czYOvwsI04d5LteSfs-bxGQwEIY5ZIK3</v>
      </c>
      <c r="G287" s="9" t="str">
        <f t="shared" si="18"/>
        <v>1czYOvwsI04d5LteSfs-bxGQwEIY5ZIK3</v>
      </c>
      <c r="H287" t="s">
        <v>1032</v>
      </c>
    </row>
    <row r="288" spans="1:8" hidden="1" x14ac:dyDescent="0.25">
      <c r="A288" s="28"/>
      <c r="B288" s="28" t="s">
        <v>685</v>
      </c>
      <c r="C288" s="28" t="s">
        <v>689</v>
      </c>
      <c r="D288" s="2" t="s">
        <v>342</v>
      </c>
      <c r="E288" s="33" t="s">
        <v>6</v>
      </c>
      <c r="F288" s="13" t="str">
        <f t="shared" si="19"/>
        <v/>
      </c>
      <c r="G288" s="9" t="str">
        <f t="shared" si="18"/>
        <v/>
      </c>
    </row>
    <row r="289" spans="1:8" hidden="1" x14ac:dyDescent="0.25">
      <c r="A289" s="27"/>
      <c r="B289" s="27" t="s">
        <v>690</v>
      </c>
      <c r="C289" s="27" t="s">
        <v>691</v>
      </c>
      <c r="D289" s="6" t="s">
        <v>692</v>
      </c>
      <c r="E289" s="31" t="s">
        <v>3</v>
      </c>
      <c r="F289" s="12" t="str">
        <f t="shared" si="19"/>
        <v/>
      </c>
      <c r="G289" s="9" t="str">
        <f t="shared" si="18"/>
        <v/>
      </c>
    </row>
    <row r="290" spans="1:8" x14ac:dyDescent="0.25">
      <c r="A290" s="27">
        <v>89</v>
      </c>
      <c r="B290" s="27" t="s">
        <v>690</v>
      </c>
      <c r="C290" s="27" t="s">
        <v>693</v>
      </c>
      <c r="D290" s="5" t="s">
        <v>343</v>
      </c>
      <c r="E290" s="32" t="s">
        <v>5</v>
      </c>
      <c r="F290" s="14" t="str">
        <f t="shared" si="19"/>
        <v>https://docs.google.com/uc?export=download&amp;id=1be620DNIZ_syBbTz5AaMQ7kYJ9QrpXdV</v>
      </c>
      <c r="G290" s="9" t="str">
        <f t="shared" si="18"/>
        <v>1be620DNIZ_syBbTz5AaMQ7kYJ9QrpXdV</v>
      </c>
      <c r="H290" t="s">
        <v>1033</v>
      </c>
    </row>
    <row r="291" spans="1:8" hidden="1" x14ac:dyDescent="0.25">
      <c r="A291" s="28"/>
      <c r="B291" s="28" t="s">
        <v>690</v>
      </c>
      <c r="C291" s="28" t="s">
        <v>694</v>
      </c>
      <c r="D291" s="2" t="s">
        <v>344</v>
      </c>
      <c r="E291" s="33" t="s">
        <v>6</v>
      </c>
      <c r="F291" s="13" t="str">
        <f t="shared" si="19"/>
        <v/>
      </c>
      <c r="G291" s="9" t="str">
        <f t="shared" si="18"/>
        <v/>
      </c>
    </row>
    <row r="292" spans="1:8" hidden="1" x14ac:dyDescent="0.25">
      <c r="A292" s="27"/>
      <c r="B292" s="27" t="s">
        <v>695</v>
      </c>
      <c r="C292" s="27" t="s">
        <v>696</v>
      </c>
      <c r="D292" s="6" t="s">
        <v>697</v>
      </c>
      <c r="E292" s="31" t="s">
        <v>3</v>
      </c>
      <c r="F292" s="12" t="str">
        <f t="shared" si="19"/>
        <v/>
      </c>
      <c r="G292" s="9" t="str">
        <f t="shared" si="18"/>
        <v/>
      </c>
    </row>
    <row r="293" spans="1:8" x14ac:dyDescent="0.25">
      <c r="A293" s="27">
        <v>90</v>
      </c>
      <c r="B293" s="27" t="s">
        <v>695</v>
      </c>
      <c r="C293" s="27" t="s">
        <v>698</v>
      </c>
      <c r="D293" s="5" t="s">
        <v>345</v>
      </c>
      <c r="E293" s="32" t="s">
        <v>5</v>
      </c>
      <c r="F293" s="14" t="str">
        <f t="shared" si="19"/>
        <v>https://docs.google.com/uc?export=download&amp;id=1LJvaEPBRQTURRodBE0wvEnksbop7HdEe</v>
      </c>
      <c r="G293" s="9" t="str">
        <f t="shared" si="18"/>
        <v>1LJvaEPBRQTURRodBE0wvEnksbop7HdEe</v>
      </c>
      <c r="H293" t="s">
        <v>1034</v>
      </c>
    </row>
    <row r="294" spans="1:8" hidden="1" x14ac:dyDescent="0.25">
      <c r="A294" s="28"/>
      <c r="B294" s="28" t="s">
        <v>695</v>
      </c>
      <c r="C294" s="28" t="s">
        <v>699</v>
      </c>
      <c r="D294" s="2" t="s">
        <v>346</v>
      </c>
      <c r="E294" s="33" t="s">
        <v>6</v>
      </c>
      <c r="F294" s="13" t="str">
        <f t="shared" si="19"/>
        <v/>
      </c>
      <c r="G294" s="9" t="str">
        <f t="shared" si="18"/>
        <v/>
      </c>
    </row>
    <row r="295" spans="1:8" hidden="1" x14ac:dyDescent="0.25">
      <c r="A295" s="27"/>
      <c r="B295" s="27" t="s">
        <v>700</v>
      </c>
      <c r="C295" s="27" t="s">
        <v>701</v>
      </c>
      <c r="D295" s="6" t="s">
        <v>702</v>
      </c>
      <c r="E295" s="31" t="s">
        <v>3</v>
      </c>
      <c r="F295" s="12" t="str">
        <f t="shared" si="19"/>
        <v/>
      </c>
      <c r="G295" s="9" t="str">
        <f t="shared" si="18"/>
        <v/>
      </c>
    </row>
    <row r="296" spans="1:8" x14ac:dyDescent="0.25">
      <c r="A296" s="27">
        <v>91</v>
      </c>
      <c r="B296" s="27" t="s">
        <v>700</v>
      </c>
      <c r="C296" s="27" t="s">
        <v>703</v>
      </c>
      <c r="D296" s="5" t="s">
        <v>347</v>
      </c>
      <c r="E296" s="32" t="s">
        <v>5</v>
      </c>
      <c r="F296" s="14" t="str">
        <f t="shared" si="19"/>
        <v>https://docs.google.com/uc?export=download&amp;id=1BkasfBFKkdLB8ssLCjyHj5lZDYAvOm8Y</v>
      </c>
      <c r="G296" s="9" t="str">
        <f t="shared" si="18"/>
        <v>1BkasfBFKkdLB8ssLCjyHj5lZDYAvOm8Y</v>
      </c>
      <c r="H296" t="s">
        <v>1035</v>
      </c>
    </row>
    <row r="297" spans="1:8" hidden="1" x14ac:dyDescent="0.25">
      <c r="A297" s="28"/>
      <c r="B297" s="28" t="s">
        <v>700</v>
      </c>
      <c r="C297" s="28" t="s">
        <v>704</v>
      </c>
      <c r="D297" s="2" t="s">
        <v>348</v>
      </c>
      <c r="E297" s="33" t="s">
        <v>6</v>
      </c>
      <c r="F297" s="13" t="str">
        <f t="shared" si="19"/>
        <v/>
      </c>
      <c r="G297" s="9" t="str">
        <f t="shared" si="18"/>
        <v/>
      </c>
    </row>
    <row r="298" spans="1:8" hidden="1" x14ac:dyDescent="0.25">
      <c r="A298" s="27"/>
      <c r="B298" s="27" t="s">
        <v>705</v>
      </c>
      <c r="C298" s="27" t="s">
        <v>706</v>
      </c>
      <c r="D298" s="6" t="s">
        <v>707</v>
      </c>
      <c r="E298" s="31" t="s">
        <v>3</v>
      </c>
      <c r="F298" s="12" t="str">
        <f t="shared" si="19"/>
        <v/>
      </c>
      <c r="G298" s="9" t="str">
        <f t="shared" si="18"/>
        <v/>
      </c>
    </row>
    <row r="299" spans="1:8" x14ac:dyDescent="0.25">
      <c r="A299" s="27">
        <v>92</v>
      </c>
      <c r="B299" s="27" t="s">
        <v>705</v>
      </c>
      <c r="C299" s="27" t="s">
        <v>708</v>
      </c>
      <c r="D299" s="5" t="s">
        <v>349</v>
      </c>
      <c r="E299" s="32" t="s">
        <v>5</v>
      </c>
      <c r="F299" s="14" t="str">
        <f t="shared" si="19"/>
        <v>https://docs.google.com/uc?export=download&amp;id=17nYVkTQMZiGSOj4ElPRC66fgb05avZfM</v>
      </c>
      <c r="G299" s="9" t="str">
        <f t="shared" si="18"/>
        <v>17nYVkTQMZiGSOj4ElPRC66fgb05avZfM</v>
      </c>
      <c r="H299" t="s">
        <v>1036</v>
      </c>
    </row>
    <row r="300" spans="1:8" hidden="1" x14ac:dyDescent="0.25">
      <c r="A300" s="28"/>
      <c r="B300" s="28" t="s">
        <v>705</v>
      </c>
      <c r="C300" s="28" t="s">
        <v>709</v>
      </c>
      <c r="D300" s="2" t="s">
        <v>350</v>
      </c>
      <c r="E300" s="33" t="s">
        <v>6</v>
      </c>
      <c r="F300" s="13" t="str">
        <f t="shared" si="19"/>
        <v/>
      </c>
      <c r="G300" s="9" t="str">
        <f t="shared" si="18"/>
        <v/>
      </c>
    </row>
    <row r="301" spans="1:8" s="22" customFormat="1" hidden="1" x14ac:dyDescent="0.25">
      <c r="A301" s="26"/>
      <c r="B301" s="25" t="s">
        <v>710</v>
      </c>
      <c r="C301" s="26" t="s">
        <v>711</v>
      </c>
      <c r="D301" s="19" t="s">
        <v>712</v>
      </c>
      <c r="E301" s="30" t="s">
        <v>12</v>
      </c>
      <c r="F301" s="20" t="str">
        <f t="shared" si="19"/>
        <v/>
      </c>
      <c r="G301" s="9" t="str">
        <f t="shared" si="18"/>
        <v/>
      </c>
      <c r="H301"/>
    </row>
    <row r="302" spans="1:8" hidden="1" x14ac:dyDescent="0.25">
      <c r="A302" s="27"/>
      <c r="B302" s="27" t="s">
        <v>713</v>
      </c>
      <c r="C302" s="27" t="s">
        <v>714</v>
      </c>
      <c r="D302" s="6" t="s">
        <v>715</v>
      </c>
      <c r="E302" s="31" t="s">
        <v>3</v>
      </c>
      <c r="F302" s="12" t="str">
        <f t="shared" si="19"/>
        <v/>
      </c>
      <c r="G302" s="9" t="str">
        <f t="shared" si="18"/>
        <v/>
      </c>
    </row>
    <row r="303" spans="1:8" x14ac:dyDescent="0.25">
      <c r="A303" s="27">
        <v>93</v>
      </c>
      <c r="B303" s="27" t="s">
        <v>713</v>
      </c>
      <c r="C303" s="27" t="s">
        <v>716</v>
      </c>
      <c r="D303" s="5" t="s">
        <v>351</v>
      </c>
      <c r="E303" s="32" t="s">
        <v>5</v>
      </c>
      <c r="F303" s="14" t="str">
        <f t="shared" si="19"/>
        <v>https://docs.google.com/uc?export=download&amp;id=17E7wq-9FSey5oy1xHNymv5dsp5RDZNYf</v>
      </c>
      <c r="G303" s="9" t="str">
        <f t="shared" si="18"/>
        <v>17E7wq-9FSey5oy1xHNymv5dsp5RDZNYf</v>
      </c>
      <c r="H303" t="s">
        <v>1037</v>
      </c>
    </row>
    <row r="304" spans="1:8" hidden="1" x14ac:dyDescent="0.25">
      <c r="A304" s="28"/>
      <c r="B304" s="28" t="s">
        <v>713</v>
      </c>
      <c r="C304" s="28" t="s">
        <v>717</v>
      </c>
      <c r="D304" s="2" t="s">
        <v>352</v>
      </c>
      <c r="E304" s="33" t="s">
        <v>6</v>
      </c>
      <c r="F304" s="13" t="str">
        <f t="shared" si="19"/>
        <v/>
      </c>
      <c r="G304" s="9" t="str">
        <f t="shared" si="18"/>
        <v/>
      </c>
    </row>
    <row r="305" spans="1:8" hidden="1" x14ac:dyDescent="0.25">
      <c r="A305" s="27"/>
      <c r="B305" s="27" t="s">
        <v>718</v>
      </c>
      <c r="C305" s="27" t="s">
        <v>719</v>
      </c>
      <c r="D305" s="6" t="s">
        <v>720</v>
      </c>
      <c r="E305" s="31" t="s">
        <v>3</v>
      </c>
      <c r="F305" s="12" t="str">
        <f t="shared" si="19"/>
        <v/>
      </c>
      <c r="G305" s="9" t="str">
        <f t="shared" si="18"/>
        <v/>
      </c>
    </row>
    <row r="306" spans="1:8" x14ac:dyDescent="0.25">
      <c r="A306" s="27">
        <v>94</v>
      </c>
      <c r="B306" s="27" t="s">
        <v>718</v>
      </c>
      <c r="C306" s="27" t="s">
        <v>721</v>
      </c>
      <c r="D306" s="5" t="s">
        <v>353</v>
      </c>
      <c r="E306" s="32" t="s">
        <v>5</v>
      </c>
      <c r="F306" s="14" t="str">
        <f t="shared" si="19"/>
        <v>https://docs.google.com/uc?export=download&amp;id=14BZUK7k0mLMYGwBFQsnq8m9vbokqlmGQ</v>
      </c>
      <c r="G306" s="9" t="str">
        <f t="shared" si="18"/>
        <v>14BZUK7k0mLMYGwBFQsnq8m9vbokqlmGQ</v>
      </c>
      <c r="H306" t="s">
        <v>1038</v>
      </c>
    </row>
    <row r="307" spans="1:8" hidden="1" x14ac:dyDescent="0.25">
      <c r="A307" s="28"/>
      <c r="B307" s="28" t="s">
        <v>718</v>
      </c>
      <c r="C307" s="28" t="s">
        <v>722</v>
      </c>
      <c r="D307" s="2" t="s">
        <v>354</v>
      </c>
      <c r="E307" s="33" t="s">
        <v>6</v>
      </c>
      <c r="F307" s="13" t="str">
        <f t="shared" si="19"/>
        <v/>
      </c>
      <c r="G307" s="9" t="str">
        <f t="shared" si="18"/>
        <v/>
      </c>
    </row>
    <row r="308" spans="1:8" hidden="1" x14ac:dyDescent="0.25">
      <c r="A308" s="27"/>
      <c r="B308" s="27" t="s">
        <v>723</v>
      </c>
      <c r="C308" s="27" t="s">
        <v>724</v>
      </c>
      <c r="D308" s="6" t="s">
        <v>725</v>
      </c>
      <c r="E308" s="31" t="s">
        <v>3</v>
      </c>
      <c r="F308" s="12" t="str">
        <f t="shared" si="19"/>
        <v/>
      </c>
      <c r="G308" s="9" t="str">
        <f t="shared" si="18"/>
        <v/>
      </c>
    </row>
    <row r="309" spans="1:8" x14ac:dyDescent="0.25">
      <c r="A309" s="27">
        <v>95</v>
      </c>
      <c r="B309" s="27" t="s">
        <v>723</v>
      </c>
      <c r="C309" s="27" t="s">
        <v>726</v>
      </c>
      <c r="D309" s="5" t="s">
        <v>355</v>
      </c>
      <c r="E309" s="32" t="s">
        <v>5</v>
      </c>
      <c r="F309" s="14" t="str">
        <f t="shared" si="19"/>
        <v>https://docs.google.com/uc?export=download&amp;id=1lUYh7nMRoktu7BmrIETK4NDCCKP6Ix32</v>
      </c>
      <c r="G309" s="9" t="str">
        <f t="shared" si="18"/>
        <v>1lUYh7nMRoktu7BmrIETK4NDCCKP6Ix32</v>
      </c>
      <c r="H309" t="s">
        <v>1039</v>
      </c>
    </row>
    <row r="310" spans="1:8" hidden="1" x14ac:dyDescent="0.25">
      <c r="A310" s="28"/>
      <c r="B310" s="28" t="s">
        <v>723</v>
      </c>
      <c r="C310" s="28" t="s">
        <v>727</v>
      </c>
      <c r="D310" s="2" t="s">
        <v>356</v>
      </c>
      <c r="E310" s="33" t="s">
        <v>6</v>
      </c>
      <c r="F310" s="13" t="str">
        <f t="shared" si="19"/>
        <v/>
      </c>
      <c r="G310" s="9" t="str">
        <f t="shared" si="18"/>
        <v/>
      </c>
    </row>
    <row r="311" spans="1:8" s="22" customFormat="1" hidden="1" x14ac:dyDescent="0.25">
      <c r="A311" s="26"/>
      <c r="B311" s="25" t="s">
        <v>728</v>
      </c>
      <c r="C311" s="26" t="s">
        <v>729</v>
      </c>
      <c r="D311" s="19" t="s">
        <v>730</v>
      </c>
      <c r="E311" s="30" t="s">
        <v>12</v>
      </c>
      <c r="F311" s="20" t="str">
        <f t="shared" si="19"/>
        <v/>
      </c>
      <c r="G311" s="9" t="str">
        <f t="shared" si="18"/>
        <v/>
      </c>
      <c r="H311"/>
    </row>
    <row r="312" spans="1:8" hidden="1" x14ac:dyDescent="0.25">
      <c r="A312" s="27"/>
      <c r="B312" s="27" t="s">
        <v>731</v>
      </c>
      <c r="C312" s="27" t="s">
        <v>732</v>
      </c>
      <c r="D312" s="6" t="s">
        <v>733</v>
      </c>
      <c r="E312" s="31" t="s">
        <v>3</v>
      </c>
      <c r="F312" s="12" t="str">
        <f t="shared" si="19"/>
        <v/>
      </c>
      <c r="G312" s="9" t="str">
        <f t="shared" si="18"/>
        <v/>
      </c>
    </row>
    <row r="313" spans="1:8" x14ac:dyDescent="0.25">
      <c r="A313" s="27">
        <v>96</v>
      </c>
      <c r="B313" s="27" t="s">
        <v>731</v>
      </c>
      <c r="C313" s="27" t="s">
        <v>734</v>
      </c>
      <c r="D313" s="5" t="s">
        <v>357</v>
      </c>
      <c r="E313" s="32" t="s">
        <v>5</v>
      </c>
      <c r="F313" s="14" t="str">
        <f t="shared" si="19"/>
        <v>https://docs.google.com/uc?export=download&amp;id=1iukIZagXwJ22oBa-PK7iUd-y6xkBM5l6</v>
      </c>
      <c r="G313" s="9" t="str">
        <f t="shared" si="18"/>
        <v>1iukIZagXwJ22oBa-PK7iUd-y6xkBM5l6</v>
      </c>
      <c r="H313" t="s">
        <v>1040</v>
      </c>
    </row>
    <row r="314" spans="1:8" hidden="1" x14ac:dyDescent="0.25">
      <c r="A314" s="28"/>
      <c r="B314" s="28" t="s">
        <v>731</v>
      </c>
      <c r="C314" s="28" t="s">
        <v>735</v>
      </c>
      <c r="D314" s="2" t="s">
        <v>358</v>
      </c>
      <c r="E314" s="33" t="s">
        <v>6</v>
      </c>
      <c r="F314" s="13" t="str">
        <f t="shared" si="19"/>
        <v/>
      </c>
      <c r="G314" s="9" t="str">
        <f t="shared" si="18"/>
        <v/>
      </c>
    </row>
    <row r="315" spans="1:8" hidden="1" x14ac:dyDescent="0.25">
      <c r="A315" s="27"/>
      <c r="B315" s="27" t="s">
        <v>736</v>
      </c>
      <c r="C315" s="27" t="s">
        <v>737</v>
      </c>
      <c r="D315" s="6" t="s">
        <v>738</v>
      </c>
      <c r="E315" s="31" t="s">
        <v>3</v>
      </c>
      <c r="F315" s="12" t="str">
        <f t="shared" si="19"/>
        <v/>
      </c>
      <c r="G315" s="9" t="str">
        <f t="shared" si="18"/>
        <v/>
      </c>
    </row>
    <row r="316" spans="1:8" x14ac:dyDescent="0.25">
      <c r="A316" s="27">
        <v>97</v>
      </c>
      <c r="B316" s="27" t="s">
        <v>736</v>
      </c>
      <c r="C316" s="27" t="s">
        <v>739</v>
      </c>
      <c r="D316" s="5" t="s">
        <v>359</v>
      </c>
      <c r="E316" s="32" t="s">
        <v>5</v>
      </c>
      <c r="F316" s="14" t="str">
        <f t="shared" si="19"/>
        <v>https://docs.google.com/uc?export=download&amp;id=1jeYH4e0CiU7UMx0ungHA32km1a_Z9FJT</v>
      </c>
      <c r="G316" s="9" t="str">
        <f t="shared" si="18"/>
        <v>1jeYH4e0CiU7UMx0ungHA32km1a_Z9FJT</v>
      </c>
      <c r="H316" t="s">
        <v>1041</v>
      </c>
    </row>
    <row r="317" spans="1:8" hidden="1" x14ac:dyDescent="0.25">
      <c r="A317" s="28"/>
      <c r="B317" s="28" t="s">
        <v>736</v>
      </c>
      <c r="C317" s="28" t="s">
        <v>740</v>
      </c>
      <c r="D317" s="2" t="s">
        <v>360</v>
      </c>
      <c r="E317" s="33" t="s">
        <v>6</v>
      </c>
      <c r="F317" s="13" t="str">
        <f t="shared" si="19"/>
        <v/>
      </c>
      <c r="G317" s="9" t="str">
        <f t="shared" si="18"/>
        <v/>
      </c>
    </row>
    <row r="318" spans="1:8" hidden="1" x14ac:dyDescent="0.25">
      <c r="A318" s="27"/>
      <c r="B318" s="27" t="s">
        <v>741</v>
      </c>
      <c r="C318" s="27" t="s">
        <v>742</v>
      </c>
      <c r="D318" s="6" t="s">
        <v>743</v>
      </c>
      <c r="E318" s="31" t="s">
        <v>3</v>
      </c>
      <c r="F318" s="12" t="str">
        <f t="shared" si="19"/>
        <v/>
      </c>
      <c r="G318" s="9" t="str">
        <f t="shared" si="18"/>
        <v/>
      </c>
    </row>
    <row r="319" spans="1:8" x14ac:dyDescent="0.25">
      <c r="A319" s="27">
        <v>98</v>
      </c>
      <c r="B319" s="27" t="s">
        <v>741</v>
      </c>
      <c r="C319" s="27" t="s">
        <v>744</v>
      </c>
      <c r="D319" s="5" t="s">
        <v>361</v>
      </c>
      <c r="E319" s="32" t="s">
        <v>5</v>
      </c>
      <c r="F319" s="14" t="str">
        <f t="shared" si="19"/>
        <v>https://docs.google.com/uc?export=download&amp;id=14Tf2FTC0euEgdO2lkVAMlLocN15pVEyg</v>
      </c>
      <c r="G319" s="9" t="str">
        <f t="shared" si="18"/>
        <v>14Tf2FTC0euEgdO2lkVAMlLocN15pVEyg</v>
      </c>
      <c r="H319" t="s">
        <v>1042</v>
      </c>
    </row>
    <row r="320" spans="1:8" hidden="1" x14ac:dyDescent="0.25">
      <c r="A320" s="28"/>
      <c r="B320" s="28" t="s">
        <v>741</v>
      </c>
      <c r="C320" s="28" t="s">
        <v>745</v>
      </c>
      <c r="D320" s="2" t="s">
        <v>362</v>
      </c>
      <c r="E320" s="33" t="s">
        <v>6</v>
      </c>
      <c r="F320" s="13" t="str">
        <f t="shared" si="19"/>
        <v/>
      </c>
      <c r="G320" s="9" t="str">
        <f t="shared" si="18"/>
        <v/>
      </c>
    </row>
    <row r="321" spans="1:8" hidden="1" x14ac:dyDescent="0.25">
      <c r="A321" s="27"/>
      <c r="B321" s="27" t="s">
        <v>746</v>
      </c>
      <c r="C321" s="27" t="s">
        <v>747</v>
      </c>
      <c r="D321" s="6" t="s">
        <v>748</v>
      </c>
      <c r="E321" s="31" t="s">
        <v>3</v>
      </c>
      <c r="F321" s="12" t="str">
        <f t="shared" si="19"/>
        <v/>
      </c>
      <c r="G321" s="9" t="str">
        <f t="shared" si="18"/>
        <v/>
      </c>
    </row>
    <row r="322" spans="1:8" x14ac:dyDescent="0.25">
      <c r="A322" s="27">
        <v>99</v>
      </c>
      <c r="B322" s="27" t="s">
        <v>746</v>
      </c>
      <c r="C322" s="27" t="s">
        <v>749</v>
      </c>
      <c r="D322" s="5" t="s">
        <v>363</v>
      </c>
      <c r="E322" s="32" t="s">
        <v>5</v>
      </c>
      <c r="F322" s="14" t="str">
        <f t="shared" si="19"/>
        <v>https://docs.google.com/uc?export=download&amp;id=1QT1x-s3YbvOrK0Pihg3IRwjtXjaSlrO7</v>
      </c>
      <c r="G322" s="9" t="str">
        <f t="shared" si="18"/>
        <v>1QT1x-s3YbvOrK0Pihg3IRwjtXjaSlrO7</v>
      </c>
      <c r="H322" t="s">
        <v>1043</v>
      </c>
    </row>
    <row r="323" spans="1:8" hidden="1" x14ac:dyDescent="0.25">
      <c r="A323" s="28"/>
      <c r="B323" s="28" t="s">
        <v>746</v>
      </c>
      <c r="C323" s="28" t="s">
        <v>750</v>
      </c>
      <c r="D323" s="2" t="s">
        <v>364</v>
      </c>
      <c r="E323" s="33" t="s">
        <v>6</v>
      </c>
      <c r="F323" s="13" t="str">
        <f t="shared" si="19"/>
        <v/>
      </c>
      <c r="G323" s="9" t="str">
        <f t="shared" si="18"/>
        <v/>
      </c>
    </row>
    <row r="324" spans="1:8" s="22" customFormat="1" hidden="1" x14ac:dyDescent="0.25">
      <c r="A324" s="26"/>
      <c r="B324" s="25" t="s">
        <v>751</v>
      </c>
      <c r="C324" s="26" t="s">
        <v>752</v>
      </c>
      <c r="D324" s="19" t="s">
        <v>753</v>
      </c>
      <c r="E324" s="30" t="s">
        <v>12</v>
      </c>
      <c r="F324" s="20" t="str">
        <f t="shared" si="19"/>
        <v/>
      </c>
      <c r="G324" s="9" t="str">
        <f t="shared" si="18"/>
        <v/>
      </c>
      <c r="H324"/>
    </row>
    <row r="325" spans="1:8" hidden="1" x14ac:dyDescent="0.25">
      <c r="A325" s="27"/>
      <c r="B325" s="27" t="s">
        <v>754</v>
      </c>
      <c r="C325" s="27" t="s">
        <v>755</v>
      </c>
      <c r="D325" s="6" t="s">
        <v>756</v>
      </c>
      <c r="E325" s="31" t="s">
        <v>3</v>
      </c>
      <c r="F325" s="12" t="str">
        <f t="shared" si="19"/>
        <v/>
      </c>
      <c r="G325" s="9" t="str">
        <f t="shared" si="18"/>
        <v/>
      </c>
    </row>
    <row r="326" spans="1:8" x14ac:dyDescent="0.25">
      <c r="A326" s="27">
        <v>100</v>
      </c>
      <c r="B326" s="27" t="s">
        <v>754</v>
      </c>
      <c r="C326" s="27" t="s">
        <v>757</v>
      </c>
      <c r="D326" s="5" t="s">
        <v>365</v>
      </c>
      <c r="E326" s="32" t="s">
        <v>5</v>
      </c>
      <c r="F326" s="14" t="str">
        <f t="shared" si="19"/>
        <v>https://docs.google.com/uc?export=download&amp;id=16ujJ1fDwCxd9mcT6PjJ95HV-IlcYVT-I</v>
      </c>
      <c r="G326" s="9" t="str">
        <f t="shared" ref="G326:G389" si="20">IFERROR(LEFT(RIGHT(H326,LEN(H326)-32),LEN(RIGHT(H326,LEN(H326)-32))-17),"")</f>
        <v>16ujJ1fDwCxd9mcT6PjJ95HV-IlcYVT-I</v>
      </c>
      <c r="H326" t="s">
        <v>1044</v>
      </c>
    </row>
    <row r="327" spans="1:8" hidden="1" x14ac:dyDescent="0.25">
      <c r="A327" s="28"/>
      <c r="B327" s="28" t="s">
        <v>754</v>
      </c>
      <c r="C327" s="28" t="s">
        <v>758</v>
      </c>
      <c r="D327" s="2" t="s">
        <v>366</v>
      </c>
      <c r="E327" s="33" t="s">
        <v>6</v>
      </c>
      <c r="F327" s="13" t="str">
        <f t="shared" ref="F327:F390" si="21">IF(G327="","","https://docs.google.com/uc?export=download&amp;id="&amp;G327)</f>
        <v/>
      </c>
      <c r="G327" s="9" t="str">
        <f t="shared" si="20"/>
        <v/>
      </c>
    </row>
    <row r="328" spans="1:8" hidden="1" x14ac:dyDescent="0.25">
      <c r="A328" s="27"/>
      <c r="B328" s="27" t="s">
        <v>759</v>
      </c>
      <c r="C328" s="27" t="s">
        <v>760</v>
      </c>
      <c r="D328" s="6" t="s">
        <v>761</v>
      </c>
      <c r="E328" s="31" t="s">
        <v>3</v>
      </c>
      <c r="F328" s="12" t="str">
        <f t="shared" si="21"/>
        <v/>
      </c>
      <c r="G328" s="9" t="str">
        <f t="shared" si="20"/>
        <v/>
      </c>
    </row>
    <row r="329" spans="1:8" x14ac:dyDescent="0.25">
      <c r="A329" s="27">
        <v>101</v>
      </c>
      <c r="B329" s="27" t="s">
        <v>759</v>
      </c>
      <c r="C329" s="27" t="s">
        <v>762</v>
      </c>
      <c r="D329" s="5" t="s">
        <v>367</v>
      </c>
      <c r="E329" s="32" t="s">
        <v>5</v>
      </c>
      <c r="F329" s="14" t="str">
        <f t="shared" si="21"/>
        <v>https://docs.google.com/uc?export=download&amp;id=1Ug0h5Z_SNSiZE74eH7qWPWuzPuBrM6QQ</v>
      </c>
      <c r="G329" s="9" t="str">
        <f t="shared" si="20"/>
        <v>1Ug0h5Z_SNSiZE74eH7qWPWuzPuBrM6QQ</v>
      </c>
      <c r="H329" t="s">
        <v>1045</v>
      </c>
    </row>
    <row r="330" spans="1:8" hidden="1" x14ac:dyDescent="0.25">
      <c r="A330" s="28"/>
      <c r="B330" s="28" t="s">
        <v>759</v>
      </c>
      <c r="C330" s="28" t="s">
        <v>763</v>
      </c>
      <c r="D330" s="2" t="s">
        <v>368</v>
      </c>
      <c r="E330" s="33" t="s">
        <v>6</v>
      </c>
      <c r="F330" s="13" t="str">
        <f t="shared" si="21"/>
        <v/>
      </c>
      <c r="G330" s="9" t="str">
        <f t="shared" si="20"/>
        <v/>
      </c>
    </row>
    <row r="331" spans="1:8" hidden="1" x14ac:dyDescent="0.25">
      <c r="A331" s="27"/>
      <c r="B331" s="27" t="s">
        <v>764</v>
      </c>
      <c r="C331" s="27" t="s">
        <v>765</v>
      </c>
      <c r="D331" s="6" t="s">
        <v>766</v>
      </c>
      <c r="E331" s="31" t="s">
        <v>3</v>
      </c>
      <c r="F331" s="12" t="str">
        <f t="shared" si="21"/>
        <v/>
      </c>
      <c r="G331" s="9" t="str">
        <f t="shared" si="20"/>
        <v/>
      </c>
    </row>
    <row r="332" spans="1:8" x14ac:dyDescent="0.25">
      <c r="A332" s="27">
        <v>102</v>
      </c>
      <c r="B332" s="27" t="s">
        <v>764</v>
      </c>
      <c r="C332" s="27" t="s">
        <v>767</v>
      </c>
      <c r="D332" s="5" t="s">
        <v>369</v>
      </c>
      <c r="E332" s="32" t="s">
        <v>5</v>
      </c>
      <c r="F332" s="14" t="str">
        <f t="shared" si="21"/>
        <v>https://docs.google.com/uc?export=download&amp;id=1GKy-WnEc00910-MmOpGzxOJHrfhm6BcN</v>
      </c>
      <c r="G332" s="9" t="str">
        <f t="shared" si="20"/>
        <v>1GKy-WnEc00910-MmOpGzxOJHrfhm6BcN</v>
      </c>
      <c r="H332" t="s">
        <v>1046</v>
      </c>
    </row>
    <row r="333" spans="1:8" hidden="1" x14ac:dyDescent="0.25">
      <c r="A333" s="28"/>
      <c r="B333" s="28" t="s">
        <v>764</v>
      </c>
      <c r="C333" s="28" t="s">
        <v>768</v>
      </c>
      <c r="D333" s="2" t="s">
        <v>370</v>
      </c>
      <c r="E333" s="33" t="s">
        <v>6</v>
      </c>
      <c r="F333" s="13" t="str">
        <f t="shared" si="21"/>
        <v/>
      </c>
      <c r="G333" s="9" t="str">
        <f t="shared" si="20"/>
        <v/>
      </c>
    </row>
    <row r="334" spans="1:8" hidden="1" x14ac:dyDescent="0.25">
      <c r="A334" s="27"/>
      <c r="B334" s="27" t="s">
        <v>769</v>
      </c>
      <c r="C334" s="27" t="s">
        <v>770</v>
      </c>
      <c r="D334" s="6" t="s">
        <v>771</v>
      </c>
      <c r="E334" s="31" t="s">
        <v>3</v>
      </c>
      <c r="F334" s="12" t="str">
        <f t="shared" si="21"/>
        <v/>
      </c>
      <c r="G334" s="9" t="str">
        <f t="shared" si="20"/>
        <v/>
      </c>
    </row>
    <row r="335" spans="1:8" x14ac:dyDescent="0.25">
      <c r="A335" s="27">
        <v>103</v>
      </c>
      <c r="B335" s="27" t="s">
        <v>769</v>
      </c>
      <c r="C335" s="27" t="s">
        <v>772</v>
      </c>
      <c r="D335" s="5" t="s">
        <v>371</v>
      </c>
      <c r="E335" s="32" t="s">
        <v>5</v>
      </c>
      <c r="F335" s="14" t="str">
        <f t="shared" si="21"/>
        <v>https://docs.google.com/uc?export=download&amp;id=19OkvcNwSIsKIc_8RwVkqBLLcreuEbi3z</v>
      </c>
      <c r="G335" s="9" t="str">
        <f t="shared" si="20"/>
        <v>19OkvcNwSIsKIc_8RwVkqBLLcreuEbi3z</v>
      </c>
      <c r="H335" t="s">
        <v>1047</v>
      </c>
    </row>
    <row r="336" spans="1:8" hidden="1" x14ac:dyDescent="0.25">
      <c r="A336" s="28"/>
      <c r="B336" s="28" t="s">
        <v>769</v>
      </c>
      <c r="C336" s="28" t="s">
        <v>773</v>
      </c>
      <c r="D336" s="2" t="s">
        <v>372</v>
      </c>
      <c r="E336" s="33" t="s">
        <v>6</v>
      </c>
      <c r="F336" s="13" t="str">
        <f t="shared" si="21"/>
        <v/>
      </c>
      <c r="G336" s="9" t="str">
        <f t="shared" si="20"/>
        <v/>
      </c>
    </row>
    <row r="337" spans="1:8" s="22" customFormat="1" hidden="1" x14ac:dyDescent="0.25">
      <c r="A337" s="26"/>
      <c r="B337" s="25" t="s">
        <v>774</v>
      </c>
      <c r="C337" s="26" t="s">
        <v>775</v>
      </c>
      <c r="D337" s="19" t="s">
        <v>776</v>
      </c>
      <c r="E337" s="30" t="s">
        <v>12</v>
      </c>
      <c r="F337" s="20" t="str">
        <f t="shared" si="21"/>
        <v/>
      </c>
      <c r="G337" s="9" t="str">
        <f t="shared" si="20"/>
        <v/>
      </c>
      <c r="H337"/>
    </row>
    <row r="338" spans="1:8" hidden="1" x14ac:dyDescent="0.25">
      <c r="A338" s="27"/>
      <c r="B338" s="27" t="s">
        <v>777</v>
      </c>
      <c r="C338" s="27" t="s">
        <v>778</v>
      </c>
      <c r="D338" s="6" t="s">
        <v>779</v>
      </c>
      <c r="E338" s="31" t="s">
        <v>3</v>
      </c>
      <c r="F338" s="12" t="str">
        <f t="shared" si="21"/>
        <v/>
      </c>
      <c r="G338" s="9" t="str">
        <f t="shared" si="20"/>
        <v/>
      </c>
    </row>
    <row r="339" spans="1:8" x14ac:dyDescent="0.25">
      <c r="A339" s="27">
        <v>104</v>
      </c>
      <c r="B339" s="27" t="s">
        <v>777</v>
      </c>
      <c r="C339" s="27" t="s">
        <v>780</v>
      </c>
      <c r="D339" s="5" t="s">
        <v>373</v>
      </c>
      <c r="E339" s="32" t="s">
        <v>5</v>
      </c>
      <c r="F339" s="14" t="str">
        <f t="shared" si="21"/>
        <v>https://docs.google.com/uc?export=download&amp;id=1OGTraXkMJZNbWLtCInn6dtc003rdpRfD</v>
      </c>
      <c r="G339" s="9" t="str">
        <f t="shared" si="20"/>
        <v>1OGTraXkMJZNbWLtCInn6dtc003rdpRfD</v>
      </c>
      <c r="H339" t="s">
        <v>1048</v>
      </c>
    </row>
    <row r="340" spans="1:8" hidden="1" x14ac:dyDescent="0.25">
      <c r="A340" s="28"/>
      <c r="B340" s="28" t="s">
        <v>777</v>
      </c>
      <c r="C340" s="28" t="s">
        <v>781</v>
      </c>
      <c r="D340" s="2" t="s">
        <v>374</v>
      </c>
      <c r="E340" s="33" t="s">
        <v>6</v>
      </c>
      <c r="F340" s="13" t="str">
        <f t="shared" si="21"/>
        <v/>
      </c>
      <c r="G340" s="9" t="str">
        <f t="shared" si="20"/>
        <v/>
      </c>
    </row>
    <row r="341" spans="1:8" hidden="1" x14ac:dyDescent="0.25">
      <c r="A341" s="27"/>
      <c r="B341" s="27" t="s">
        <v>782</v>
      </c>
      <c r="C341" s="27" t="s">
        <v>783</v>
      </c>
      <c r="D341" s="6" t="s">
        <v>784</v>
      </c>
      <c r="E341" s="31" t="s">
        <v>3</v>
      </c>
      <c r="F341" s="12" t="str">
        <f t="shared" si="21"/>
        <v/>
      </c>
      <c r="G341" s="9" t="str">
        <f t="shared" si="20"/>
        <v/>
      </c>
    </row>
    <row r="342" spans="1:8" x14ac:dyDescent="0.25">
      <c r="A342" s="27">
        <v>105</v>
      </c>
      <c r="B342" s="27" t="s">
        <v>782</v>
      </c>
      <c r="C342" s="27" t="s">
        <v>785</v>
      </c>
      <c r="D342" s="5" t="s">
        <v>375</v>
      </c>
      <c r="E342" s="32" t="s">
        <v>5</v>
      </c>
      <c r="F342" s="14" t="str">
        <f t="shared" si="21"/>
        <v>https://docs.google.com/uc?export=download&amp;id=1qleUx1GBCSPzR6rexG2V_HtfG1631chc</v>
      </c>
      <c r="G342" s="9" t="str">
        <f t="shared" si="20"/>
        <v>1qleUx1GBCSPzR6rexG2V_HtfG1631chc</v>
      </c>
      <c r="H342" t="s">
        <v>1049</v>
      </c>
    </row>
    <row r="343" spans="1:8" hidden="1" x14ac:dyDescent="0.25">
      <c r="A343" s="28"/>
      <c r="B343" s="28" t="s">
        <v>782</v>
      </c>
      <c r="C343" s="28" t="s">
        <v>786</v>
      </c>
      <c r="D343" s="2" t="s">
        <v>376</v>
      </c>
      <c r="E343" s="33" t="s">
        <v>6</v>
      </c>
      <c r="F343" s="13" t="str">
        <f t="shared" si="21"/>
        <v/>
      </c>
      <c r="G343" s="9" t="str">
        <f t="shared" si="20"/>
        <v/>
      </c>
    </row>
    <row r="344" spans="1:8" hidden="1" x14ac:dyDescent="0.25">
      <c r="A344" s="27"/>
      <c r="B344" s="27" t="s">
        <v>787</v>
      </c>
      <c r="C344" s="27" t="s">
        <v>788</v>
      </c>
      <c r="D344" s="6" t="s">
        <v>789</v>
      </c>
      <c r="E344" s="31" t="s">
        <v>3</v>
      </c>
      <c r="F344" s="12" t="str">
        <f t="shared" si="21"/>
        <v/>
      </c>
      <c r="G344" s="9" t="str">
        <f t="shared" si="20"/>
        <v/>
      </c>
    </row>
    <row r="345" spans="1:8" x14ac:dyDescent="0.25">
      <c r="A345" s="27">
        <v>106</v>
      </c>
      <c r="B345" s="27" t="s">
        <v>787</v>
      </c>
      <c r="C345" s="27" t="s">
        <v>790</v>
      </c>
      <c r="D345" s="5" t="s">
        <v>377</v>
      </c>
      <c r="E345" s="32" t="s">
        <v>5</v>
      </c>
      <c r="F345" s="14" t="str">
        <f t="shared" si="21"/>
        <v>https://docs.google.com/uc?export=download&amp;id=1JYzZXOOUlylTh12dis8PxwCGkP-6LHuN</v>
      </c>
      <c r="G345" s="9" t="str">
        <f t="shared" si="20"/>
        <v>1JYzZXOOUlylTh12dis8PxwCGkP-6LHuN</v>
      </c>
      <c r="H345" t="s">
        <v>1050</v>
      </c>
    </row>
    <row r="346" spans="1:8" hidden="1" x14ac:dyDescent="0.25">
      <c r="A346" s="28"/>
      <c r="B346" s="28" t="s">
        <v>787</v>
      </c>
      <c r="C346" s="28" t="s">
        <v>791</v>
      </c>
      <c r="D346" s="2" t="s">
        <v>792</v>
      </c>
      <c r="E346" s="33" t="s">
        <v>6</v>
      </c>
      <c r="F346" s="13" t="str">
        <f t="shared" si="21"/>
        <v/>
      </c>
      <c r="G346" s="9" t="str">
        <f t="shared" si="20"/>
        <v/>
      </c>
    </row>
    <row r="347" spans="1:8" s="22" customFormat="1" hidden="1" x14ac:dyDescent="0.25">
      <c r="A347" s="26"/>
      <c r="B347" s="25" t="s">
        <v>793</v>
      </c>
      <c r="C347" s="26" t="s">
        <v>794</v>
      </c>
      <c r="D347" s="19" t="s">
        <v>795</v>
      </c>
      <c r="E347" s="30" t="s">
        <v>12</v>
      </c>
      <c r="F347" s="20" t="str">
        <f t="shared" si="21"/>
        <v/>
      </c>
      <c r="G347" s="9" t="str">
        <f t="shared" si="20"/>
        <v/>
      </c>
      <c r="H347"/>
    </row>
    <row r="348" spans="1:8" hidden="1" x14ac:dyDescent="0.25">
      <c r="A348" s="27"/>
      <c r="B348" s="27" t="s">
        <v>796</v>
      </c>
      <c r="C348" s="27" t="s">
        <v>797</v>
      </c>
      <c r="D348" s="6" t="s">
        <v>798</v>
      </c>
      <c r="E348" s="31" t="s">
        <v>3</v>
      </c>
      <c r="F348" s="12" t="str">
        <f t="shared" si="21"/>
        <v/>
      </c>
      <c r="G348" s="9" t="str">
        <f t="shared" si="20"/>
        <v/>
      </c>
    </row>
    <row r="349" spans="1:8" x14ac:dyDescent="0.25">
      <c r="A349" s="27">
        <v>107</v>
      </c>
      <c r="B349" s="27" t="s">
        <v>796</v>
      </c>
      <c r="C349" s="27" t="s">
        <v>799</v>
      </c>
      <c r="D349" s="5" t="s">
        <v>378</v>
      </c>
      <c r="E349" s="32" t="s">
        <v>5</v>
      </c>
      <c r="F349" s="14" t="str">
        <f t="shared" si="21"/>
        <v>https://docs.google.com/uc?export=download&amp;id=1qMdB3oykqPjtGur7KnLhO27TcthAxwC7</v>
      </c>
      <c r="G349" s="9" t="str">
        <f t="shared" si="20"/>
        <v>1qMdB3oykqPjtGur7KnLhO27TcthAxwC7</v>
      </c>
      <c r="H349" t="s">
        <v>1051</v>
      </c>
    </row>
    <row r="350" spans="1:8" hidden="1" x14ac:dyDescent="0.25">
      <c r="A350" s="28"/>
      <c r="B350" s="28" t="s">
        <v>796</v>
      </c>
      <c r="C350" s="28" t="s">
        <v>800</v>
      </c>
      <c r="D350" s="2" t="s">
        <v>379</v>
      </c>
      <c r="E350" s="33" t="s">
        <v>6</v>
      </c>
      <c r="F350" s="13" t="str">
        <f t="shared" si="21"/>
        <v/>
      </c>
      <c r="G350" s="9" t="str">
        <f t="shared" si="20"/>
        <v/>
      </c>
    </row>
    <row r="351" spans="1:8" hidden="1" x14ac:dyDescent="0.25">
      <c r="A351" s="27"/>
      <c r="B351" s="27" t="s">
        <v>801</v>
      </c>
      <c r="C351" s="27" t="s">
        <v>802</v>
      </c>
      <c r="D351" s="6" t="s">
        <v>803</v>
      </c>
      <c r="E351" s="31" t="s">
        <v>3</v>
      </c>
      <c r="F351" s="12" t="str">
        <f t="shared" si="21"/>
        <v/>
      </c>
      <c r="G351" s="9" t="str">
        <f t="shared" si="20"/>
        <v/>
      </c>
    </row>
    <row r="352" spans="1:8" x14ac:dyDescent="0.25">
      <c r="A352" s="27">
        <v>108</v>
      </c>
      <c r="B352" s="27" t="s">
        <v>801</v>
      </c>
      <c r="C352" s="27" t="s">
        <v>804</v>
      </c>
      <c r="D352" s="5" t="s">
        <v>380</v>
      </c>
      <c r="E352" s="32" t="s">
        <v>5</v>
      </c>
      <c r="F352" s="14" t="str">
        <f t="shared" si="21"/>
        <v>https://docs.google.com/uc?export=download&amp;id=1tWUZZQk_EpCqCAMLQsGl-ralbqNXH7BM</v>
      </c>
      <c r="G352" s="9" t="str">
        <f t="shared" si="20"/>
        <v>1tWUZZQk_EpCqCAMLQsGl-ralbqNXH7BM</v>
      </c>
      <c r="H352" t="s">
        <v>1052</v>
      </c>
    </row>
    <row r="353" spans="1:8" hidden="1" x14ac:dyDescent="0.25">
      <c r="A353" s="28"/>
      <c r="B353" s="28" t="s">
        <v>801</v>
      </c>
      <c r="C353" s="28" t="s">
        <v>805</v>
      </c>
      <c r="D353" s="2" t="s">
        <v>381</v>
      </c>
      <c r="E353" s="33" t="s">
        <v>6</v>
      </c>
      <c r="F353" s="13" t="str">
        <f t="shared" si="21"/>
        <v/>
      </c>
      <c r="G353" s="9" t="str">
        <f t="shared" si="20"/>
        <v/>
      </c>
    </row>
    <row r="354" spans="1:8" hidden="1" x14ac:dyDescent="0.25">
      <c r="A354" s="27"/>
      <c r="B354" s="27" t="s">
        <v>806</v>
      </c>
      <c r="C354" s="27" t="s">
        <v>807</v>
      </c>
      <c r="D354" s="6" t="s">
        <v>808</v>
      </c>
      <c r="E354" s="31" t="s">
        <v>3</v>
      </c>
      <c r="F354" s="12" t="str">
        <f t="shared" si="21"/>
        <v/>
      </c>
      <c r="G354" s="9" t="str">
        <f t="shared" si="20"/>
        <v/>
      </c>
    </row>
    <row r="355" spans="1:8" x14ac:dyDescent="0.25">
      <c r="A355" s="27">
        <v>109</v>
      </c>
      <c r="B355" s="27" t="s">
        <v>806</v>
      </c>
      <c r="C355" s="27" t="s">
        <v>809</v>
      </c>
      <c r="D355" s="5" t="s">
        <v>382</v>
      </c>
      <c r="E355" s="32" t="s">
        <v>5</v>
      </c>
      <c r="F355" s="14" t="str">
        <f t="shared" si="21"/>
        <v>https://docs.google.com/uc?export=download&amp;id=16d65Cu_KaNKVJMNxJBUB-YnfNjftNnti</v>
      </c>
      <c r="G355" s="9" t="str">
        <f t="shared" si="20"/>
        <v>16d65Cu_KaNKVJMNxJBUB-YnfNjftNnti</v>
      </c>
      <c r="H355" t="s">
        <v>1053</v>
      </c>
    </row>
    <row r="356" spans="1:8" hidden="1" x14ac:dyDescent="0.25">
      <c r="A356" s="28"/>
      <c r="B356" s="28" t="s">
        <v>806</v>
      </c>
      <c r="C356" s="28" t="s">
        <v>810</v>
      </c>
      <c r="D356" s="2" t="s">
        <v>383</v>
      </c>
      <c r="E356" s="33" t="s">
        <v>6</v>
      </c>
      <c r="F356" s="13" t="str">
        <f t="shared" si="21"/>
        <v/>
      </c>
      <c r="G356" s="9" t="str">
        <f t="shared" si="20"/>
        <v/>
      </c>
    </row>
    <row r="357" spans="1:8" s="22" customFormat="1" hidden="1" x14ac:dyDescent="0.25">
      <c r="A357" s="26"/>
      <c r="B357" s="25" t="s">
        <v>811</v>
      </c>
      <c r="C357" s="26" t="s">
        <v>812</v>
      </c>
      <c r="D357" s="19" t="s">
        <v>813</v>
      </c>
      <c r="E357" s="30" t="s">
        <v>12</v>
      </c>
      <c r="F357" s="20" t="str">
        <f t="shared" si="21"/>
        <v/>
      </c>
      <c r="G357" s="9" t="str">
        <f t="shared" si="20"/>
        <v/>
      </c>
      <c r="H357"/>
    </row>
    <row r="358" spans="1:8" hidden="1" x14ac:dyDescent="0.25">
      <c r="A358" s="27"/>
      <c r="B358" s="27" t="s">
        <v>814</v>
      </c>
      <c r="C358" s="27" t="s">
        <v>815</v>
      </c>
      <c r="D358" s="6" t="s">
        <v>816</v>
      </c>
      <c r="E358" s="31" t="s">
        <v>3</v>
      </c>
      <c r="F358" s="12" t="str">
        <f t="shared" si="21"/>
        <v/>
      </c>
      <c r="G358" s="9" t="str">
        <f t="shared" si="20"/>
        <v/>
      </c>
    </row>
    <row r="359" spans="1:8" x14ac:dyDescent="0.25">
      <c r="A359" s="27">
        <v>110</v>
      </c>
      <c r="B359" s="27" t="s">
        <v>814</v>
      </c>
      <c r="C359" s="27" t="s">
        <v>817</v>
      </c>
      <c r="D359" s="5" t="s">
        <v>384</v>
      </c>
      <c r="E359" s="32" t="s">
        <v>5</v>
      </c>
      <c r="F359" s="14" t="str">
        <f t="shared" si="21"/>
        <v>https://docs.google.com/uc?export=download&amp;id=1VKLjJXhO-HfBFBAwubWK22muaYtm662b</v>
      </c>
      <c r="G359" s="9" t="str">
        <f t="shared" si="20"/>
        <v>1VKLjJXhO-HfBFBAwubWK22muaYtm662b</v>
      </c>
      <c r="H359" t="s">
        <v>1054</v>
      </c>
    </row>
    <row r="360" spans="1:8" hidden="1" x14ac:dyDescent="0.25">
      <c r="A360" s="28"/>
      <c r="B360" s="28" t="s">
        <v>814</v>
      </c>
      <c r="C360" s="28" t="s">
        <v>818</v>
      </c>
      <c r="D360" s="2" t="s">
        <v>385</v>
      </c>
      <c r="E360" s="33" t="s">
        <v>6</v>
      </c>
      <c r="F360" s="13" t="str">
        <f t="shared" si="21"/>
        <v/>
      </c>
      <c r="G360" s="9" t="str">
        <f t="shared" si="20"/>
        <v/>
      </c>
    </row>
    <row r="361" spans="1:8" hidden="1" x14ac:dyDescent="0.25">
      <c r="A361" s="27"/>
      <c r="B361" s="27" t="s">
        <v>819</v>
      </c>
      <c r="C361" s="27" t="s">
        <v>820</v>
      </c>
      <c r="D361" s="6" t="s">
        <v>821</v>
      </c>
      <c r="E361" s="31" t="s">
        <v>3</v>
      </c>
      <c r="F361" s="12" t="str">
        <f t="shared" si="21"/>
        <v/>
      </c>
      <c r="G361" s="9" t="str">
        <f t="shared" si="20"/>
        <v/>
      </c>
    </row>
    <row r="362" spans="1:8" x14ac:dyDescent="0.25">
      <c r="A362" s="27">
        <v>111</v>
      </c>
      <c r="B362" s="27" t="s">
        <v>819</v>
      </c>
      <c r="C362" s="27" t="s">
        <v>822</v>
      </c>
      <c r="D362" s="5" t="s">
        <v>386</v>
      </c>
      <c r="E362" s="32" t="s">
        <v>5</v>
      </c>
      <c r="F362" s="14" t="str">
        <f t="shared" si="21"/>
        <v>https://docs.google.com/uc?export=download&amp;id=1hNmVuyDO_b3KLITGPOPZjIYRqjpaF5lf</v>
      </c>
      <c r="G362" s="9" t="str">
        <f t="shared" si="20"/>
        <v>1hNmVuyDO_b3KLITGPOPZjIYRqjpaF5lf</v>
      </c>
      <c r="H362" t="s">
        <v>1055</v>
      </c>
    </row>
    <row r="363" spans="1:8" hidden="1" x14ac:dyDescent="0.25">
      <c r="A363" s="28"/>
      <c r="B363" s="28" t="s">
        <v>819</v>
      </c>
      <c r="C363" s="28" t="s">
        <v>823</v>
      </c>
      <c r="D363" s="2" t="s">
        <v>387</v>
      </c>
      <c r="E363" s="33" t="s">
        <v>6</v>
      </c>
      <c r="F363" s="13" t="str">
        <f t="shared" si="21"/>
        <v/>
      </c>
      <c r="G363" s="9" t="str">
        <f t="shared" si="20"/>
        <v/>
      </c>
    </row>
    <row r="364" spans="1:8" hidden="1" x14ac:dyDescent="0.25">
      <c r="A364" s="27"/>
      <c r="B364" s="27" t="s">
        <v>824</v>
      </c>
      <c r="C364" s="27" t="s">
        <v>825</v>
      </c>
      <c r="D364" s="6" t="s">
        <v>826</v>
      </c>
      <c r="E364" s="31" t="s">
        <v>3</v>
      </c>
      <c r="F364" s="12" t="str">
        <f t="shared" si="21"/>
        <v/>
      </c>
      <c r="G364" s="9" t="str">
        <f t="shared" si="20"/>
        <v/>
      </c>
    </row>
    <row r="365" spans="1:8" x14ac:dyDescent="0.25">
      <c r="A365" s="27">
        <v>112</v>
      </c>
      <c r="B365" s="27" t="s">
        <v>824</v>
      </c>
      <c r="C365" s="27" t="s">
        <v>827</v>
      </c>
      <c r="D365" s="5" t="s">
        <v>388</v>
      </c>
      <c r="E365" s="32" t="s">
        <v>5</v>
      </c>
      <c r="F365" s="14" t="str">
        <f t="shared" si="21"/>
        <v>https://docs.google.com/uc?export=download&amp;id=1NrheC4DCKEEcBbayGMuT44KCnh1m7206</v>
      </c>
      <c r="G365" s="9" t="str">
        <f t="shared" si="20"/>
        <v>1NrheC4DCKEEcBbayGMuT44KCnh1m7206</v>
      </c>
      <c r="H365" t="s">
        <v>1056</v>
      </c>
    </row>
    <row r="366" spans="1:8" hidden="1" x14ac:dyDescent="0.25">
      <c r="A366" s="28"/>
      <c r="B366" s="28" t="s">
        <v>824</v>
      </c>
      <c r="C366" s="28" t="s">
        <v>828</v>
      </c>
      <c r="D366" s="2" t="s">
        <v>389</v>
      </c>
      <c r="E366" s="33" t="s">
        <v>6</v>
      </c>
      <c r="F366" s="13" t="str">
        <f t="shared" si="21"/>
        <v/>
      </c>
      <c r="G366" s="9" t="str">
        <f t="shared" si="20"/>
        <v/>
      </c>
    </row>
    <row r="367" spans="1:8" s="22" customFormat="1" hidden="1" x14ac:dyDescent="0.25">
      <c r="A367" s="26"/>
      <c r="B367" s="25" t="s">
        <v>829</v>
      </c>
      <c r="C367" s="26" t="s">
        <v>830</v>
      </c>
      <c r="D367" s="19" t="s">
        <v>831</v>
      </c>
      <c r="E367" s="30" t="s">
        <v>12</v>
      </c>
      <c r="F367" s="20" t="str">
        <f t="shared" si="21"/>
        <v/>
      </c>
      <c r="G367" s="9" t="str">
        <f t="shared" si="20"/>
        <v/>
      </c>
      <c r="H367"/>
    </row>
    <row r="368" spans="1:8" hidden="1" x14ac:dyDescent="0.25">
      <c r="A368" s="27"/>
      <c r="B368" s="27" t="s">
        <v>832</v>
      </c>
      <c r="C368" s="27" t="s">
        <v>833</v>
      </c>
      <c r="D368" s="6" t="s">
        <v>834</v>
      </c>
      <c r="E368" s="31" t="s">
        <v>3</v>
      </c>
      <c r="F368" s="12" t="str">
        <f t="shared" si="21"/>
        <v/>
      </c>
      <c r="G368" s="9" t="str">
        <f t="shared" si="20"/>
        <v/>
      </c>
    </row>
    <row r="369" spans="1:8" x14ac:dyDescent="0.25">
      <c r="A369" s="27">
        <v>113</v>
      </c>
      <c r="B369" s="27" t="s">
        <v>832</v>
      </c>
      <c r="C369" s="27" t="s">
        <v>835</v>
      </c>
      <c r="D369" s="5" t="s">
        <v>390</v>
      </c>
      <c r="E369" s="32" t="s">
        <v>5</v>
      </c>
      <c r="F369" s="14" t="str">
        <f t="shared" si="21"/>
        <v>https://docs.google.com/uc?export=download&amp;id=1NBDscu7BrPCoHec9w53NK9XjiH7vb9v6</v>
      </c>
      <c r="G369" s="9" t="str">
        <f t="shared" si="20"/>
        <v>1NBDscu7BrPCoHec9w53NK9XjiH7vb9v6</v>
      </c>
      <c r="H369" t="s">
        <v>1057</v>
      </c>
    </row>
    <row r="370" spans="1:8" hidden="1" x14ac:dyDescent="0.25">
      <c r="A370" s="28"/>
      <c r="B370" s="28" t="s">
        <v>832</v>
      </c>
      <c r="C370" s="28" t="s">
        <v>836</v>
      </c>
      <c r="D370" s="2" t="s">
        <v>391</v>
      </c>
      <c r="E370" s="33" t="s">
        <v>6</v>
      </c>
      <c r="F370" s="13" t="str">
        <f t="shared" si="21"/>
        <v/>
      </c>
      <c r="G370" s="9" t="str">
        <f t="shared" si="20"/>
        <v/>
      </c>
    </row>
    <row r="371" spans="1:8" hidden="1" x14ac:dyDescent="0.25">
      <c r="A371" s="27"/>
      <c r="B371" s="27" t="s">
        <v>837</v>
      </c>
      <c r="C371" s="27" t="s">
        <v>838</v>
      </c>
      <c r="D371" s="6" t="s">
        <v>839</v>
      </c>
      <c r="E371" s="31" t="s">
        <v>3</v>
      </c>
      <c r="F371" s="12" t="str">
        <f t="shared" si="21"/>
        <v/>
      </c>
      <c r="G371" s="9" t="str">
        <f t="shared" si="20"/>
        <v/>
      </c>
    </row>
    <row r="372" spans="1:8" x14ac:dyDescent="0.25">
      <c r="A372" s="27">
        <v>114</v>
      </c>
      <c r="B372" s="27" t="s">
        <v>837</v>
      </c>
      <c r="C372" s="27" t="s">
        <v>840</v>
      </c>
      <c r="D372" s="5" t="s">
        <v>392</v>
      </c>
      <c r="E372" s="32" t="s">
        <v>5</v>
      </c>
      <c r="F372" s="14" t="str">
        <f t="shared" si="21"/>
        <v>https://docs.google.com/uc?export=download&amp;id=1m9Ux6LlxvDQrWhhKqP0JuYhNAJna4DNU</v>
      </c>
      <c r="G372" s="9" t="str">
        <f t="shared" si="20"/>
        <v>1m9Ux6LlxvDQrWhhKqP0JuYhNAJna4DNU</v>
      </c>
      <c r="H372" t="s">
        <v>1058</v>
      </c>
    </row>
    <row r="373" spans="1:8" hidden="1" x14ac:dyDescent="0.25">
      <c r="A373" s="28"/>
      <c r="B373" s="28" t="s">
        <v>837</v>
      </c>
      <c r="C373" s="28" t="s">
        <v>841</v>
      </c>
      <c r="D373" s="2" t="s">
        <v>393</v>
      </c>
      <c r="E373" s="33" t="s">
        <v>6</v>
      </c>
      <c r="F373" s="13" t="str">
        <f t="shared" si="21"/>
        <v/>
      </c>
      <c r="G373" s="9" t="str">
        <f t="shared" si="20"/>
        <v/>
      </c>
    </row>
    <row r="374" spans="1:8" hidden="1" x14ac:dyDescent="0.25">
      <c r="A374" s="27"/>
      <c r="B374" s="27" t="s">
        <v>842</v>
      </c>
      <c r="C374" s="27" t="s">
        <v>843</v>
      </c>
      <c r="D374" s="6" t="s">
        <v>844</v>
      </c>
      <c r="E374" s="31" t="s">
        <v>3</v>
      </c>
      <c r="F374" s="12" t="str">
        <f t="shared" si="21"/>
        <v/>
      </c>
      <c r="G374" s="9" t="str">
        <f t="shared" si="20"/>
        <v/>
      </c>
    </row>
    <row r="375" spans="1:8" x14ac:dyDescent="0.25">
      <c r="A375" s="27">
        <v>115</v>
      </c>
      <c r="B375" s="27" t="s">
        <v>842</v>
      </c>
      <c r="C375" s="27" t="s">
        <v>845</v>
      </c>
      <c r="D375" s="5" t="s">
        <v>394</v>
      </c>
      <c r="E375" s="32" t="s">
        <v>5</v>
      </c>
      <c r="F375" s="14" t="str">
        <f t="shared" si="21"/>
        <v>https://docs.google.com/uc?export=download&amp;id=1TX_rWpBpiaiIzu0OzQwCAlAbezCKd671</v>
      </c>
      <c r="G375" s="9" t="str">
        <f t="shared" si="20"/>
        <v>1TX_rWpBpiaiIzu0OzQwCAlAbezCKd671</v>
      </c>
      <c r="H375" t="s">
        <v>1059</v>
      </c>
    </row>
    <row r="376" spans="1:8" hidden="1" x14ac:dyDescent="0.25">
      <c r="A376" s="28"/>
      <c r="B376" s="28" t="s">
        <v>842</v>
      </c>
      <c r="C376" s="28" t="s">
        <v>846</v>
      </c>
      <c r="D376" s="2" t="s">
        <v>395</v>
      </c>
      <c r="E376" s="33" t="s">
        <v>6</v>
      </c>
      <c r="F376" s="13" t="str">
        <f t="shared" si="21"/>
        <v/>
      </c>
      <c r="G376" s="9" t="str">
        <f t="shared" si="20"/>
        <v/>
      </c>
    </row>
    <row r="377" spans="1:8" hidden="1" x14ac:dyDescent="0.25">
      <c r="A377" s="27"/>
      <c r="B377" s="27" t="s">
        <v>847</v>
      </c>
      <c r="C377" s="27" t="s">
        <v>848</v>
      </c>
      <c r="D377" s="6" t="s">
        <v>849</v>
      </c>
      <c r="E377" s="31" t="s">
        <v>3</v>
      </c>
      <c r="F377" s="12" t="str">
        <f t="shared" si="21"/>
        <v/>
      </c>
      <c r="G377" s="9" t="str">
        <f t="shared" si="20"/>
        <v/>
      </c>
    </row>
    <row r="378" spans="1:8" x14ac:dyDescent="0.25">
      <c r="A378" s="27">
        <v>116</v>
      </c>
      <c r="B378" s="27" t="s">
        <v>847</v>
      </c>
      <c r="C378" s="27" t="s">
        <v>850</v>
      </c>
      <c r="D378" s="5" t="s">
        <v>396</v>
      </c>
      <c r="E378" s="32" t="s">
        <v>5</v>
      </c>
      <c r="F378" s="14" t="str">
        <f t="shared" si="21"/>
        <v>https://docs.google.com/uc?export=download&amp;id=1F2yV3U1emLQAS-AxtY4dYZjYGErJsv7B</v>
      </c>
      <c r="G378" s="9" t="str">
        <f t="shared" si="20"/>
        <v>1F2yV3U1emLQAS-AxtY4dYZjYGErJsv7B</v>
      </c>
      <c r="H378" t="s">
        <v>1060</v>
      </c>
    </row>
    <row r="379" spans="1:8" hidden="1" x14ac:dyDescent="0.25">
      <c r="A379" s="28"/>
      <c r="B379" s="28" t="s">
        <v>847</v>
      </c>
      <c r="C379" s="28" t="s">
        <v>851</v>
      </c>
      <c r="D379" s="2" t="s">
        <v>397</v>
      </c>
      <c r="E379" s="33" t="s">
        <v>6</v>
      </c>
      <c r="F379" s="13" t="str">
        <f t="shared" si="21"/>
        <v/>
      </c>
      <c r="G379" s="9" t="str">
        <f t="shared" si="20"/>
        <v/>
      </c>
    </row>
    <row r="380" spans="1:8" hidden="1" x14ac:dyDescent="0.25">
      <c r="A380" s="27"/>
      <c r="B380" s="27" t="s">
        <v>852</v>
      </c>
      <c r="C380" s="27" t="s">
        <v>853</v>
      </c>
      <c r="D380" s="6" t="s">
        <v>854</v>
      </c>
      <c r="E380" s="31" t="s">
        <v>3</v>
      </c>
      <c r="F380" s="12" t="str">
        <f t="shared" si="21"/>
        <v/>
      </c>
      <c r="G380" s="9" t="str">
        <f t="shared" si="20"/>
        <v/>
      </c>
    </row>
    <row r="381" spans="1:8" x14ac:dyDescent="0.25">
      <c r="A381" s="27">
        <v>117</v>
      </c>
      <c r="B381" s="27" t="s">
        <v>852</v>
      </c>
      <c r="C381" s="27" t="s">
        <v>855</v>
      </c>
      <c r="D381" s="5" t="s">
        <v>398</v>
      </c>
      <c r="E381" s="32" t="s">
        <v>5</v>
      </c>
      <c r="F381" s="14" t="str">
        <f t="shared" si="21"/>
        <v>https://docs.google.com/uc?export=download&amp;id=1-JA0HY6zV4hJtbocVF70WhICfNcvcVHo</v>
      </c>
      <c r="G381" s="9" t="str">
        <f t="shared" si="20"/>
        <v>1-JA0HY6zV4hJtbocVF70WhICfNcvcVHo</v>
      </c>
      <c r="H381" t="s">
        <v>1061</v>
      </c>
    </row>
    <row r="382" spans="1:8" hidden="1" x14ac:dyDescent="0.25">
      <c r="A382" s="28"/>
      <c r="B382" s="28" t="s">
        <v>852</v>
      </c>
      <c r="C382" s="28" t="s">
        <v>856</v>
      </c>
      <c r="D382" s="2" t="s">
        <v>399</v>
      </c>
      <c r="E382" s="33" t="s">
        <v>6</v>
      </c>
      <c r="F382" s="13" t="str">
        <f t="shared" si="21"/>
        <v/>
      </c>
      <c r="G382" s="9" t="str">
        <f t="shared" si="20"/>
        <v/>
      </c>
    </row>
    <row r="383" spans="1:8" s="22" customFormat="1" hidden="1" x14ac:dyDescent="0.25">
      <c r="A383" s="26"/>
      <c r="B383" s="25" t="s">
        <v>857</v>
      </c>
      <c r="C383" s="26" t="s">
        <v>858</v>
      </c>
      <c r="D383" s="19" t="s">
        <v>859</v>
      </c>
      <c r="E383" s="30" t="s">
        <v>12</v>
      </c>
      <c r="F383" s="20" t="str">
        <f t="shared" si="21"/>
        <v/>
      </c>
      <c r="G383" s="9" t="str">
        <f t="shared" si="20"/>
        <v/>
      </c>
      <c r="H383"/>
    </row>
    <row r="384" spans="1:8" hidden="1" x14ac:dyDescent="0.25">
      <c r="A384" s="27"/>
      <c r="B384" s="27" t="s">
        <v>860</v>
      </c>
      <c r="C384" s="27" t="s">
        <v>861</v>
      </c>
      <c r="D384" s="6" t="s">
        <v>862</v>
      </c>
      <c r="E384" s="31" t="s">
        <v>3</v>
      </c>
      <c r="F384" s="12" t="str">
        <f t="shared" si="21"/>
        <v/>
      </c>
      <c r="G384" s="9" t="str">
        <f t="shared" si="20"/>
        <v/>
      </c>
    </row>
    <row r="385" spans="1:8" x14ac:dyDescent="0.25">
      <c r="A385" s="27">
        <v>118</v>
      </c>
      <c r="B385" s="27" t="s">
        <v>860</v>
      </c>
      <c r="C385" s="27" t="s">
        <v>863</v>
      </c>
      <c r="D385" s="5" t="s">
        <v>400</v>
      </c>
      <c r="E385" s="32" t="s">
        <v>5</v>
      </c>
      <c r="F385" s="14" t="str">
        <f t="shared" si="21"/>
        <v>https://docs.google.com/uc?export=download&amp;id=1rzV5VBj9bsnBLcE9gVvLhTCCDWhX2DXZ</v>
      </c>
      <c r="G385" s="9" t="str">
        <f t="shared" si="20"/>
        <v>1rzV5VBj9bsnBLcE9gVvLhTCCDWhX2DXZ</v>
      </c>
      <c r="H385" t="s">
        <v>1062</v>
      </c>
    </row>
    <row r="386" spans="1:8" hidden="1" x14ac:dyDescent="0.25">
      <c r="A386" s="28"/>
      <c r="B386" s="28" t="s">
        <v>860</v>
      </c>
      <c r="C386" s="28" t="s">
        <v>864</v>
      </c>
      <c r="D386" s="2" t="s">
        <v>401</v>
      </c>
      <c r="E386" s="33" t="s">
        <v>6</v>
      </c>
      <c r="F386" s="13" t="str">
        <f t="shared" si="21"/>
        <v/>
      </c>
      <c r="G386" s="9" t="str">
        <f t="shared" si="20"/>
        <v/>
      </c>
    </row>
    <row r="387" spans="1:8" hidden="1" x14ac:dyDescent="0.25">
      <c r="A387" s="27"/>
      <c r="B387" s="27" t="s">
        <v>865</v>
      </c>
      <c r="C387" s="27" t="s">
        <v>866</v>
      </c>
      <c r="D387" s="6" t="s">
        <v>867</v>
      </c>
      <c r="E387" s="31" t="s">
        <v>3</v>
      </c>
      <c r="F387" s="12" t="str">
        <f t="shared" si="21"/>
        <v/>
      </c>
      <c r="G387" s="9" t="str">
        <f t="shared" si="20"/>
        <v/>
      </c>
    </row>
    <row r="388" spans="1:8" x14ac:dyDescent="0.25">
      <c r="A388" s="27">
        <v>119</v>
      </c>
      <c r="B388" s="27" t="s">
        <v>865</v>
      </c>
      <c r="C388" s="27" t="s">
        <v>868</v>
      </c>
      <c r="D388" s="5" t="s">
        <v>402</v>
      </c>
      <c r="E388" s="32" t="s">
        <v>5</v>
      </c>
      <c r="F388" s="14" t="str">
        <f t="shared" si="21"/>
        <v>https://docs.google.com/uc?export=download&amp;id=1HN-iB86xLTZ9VQ4pHRyElEj_3yqw0vme</v>
      </c>
      <c r="G388" s="9" t="str">
        <f t="shared" si="20"/>
        <v>1HN-iB86xLTZ9VQ4pHRyElEj_3yqw0vme</v>
      </c>
      <c r="H388" t="s">
        <v>1063</v>
      </c>
    </row>
    <row r="389" spans="1:8" hidden="1" x14ac:dyDescent="0.25">
      <c r="A389" s="28"/>
      <c r="B389" s="28" t="s">
        <v>865</v>
      </c>
      <c r="C389" s="28" t="s">
        <v>869</v>
      </c>
      <c r="D389" s="2" t="s">
        <v>403</v>
      </c>
      <c r="E389" s="33" t="s">
        <v>6</v>
      </c>
      <c r="F389" s="13" t="str">
        <f t="shared" si="21"/>
        <v/>
      </c>
      <c r="G389" s="9" t="str">
        <f t="shared" si="20"/>
        <v/>
      </c>
    </row>
    <row r="390" spans="1:8" hidden="1" x14ac:dyDescent="0.25">
      <c r="A390" s="27"/>
      <c r="B390" s="27" t="s">
        <v>870</v>
      </c>
      <c r="C390" s="27" t="s">
        <v>871</v>
      </c>
      <c r="D390" s="6" t="s">
        <v>872</v>
      </c>
      <c r="E390" s="31" t="s">
        <v>3</v>
      </c>
      <c r="F390" s="12" t="str">
        <f t="shared" si="21"/>
        <v/>
      </c>
      <c r="G390" s="9" t="str">
        <f t="shared" ref="G390:G453" si="22">IFERROR(LEFT(RIGHT(H390,LEN(H390)-32),LEN(RIGHT(H390,LEN(H390)-32))-17),"")</f>
        <v/>
      </c>
    </row>
    <row r="391" spans="1:8" x14ac:dyDescent="0.25">
      <c r="A391" s="27">
        <v>120</v>
      </c>
      <c r="B391" s="27" t="s">
        <v>870</v>
      </c>
      <c r="C391" s="27" t="s">
        <v>873</v>
      </c>
      <c r="D391" s="5" t="s">
        <v>404</v>
      </c>
      <c r="E391" s="32" t="s">
        <v>5</v>
      </c>
      <c r="F391" s="14" t="str">
        <f t="shared" ref="F391:F454" si="23">IF(G391="","","https://docs.google.com/uc?export=download&amp;id="&amp;G391)</f>
        <v>https://docs.google.com/uc?export=download&amp;id=1l1oe7PaMRBQcQvzGGF_yktcIydBE6HxX</v>
      </c>
      <c r="G391" s="9" t="str">
        <f t="shared" si="22"/>
        <v>1l1oe7PaMRBQcQvzGGF_yktcIydBE6HxX</v>
      </c>
      <c r="H391" t="s">
        <v>1064</v>
      </c>
    </row>
    <row r="392" spans="1:8" hidden="1" x14ac:dyDescent="0.25">
      <c r="A392" s="28"/>
      <c r="B392" s="28" t="s">
        <v>870</v>
      </c>
      <c r="C392" s="28" t="s">
        <v>874</v>
      </c>
      <c r="D392" s="2" t="s">
        <v>405</v>
      </c>
      <c r="E392" s="33" t="s">
        <v>6</v>
      </c>
      <c r="F392" s="13" t="str">
        <f t="shared" si="23"/>
        <v/>
      </c>
      <c r="G392" s="9" t="str">
        <f t="shared" si="22"/>
        <v/>
      </c>
    </row>
    <row r="393" spans="1:8" hidden="1" x14ac:dyDescent="0.25">
      <c r="A393" s="27"/>
      <c r="B393" s="27" t="s">
        <v>875</v>
      </c>
      <c r="C393" s="27" t="s">
        <v>876</v>
      </c>
      <c r="D393" s="6" t="s">
        <v>877</v>
      </c>
      <c r="E393" s="31" t="s">
        <v>3</v>
      </c>
      <c r="F393" s="12" t="str">
        <f t="shared" si="23"/>
        <v/>
      </c>
      <c r="G393" s="9" t="str">
        <f t="shared" si="22"/>
        <v/>
      </c>
    </row>
    <row r="394" spans="1:8" x14ac:dyDescent="0.25">
      <c r="A394" s="27">
        <v>121</v>
      </c>
      <c r="B394" s="27" t="s">
        <v>875</v>
      </c>
      <c r="C394" s="27" t="s">
        <v>878</v>
      </c>
      <c r="D394" s="5" t="s">
        <v>406</v>
      </c>
      <c r="E394" s="32" t="s">
        <v>5</v>
      </c>
      <c r="F394" s="14" t="str">
        <f t="shared" si="23"/>
        <v>https://docs.google.com/uc?export=download&amp;id=1WIj7ju-UaS0l2MXQIMprjANJoqlq6SWN</v>
      </c>
      <c r="G394" s="9" t="str">
        <f t="shared" si="22"/>
        <v>1WIj7ju-UaS0l2MXQIMprjANJoqlq6SWN</v>
      </c>
      <c r="H394" t="s">
        <v>1065</v>
      </c>
    </row>
    <row r="395" spans="1:8" hidden="1" x14ac:dyDescent="0.25">
      <c r="A395" s="28"/>
      <c r="B395" s="28" t="s">
        <v>875</v>
      </c>
      <c r="C395" s="28" t="s">
        <v>879</v>
      </c>
      <c r="D395" s="2" t="s">
        <v>407</v>
      </c>
      <c r="E395" s="33" t="s">
        <v>6</v>
      </c>
      <c r="F395" s="13" t="str">
        <f t="shared" si="23"/>
        <v/>
      </c>
      <c r="G395" s="9" t="str">
        <f t="shared" si="22"/>
        <v/>
      </c>
    </row>
    <row r="396" spans="1:8" s="22" customFormat="1" hidden="1" x14ac:dyDescent="0.25">
      <c r="A396" s="26"/>
      <c r="B396" s="25" t="s">
        <v>880</v>
      </c>
      <c r="C396" s="26" t="s">
        <v>881</v>
      </c>
      <c r="D396" s="19" t="s">
        <v>882</v>
      </c>
      <c r="E396" s="30" t="s">
        <v>12</v>
      </c>
      <c r="F396" s="20" t="str">
        <f t="shared" si="23"/>
        <v/>
      </c>
      <c r="G396" s="9" t="str">
        <f t="shared" si="22"/>
        <v/>
      </c>
      <c r="H396"/>
    </row>
    <row r="397" spans="1:8" hidden="1" x14ac:dyDescent="0.25">
      <c r="A397" s="27"/>
      <c r="B397" s="27" t="s">
        <v>883</v>
      </c>
      <c r="C397" s="27" t="s">
        <v>884</v>
      </c>
      <c r="D397" s="6" t="s">
        <v>885</v>
      </c>
      <c r="E397" s="31" t="s">
        <v>3</v>
      </c>
      <c r="F397" s="12" t="str">
        <f t="shared" si="23"/>
        <v/>
      </c>
      <c r="G397" s="9" t="str">
        <f t="shared" si="22"/>
        <v/>
      </c>
    </row>
    <row r="398" spans="1:8" x14ac:dyDescent="0.25">
      <c r="A398" s="27">
        <v>122</v>
      </c>
      <c r="B398" s="27" t="s">
        <v>883</v>
      </c>
      <c r="C398" s="27" t="s">
        <v>886</v>
      </c>
      <c r="D398" s="5" t="s">
        <v>408</v>
      </c>
      <c r="E398" s="32" t="s">
        <v>5</v>
      </c>
      <c r="F398" s="14" t="str">
        <f t="shared" si="23"/>
        <v>https://docs.google.com/uc?export=download&amp;id=10QXbxX3tYuhGjm7ShU7hbe9Wvcnpk4N4</v>
      </c>
      <c r="G398" s="9" t="str">
        <f t="shared" si="22"/>
        <v>10QXbxX3tYuhGjm7ShU7hbe9Wvcnpk4N4</v>
      </c>
      <c r="H398" t="s">
        <v>1066</v>
      </c>
    </row>
    <row r="399" spans="1:8" hidden="1" x14ac:dyDescent="0.25">
      <c r="A399" s="28"/>
      <c r="B399" s="28" t="s">
        <v>883</v>
      </c>
      <c r="C399" s="28" t="s">
        <v>887</v>
      </c>
      <c r="D399" s="2" t="s">
        <v>409</v>
      </c>
      <c r="E399" s="33" t="s">
        <v>6</v>
      </c>
      <c r="F399" s="13" t="str">
        <f t="shared" si="23"/>
        <v/>
      </c>
      <c r="G399" s="9" t="str">
        <f t="shared" si="22"/>
        <v/>
      </c>
    </row>
    <row r="400" spans="1:8" hidden="1" x14ac:dyDescent="0.25">
      <c r="A400" s="27"/>
      <c r="B400" s="27" t="s">
        <v>888</v>
      </c>
      <c r="C400" s="27" t="s">
        <v>889</v>
      </c>
      <c r="D400" s="6" t="s">
        <v>890</v>
      </c>
      <c r="E400" s="31" t="s">
        <v>3</v>
      </c>
      <c r="F400" s="12" t="str">
        <f t="shared" si="23"/>
        <v/>
      </c>
      <c r="G400" s="9" t="str">
        <f t="shared" si="22"/>
        <v/>
      </c>
    </row>
    <row r="401" spans="1:8" x14ac:dyDescent="0.25">
      <c r="A401" s="27">
        <v>123</v>
      </c>
      <c r="B401" s="27" t="s">
        <v>888</v>
      </c>
      <c r="C401" s="27" t="s">
        <v>891</v>
      </c>
      <c r="D401" s="5" t="s">
        <v>410</v>
      </c>
      <c r="E401" s="32" t="s">
        <v>5</v>
      </c>
      <c r="F401" s="14" t="str">
        <f t="shared" si="23"/>
        <v>https://docs.google.com/uc?export=download&amp;id=1N8fBFn57OZamqXyZxHziwPZwv8KGOKYR</v>
      </c>
      <c r="G401" s="9" t="str">
        <f t="shared" si="22"/>
        <v>1N8fBFn57OZamqXyZxHziwPZwv8KGOKYR</v>
      </c>
      <c r="H401" t="s">
        <v>1067</v>
      </c>
    </row>
    <row r="402" spans="1:8" hidden="1" x14ac:dyDescent="0.25">
      <c r="A402" s="28"/>
      <c r="B402" s="28" t="s">
        <v>888</v>
      </c>
      <c r="C402" s="28" t="s">
        <v>892</v>
      </c>
      <c r="D402" s="2" t="s">
        <v>411</v>
      </c>
      <c r="E402" s="33" t="s">
        <v>6</v>
      </c>
      <c r="F402" s="13" t="str">
        <f t="shared" si="23"/>
        <v/>
      </c>
      <c r="G402" s="9" t="str">
        <f t="shared" si="22"/>
        <v/>
      </c>
    </row>
    <row r="403" spans="1:8" hidden="1" x14ac:dyDescent="0.25">
      <c r="A403" s="27"/>
      <c r="B403" s="27" t="s">
        <v>893</v>
      </c>
      <c r="C403" s="27" t="s">
        <v>894</v>
      </c>
      <c r="D403" s="6" t="s">
        <v>895</v>
      </c>
      <c r="E403" s="31" t="s">
        <v>3</v>
      </c>
      <c r="F403" s="12" t="str">
        <f t="shared" si="23"/>
        <v/>
      </c>
      <c r="G403" s="9" t="str">
        <f t="shared" si="22"/>
        <v/>
      </c>
    </row>
    <row r="404" spans="1:8" x14ac:dyDescent="0.25">
      <c r="A404" s="27">
        <v>124</v>
      </c>
      <c r="B404" s="27" t="s">
        <v>893</v>
      </c>
      <c r="C404" s="27" t="s">
        <v>896</v>
      </c>
      <c r="D404" s="5" t="s">
        <v>412</v>
      </c>
      <c r="E404" s="32" t="s">
        <v>5</v>
      </c>
      <c r="F404" s="14" t="str">
        <f t="shared" si="23"/>
        <v>https://docs.google.com/uc?export=download&amp;id=1gdeZ2LTuJ1Rn7mUrGlPJxon8XWzPFnE2</v>
      </c>
      <c r="G404" s="9" t="str">
        <f t="shared" si="22"/>
        <v>1gdeZ2LTuJ1Rn7mUrGlPJxon8XWzPFnE2</v>
      </c>
      <c r="H404" t="s">
        <v>1068</v>
      </c>
    </row>
    <row r="405" spans="1:8" hidden="1" x14ac:dyDescent="0.25">
      <c r="A405" s="28"/>
      <c r="B405" s="28" t="s">
        <v>893</v>
      </c>
      <c r="C405" s="28" t="s">
        <v>897</v>
      </c>
      <c r="D405" s="2" t="s">
        <v>413</v>
      </c>
      <c r="E405" s="33" t="s">
        <v>6</v>
      </c>
      <c r="F405" s="13" t="str">
        <f t="shared" si="23"/>
        <v/>
      </c>
      <c r="G405" s="9" t="str">
        <f t="shared" si="22"/>
        <v/>
      </c>
    </row>
    <row r="406" spans="1:8" hidden="1" x14ac:dyDescent="0.25">
      <c r="A406" s="27"/>
      <c r="B406" s="27" t="s">
        <v>898</v>
      </c>
      <c r="C406" s="27" t="s">
        <v>899</v>
      </c>
      <c r="D406" s="6" t="s">
        <v>900</v>
      </c>
      <c r="E406" s="31" t="s">
        <v>3</v>
      </c>
      <c r="F406" s="12" t="str">
        <f t="shared" si="23"/>
        <v/>
      </c>
      <c r="G406" s="9" t="str">
        <f t="shared" si="22"/>
        <v/>
      </c>
    </row>
    <row r="407" spans="1:8" x14ac:dyDescent="0.25">
      <c r="A407" s="27">
        <v>125</v>
      </c>
      <c r="B407" s="27" t="s">
        <v>898</v>
      </c>
      <c r="C407" s="27" t="s">
        <v>901</v>
      </c>
      <c r="D407" s="5" t="s">
        <v>414</v>
      </c>
      <c r="E407" s="32" t="s">
        <v>5</v>
      </c>
      <c r="F407" s="14" t="str">
        <f t="shared" si="23"/>
        <v>https://docs.google.com/uc?export=download&amp;id=1SmtAHTANoXXfnZjRZk0TG9LeT7IH-SyI</v>
      </c>
      <c r="G407" s="9" t="str">
        <f t="shared" si="22"/>
        <v>1SmtAHTANoXXfnZjRZk0TG9LeT7IH-SyI</v>
      </c>
      <c r="H407" t="s">
        <v>1069</v>
      </c>
    </row>
    <row r="408" spans="1:8" hidden="1" x14ac:dyDescent="0.25">
      <c r="A408" s="28"/>
      <c r="B408" s="28" t="s">
        <v>898</v>
      </c>
      <c r="C408" s="28" t="s">
        <v>902</v>
      </c>
      <c r="D408" s="2" t="s">
        <v>415</v>
      </c>
      <c r="E408" s="33" t="s">
        <v>6</v>
      </c>
      <c r="F408" s="13" t="str">
        <f t="shared" si="23"/>
        <v/>
      </c>
      <c r="G408" s="9" t="str">
        <f t="shared" si="22"/>
        <v/>
      </c>
    </row>
    <row r="409" spans="1:8" s="22" customFormat="1" hidden="1" x14ac:dyDescent="0.25">
      <c r="A409" s="26"/>
      <c r="B409" s="25" t="s">
        <v>903</v>
      </c>
      <c r="C409" s="26" t="s">
        <v>904</v>
      </c>
      <c r="D409" s="19" t="s">
        <v>905</v>
      </c>
      <c r="E409" s="30" t="s">
        <v>12</v>
      </c>
      <c r="F409" s="20" t="str">
        <f t="shared" si="23"/>
        <v/>
      </c>
      <c r="G409" s="9" t="str">
        <f t="shared" si="22"/>
        <v/>
      </c>
      <c r="H409"/>
    </row>
    <row r="410" spans="1:8" hidden="1" x14ac:dyDescent="0.25">
      <c r="A410" s="27"/>
      <c r="B410" s="27" t="s">
        <v>906</v>
      </c>
      <c r="C410" s="27" t="s">
        <v>907</v>
      </c>
      <c r="D410" s="6" t="s">
        <v>908</v>
      </c>
      <c r="E410" s="31" t="s">
        <v>3</v>
      </c>
      <c r="F410" s="12" t="str">
        <f t="shared" si="23"/>
        <v/>
      </c>
      <c r="G410" s="9" t="str">
        <f t="shared" si="22"/>
        <v/>
      </c>
    </row>
    <row r="411" spans="1:8" x14ac:dyDescent="0.25">
      <c r="A411" s="27">
        <v>126</v>
      </c>
      <c r="B411" s="27" t="s">
        <v>906</v>
      </c>
      <c r="C411" s="27" t="s">
        <v>909</v>
      </c>
      <c r="D411" s="5" t="s">
        <v>416</v>
      </c>
      <c r="E411" s="32" t="s">
        <v>5</v>
      </c>
      <c r="F411" s="14" t="str">
        <f t="shared" si="23"/>
        <v>https://docs.google.com/uc?export=download&amp;id=1EJlMO3r575M7XSN6n5T20VgVDrjWdfWx</v>
      </c>
      <c r="G411" s="9" t="str">
        <f t="shared" si="22"/>
        <v>1EJlMO3r575M7XSN6n5T20VgVDrjWdfWx</v>
      </c>
      <c r="H411" t="s">
        <v>1070</v>
      </c>
    </row>
    <row r="412" spans="1:8" hidden="1" x14ac:dyDescent="0.25">
      <c r="A412" s="28"/>
      <c r="B412" s="28" t="s">
        <v>906</v>
      </c>
      <c r="C412" s="28" t="s">
        <v>910</v>
      </c>
      <c r="D412" s="2" t="s">
        <v>417</v>
      </c>
      <c r="E412" s="33" t="s">
        <v>6</v>
      </c>
      <c r="F412" s="13" t="str">
        <f t="shared" si="23"/>
        <v/>
      </c>
      <c r="G412" s="9" t="str">
        <f t="shared" si="22"/>
        <v/>
      </c>
    </row>
    <row r="413" spans="1:8" hidden="1" x14ac:dyDescent="0.25">
      <c r="A413" s="27"/>
      <c r="B413" s="27" t="s">
        <v>911</v>
      </c>
      <c r="C413" s="27" t="s">
        <v>912</v>
      </c>
      <c r="D413" s="6" t="s">
        <v>913</v>
      </c>
      <c r="E413" s="31" t="s">
        <v>3</v>
      </c>
      <c r="F413" s="12" t="str">
        <f t="shared" si="23"/>
        <v/>
      </c>
      <c r="G413" s="9" t="str">
        <f t="shared" si="22"/>
        <v/>
      </c>
    </row>
    <row r="414" spans="1:8" x14ac:dyDescent="0.25">
      <c r="A414" s="27">
        <v>127</v>
      </c>
      <c r="B414" s="27" t="s">
        <v>911</v>
      </c>
      <c r="C414" s="27" t="s">
        <v>914</v>
      </c>
      <c r="D414" s="5" t="s">
        <v>418</v>
      </c>
      <c r="E414" s="32" t="s">
        <v>5</v>
      </c>
      <c r="F414" s="14" t="str">
        <f t="shared" si="23"/>
        <v>https://docs.google.com/uc?export=download&amp;id=1ekVbXYUo6mxQlg5eWJyWUfeUBF5tCwJm</v>
      </c>
      <c r="G414" s="9" t="str">
        <f t="shared" si="22"/>
        <v>1ekVbXYUo6mxQlg5eWJyWUfeUBF5tCwJm</v>
      </c>
      <c r="H414" t="s">
        <v>1071</v>
      </c>
    </row>
    <row r="415" spans="1:8" hidden="1" x14ac:dyDescent="0.25">
      <c r="A415" s="28"/>
      <c r="B415" s="28" t="s">
        <v>911</v>
      </c>
      <c r="C415" s="28" t="s">
        <v>915</v>
      </c>
      <c r="D415" s="2" t="s">
        <v>419</v>
      </c>
      <c r="E415" s="33" t="s">
        <v>6</v>
      </c>
      <c r="F415" s="13" t="str">
        <f t="shared" si="23"/>
        <v/>
      </c>
      <c r="G415" s="9" t="str">
        <f t="shared" si="22"/>
        <v/>
      </c>
    </row>
    <row r="416" spans="1:8" hidden="1" x14ac:dyDescent="0.25">
      <c r="A416" s="27"/>
      <c r="B416" s="27" t="s">
        <v>916</v>
      </c>
      <c r="C416" s="27" t="s">
        <v>917</v>
      </c>
      <c r="D416" s="6" t="s">
        <v>918</v>
      </c>
      <c r="E416" s="31" t="s">
        <v>3</v>
      </c>
      <c r="F416" s="12" t="str">
        <f t="shared" si="23"/>
        <v/>
      </c>
      <c r="G416" s="9" t="str">
        <f t="shared" si="22"/>
        <v/>
      </c>
    </row>
    <row r="417" spans="1:8" x14ac:dyDescent="0.25">
      <c r="A417" s="27">
        <v>128</v>
      </c>
      <c r="B417" s="27" t="s">
        <v>916</v>
      </c>
      <c r="C417" s="27" t="s">
        <v>919</v>
      </c>
      <c r="D417" s="5" t="s">
        <v>420</v>
      </c>
      <c r="E417" s="32" t="s">
        <v>5</v>
      </c>
      <c r="F417" s="14" t="str">
        <f t="shared" si="23"/>
        <v>https://docs.google.com/uc?export=download&amp;id=1nYzsZAcM00nHCCZem13qQPvSLnwx7EfH</v>
      </c>
      <c r="G417" s="9" t="str">
        <f t="shared" si="22"/>
        <v>1nYzsZAcM00nHCCZem13qQPvSLnwx7EfH</v>
      </c>
      <c r="H417" t="s">
        <v>1072</v>
      </c>
    </row>
    <row r="418" spans="1:8" hidden="1" x14ac:dyDescent="0.25">
      <c r="A418" s="28"/>
      <c r="B418" s="28" t="s">
        <v>916</v>
      </c>
      <c r="C418" s="28" t="s">
        <v>920</v>
      </c>
      <c r="D418" s="2" t="s">
        <v>421</v>
      </c>
      <c r="E418" s="33" t="s">
        <v>6</v>
      </c>
      <c r="F418" s="13" t="str">
        <f t="shared" si="23"/>
        <v/>
      </c>
      <c r="G418" s="9" t="str">
        <f t="shared" si="22"/>
        <v/>
      </c>
    </row>
    <row r="419" spans="1:8" hidden="1" x14ac:dyDescent="0.25">
      <c r="A419" s="27"/>
      <c r="B419" s="27" t="s">
        <v>921</v>
      </c>
      <c r="C419" s="27" t="s">
        <v>922</v>
      </c>
      <c r="D419" s="6" t="s">
        <v>923</v>
      </c>
      <c r="E419" s="31" t="s">
        <v>3</v>
      </c>
      <c r="F419" s="12" t="str">
        <f t="shared" si="23"/>
        <v/>
      </c>
      <c r="G419" s="9" t="str">
        <f t="shared" si="22"/>
        <v/>
      </c>
    </row>
    <row r="420" spans="1:8" x14ac:dyDescent="0.25">
      <c r="A420" s="27">
        <v>129</v>
      </c>
      <c r="B420" s="27" t="s">
        <v>921</v>
      </c>
      <c r="C420" s="27" t="s">
        <v>924</v>
      </c>
      <c r="D420" s="5" t="s">
        <v>422</v>
      </c>
      <c r="E420" s="32" t="s">
        <v>5</v>
      </c>
      <c r="F420" s="14" t="str">
        <f t="shared" si="23"/>
        <v>https://docs.google.com/uc?export=download&amp;id=1iPUTvhuI0YQCo4TQ1RIlVpEffc3hWJGZ</v>
      </c>
      <c r="G420" s="9" t="str">
        <f t="shared" si="22"/>
        <v>1iPUTvhuI0YQCo4TQ1RIlVpEffc3hWJGZ</v>
      </c>
      <c r="H420" t="s">
        <v>1073</v>
      </c>
    </row>
    <row r="421" spans="1:8" hidden="1" x14ac:dyDescent="0.25">
      <c r="A421" s="28"/>
      <c r="B421" s="28" t="s">
        <v>921</v>
      </c>
      <c r="C421" s="28" t="s">
        <v>925</v>
      </c>
      <c r="D421" s="2" t="s">
        <v>423</v>
      </c>
      <c r="E421" s="33" t="s">
        <v>6</v>
      </c>
      <c r="F421" s="13" t="str">
        <f t="shared" si="23"/>
        <v/>
      </c>
      <c r="G421" s="9" t="str">
        <f t="shared" si="22"/>
        <v/>
      </c>
    </row>
    <row r="422" spans="1:8" s="22" customFormat="1" hidden="1" x14ac:dyDescent="0.25">
      <c r="A422" s="26"/>
      <c r="B422" s="25" t="s">
        <v>926</v>
      </c>
      <c r="C422" s="26" t="s">
        <v>927</v>
      </c>
      <c r="D422" s="19" t="s">
        <v>928</v>
      </c>
      <c r="E422" s="30" t="s">
        <v>12</v>
      </c>
      <c r="F422" s="20" t="str">
        <f t="shared" si="23"/>
        <v/>
      </c>
      <c r="G422" s="9" t="str">
        <f t="shared" si="22"/>
        <v/>
      </c>
      <c r="H422"/>
    </row>
    <row r="423" spans="1:8" hidden="1" x14ac:dyDescent="0.25">
      <c r="A423" s="27"/>
      <c r="B423" s="27" t="s">
        <v>929</v>
      </c>
      <c r="C423" s="27" t="s">
        <v>930</v>
      </c>
      <c r="D423" s="6" t="s">
        <v>931</v>
      </c>
      <c r="E423" s="31" t="s">
        <v>3</v>
      </c>
      <c r="F423" s="12" t="str">
        <f t="shared" si="23"/>
        <v/>
      </c>
      <c r="G423" s="9" t="str">
        <f t="shared" si="22"/>
        <v/>
      </c>
    </row>
    <row r="424" spans="1:8" x14ac:dyDescent="0.25">
      <c r="A424" s="27">
        <v>130</v>
      </c>
      <c r="B424" s="27" t="s">
        <v>929</v>
      </c>
      <c r="C424" s="27" t="s">
        <v>932</v>
      </c>
      <c r="D424" s="5" t="s">
        <v>424</v>
      </c>
      <c r="E424" s="32" t="s">
        <v>5</v>
      </c>
      <c r="F424" s="14" t="str">
        <f t="shared" si="23"/>
        <v>https://docs.google.com/uc?export=download&amp;id=1CtjjteG3JTnG5xoNWmdlHqFMdIpgOwcV</v>
      </c>
      <c r="G424" s="9" t="str">
        <f t="shared" si="22"/>
        <v>1CtjjteG3JTnG5xoNWmdlHqFMdIpgOwcV</v>
      </c>
      <c r="H424" t="s">
        <v>1074</v>
      </c>
    </row>
    <row r="425" spans="1:8" hidden="1" x14ac:dyDescent="0.25">
      <c r="A425" s="28"/>
      <c r="B425" s="28" t="s">
        <v>929</v>
      </c>
      <c r="C425" s="28" t="s">
        <v>933</v>
      </c>
      <c r="D425" s="2" t="s">
        <v>425</v>
      </c>
      <c r="E425" s="33" t="s">
        <v>6</v>
      </c>
      <c r="F425" s="13" t="str">
        <f t="shared" si="23"/>
        <v/>
      </c>
      <c r="G425" s="9" t="str">
        <f t="shared" si="22"/>
        <v/>
      </c>
    </row>
    <row r="426" spans="1:8" hidden="1" x14ac:dyDescent="0.25">
      <c r="A426" s="27"/>
      <c r="B426" s="27" t="s">
        <v>934</v>
      </c>
      <c r="C426" s="27" t="s">
        <v>935</v>
      </c>
      <c r="D426" s="6" t="s">
        <v>936</v>
      </c>
      <c r="E426" s="31" t="s">
        <v>3</v>
      </c>
      <c r="F426" s="12" t="str">
        <f t="shared" si="23"/>
        <v/>
      </c>
      <c r="G426" s="9" t="str">
        <f t="shared" si="22"/>
        <v/>
      </c>
    </row>
    <row r="427" spans="1:8" x14ac:dyDescent="0.25">
      <c r="A427" s="27">
        <v>131</v>
      </c>
      <c r="B427" s="27" t="s">
        <v>934</v>
      </c>
      <c r="C427" s="27" t="s">
        <v>937</v>
      </c>
      <c r="D427" s="5" t="s">
        <v>426</v>
      </c>
      <c r="E427" s="32" t="s">
        <v>5</v>
      </c>
      <c r="F427" s="14" t="str">
        <f t="shared" si="23"/>
        <v>https://docs.google.com/uc?export=download&amp;id=1seWUnbbTi_PaWNVE72vYD6xIOxfD9iuc</v>
      </c>
      <c r="G427" s="9" t="str">
        <f t="shared" si="22"/>
        <v>1seWUnbbTi_PaWNVE72vYD6xIOxfD9iuc</v>
      </c>
      <c r="H427" t="s">
        <v>1075</v>
      </c>
    </row>
    <row r="428" spans="1:8" hidden="1" x14ac:dyDescent="0.25">
      <c r="A428" s="28"/>
      <c r="B428" s="28" t="s">
        <v>934</v>
      </c>
      <c r="C428" s="28" t="s">
        <v>938</v>
      </c>
      <c r="D428" s="2" t="s">
        <v>427</v>
      </c>
      <c r="E428" s="33" t="s">
        <v>6</v>
      </c>
      <c r="F428" s="13" t="str">
        <f t="shared" si="23"/>
        <v/>
      </c>
      <c r="G428" s="9" t="str">
        <f t="shared" si="22"/>
        <v/>
      </c>
    </row>
    <row r="429" spans="1:8" hidden="1" x14ac:dyDescent="0.25">
      <c r="A429" s="27"/>
      <c r="B429" s="27" t="s">
        <v>939</v>
      </c>
      <c r="C429" s="27" t="s">
        <v>940</v>
      </c>
      <c r="D429" s="6" t="s">
        <v>941</v>
      </c>
      <c r="E429" s="31" t="s">
        <v>3</v>
      </c>
      <c r="F429" s="12" t="str">
        <f t="shared" si="23"/>
        <v/>
      </c>
      <c r="G429" s="9" t="str">
        <f t="shared" si="22"/>
        <v/>
      </c>
    </row>
    <row r="430" spans="1:8" x14ac:dyDescent="0.25">
      <c r="A430" s="27">
        <v>132</v>
      </c>
      <c r="B430" s="27" t="s">
        <v>939</v>
      </c>
      <c r="C430" s="27" t="s">
        <v>942</v>
      </c>
      <c r="D430" s="5" t="s">
        <v>428</v>
      </c>
      <c r="E430" s="32" t="s">
        <v>5</v>
      </c>
      <c r="F430" s="14" t="str">
        <f t="shared" si="23"/>
        <v>https://docs.google.com/uc?export=download&amp;id=1UA470ApcCsqaa_-w_lCTQ2-E7s7vPmWg</v>
      </c>
      <c r="G430" s="9" t="str">
        <f t="shared" si="22"/>
        <v>1UA470ApcCsqaa_-w_lCTQ2-E7s7vPmWg</v>
      </c>
      <c r="H430" t="s">
        <v>1076</v>
      </c>
    </row>
    <row r="431" spans="1:8" hidden="1" x14ac:dyDescent="0.25">
      <c r="A431" s="28"/>
      <c r="B431" s="28" t="s">
        <v>939</v>
      </c>
      <c r="C431" s="28" t="s">
        <v>943</v>
      </c>
      <c r="D431" s="2" t="s">
        <v>429</v>
      </c>
      <c r="E431" s="33" t="s">
        <v>6</v>
      </c>
      <c r="F431" s="13" t="str">
        <f t="shared" si="23"/>
        <v/>
      </c>
      <c r="G431" s="9" t="str">
        <f t="shared" si="22"/>
        <v/>
      </c>
    </row>
    <row r="432" spans="1:8" hidden="1" x14ac:dyDescent="0.25">
      <c r="A432" s="27"/>
      <c r="B432" s="27" t="s">
        <v>944</v>
      </c>
      <c r="C432" s="27" t="s">
        <v>945</v>
      </c>
      <c r="D432" s="6" t="s">
        <v>946</v>
      </c>
      <c r="E432" s="31" t="s">
        <v>3</v>
      </c>
      <c r="F432" s="12" t="str">
        <f t="shared" si="23"/>
        <v/>
      </c>
      <c r="G432" s="9" t="str">
        <f t="shared" si="22"/>
        <v/>
      </c>
    </row>
    <row r="433" spans="1:8" x14ac:dyDescent="0.25">
      <c r="A433" s="27">
        <v>133</v>
      </c>
      <c r="B433" s="27" t="s">
        <v>944</v>
      </c>
      <c r="C433" s="27" t="s">
        <v>947</v>
      </c>
      <c r="D433" s="5" t="s">
        <v>430</v>
      </c>
      <c r="E433" s="32" t="s">
        <v>5</v>
      </c>
      <c r="F433" s="14" t="str">
        <f t="shared" si="23"/>
        <v>https://docs.google.com/uc?export=download&amp;id=1FAMFAXTYMlpUlq6HoqUJa-s3amhgSrAa</v>
      </c>
      <c r="G433" s="9" t="str">
        <f t="shared" si="22"/>
        <v>1FAMFAXTYMlpUlq6HoqUJa-s3amhgSrAa</v>
      </c>
      <c r="H433" t="s">
        <v>1077</v>
      </c>
    </row>
    <row r="434" spans="1:8" hidden="1" x14ac:dyDescent="0.25">
      <c r="A434" s="28"/>
      <c r="B434" s="28" t="s">
        <v>944</v>
      </c>
      <c r="C434" s="28" t="s">
        <v>948</v>
      </c>
      <c r="D434" s="2" t="s">
        <v>431</v>
      </c>
      <c r="E434" s="33" t="s">
        <v>6</v>
      </c>
      <c r="F434" s="13" t="str">
        <f t="shared" si="23"/>
        <v/>
      </c>
      <c r="G434" s="9" t="str">
        <f t="shared" si="22"/>
        <v/>
      </c>
    </row>
    <row r="435" spans="1:8" s="22" customFormat="1" hidden="1" x14ac:dyDescent="0.25">
      <c r="A435" s="26"/>
      <c r="B435" s="25" t="s">
        <v>949</v>
      </c>
      <c r="C435" s="26" t="s">
        <v>950</v>
      </c>
      <c r="D435" s="19" t="s">
        <v>951</v>
      </c>
      <c r="E435" s="30" t="s">
        <v>12</v>
      </c>
      <c r="F435" s="20" t="str">
        <f t="shared" si="23"/>
        <v/>
      </c>
      <c r="G435" s="9" t="str">
        <f t="shared" si="22"/>
        <v/>
      </c>
      <c r="H435"/>
    </row>
    <row r="436" spans="1:8" hidden="1" x14ac:dyDescent="0.25">
      <c r="A436" s="27"/>
      <c r="B436" s="27" t="s">
        <v>952</v>
      </c>
      <c r="C436" s="27" t="s">
        <v>953</v>
      </c>
      <c r="D436" s="6" t="s">
        <v>954</v>
      </c>
      <c r="E436" s="31" t="s">
        <v>3</v>
      </c>
      <c r="F436" s="12" t="str">
        <f t="shared" si="23"/>
        <v/>
      </c>
      <c r="G436" s="9" t="str">
        <f t="shared" si="22"/>
        <v/>
      </c>
    </row>
    <row r="437" spans="1:8" x14ac:dyDescent="0.25">
      <c r="A437" s="27">
        <v>134</v>
      </c>
      <c r="B437" s="27" t="s">
        <v>952</v>
      </c>
      <c r="C437" s="27" t="s">
        <v>955</v>
      </c>
      <c r="D437" s="5" t="s">
        <v>432</v>
      </c>
      <c r="E437" s="32" t="s">
        <v>5</v>
      </c>
      <c r="F437" s="14" t="str">
        <f t="shared" si="23"/>
        <v>https://docs.google.com/uc?export=download&amp;id=1xtT5AxhJsflpKAlTIH25aM99B_JIFupY</v>
      </c>
      <c r="G437" s="9" t="str">
        <f t="shared" si="22"/>
        <v>1xtT5AxhJsflpKAlTIH25aM99B_JIFupY</v>
      </c>
      <c r="H437" t="s">
        <v>1078</v>
      </c>
    </row>
    <row r="438" spans="1:8" hidden="1" x14ac:dyDescent="0.25">
      <c r="A438" s="28"/>
      <c r="B438" s="28" t="s">
        <v>952</v>
      </c>
      <c r="C438" s="28" t="s">
        <v>956</v>
      </c>
      <c r="D438" s="2" t="s">
        <v>433</v>
      </c>
      <c r="E438" s="33" t="s">
        <v>6</v>
      </c>
      <c r="F438" s="13" t="str">
        <f t="shared" si="23"/>
        <v/>
      </c>
      <c r="G438" s="9" t="str">
        <f t="shared" si="22"/>
        <v/>
      </c>
    </row>
    <row r="439" spans="1:8" hidden="1" x14ac:dyDescent="0.25">
      <c r="A439" s="27"/>
      <c r="B439" s="27" t="s">
        <v>957</v>
      </c>
      <c r="C439" s="27" t="s">
        <v>958</v>
      </c>
      <c r="D439" s="6" t="s">
        <v>959</v>
      </c>
      <c r="E439" s="31" t="s">
        <v>3</v>
      </c>
      <c r="F439" s="12" t="str">
        <f t="shared" si="23"/>
        <v/>
      </c>
      <c r="G439" s="9" t="str">
        <f t="shared" si="22"/>
        <v/>
      </c>
    </row>
    <row r="440" spans="1:8" x14ac:dyDescent="0.25">
      <c r="A440" s="27">
        <v>135</v>
      </c>
      <c r="B440" s="27" t="s">
        <v>957</v>
      </c>
      <c r="C440" s="27" t="s">
        <v>960</v>
      </c>
      <c r="D440" s="5" t="s">
        <v>442</v>
      </c>
      <c r="E440" s="32" t="s">
        <v>5</v>
      </c>
      <c r="F440" s="14" t="str">
        <f t="shared" si="23"/>
        <v>https://docs.google.com/uc?export=download&amp;id=1DUCnf0V0IKmjjs84QWwzwZG5IVJ0kUpu</v>
      </c>
      <c r="G440" s="9" t="str">
        <f t="shared" si="22"/>
        <v>1DUCnf0V0IKmjjs84QWwzwZG5IVJ0kUpu</v>
      </c>
      <c r="H440" t="s">
        <v>1079</v>
      </c>
    </row>
    <row r="441" spans="1:8" hidden="1" x14ac:dyDescent="0.25">
      <c r="A441" s="28"/>
      <c r="B441" s="28" t="s">
        <v>957</v>
      </c>
      <c r="C441" s="28" t="s">
        <v>961</v>
      </c>
      <c r="D441" s="2" t="s">
        <v>443</v>
      </c>
      <c r="E441" s="33" t="s">
        <v>6</v>
      </c>
      <c r="F441" s="13" t="str">
        <f t="shared" si="23"/>
        <v/>
      </c>
      <c r="G441" s="9" t="str">
        <f t="shared" si="22"/>
        <v/>
      </c>
    </row>
    <row r="442" spans="1:8" hidden="1" x14ac:dyDescent="0.25">
      <c r="A442" s="27"/>
      <c r="B442" s="27" t="s">
        <v>962</v>
      </c>
      <c r="C442" s="27" t="s">
        <v>963</v>
      </c>
      <c r="D442" s="6" t="s">
        <v>964</v>
      </c>
      <c r="E442" s="31" t="s">
        <v>3</v>
      </c>
      <c r="F442" s="12" t="str">
        <f t="shared" si="23"/>
        <v/>
      </c>
      <c r="G442" s="9" t="str">
        <f t="shared" si="22"/>
        <v/>
      </c>
    </row>
    <row r="443" spans="1:8" x14ac:dyDescent="0.25">
      <c r="A443" s="27">
        <v>136</v>
      </c>
      <c r="B443" s="27" t="s">
        <v>962</v>
      </c>
      <c r="C443" s="27" t="s">
        <v>965</v>
      </c>
      <c r="D443" s="5" t="s">
        <v>434</v>
      </c>
      <c r="E443" s="32" t="s">
        <v>5</v>
      </c>
      <c r="F443" s="14" t="str">
        <f t="shared" si="23"/>
        <v>https://docs.google.com/uc?export=download&amp;id=1CLxOnYEb_wlETgkrkB1h8RwH_6YLMUUP</v>
      </c>
      <c r="G443" s="9" t="str">
        <f t="shared" si="22"/>
        <v>1CLxOnYEb_wlETgkrkB1h8RwH_6YLMUUP</v>
      </c>
      <c r="H443" t="s">
        <v>1080</v>
      </c>
    </row>
    <row r="444" spans="1:8" hidden="1" x14ac:dyDescent="0.25">
      <c r="A444" s="28"/>
      <c r="B444" s="28" t="s">
        <v>962</v>
      </c>
      <c r="C444" s="28" t="s">
        <v>966</v>
      </c>
      <c r="D444" s="2" t="s">
        <v>435</v>
      </c>
      <c r="E444" s="33" t="s">
        <v>6</v>
      </c>
      <c r="F444" s="13" t="str">
        <f t="shared" si="23"/>
        <v/>
      </c>
      <c r="G444" s="9" t="str">
        <f t="shared" si="22"/>
        <v/>
      </c>
    </row>
    <row r="445" spans="1:8" s="22" customFormat="1" hidden="1" x14ac:dyDescent="0.25">
      <c r="A445" s="26"/>
      <c r="B445" s="25" t="s">
        <v>967</v>
      </c>
      <c r="C445" s="26" t="s">
        <v>968</v>
      </c>
      <c r="D445" s="19" t="s">
        <v>969</v>
      </c>
      <c r="E445" s="30" t="s">
        <v>12</v>
      </c>
      <c r="F445" s="20" t="str">
        <f t="shared" si="23"/>
        <v/>
      </c>
      <c r="G445" s="9" t="str">
        <f t="shared" si="22"/>
        <v/>
      </c>
      <c r="H445"/>
    </row>
    <row r="446" spans="1:8" hidden="1" x14ac:dyDescent="0.25">
      <c r="A446" s="27"/>
      <c r="B446" s="27" t="s">
        <v>970</v>
      </c>
      <c r="C446" s="27" t="s">
        <v>971</v>
      </c>
      <c r="D446" s="6" t="s">
        <v>972</v>
      </c>
      <c r="E446" s="31" t="s">
        <v>3</v>
      </c>
      <c r="F446" s="12" t="str">
        <f t="shared" si="23"/>
        <v/>
      </c>
      <c r="G446" s="9" t="str">
        <f t="shared" si="22"/>
        <v/>
      </c>
    </row>
    <row r="447" spans="1:8" x14ac:dyDescent="0.25">
      <c r="A447" s="27">
        <v>137</v>
      </c>
      <c r="B447" s="27" t="s">
        <v>970</v>
      </c>
      <c r="C447" s="27" t="s">
        <v>973</v>
      </c>
      <c r="D447" s="5" t="s">
        <v>436</v>
      </c>
      <c r="E447" s="32" t="s">
        <v>5</v>
      </c>
      <c r="F447" s="14" t="str">
        <f t="shared" si="23"/>
        <v>https://docs.google.com/uc?export=download&amp;id=1XFwaJ10PopyOrNDeDCtZR7Q9jQD8xW7K</v>
      </c>
      <c r="G447" s="9" t="str">
        <f t="shared" si="22"/>
        <v>1XFwaJ10PopyOrNDeDCtZR7Q9jQD8xW7K</v>
      </c>
      <c r="H447" t="s">
        <v>1081</v>
      </c>
    </row>
    <row r="448" spans="1:8" hidden="1" x14ac:dyDescent="0.25">
      <c r="A448" s="28"/>
      <c r="B448" s="28" t="s">
        <v>970</v>
      </c>
      <c r="C448" s="28" t="s">
        <v>974</v>
      </c>
      <c r="D448" s="2" t="s">
        <v>437</v>
      </c>
      <c r="E448" s="33" t="s">
        <v>6</v>
      </c>
      <c r="F448" s="13" t="str">
        <f t="shared" si="23"/>
        <v/>
      </c>
      <c r="G448" s="9" t="str">
        <f t="shared" si="22"/>
        <v/>
      </c>
    </row>
    <row r="449" spans="1:8" hidden="1" x14ac:dyDescent="0.25">
      <c r="A449" s="27"/>
      <c r="B449" s="27" t="s">
        <v>975</v>
      </c>
      <c r="C449" s="27" t="s">
        <v>976</v>
      </c>
      <c r="D449" s="6" t="s">
        <v>977</v>
      </c>
      <c r="E449" s="31" t="s">
        <v>3</v>
      </c>
      <c r="F449" s="12" t="str">
        <f t="shared" si="23"/>
        <v/>
      </c>
      <c r="G449" s="9" t="str">
        <f t="shared" si="22"/>
        <v/>
      </c>
    </row>
    <row r="450" spans="1:8" x14ac:dyDescent="0.25">
      <c r="A450" s="27">
        <v>138</v>
      </c>
      <c r="B450" s="27" t="s">
        <v>975</v>
      </c>
      <c r="C450" s="27" t="s">
        <v>978</v>
      </c>
      <c r="D450" s="5" t="s">
        <v>438</v>
      </c>
      <c r="E450" s="32" t="s">
        <v>5</v>
      </c>
      <c r="F450" s="14" t="str">
        <f t="shared" si="23"/>
        <v>https://docs.google.com/uc?export=download&amp;id=1knDBDH_py3zqhh1Zn4o-nmCukIavUtFO</v>
      </c>
      <c r="G450" s="9" t="str">
        <f t="shared" si="22"/>
        <v>1knDBDH_py3zqhh1Zn4o-nmCukIavUtFO</v>
      </c>
      <c r="H450" t="s">
        <v>1082</v>
      </c>
    </row>
    <row r="451" spans="1:8" hidden="1" x14ac:dyDescent="0.25">
      <c r="A451" s="28"/>
      <c r="B451" s="28" t="s">
        <v>975</v>
      </c>
      <c r="C451" s="28" t="s">
        <v>979</v>
      </c>
      <c r="D451" s="2" t="s">
        <v>439</v>
      </c>
      <c r="E451" s="33" t="s">
        <v>6</v>
      </c>
      <c r="F451" s="13" t="str">
        <f t="shared" si="23"/>
        <v/>
      </c>
      <c r="G451" s="9" t="str">
        <f t="shared" si="22"/>
        <v/>
      </c>
    </row>
    <row r="452" spans="1:8" hidden="1" x14ac:dyDescent="0.25">
      <c r="A452" s="27"/>
      <c r="B452" s="27" t="s">
        <v>980</v>
      </c>
      <c r="C452" s="27" t="s">
        <v>981</v>
      </c>
      <c r="D452" s="6" t="s">
        <v>982</v>
      </c>
      <c r="E452" s="31" t="s">
        <v>3</v>
      </c>
      <c r="F452" s="12" t="str">
        <f t="shared" si="23"/>
        <v/>
      </c>
      <c r="G452" s="9" t="str">
        <f t="shared" si="22"/>
        <v/>
      </c>
    </row>
    <row r="453" spans="1:8" x14ac:dyDescent="0.25">
      <c r="A453" s="27">
        <v>139</v>
      </c>
      <c r="B453" s="27" t="s">
        <v>980</v>
      </c>
      <c r="C453" s="27" t="s">
        <v>983</v>
      </c>
      <c r="D453" s="5" t="s">
        <v>440</v>
      </c>
      <c r="E453" s="32" t="s">
        <v>5</v>
      </c>
      <c r="F453" s="14" t="str">
        <f t="shared" si="23"/>
        <v>https://docs.google.com/uc?export=download&amp;id=1bamHjxBMFnJrCNrWTImO8bKXp9lHLBjQ</v>
      </c>
      <c r="G453" s="9" t="str">
        <f t="shared" si="22"/>
        <v>1bamHjxBMFnJrCNrWTImO8bKXp9lHLBjQ</v>
      </c>
      <c r="H453" t="s">
        <v>1083</v>
      </c>
    </row>
    <row r="454" spans="1:8" hidden="1" x14ac:dyDescent="0.25">
      <c r="A454" s="28"/>
      <c r="B454" s="28" t="s">
        <v>980</v>
      </c>
      <c r="C454" s="28" t="s">
        <v>984</v>
      </c>
      <c r="D454" s="2" t="s">
        <v>441</v>
      </c>
      <c r="E454" s="33" t="s">
        <v>6</v>
      </c>
      <c r="F454" s="13" t="str">
        <f t="shared" si="23"/>
        <v/>
      </c>
      <c r="G454" s="9" t="str">
        <f t="shared" ref="G454" si="24">IFERROR(LEFT(RIGHT(H454,LEN(H454)-32),LEN(RIGHT(H454,LEN(H454)-32))-17),"")</f>
        <v/>
      </c>
    </row>
  </sheetData>
  <autoFilter ref="A3:H454" xr:uid="{409C9D1B-A452-401C-9733-8750E50DAAFC}">
    <filterColumn colId="4">
      <filters>
        <filter val="Eng"/>
      </filters>
    </filterColumn>
  </autoFilter>
  <conditionalFormatting sqref="I1:I1048576">
    <cfRule type="duplicateValues" dxfId="2" priority="2"/>
  </conditionalFormatting>
  <conditionalFormatting sqref="H1:H1048576">
    <cfRule type="duplicateValues" dxfId="1" priority="1"/>
  </conditionalFormatting>
  <hyperlinks>
    <hyperlink ref="H183" r:id="rId1" xr:uid="{27C5F6D6-71BC-4CEC-913B-FF1DC31D51EB}"/>
  </hyperlinks>
  <pageMargins left="0.7" right="0.7" top="0.75" bottom="0.75" header="0.3" footer="0.3"/>
  <pageSetup paperSize="9" orientation="portrait" r:id="rId2"/>
  <ignoredErrors>
    <ignoredError sqref="B165 B149 B256:B266 B201 B188 B175 B240 B217 B230 B285 B301 B422:B445 B396:B409 B367:B383 B347:B3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13"/>
  <sheetViews>
    <sheetView tabSelected="1" workbookViewId="0">
      <selection activeCell="C10" sqref="C10"/>
    </sheetView>
  </sheetViews>
  <sheetFormatPr defaultRowHeight="13.8" x14ac:dyDescent="0.25"/>
  <cols>
    <col min="2" max="2" width="12.19921875" style="1" bestFit="1" customWidth="1"/>
    <col min="3" max="3" width="81.296875" customWidth="1"/>
    <col min="5" max="5" width="74.296875" bestFit="1" customWidth="1"/>
  </cols>
  <sheetData>
    <row r="2" spans="2:5" x14ac:dyDescent="0.25">
      <c r="B2" s="3" t="s">
        <v>0</v>
      </c>
      <c r="C2" s="11" t="s">
        <v>10</v>
      </c>
      <c r="D2" s="1" t="s">
        <v>9</v>
      </c>
      <c r="E2" s="7" t="s">
        <v>11</v>
      </c>
    </row>
    <row r="3" spans="2:5" x14ac:dyDescent="0.25">
      <c r="B3" s="17" t="s">
        <v>219</v>
      </c>
      <c r="C3" s="15" t="str">
        <f>IF(D3="","","https://docs.google.com/uc?export=download&amp;id="&amp;D3)</f>
        <v>https://docs.google.com/uc?export=download&amp;id=16UItxbRFXQsHC6JqNryXRfu_CMxio5BD</v>
      </c>
      <c r="D3" s="16" t="str">
        <f t="shared" ref="D3:D13" si="0">IFERROR(LEFT(RIGHT(E3,LEN(E3)-32),LEN(RIGHT(E3,LEN(E3)-32))-17),"")</f>
        <v>16UItxbRFXQsHC6JqNryXRfu_CMxio5BD</v>
      </c>
      <c r="E3" s="16" t="s">
        <v>230</v>
      </c>
    </row>
    <row r="4" spans="2:5" x14ac:dyDescent="0.25">
      <c r="B4" s="17" t="s">
        <v>1029</v>
      </c>
      <c r="C4" s="15" t="str">
        <f t="shared" ref="C4:C12" si="1">IF(D4="","","https://docs.google.com/uc?export=download&amp;id="&amp;D4)</f>
        <v>https://docs.google.com/uc?export=download&amp;id=1tqASmv37J5zMRAaCyySLAl2omzPg-vbY</v>
      </c>
      <c r="D4" s="16" t="str">
        <f t="shared" si="0"/>
        <v>1tqASmv37J5zMRAaCyySLAl2omzPg-vbY</v>
      </c>
      <c r="E4" s="16" t="s">
        <v>1028</v>
      </c>
    </row>
    <row r="5" spans="2:5" x14ac:dyDescent="0.25">
      <c r="B5" s="17" t="s">
        <v>220</v>
      </c>
      <c r="C5" s="15" t="str">
        <f t="shared" si="1"/>
        <v>https://docs.google.com/uc?export=download&amp;id=1zu8BmU5AsbyFTurAxfEUJog2JD12PCcj</v>
      </c>
      <c r="D5" s="16" t="str">
        <f t="shared" si="0"/>
        <v>1zu8BmU5AsbyFTurAxfEUJog2JD12PCcj</v>
      </c>
      <c r="E5" s="16" t="s">
        <v>1030</v>
      </c>
    </row>
    <row r="6" spans="2:5" x14ac:dyDescent="0.25">
      <c r="B6" s="17" t="s">
        <v>221</v>
      </c>
      <c r="C6" s="15" t="str">
        <f t="shared" si="1"/>
        <v>https://docs.google.com/uc?export=download&amp;id=19ReWTE3nbR5jjo8wYUX4QIpAZOw_rnNA</v>
      </c>
      <c r="D6" s="16" t="str">
        <f t="shared" si="0"/>
        <v>19ReWTE3nbR5jjo8wYUX4QIpAZOw_rnNA</v>
      </c>
      <c r="E6" s="16" t="s">
        <v>1031</v>
      </c>
    </row>
    <row r="7" spans="2:5" x14ac:dyDescent="0.25">
      <c r="B7" s="17" t="s">
        <v>222</v>
      </c>
      <c r="C7" s="15" t="str">
        <f t="shared" si="1"/>
        <v>https://docs.google.com/uc?export=download&amp;id=1vZIwkXnA5xCUT3PRPjEXdiVcqQGsAEh8</v>
      </c>
      <c r="D7" s="16" t="str">
        <f t="shared" si="0"/>
        <v>1vZIwkXnA5xCUT3PRPjEXdiVcqQGsAEh8</v>
      </c>
      <c r="E7" s="16" t="s">
        <v>1085</v>
      </c>
    </row>
    <row r="8" spans="2:5" x14ac:dyDescent="0.25">
      <c r="B8" s="17" t="s">
        <v>223</v>
      </c>
      <c r="C8" s="15" t="str">
        <f t="shared" si="1"/>
        <v>https://docs.google.com/uc?export=download&amp;id=1Prr7EGqLz05h6XYDbwD3L2N6zUx-x7jO</v>
      </c>
      <c r="D8" s="16" t="str">
        <f t="shared" si="0"/>
        <v>1Prr7EGqLz05h6XYDbwD3L2N6zUx-x7jO</v>
      </c>
      <c r="E8" s="16" t="s">
        <v>1086</v>
      </c>
    </row>
    <row r="9" spans="2:5" x14ac:dyDescent="0.25">
      <c r="B9" s="17" t="s">
        <v>224</v>
      </c>
      <c r="C9" s="15" t="str">
        <f t="shared" si="1"/>
        <v>https://docs.google.com/uc?export=download&amp;id=1DRzFbHlLN_HTeLrEHTYWI7X7-nsRDN9F</v>
      </c>
      <c r="D9" s="16" t="str">
        <f t="shared" si="0"/>
        <v>1DRzFbHlLN_HTeLrEHTYWI7X7-nsRDN9F</v>
      </c>
      <c r="E9" s="16" t="s">
        <v>1091</v>
      </c>
    </row>
    <row r="10" spans="2:5" x14ac:dyDescent="0.25">
      <c r="B10" s="17" t="s">
        <v>1092</v>
      </c>
      <c r="C10" s="15" t="str">
        <f t="shared" si="1"/>
        <v>https://docs.google.com/uc?export=download&amp;id=1RHvj1ANg1BAYXqvKADUtV9HWVai_93Ex</v>
      </c>
      <c r="D10" s="16" t="str">
        <f t="shared" si="0"/>
        <v>1RHvj1ANg1BAYXqvKADUtV9HWVai_93Ex</v>
      </c>
      <c r="E10" s="16" t="s">
        <v>1093</v>
      </c>
    </row>
    <row r="11" spans="2:5" x14ac:dyDescent="0.25">
      <c r="B11" s="17"/>
      <c r="C11" s="15" t="str">
        <f t="shared" si="1"/>
        <v/>
      </c>
      <c r="D11" s="16" t="str">
        <f t="shared" si="0"/>
        <v/>
      </c>
      <c r="E11" s="16"/>
    </row>
    <row r="12" spans="2:5" x14ac:dyDescent="0.25">
      <c r="B12" s="17"/>
      <c r="C12" s="15" t="str">
        <f t="shared" si="1"/>
        <v/>
      </c>
      <c r="D12" s="16" t="str">
        <f t="shared" si="0"/>
        <v/>
      </c>
      <c r="E12" s="16"/>
    </row>
    <row r="13" spans="2:5" x14ac:dyDescent="0.25">
      <c r="B13" s="17"/>
      <c r="C13" s="15" t="str">
        <f t="shared" ref="C10:C13" si="2">IF(D13="","","https://docs.google.com/uc?export=download&amp;id="&amp;D13&amp;"""")</f>
        <v/>
      </c>
      <c r="D13" s="16" t="str">
        <f t="shared" si="0"/>
        <v/>
      </c>
      <c r="E13" s="16"/>
    </row>
  </sheetData>
  <phoneticPr fontId="3" type="noConversion"/>
  <pageMargins left="0.7" right="0.7" top="0.75" bottom="0.75" header="0.3" footer="0.3"/>
  <ignoredErrors>
    <ignoredError sqref="B5 B1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48-479B-4B09-9139-09BEE512E2E7}">
  <dimension ref="B2:E4"/>
  <sheetViews>
    <sheetView workbookViewId="0">
      <selection activeCell="C16" sqref="C16"/>
    </sheetView>
  </sheetViews>
  <sheetFormatPr defaultRowHeight="13.8" x14ac:dyDescent="0.25"/>
  <cols>
    <col min="2" max="2" width="11.3984375" bestFit="1" customWidth="1"/>
    <col min="3" max="3" width="75.69921875" bestFit="1" customWidth="1"/>
    <col min="5" max="5" width="74.796875" bestFit="1" customWidth="1"/>
  </cols>
  <sheetData>
    <row r="2" spans="2:5" x14ac:dyDescent="0.25">
      <c r="B2" s="3" t="s">
        <v>0</v>
      </c>
      <c r="C2" s="11" t="s">
        <v>10</v>
      </c>
      <c r="D2" s="1" t="s">
        <v>9</v>
      </c>
      <c r="E2" s="7" t="s">
        <v>11</v>
      </c>
    </row>
    <row r="3" spans="2:5" x14ac:dyDescent="0.25">
      <c r="B3" s="17" t="s">
        <v>1089</v>
      </c>
      <c r="C3" s="15" t="str">
        <f>IF(D3="","","https://docs.google.com/uc?export=download&amp;id="&amp;D3)</f>
        <v>https://docs.google.com/uc?export=download&amp;id=1Sxauxdmjchkj8TyASYJCj9mTOL5PSzWr</v>
      </c>
      <c r="D3" s="16" t="str">
        <f t="shared" ref="D3" si="0">IFERROR(LEFT(RIGHT(E3,LEN(E3)-32),LEN(RIGHT(E3,LEN(E3)-32))-17),"")</f>
        <v>1Sxauxdmjchkj8TyASYJCj9mTOL5PSzWr</v>
      </c>
      <c r="E3" s="16" t="s">
        <v>1088</v>
      </c>
    </row>
    <row r="4" spans="2:5" x14ac:dyDescent="0.25">
      <c r="B4" s="17" t="s">
        <v>1087</v>
      </c>
      <c r="C4" s="15" t="str">
        <f>IF(D4="","","https://docs.google.com/uc?export=download&amp;id="&amp;D4)</f>
        <v>https://docs.google.com/uc?export=download&amp;id=1TQKwAZuLCUmzvKorNgRFEptFrh9sF2Ko</v>
      </c>
      <c r="D4" s="16" t="str">
        <f t="shared" ref="D4" si="1">IFERROR(LEFT(RIGHT(E4,LEN(E4)-32),LEN(RIGHT(E4,LEN(E4)-32))-17),"")</f>
        <v>1TQKwAZuLCUmzvKorNgRFEptFrh9sF2Ko</v>
      </c>
      <c r="E4" s="16" t="s">
        <v>1090</v>
      </c>
    </row>
  </sheetData>
  <hyperlinks>
    <hyperlink ref="E4" r:id="rId1" xr:uid="{BC145BFC-EC65-4A62-BB39-F6ABFCB6AF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J295"/>
  <sheetViews>
    <sheetView topLeftCell="C1" zoomScale="86" zoomScaleNormal="86" workbookViewId="0">
      <selection activeCell="C4" sqref="C4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style="1" customWidth="1"/>
    <col min="4" max="4" width="7.09765625" customWidth="1"/>
    <col min="5" max="5" width="54.8984375" bestFit="1" customWidth="1"/>
    <col min="6" max="6" width="68.8984375" bestFit="1" customWidth="1"/>
  </cols>
  <sheetData>
    <row r="1" spans="1:10" ht="17.399999999999999" customHeight="1" x14ac:dyDescent="0.25">
      <c r="B1" t="s">
        <v>7</v>
      </c>
      <c r="C1" s="34">
        <v>126</v>
      </c>
      <c r="D1" s="7"/>
    </row>
    <row r="2" spans="1:10" x14ac:dyDescent="0.25">
      <c r="B2" t="s">
        <v>8</v>
      </c>
      <c r="C2" s="34">
        <v>139</v>
      </c>
      <c r="D2" s="7"/>
    </row>
    <row r="3" spans="1:10" x14ac:dyDescent="0.25">
      <c r="C3" s="35" t="s">
        <v>1</v>
      </c>
      <c r="D3" s="8" t="s">
        <v>1</v>
      </c>
      <c r="E3" s="8" t="s">
        <v>3</v>
      </c>
      <c r="F3" s="8" t="s">
        <v>5</v>
      </c>
    </row>
    <row r="4" spans="1:10" x14ac:dyDescent="0.25">
      <c r="A4">
        <f>C1</f>
        <v>126</v>
      </c>
      <c r="B4">
        <f t="shared" ref="B4:B67" ca="1" si="0">IF(A4="","",RANDBETWEEN($C$1,$C$2))</f>
        <v>138</v>
      </c>
      <c r="C4" s="1">
        <f ca="1">IFERROR($C$1-1+_xlfn.RANK.EQ(B4,$B$4:$B$142)+COUNTIF(B$4:$B4,B4)-1,"")</f>
        <v>128</v>
      </c>
      <c r="D4" s="1" t="str">
        <f ca="1">IFERROR(VLOOKUP(C4,Shopping!A:B,2,0),"")</f>
        <v>31.3</v>
      </c>
      <c r="E4" t="str">
        <f ca="1">IFERROR(VLOOKUP(D4&amp;"Viet",Shopping!C:D,2,0),"")</f>
        <v>Tôi muốn mua 3 món.</v>
      </c>
      <c r="F4" t="str">
        <f ca="1">IFERROR(VLOOKUP(D4&amp;"Eng",Shopping!C:D,2,0),"")</f>
        <v>I would like to get three items.</v>
      </c>
    </row>
    <row r="5" spans="1:10" x14ac:dyDescent="0.25">
      <c r="A5">
        <f>IFERROR(IF(A4+1&gt;$C$2,"",A4+1),"")</f>
        <v>127</v>
      </c>
      <c r="B5">
        <f t="shared" ca="1" si="0"/>
        <v>137</v>
      </c>
      <c r="C5" s="1">
        <f ca="1">IFERROR($C$1-1+_xlfn.RANK.EQ(B5,$B$4:$B$242)+COUNTIF(B$4:$B5,B5)-1,"")</f>
        <v>129</v>
      </c>
      <c r="D5" s="1" t="str">
        <f ca="1">IFERROR(VLOOKUP(C5,Shopping!A:B,2,0),"")</f>
        <v>31.4</v>
      </c>
      <c r="E5" t="str">
        <f ca="1">IFERROR(VLOOKUP(D5&amp;"Viet",Shopping!C:D,2,0),"")</f>
        <v>Tôi muốn mua 1 túi 5 kí gạo.</v>
      </c>
      <c r="F5" t="str">
        <f ca="1">IFERROR(VLOOKUP(D5&amp;"Eng",Shopping!C:D,2,0),"")</f>
        <v>I would like a 5-kilogram bag of rice.</v>
      </c>
    </row>
    <row r="6" spans="1:10" x14ac:dyDescent="0.25">
      <c r="A6">
        <f t="shared" ref="A6:A69" si="1">IFERROR(IF(A5+1&gt;$C$2,"",A5+1),"")</f>
        <v>128</v>
      </c>
      <c r="B6">
        <f t="shared" ca="1" si="0"/>
        <v>133</v>
      </c>
      <c r="C6" s="1">
        <f ca="1">IFERROR($C$1-1+_xlfn.RANK.EQ(B6,$B$4:$B$242)+COUNTIF(B$4:$B6,B6)-1,"")</f>
        <v>132</v>
      </c>
      <c r="D6" s="1" t="str">
        <f ca="1">IFERROR(VLOOKUP(C6,Shopping!A:B,2,0),"")</f>
        <v>32.3</v>
      </c>
      <c r="E6" t="str">
        <f ca="1">IFERROR(VLOOKUP(D6&amp;"Viet",Shopping!C:D,2,0),"")</f>
        <v>Khi nào thì kem chống nắng này hết hạn?</v>
      </c>
      <c r="F6" t="str">
        <f ca="1">IFERROR(VLOOKUP(D6&amp;"Eng",Shopping!C:D,2,0),"")</f>
        <v>When does this sunscreen expire?</v>
      </c>
    </row>
    <row r="7" spans="1:10" x14ac:dyDescent="0.25">
      <c r="A7">
        <f t="shared" si="1"/>
        <v>129</v>
      </c>
      <c r="B7">
        <f t="shared" ca="1" si="0"/>
        <v>130</v>
      </c>
      <c r="C7" s="1">
        <f ca="1">IFERROR($C$1-1+_xlfn.RANK.EQ(B7,$B$4:$B$242)+COUNTIF(B$4:$B7,B7)-1,"")</f>
        <v>135</v>
      </c>
      <c r="D7" s="1" t="str">
        <f ca="1">IFERROR(VLOOKUP(C7,Shopping!A:B,2,0),"")</f>
        <v>33.2</v>
      </c>
      <c r="E7" t="str">
        <f ca="1">IFERROR(VLOOKUP(D7&amp;"Viet",Shopping!C:D,2,0),"")</f>
        <v>Không biết cô có cái áo len này cùng kiểu mà chất liệu khác không?</v>
      </c>
      <c r="F7" t="str">
        <f ca="1">IFERROR(VLOOKUP(D7&amp;"Eng",Shopping!C:D,2,0),"")</f>
        <v>I was wondering if you had the same style of sweater made from another fabric.</v>
      </c>
    </row>
    <row r="8" spans="1:10" x14ac:dyDescent="0.25">
      <c r="A8">
        <f t="shared" si="1"/>
        <v>130</v>
      </c>
      <c r="B8">
        <f t="shared" ca="1" si="0"/>
        <v>134</v>
      </c>
      <c r="C8" s="1">
        <f ca="1">IFERROR($C$1-1+_xlfn.RANK.EQ(B8,$B$4:$B$242)+COUNTIF(B$4:$B8,B8)-1,"")</f>
        <v>130</v>
      </c>
      <c r="D8" s="1" t="str">
        <f ca="1">IFERROR(VLOOKUP(C8,Shopping!A:B,2,0),"")</f>
        <v>32.1</v>
      </c>
      <c r="E8" t="str">
        <f ca="1">IFERROR(VLOOKUP(D8&amp;"Viet",Shopping!C:D,2,0),"")</f>
        <v>Thịt heo này khi nào hết hạn?</v>
      </c>
      <c r="F8" t="str">
        <f ca="1">IFERROR(VLOOKUP(D8&amp;"Eng",Shopping!C:D,2,0),"")</f>
        <v>When does this pork expire?</v>
      </c>
    </row>
    <row r="9" spans="1:10" x14ac:dyDescent="0.25">
      <c r="A9">
        <f t="shared" si="1"/>
        <v>131</v>
      </c>
      <c r="B9">
        <f t="shared" ca="1" si="0"/>
        <v>139</v>
      </c>
      <c r="C9" s="1">
        <f ca="1">IFERROR($C$1-1+_xlfn.RANK.EQ(B9,$B$4:$B$242)+COUNTIF(B$4:$B9,B9)-1,"")</f>
        <v>126</v>
      </c>
      <c r="D9" s="1" t="str">
        <f ca="1">IFERROR(VLOOKUP(C9,Shopping!A:B,2,0),"")</f>
        <v>31.1</v>
      </c>
      <c r="E9" t="str">
        <f ca="1">IFERROR(VLOOKUP(D9&amp;"Viet",Shopping!C:D,2,0),"")</f>
        <v>Tôi muốn mua 1 lít sữa.</v>
      </c>
      <c r="F9" t="str">
        <f ca="1">IFERROR(VLOOKUP(D9&amp;"Eng",Shopping!C:D,2,0),"")</f>
        <v>I would like a liter of milk.</v>
      </c>
    </row>
    <row r="10" spans="1:10" x14ac:dyDescent="0.25">
      <c r="A10">
        <f t="shared" si="1"/>
        <v>132</v>
      </c>
      <c r="B10">
        <f t="shared" ca="1" si="0"/>
        <v>128</v>
      </c>
      <c r="C10" s="1">
        <f ca="1">IFERROR($C$1-1+_xlfn.RANK.EQ(B10,$B$4:$B$242)+COUNTIF(B$4:$B10,B10)-1,"")</f>
        <v>137</v>
      </c>
      <c r="D10" s="1" t="str">
        <f ca="1">IFERROR(VLOOKUP(C10,Shopping!A:B,2,0),"")</f>
        <v>34.1</v>
      </c>
      <c r="E10" t="str">
        <f ca="1">IFERROR(VLOOKUP(D10&amp;"Viet",Shopping!C:D,2,0),"")</f>
        <v>Tôi thích quần áo hơi rộng một chút.</v>
      </c>
      <c r="F10" t="str">
        <f ca="1">IFERROR(VLOOKUP(D10&amp;"Eng",Shopping!C:D,2,0),"")</f>
        <v>I prefer my clothes to be a little loose.</v>
      </c>
    </row>
    <row r="11" spans="1:10" x14ac:dyDescent="0.25">
      <c r="A11">
        <f t="shared" si="1"/>
        <v>133</v>
      </c>
      <c r="B11">
        <f t="shared" ca="1" si="0"/>
        <v>134</v>
      </c>
      <c r="C11" s="1">
        <f ca="1">IFERROR($C$1-1+_xlfn.RANK.EQ(B11,$B$4:$B$242)+COUNTIF(B$4:$B11,B11)-1,"")</f>
        <v>131</v>
      </c>
      <c r="D11" s="1" t="str">
        <f ca="1">IFERROR(VLOOKUP(C11,Shopping!A:B,2,0),"")</f>
        <v>32.2</v>
      </c>
      <c r="E11" t="str">
        <f ca="1">IFERROR(VLOOKUP(D11&amp;"Viet",Shopping!C:D,2,0),"")</f>
        <v>Khi nào sô cô la này hết hạn?</v>
      </c>
      <c r="F11" t="str">
        <f ca="1">IFERROR(VLOOKUP(D11&amp;"Eng",Shopping!C:D,2,0),"")</f>
        <v>When does this chocolate expire?</v>
      </c>
    </row>
    <row r="12" spans="1:10" x14ac:dyDescent="0.25">
      <c r="A12">
        <f t="shared" si="1"/>
        <v>134</v>
      </c>
      <c r="B12">
        <f t="shared" ca="1" si="0"/>
        <v>139</v>
      </c>
      <c r="C12" s="1">
        <f ca="1">IFERROR($C$1-1+_xlfn.RANK.EQ(B12,$B$4:$B$242)+COUNTIF(B$4:$B12,B12)-1,"")</f>
        <v>127</v>
      </c>
      <c r="D12" s="1" t="str">
        <f ca="1">IFERROR(VLOOKUP(C12,Shopping!A:B,2,0),"")</f>
        <v>31.2</v>
      </c>
      <c r="E12" t="str">
        <f ca="1">IFERROR(VLOOKUP(D12&amp;"Viet",Shopping!C:D,2,0),"")</f>
        <v>Tôi muốn mua 2 kí thịt bò.</v>
      </c>
      <c r="F12" t="str">
        <f ca="1">IFERROR(VLOOKUP(D12&amp;"Eng",Shopping!C:D,2,0),"")</f>
        <v>I would like 2 kilos of beef.</v>
      </c>
      <c r="J12" s="36"/>
    </row>
    <row r="13" spans="1:10" x14ac:dyDescent="0.25">
      <c r="A13">
        <f t="shared" si="1"/>
        <v>135</v>
      </c>
      <c r="B13">
        <f t="shared" ca="1" si="0"/>
        <v>128</v>
      </c>
      <c r="C13" s="1">
        <f ca="1">IFERROR($C$1-1+_xlfn.RANK.EQ(B13,$B$4:$B$242)+COUNTIF(B$4:$B13,B13)-1,"")</f>
        <v>138</v>
      </c>
      <c r="D13" s="1" t="str">
        <f ca="1">IFERROR(VLOOKUP(C13,Shopping!A:B,2,0),"")</f>
        <v>34.2</v>
      </c>
      <c r="E13" t="str">
        <f ca="1">IFERROR(VLOOKUP(D13&amp;"Viet",Shopping!C:D,2,0),"")</f>
        <v>Tôi thích quần áo rộng rãi.</v>
      </c>
      <c r="F13" t="str">
        <f ca="1">IFERROR(VLOOKUP(D13&amp;"Eng",Shopping!C:D,2,0),"")</f>
        <v>I prefer my clothes to be baggy.</v>
      </c>
    </row>
    <row r="14" spans="1:10" x14ac:dyDescent="0.25">
      <c r="A14">
        <f t="shared" si="1"/>
        <v>136</v>
      </c>
      <c r="B14">
        <f t="shared" ca="1" si="0"/>
        <v>133</v>
      </c>
      <c r="C14" s="1">
        <f ca="1">IFERROR($C$1-1+_xlfn.RANK.EQ(B14,$B$4:$B$242)+COUNTIF(B$4:$B14,B14)-1,"")</f>
        <v>133</v>
      </c>
      <c r="D14" s="1" t="str">
        <f ca="1">IFERROR(VLOOKUP(C14,Shopping!A:B,2,0),"")</f>
        <v>32.4</v>
      </c>
      <c r="E14" t="str">
        <f ca="1">IFERROR(VLOOKUP(D14&amp;"Viet",Shopping!C:D,2,0),"")</f>
        <v>Khi nào mật ong này hết hạn?</v>
      </c>
      <c r="F14" t="str">
        <f ca="1">IFERROR(VLOOKUP(D14&amp;"Eng",Shopping!C:D,2,0),"")</f>
        <v>When does this honey expire?</v>
      </c>
    </row>
    <row r="15" spans="1:10" x14ac:dyDescent="0.25">
      <c r="A15">
        <f t="shared" si="1"/>
        <v>137</v>
      </c>
      <c r="B15">
        <f t="shared" ca="1" si="0"/>
        <v>133</v>
      </c>
      <c r="C15" s="1">
        <f ca="1">IFERROR($C$1-1+_xlfn.RANK.EQ(B15,$B$4:$B$242)+COUNTIF(B$4:$B15,B15)-1,"")</f>
        <v>134</v>
      </c>
      <c r="D15" s="1" t="str">
        <f ca="1">IFERROR(VLOOKUP(C15,Shopping!A:B,2,0),"")</f>
        <v>33.1</v>
      </c>
      <c r="E15" t="str">
        <f ca="1">IFERROR(VLOOKUP(D15&amp;"Viet",Shopping!C:D,2,0),"")</f>
        <v>Không biết cô có chiếc áo len này cỡ lớn hơn không?</v>
      </c>
      <c r="F15" t="str">
        <f ca="1">IFERROR(VLOOKUP(D15&amp;"Eng",Shopping!C:D,2,0),"")</f>
        <v>I was wondering if you had this sweater in a larger size.</v>
      </c>
    </row>
    <row r="16" spans="1:10" x14ac:dyDescent="0.25">
      <c r="A16">
        <f t="shared" si="1"/>
        <v>138</v>
      </c>
      <c r="B16">
        <f t="shared" ca="1" si="0"/>
        <v>126</v>
      </c>
      <c r="C16" s="1">
        <f ca="1">IFERROR($C$1-1+_xlfn.RANK.EQ(B16,$B$4:$B$242)+COUNTIF(B$4:$B16,B16)-1,"")</f>
        <v>139</v>
      </c>
      <c r="D16" s="1" t="str">
        <f ca="1">IFERROR(VLOOKUP(C16,Shopping!A:B,2,0),"")</f>
        <v>34.3</v>
      </c>
      <c r="E16" t="str">
        <f ca="1">IFERROR(VLOOKUP(D16&amp;"Viet",Shopping!C:D,2,0),"")</f>
        <v>Tôi thích quần áo thời trang xíu.</v>
      </c>
      <c r="F16" t="str">
        <f ca="1">IFERROR(VLOOKUP(D16&amp;"Eng",Shopping!C:D,2,0),"")</f>
        <v>I prefer my clothes to be fashionable.</v>
      </c>
      <c r="J16" t="s">
        <v>1084</v>
      </c>
    </row>
    <row r="17" spans="1:10" x14ac:dyDescent="0.25">
      <c r="A17">
        <f t="shared" si="1"/>
        <v>139</v>
      </c>
      <c r="B17">
        <f t="shared" ca="1" si="0"/>
        <v>129</v>
      </c>
      <c r="C17" s="1">
        <f ca="1">IFERROR($C$1-1+_xlfn.RANK.EQ(B17,$B$4:$B$242)+COUNTIF(B$4:$B17,B17)-1,"")</f>
        <v>136</v>
      </c>
      <c r="D17" s="1" t="str">
        <f ca="1">IFERROR(VLOOKUP(C17,Shopping!A:B,2,0),"")</f>
        <v>33.3</v>
      </c>
      <c r="E17" t="str">
        <f ca="1">IFERROR(VLOOKUP(D17&amp;"Viet",Shopping!C:D,2,0),"")</f>
        <v>Không biết cô có cái nào khác mà không bị lỗi không?</v>
      </c>
      <c r="F17" t="str">
        <f ca="1">IFERROR(VLOOKUP(D17&amp;"Eng",Shopping!C:D,2,0),"")</f>
        <v>I was wondering if you had another one that is not damaged.</v>
      </c>
    </row>
    <row r="18" spans="1:10" ht="12.6" customHeight="1" x14ac:dyDescent="0.25">
      <c r="A18" t="str">
        <f t="shared" si="1"/>
        <v/>
      </c>
      <c r="B18" t="str">
        <f t="shared" ca="1" si="0"/>
        <v/>
      </c>
      <c r="C18" s="1" t="str">
        <f ca="1">IFERROR($C$1-1+_xlfn.RANK.EQ(B18,$B$4:$B$242)+COUNTIF(B$4:$B18,B18)-1,"")</f>
        <v/>
      </c>
      <c r="D18" s="1" t="str">
        <f ca="1">IFERROR(VLOOKUP(C18,Shopping!A:B,2,0),"")</f>
        <v/>
      </c>
      <c r="E18" t="str">
        <f ca="1">IFERROR(VLOOKUP(D18&amp;"Viet",Shopping!C:D,2,0),"")</f>
        <v/>
      </c>
      <c r="F18" t="str">
        <f ca="1">IFERROR(VLOOKUP(D18&amp;"Eng",Shopping!C:D,2,0),"")</f>
        <v/>
      </c>
    </row>
    <row r="19" spans="1:10" x14ac:dyDescent="0.25">
      <c r="A19" t="str">
        <f t="shared" si="1"/>
        <v/>
      </c>
      <c r="B19" t="str">
        <f t="shared" ca="1" si="0"/>
        <v/>
      </c>
      <c r="C19" s="1" t="str">
        <f ca="1">IFERROR($C$1-1+_xlfn.RANK.EQ(B19,$B$4:$B$242)+COUNTIF(B$4:$B19,B19)-1,"")</f>
        <v/>
      </c>
      <c r="D19" s="1" t="str">
        <f ca="1">IFERROR(VLOOKUP(C19,Shopping!A:B,2,0),"")</f>
        <v/>
      </c>
      <c r="E19" t="str">
        <f ca="1">IFERROR(VLOOKUP(D19&amp;"Viet",Shopping!C:D,2,0),"")</f>
        <v/>
      </c>
      <c r="F19" t="str">
        <f ca="1">IFERROR(VLOOKUP(D19&amp;"Eng",Shopping!C:D,2,0),"")</f>
        <v/>
      </c>
      <c r="J19">
        <v>4</v>
      </c>
    </row>
    <row r="20" spans="1:10" x14ac:dyDescent="0.25">
      <c r="A20" t="str">
        <f t="shared" si="1"/>
        <v/>
      </c>
      <c r="B20" t="str">
        <f t="shared" ca="1" si="0"/>
        <v/>
      </c>
      <c r="C20" s="1" t="str">
        <f ca="1">IFERROR($C$1-1+_xlfn.RANK.EQ(B20,$B$4:$B$242)+COUNTIF(B$4:$B20,B20)-1,"")</f>
        <v/>
      </c>
      <c r="D20" s="1" t="str">
        <f ca="1">IFERROR(VLOOKUP(C20,Shopping!A:B,2,0),"")</f>
        <v/>
      </c>
      <c r="E20" t="str">
        <f ca="1">IFERROR(VLOOKUP(D20&amp;"Viet",Shopping!C:D,2,0),"")</f>
        <v/>
      </c>
      <c r="F20" t="str">
        <f ca="1">IFERROR(VLOOKUP(D20&amp;"Eng",Shopping!C:D,2,0),"")</f>
        <v/>
      </c>
    </row>
    <row r="21" spans="1:10" x14ac:dyDescent="0.25">
      <c r="A21" t="str">
        <f t="shared" si="1"/>
        <v/>
      </c>
      <c r="B21" t="str">
        <f t="shared" ca="1" si="0"/>
        <v/>
      </c>
      <c r="C21" s="1" t="str">
        <f ca="1">IFERROR($C$1-1+_xlfn.RANK.EQ(B21,$B$4:$B$242)+COUNTIF(B$4:$B21,B21)-1,"")</f>
        <v/>
      </c>
      <c r="D21" s="1" t="str">
        <f ca="1">IFERROR(VLOOKUP(C21,Shopping!A:B,2,0),"")</f>
        <v/>
      </c>
      <c r="E21" t="str">
        <f ca="1">IFERROR(VLOOKUP(D21&amp;"Viet",Shopping!C:D,2,0),"")</f>
        <v/>
      </c>
      <c r="F21" t="str">
        <f ca="1">IFERROR(VLOOKUP(D21&amp;"Eng",Shopping!C:D,2,0),"")</f>
        <v/>
      </c>
    </row>
    <row r="22" spans="1:10" x14ac:dyDescent="0.25">
      <c r="A22" t="str">
        <f t="shared" si="1"/>
        <v/>
      </c>
      <c r="B22" t="str">
        <f t="shared" ca="1" si="0"/>
        <v/>
      </c>
      <c r="C22" s="1" t="str">
        <f ca="1">IFERROR($C$1-1+_xlfn.RANK.EQ(B22,$B$4:$B$242)+COUNTIF(B$4:$B22,B22)-1,"")</f>
        <v/>
      </c>
      <c r="D22" s="1" t="str">
        <f ca="1">IFERROR(VLOOKUP(C22,Shopping!A:B,2,0),"")</f>
        <v/>
      </c>
      <c r="E22" t="str">
        <f ca="1">IFERROR(VLOOKUP(D22&amp;"Viet",Shopping!C:D,2,0),"")</f>
        <v/>
      </c>
      <c r="F22" t="str">
        <f ca="1">IFERROR(VLOOKUP(D22&amp;"Eng",Shopping!C:D,2,0),"")</f>
        <v/>
      </c>
    </row>
    <row r="23" spans="1:10" x14ac:dyDescent="0.25">
      <c r="A23" t="str">
        <f t="shared" si="1"/>
        <v/>
      </c>
      <c r="B23" t="str">
        <f t="shared" ca="1" si="0"/>
        <v/>
      </c>
      <c r="C23" s="1" t="str">
        <f ca="1">IFERROR($C$1-1+_xlfn.RANK.EQ(B23,$B$4:$B$242)+COUNTIF(B$4:$B23,B23)-1,"")</f>
        <v/>
      </c>
      <c r="D23" s="1" t="str">
        <f ca="1">IFERROR(VLOOKUP(C23,Shopping!A:B,2,0),"")</f>
        <v/>
      </c>
      <c r="E23" t="str">
        <f ca="1">IFERROR(VLOOKUP(D23&amp;"Viet",Shopping!C:D,2,0),"")</f>
        <v/>
      </c>
      <c r="F23" t="str">
        <f ca="1">IFERROR(VLOOKUP(D23&amp;"Eng",Shopping!C:D,2,0),"")</f>
        <v/>
      </c>
    </row>
    <row r="24" spans="1:10" x14ac:dyDescent="0.25">
      <c r="A24" t="str">
        <f t="shared" si="1"/>
        <v/>
      </c>
      <c r="B24" t="str">
        <f t="shared" ca="1" si="0"/>
        <v/>
      </c>
      <c r="C24" s="1" t="str">
        <f ca="1">IFERROR($C$1-1+_xlfn.RANK.EQ(B24,$B$4:$B$242)+COUNTIF(B$4:$B24,B24)-1,"")</f>
        <v/>
      </c>
      <c r="D24" s="1" t="str">
        <f ca="1">IFERROR(VLOOKUP(C24,Shopping!A:B,2,0),"")</f>
        <v/>
      </c>
      <c r="E24" t="str">
        <f ca="1">IFERROR(VLOOKUP(D24&amp;"Viet",Shopping!C:D,2,0),"")</f>
        <v/>
      </c>
      <c r="F24" t="str">
        <f ca="1">IFERROR(VLOOKUP(D24&amp;"Eng",Shopping!C:D,2,0),"")</f>
        <v/>
      </c>
    </row>
    <row r="25" spans="1:10" x14ac:dyDescent="0.25">
      <c r="A25" t="str">
        <f t="shared" si="1"/>
        <v/>
      </c>
      <c r="B25" t="str">
        <f t="shared" ca="1" si="0"/>
        <v/>
      </c>
      <c r="C25" s="1" t="str">
        <f ca="1">IFERROR($C$1-1+_xlfn.RANK.EQ(B25,$B$4:$B$242)+COUNTIF(B$4:$B25,B25)-1,"")</f>
        <v/>
      </c>
      <c r="D25" s="1" t="str">
        <f ca="1">IFERROR(VLOOKUP(C25,Shopping!A:B,2,0),"")</f>
        <v/>
      </c>
      <c r="E25" t="str">
        <f ca="1">IFERROR(VLOOKUP(D25&amp;"Viet",Shopping!C:D,2,0),"")</f>
        <v/>
      </c>
      <c r="F25" t="str">
        <f ca="1">IFERROR(VLOOKUP(D25&amp;"Eng",Shopping!C:D,2,0),"")</f>
        <v/>
      </c>
    </row>
    <row r="26" spans="1:10" x14ac:dyDescent="0.25">
      <c r="A26" t="str">
        <f t="shared" si="1"/>
        <v/>
      </c>
      <c r="B26" t="str">
        <f t="shared" ca="1" si="0"/>
        <v/>
      </c>
      <c r="C26" s="1" t="str">
        <f ca="1">IFERROR($C$1-1+_xlfn.RANK.EQ(B26,$B$4:$B$242)+COUNTIF(B$4:$B26,B26)-1,"")</f>
        <v/>
      </c>
      <c r="D26" s="1" t="str">
        <f ca="1">IFERROR(VLOOKUP(C26,Shopping!A:B,2,0),"")</f>
        <v/>
      </c>
      <c r="E26" t="str">
        <f ca="1">IFERROR(VLOOKUP(D26&amp;"Viet",Shopping!C:D,2,0),"")</f>
        <v/>
      </c>
      <c r="F26" t="str">
        <f ca="1">IFERROR(VLOOKUP(D26&amp;"Eng",Shopping!C:D,2,0),"")</f>
        <v/>
      </c>
    </row>
    <row r="27" spans="1:10" x14ac:dyDescent="0.25">
      <c r="A27" t="str">
        <f t="shared" si="1"/>
        <v/>
      </c>
      <c r="B27" t="str">
        <f t="shared" ca="1" si="0"/>
        <v/>
      </c>
      <c r="C27" s="1" t="str">
        <f ca="1">IFERROR($C$1-1+_xlfn.RANK.EQ(B27,$B$4:$B$242)+COUNTIF(B$4:$B27,B27)-1,"")</f>
        <v/>
      </c>
      <c r="D27" s="1" t="str">
        <f ca="1">IFERROR(VLOOKUP(C27,Shopping!A:B,2,0),"")</f>
        <v/>
      </c>
      <c r="E27" t="str">
        <f ca="1">IFERROR(VLOOKUP(D27&amp;"Viet",Shopping!C:D,2,0),"")</f>
        <v/>
      </c>
      <c r="F27" t="str">
        <f ca="1">IFERROR(VLOOKUP(D27&amp;"Eng",Shopping!C:D,2,0),"")</f>
        <v/>
      </c>
    </row>
    <row r="28" spans="1:10" x14ac:dyDescent="0.25">
      <c r="A28" t="str">
        <f t="shared" si="1"/>
        <v/>
      </c>
      <c r="B28" t="str">
        <f t="shared" ca="1" si="0"/>
        <v/>
      </c>
      <c r="C28" s="1" t="str">
        <f ca="1">IFERROR($C$1-1+_xlfn.RANK.EQ(B28,$B$4:$B$242)+COUNTIF(B$4:$B28,B28)-1,"")</f>
        <v/>
      </c>
      <c r="D28" s="1" t="str">
        <f ca="1">IFERROR(VLOOKUP(C28,Shopping!A:B,2,0),"")</f>
        <v/>
      </c>
      <c r="E28" t="str">
        <f ca="1">IFERROR(VLOOKUP(D28&amp;"Viet",Shopping!C:D,2,0),"")</f>
        <v/>
      </c>
      <c r="F28" t="str">
        <f ca="1">IFERROR(VLOOKUP(D28&amp;"Eng",Shopping!C:D,2,0),"")</f>
        <v/>
      </c>
    </row>
    <row r="29" spans="1:10" x14ac:dyDescent="0.25">
      <c r="A29" t="str">
        <f t="shared" si="1"/>
        <v/>
      </c>
      <c r="B29" t="str">
        <f t="shared" ca="1" si="0"/>
        <v/>
      </c>
      <c r="C29" s="1" t="str">
        <f ca="1">IFERROR($C$1-1+_xlfn.RANK.EQ(B29,$B$4:$B$242)+COUNTIF(B$4:$B29,B29)-1,"")</f>
        <v/>
      </c>
      <c r="D29" s="1" t="str">
        <f ca="1">IFERROR(VLOOKUP(C29,Shopping!A:B,2,0),"")</f>
        <v/>
      </c>
      <c r="E29" t="str">
        <f ca="1">IFERROR(VLOOKUP(D29&amp;"Viet",Shopping!C:D,2,0),"")</f>
        <v/>
      </c>
      <c r="F29" t="str">
        <f ca="1">IFERROR(VLOOKUP(D29&amp;"Eng",Shopping!C:D,2,0),"")</f>
        <v/>
      </c>
    </row>
    <row r="30" spans="1:10" x14ac:dyDescent="0.25">
      <c r="A30" t="str">
        <f t="shared" si="1"/>
        <v/>
      </c>
      <c r="B30" t="str">
        <f t="shared" ca="1" si="0"/>
        <v/>
      </c>
      <c r="C30" s="1" t="str">
        <f ca="1">IFERROR($C$1-1+_xlfn.RANK.EQ(B30,$B$4:$B$242)+COUNTIF(B$4:$B30,B30)-1,"")</f>
        <v/>
      </c>
      <c r="D30" s="1" t="str">
        <f ca="1">IFERROR(VLOOKUP(C30,Shopping!A:B,2,0),"")</f>
        <v/>
      </c>
      <c r="E30" t="str">
        <f ca="1">IFERROR(VLOOKUP(D30&amp;"Viet",Shopping!C:D,2,0),"")</f>
        <v/>
      </c>
      <c r="F30" t="str">
        <f ca="1">IFERROR(VLOOKUP(D30&amp;"Eng",Shopping!C:D,2,0),"")</f>
        <v/>
      </c>
    </row>
    <row r="31" spans="1:10" x14ac:dyDescent="0.25">
      <c r="A31" t="str">
        <f t="shared" si="1"/>
        <v/>
      </c>
      <c r="B31" t="str">
        <f t="shared" ca="1" si="0"/>
        <v/>
      </c>
      <c r="C31" s="1" t="str">
        <f ca="1">IFERROR($C$1-1+_xlfn.RANK.EQ(B31,$B$4:$B$242)+COUNTIF(B$4:$B31,B31)-1,"")</f>
        <v/>
      </c>
      <c r="D31" s="1" t="str">
        <f ca="1">IFERROR(VLOOKUP(C31,Shopping!A:B,2,0),"")</f>
        <v/>
      </c>
      <c r="E31" t="str">
        <f ca="1">IFERROR(VLOOKUP(D31&amp;"Viet",Shopping!C:D,2,0),"")</f>
        <v/>
      </c>
      <c r="F31" t="str">
        <f ca="1">IFERROR(VLOOKUP(D31&amp;"Eng",Shopping!C:D,2,0),"")</f>
        <v/>
      </c>
    </row>
    <row r="32" spans="1:10" x14ac:dyDescent="0.25">
      <c r="A32" t="str">
        <f t="shared" si="1"/>
        <v/>
      </c>
      <c r="B32" t="str">
        <f t="shared" ca="1" si="0"/>
        <v/>
      </c>
      <c r="C32" s="1" t="str">
        <f ca="1">IFERROR($C$1-1+_xlfn.RANK.EQ(B32,$B$4:$B$242)+COUNTIF(B$4:$B32,B32)-1,"")</f>
        <v/>
      </c>
      <c r="D32" s="1" t="str">
        <f ca="1">IFERROR(VLOOKUP(C32,Shopping!A:B,2,0),"")</f>
        <v/>
      </c>
      <c r="E32" t="str">
        <f ca="1">IFERROR(VLOOKUP(D32&amp;"Viet",Shopping!C:D,2,0),"")</f>
        <v/>
      </c>
      <c r="F32" t="str">
        <f ca="1">IFERROR(VLOOKUP(D32&amp;"Eng",Shopping!C:D,2,0),"")</f>
        <v/>
      </c>
    </row>
    <row r="33" spans="1:6" x14ac:dyDescent="0.25">
      <c r="A33" t="str">
        <f t="shared" si="1"/>
        <v/>
      </c>
      <c r="B33" t="str">
        <f t="shared" ca="1" si="0"/>
        <v/>
      </c>
      <c r="C33" s="1" t="str">
        <f ca="1">IFERROR($C$1-1+_xlfn.RANK.EQ(B33,$B$4:$B$242)+COUNTIF(B$4:$B33,B33)-1,"")</f>
        <v/>
      </c>
      <c r="D33" s="1" t="str">
        <f ca="1">IFERROR(VLOOKUP(C33,Shopping!A:B,2,0),"")</f>
        <v/>
      </c>
      <c r="E33" t="str">
        <f ca="1">IFERROR(VLOOKUP(D33&amp;"Viet",Shopping!C:D,2,0),"")</f>
        <v/>
      </c>
      <c r="F33" t="str">
        <f ca="1">IFERROR(VLOOKUP(D33&amp;"Eng",Shopping!C:D,2,0),"")</f>
        <v/>
      </c>
    </row>
    <row r="34" spans="1:6" x14ac:dyDescent="0.25">
      <c r="A34" t="str">
        <f t="shared" si="1"/>
        <v/>
      </c>
      <c r="B34" t="str">
        <f t="shared" ca="1" si="0"/>
        <v/>
      </c>
      <c r="C34" s="1" t="str">
        <f ca="1">IFERROR($C$1-1+_xlfn.RANK.EQ(B34,$B$4:$B$242)+COUNTIF(B$4:$B34,B34)-1,"")</f>
        <v/>
      </c>
      <c r="D34" s="1" t="str">
        <f ca="1">IFERROR(VLOOKUP(C34,Shopping!A:B,2,0),"")</f>
        <v/>
      </c>
      <c r="E34" t="str">
        <f ca="1">IFERROR(VLOOKUP(D34&amp;"Viet",Shopping!C:D,2,0),"")</f>
        <v/>
      </c>
      <c r="F34" t="str">
        <f ca="1">IFERROR(VLOOKUP(D34&amp;"Eng",Shopping!C:D,2,0),"")</f>
        <v/>
      </c>
    </row>
    <row r="35" spans="1:6" x14ac:dyDescent="0.25">
      <c r="A35" t="str">
        <f t="shared" si="1"/>
        <v/>
      </c>
      <c r="B35" t="str">
        <f t="shared" ca="1" si="0"/>
        <v/>
      </c>
      <c r="C35" s="1" t="str">
        <f ca="1">IFERROR($C$1-1+_xlfn.RANK.EQ(B35,$B$4:$B$242)+COUNTIF(B$4:$B35,B35)-1,"")</f>
        <v/>
      </c>
      <c r="D35" s="1" t="str">
        <f ca="1">IFERROR(VLOOKUP(C35,Shopping!A:B,2,0),"")</f>
        <v/>
      </c>
      <c r="E35" t="str">
        <f ca="1">IFERROR(VLOOKUP(D35&amp;"Viet",Shopping!C:D,2,0),"")</f>
        <v/>
      </c>
      <c r="F35" t="str">
        <f ca="1">IFERROR(VLOOKUP(D35&amp;"Eng",Shopping!C:D,2,0),"")</f>
        <v/>
      </c>
    </row>
    <row r="36" spans="1:6" x14ac:dyDescent="0.25">
      <c r="A36" t="str">
        <f t="shared" si="1"/>
        <v/>
      </c>
      <c r="B36" t="str">
        <f t="shared" ca="1" si="0"/>
        <v/>
      </c>
      <c r="C36" s="1" t="str">
        <f ca="1">IFERROR($C$1-1+_xlfn.RANK.EQ(B36,$B$4:$B$242)+COUNTIF(B$4:$B36,B36)-1,"")</f>
        <v/>
      </c>
      <c r="D36" s="1" t="str">
        <f ca="1">IFERROR(VLOOKUP(C36,Shopping!A:B,2,0),"")</f>
        <v/>
      </c>
      <c r="E36" t="str">
        <f ca="1">IFERROR(VLOOKUP(D36&amp;"Viet",Shopping!C:D,2,0),"")</f>
        <v/>
      </c>
      <c r="F36" t="str">
        <f ca="1">IFERROR(VLOOKUP(D36&amp;"Eng",Shopping!C:D,2,0),"")</f>
        <v/>
      </c>
    </row>
    <row r="37" spans="1:6" x14ac:dyDescent="0.25">
      <c r="A37" t="str">
        <f t="shared" si="1"/>
        <v/>
      </c>
      <c r="B37" t="str">
        <f t="shared" ca="1" si="0"/>
        <v/>
      </c>
      <c r="C37" s="1" t="str">
        <f ca="1">IFERROR($C$1-1+_xlfn.RANK.EQ(B37,$B$4:$B$242)+COUNTIF(B$4:$B37,B37)-1,"")</f>
        <v/>
      </c>
      <c r="D37" s="1" t="str">
        <f ca="1">IFERROR(VLOOKUP(C37,Shopping!A:B,2,0),"")</f>
        <v/>
      </c>
      <c r="E37" t="str">
        <f ca="1">IFERROR(VLOOKUP(D37&amp;"Viet",Shopping!C:D,2,0),"")</f>
        <v/>
      </c>
      <c r="F37" t="str">
        <f ca="1">IFERROR(VLOOKUP(D37&amp;"Eng",Shopping!C:D,2,0),"")</f>
        <v/>
      </c>
    </row>
    <row r="38" spans="1:6" x14ac:dyDescent="0.25">
      <c r="A38" t="str">
        <f t="shared" si="1"/>
        <v/>
      </c>
      <c r="B38" t="str">
        <f t="shared" ca="1" si="0"/>
        <v/>
      </c>
      <c r="C38" s="1" t="str">
        <f ca="1">IFERROR($C$1-1+_xlfn.RANK.EQ(B38,$B$4:$B$242)+COUNTIF(B$4:$B38,B38)-1,"")</f>
        <v/>
      </c>
      <c r="D38" s="1" t="str">
        <f ca="1">IFERROR(VLOOKUP(C38,Shopping!A:B,2,0),"")</f>
        <v/>
      </c>
      <c r="E38" t="str">
        <f ca="1">IFERROR(VLOOKUP(D38&amp;"Viet",Shopping!C:D,2,0),"")</f>
        <v/>
      </c>
      <c r="F38" t="str">
        <f ca="1">IFERROR(VLOOKUP(D38&amp;"Eng",Shopping!C:D,2,0),"")</f>
        <v/>
      </c>
    </row>
    <row r="39" spans="1:6" x14ac:dyDescent="0.25">
      <c r="A39" t="str">
        <f t="shared" si="1"/>
        <v/>
      </c>
      <c r="B39" t="str">
        <f t="shared" ca="1" si="0"/>
        <v/>
      </c>
      <c r="C39" s="1" t="str">
        <f ca="1">IFERROR($C$1-1+_xlfn.RANK.EQ(B39,$B$4:$B$242)+COUNTIF(B$4:$B39,B39)-1,"")</f>
        <v/>
      </c>
      <c r="D39" s="1" t="str">
        <f ca="1">IFERROR(VLOOKUP(C39,Shopping!A:B,2,0),"")</f>
        <v/>
      </c>
      <c r="E39" t="str">
        <f ca="1">IFERROR(VLOOKUP(D39&amp;"Viet",Shopping!C:D,2,0),"")</f>
        <v/>
      </c>
      <c r="F39" t="str">
        <f ca="1">IFERROR(VLOOKUP(D39&amp;"Eng",Shopping!C:D,2,0),"")</f>
        <v/>
      </c>
    </row>
    <row r="40" spans="1:6" x14ac:dyDescent="0.25">
      <c r="A40" t="str">
        <f t="shared" si="1"/>
        <v/>
      </c>
      <c r="B40" t="str">
        <f t="shared" ca="1" si="0"/>
        <v/>
      </c>
      <c r="C40" s="1" t="str">
        <f ca="1">IFERROR($C$1-1+_xlfn.RANK.EQ(B40,$B$4:$B$242)+COUNTIF(B$4:$B40,B40)-1,"")</f>
        <v/>
      </c>
      <c r="D40" s="1" t="str">
        <f ca="1">IFERROR(VLOOKUP(C40,Shopping!A:B,2,0),"")</f>
        <v/>
      </c>
      <c r="E40" t="str">
        <f ca="1">IFERROR(VLOOKUP(D40&amp;"Viet",Shopping!C:D,2,0),"")</f>
        <v/>
      </c>
      <c r="F40" t="str">
        <f ca="1">IFERROR(VLOOKUP(D40&amp;"Eng",Shopping!C:D,2,0),"")</f>
        <v/>
      </c>
    </row>
    <row r="41" spans="1:6" x14ac:dyDescent="0.25">
      <c r="A41" t="str">
        <f t="shared" si="1"/>
        <v/>
      </c>
      <c r="B41" t="str">
        <f t="shared" ca="1" si="0"/>
        <v/>
      </c>
      <c r="C41" s="1" t="str">
        <f ca="1">IFERROR($C$1-1+_xlfn.RANK.EQ(B41,$B$4:$B$242)+COUNTIF(B$4:$B41,B41)-1,"")</f>
        <v/>
      </c>
      <c r="D41" s="1" t="str">
        <f ca="1">IFERROR(VLOOKUP(C41,Shopping!A:B,2,0),"")</f>
        <v/>
      </c>
      <c r="E41" t="str">
        <f ca="1">IFERROR(VLOOKUP(D41&amp;"Viet",Shopping!C:D,2,0),"")</f>
        <v/>
      </c>
      <c r="F41" t="str">
        <f ca="1">IFERROR(VLOOKUP(D41&amp;"Eng",Shopping!C:D,2,0),"")</f>
        <v/>
      </c>
    </row>
    <row r="42" spans="1:6" x14ac:dyDescent="0.25">
      <c r="A42" t="str">
        <f t="shared" si="1"/>
        <v/>
      </c>
      <c r="B42" t="str">
        <f t="shared" ca="1" si="0"/>
        <v/>
      </c>
      <c r="C42" s="1" t="str">
        <f ca="1">IFERROR($C$1-1+_xlfn.RANK.EQ(B42,$B$4:$B$242)+COUNTIF(B$4:$B42,B42)-1,"")</f>
        <v/>
      </c>
      <c r="D42" s="1" t="str">
        <f ca="1">IFERROR(VLOOKUP(C42,Shopping!A:B,2,0),"")</f>
        <v/>
      </c>
      <c r="E42" t="str">
        <f ca="1">IFERROR(VLOOKUP(D42&amp;"Viet",Shopping!C:D,2,0),"")</f>
        <v/>
      </c>
      <c r="F42" t="str">
        <f ca="1">IFERROR(VLOOKUP(D42&amp;"Eng",Shopping!C:D,2,0),"")</f>
        <v/>
      </c>
    </row>
    <row r="43" spans="1:6" x14ac:dyDescent="0.25">
      <c r="A43" t="str">
        <f t="shared" si="1"/>
        <v/>
      </c>
      <c r="B43" t="str">
        <f t="shared" ca="1" si="0"/>
        <v/>
      </c>
      <c r="C43" s="1" t="str">
        <f ca="1">IFERROR($C$1-1+_xlfn.RANK.EQ(B43,$B$4:$B$242)+COUNTIF(B$4:$B43,B43)-1,"")</f>
        <v/>
      </c>
      <c r="D43" s="1" t="str">
        <f ca="1">IFERROR(VLOOKUP(C43,Shopping!A:B,2,0),"")</f>
        <v/>
      </c>
      <c r="E43" t="str">
        <f ca="1">IFERROR(VLOOKUP(D43&amp;"Viet",Shopping!C:D,2,0),"")</f>
        <v/>
      </c>
      <c r="F43" t="str">
        <f ca="1">IFERROR(VLOOKUP(D43&amp;"Eng",Shopping!C:D,2,0),"")</f>
        <v/>
      </c>
    </row>
    <row r="44" spans="1:6" x14ac:dyDescent="0.25">
      <c r="A44" t="str">
        <f t="shared" si="1"/>
        <v/>
      </c>
      <c r="B44" t="str">
        <f t="shared" ca="1" si="0"/>
        <v/>
      </c>
      <c r="C44" s="1" t="str">
        <f ca="1">IFERROR($C$1-1+_xlfn.RANK.EQ(B44,$B$4:$B$242)+COUNTIF(B$4:$B44,B44)-1,"")</f>
        <v/>
      </c>
      <c r="D44" s="1" t="str">
        <f ca="1">IFERROR(VLOOKUP(C44,Shopping!A:B,2,0),"")</f>
        <v/>
      </c>
      <c r="E44" t="str">
        <f ca="1">IFERROR(VLOOKUP(D44&amp;"Viet",Shopping!C:D,2,0),"")</f>
        <v/>
      </c>
      <c r="F44" t="str">
        <f ca="1">IFERROR(VLOOKUP(D44&amp;"Eng",Shopping!C:D,2,0),"")</f>
        <v/>
      </c>
    </row>
    <row r="45" spans="1:6" x14ac:dyDescent="0.25">
      <c r="A45" t="str">
        <f t="shared" si="1"/>
        <v/>
      </c>
      <c r="B45" t="str">
        <f t="shared" ca="1" si="0"/>
        <v/>
      </c>
      <c r="C45" s="1" t="str">
        <f ca="1">IFERROR($C$1-1+_xlfn.RANK.EQ(B45,$B$4:$B$242)+COUNTIF(B$4:$B45,B45)-1,"")</f>
        <v/>
      </c>
      <c r="D45" s="1" t="str">
        <f ca="1">IFERROR(VLOOKUP(C45,Shopping!A:B,2,0),"")</f>
        <v/>
      </c>
      <c r="E45" t="str">
        <f ca="1">IFERROR(VLOOKUP(D45&amp;"Viet",Shopping!C:D,2,0),"")</f>
        <v/>
      </c>
      <c r="F45" t="str">
        <f ca="1">IFERROR(VLOOKUP(D45&amp;"Eng",Shopping!C:D,2,0),"")</f>
        <v/>
      </c>
    </row>
    <row r="46" spans="1:6" x14ac:dyDescent="0.25">
      <c r="A46" t="str">
        <f t="shared" si="1"/>
        <v/>
      </c>
      <c r="B46" t="str">
        <f t="shared" ca="1" si="0"/>
        <v/>
      </c>
      <c r="C46" s="1" t="str">
        <f ca="1">IFERROR($C$1-1+_xlfn.RANK.EQ(B46,$B$4:$B$242)+COUNTIF(B$4:$B46,B46)-1,"")</f>
        <v/>
      </c>
      <c r="D46" s="1" t="str">
        <f ca="1">IFERROR(VLOOKUP(C46,Shopping!A:B,2,0),"")</f>
        <v/>
      </c>
      <c r="E46" t="str">
        <f ca="1">IFERROR(VLOOKUP(D46&amp;"Viet",Shopping!C:D,2,0),"")</f>
        <v/>
      </c>
      <c r="F46" t="str">
        <f ca="1">IFERROR(VLOOKUP(D46&amp;"Eng",Shopping!C:D,2,0),"")</f>
        <v/>
      </c>
    </row>
    <row r="47" spans="1:6" x14ac:dyDescent="0.25">
      <c r="A47" t="str">
        <f t="shared" si="1"/>
        <v/>
      </c>
      <c r="B47" t="str">
        <f t="shared" ca="1" si="0"/>
        <v/>
      </c>
      <c r="C47" s="1" t="str">
        <f ca="1">IFERROR($C$1-1+_xlfn.RANK.EQ(B47,$B$4:$B$242)+COUNTIF(B$4:$B47,B47)-1,"")</f>
        <v/>
      </c>
      <c r="D47" s="1" t="str">
        <f ca="1">IFERROR(VLOOKUP(C47,Shopping!A:B,2,0),"")</f>
        <v/>
      </c>
      <c r="E47" t="str">
        <f ca="1">IFERROR(VLOOKUP(D47&amp;"Viet",Shopping!C:D,2,0),"")</f>
        <v/>
      </c>
      <c r="F47" t="str">
        <f ca="1">IFERROR(VLOOKUP(D47&amp;"Eng",Shopping!C:D,2,0),"")</f>
        <v/>
      </c>
    </row>
    <row r="48" spans="1:6" x14ac:dyDescent="0.25">
      <c r="A48" t="str">
        <f t="shared" si="1"/>
        <v/>
      </c>
      <c r="B48" t="str">
        <f t="shared" ca="1" si="0"/>
        <v/>
      </c>
      <c r="C48" s="1" t="str">
        <f ca="1">IFERROR($C$1-1+_xlfn.RANK.EQ(B48,$B$4:$B$242)+COUNTIF(B$4:$B48,B48)-1,"")</f>
        <v/>
      </c>
      <c r="D48" s="1" t="str">
        <f ca="1">IFERROR(VLOOKUP(C48,Shopping!A:B,2,0),"")</f>
        <v/>
      </c>
      <c r="E48" t="str">
        <f ca="1">IFERROR(VLOOKUP(D48&amp;"Viet",Shopping!C:D,2,0),"")</f>
        <v/>
      </c>
      <c r="F48" t="str">
        <f ca="1">IFERROR(VLOOKUP(D48&amp;"Eng",Shopping!C:D,2,0),"")</f>
        <v/>
      </c>
    </row>
    <row r="49" spans="1:6" x14ac:dyDescent="0.25">
      <c r="A49" t="str">
        <f t="shared" si="1"/>
        <v/>
      </c>
      <c r="B49" t="str">
        <f t="shared" ca="1" si="0"/>
        <v/>
      </c>
      <c r="C49" s="1" t="str">
        <f ca="1">IFERROR($C$1-1+_xlfn.RANK.EQ(B49,$B$4:$B$242)+COUNTIF(B$4:$B49,B49)-1,"")</f>
        <v/>
      </c>
      <c r="D49" s="1" t="str">
        <f ca="1">IFERROR(VLOOKUP(C49,Shopping!A:B,2,0),"")</f>
        <v/>
      </c>
      <c r="E49" t="str">
        <f ca="1">IFERROR(VLOOKUP(D49&amp;"Viet",Shopping!C:D,2,0),"")</f>
        <v/>
      </c>
      <c r="F49" t="str">
        <f ca="1">IFERROR(VLOOKUP(D49&amp;"Eng",Shopping!C:D,2,0),"")</f>
        <v/>
      </c>
    </row>
    <row r="50" spans="1:6" x14ac:dyDescent="0.25">
      <c r="A50" t="str">
        <f t="shared" si="1"/>
        <v/>
      </c>
      <c r="B50" t="str">
        <f t="shared" ca="1" si="0"/>
        <v/>
      </c>
      <c r="C50" s="1" t="str">
        <f ca="1">IFERROR($C$1-1+_xlfn.RANK.EQ(B50,$B$4:$B$242)+COUNTIF(B$4:$B50,B50)-1,"")</f>
        <v/>
      </c>
      <c r="D50" s="1" t="str">
        <f ca="1">IFERROR(VLOOKUP(C50,Shopping!A:B,2,0),"")</f>
        <v/>
      </c>
      <c r="E50" t="str">
        <f ca="1">IFERROR(VLOOKUP(D50&amp;"Viet",Shopping!C:D,2,0),"")</f>
        <v/>
      </c>
      <c r="F50" t="str">
        <f ca="1">IFERROR(VLOOKUP(D50&amp;"Eng",Shopping!C:D,2,0),"")</f>
        <v/>
      </c>
    </row>
    <row r="51" spans="1:6" x14ac:dyDescent="0.25">
      <c r="A51" t="str">
        <f t="shared" si="1"/>
        <v/>
      </c>
      <c r="B51" t="str">
        <f t="shared" ca="1" si="0"/>
        <v/>
      </c>
      <c r="C51" s="1" t="str">
        <f ca="1">IFERROR($C$1-1+_xlfn.RANK.EQ(B51,$B$4:$B$242)+COUNTIF(B$4:$B51,B51)-1,"")</f>
        <v/>
      </c>
      <c r="D51" s="1" t="str">
        <f ca="1">IFERROR(VLOOKUP(C51,Shopping!A:B,2,0),"")</f>
        <v/>
      </c>
      <c r="E51" t="str">
        <f ca="1">IFERROR(VLOOKUP(D51&amp;"Viet",Shopping!C:D,2,0),"")</f>
        <v/>
      </c>
      <c r="F51" t="str">
        <f ca="1">IFERROR(VLOOKUP(D51&amp;"Eng",Shopping!C:D,2,0),"")</f>
        <v/>
      </c>
    </row>
    <row r="52" spans="1:6" x14ac:dyDescent="0.25">
      <c r="A52" t="str">
        <f t="shared" si="1"/>
        <v/>
      </c>
      <c r="B52" t="str">
        <f t="shared" ca="1" si="0"/>
        <v/>
      </c>
      <c r="C52" s="1" t="str">
        <f ca="1">IFERROR($C$1-1+_xlfn.RANK.EQ(B52,$B$4:$B$242)+COUNTIF(B$4:$B52,B52)-1,"")</f>
        <v/>
      </c>
      <c r="D52" s="1" t="str">
        <f ca="1">IFERROR(VLOOKUP(C52,Shopping!A:B,2,0),"")</f>
        <v/>
      </c>
      <c r="E52" t="str">
        <f ca="1">IFERROR(VLOOKUP(D52&amp;"Viet",Shopping!C:D,2,0),"")</f>
        <v/>
      </c>
      <c r="F52" t="str">
        <f ca="1">IFERROR(VLOOKUP(D52&amp;"Eng",Shopping!C:D,2,0),"")</f>
        <v/>
      </c>
    </row>
    <row r="53" spans="1:6" x14ac:dyDescent="0.25">
      <c r="A53" t="str">
        <f t="shared" si="1"/>
        <v/>
      </c>
      <c r="B53" t="str">
        <f t="shared" ca="1" si="0"/>
        <v/>
      </c>
      <c r="C53" s="1" t="str">
        <f ca="1">IFERROR($C$1-1+_xlfn.RANK.EQ(B53,$B$4:$B$242)+COUNTIF(B$4:$B53,B53)-1,"")</f>
        <v/>
      </c>
      <c r="D53" s="1" t="str">
        <f ca="1">IFERROR(VLOOKUP(C53,Shopping!A:B,2,0),"")</f>
        <v/>
      </c>
      <c r="E53" t="str">
        <f ca="1">IFERROR(VLOOKUP(D53&amp;"Viet",Shopping!C:D,2,0),"")</f>
        <v/>
      </c>
      <c r="F53" t="str">
        <f ca="1">IFERROR(VLOOKUP(D53&amp;"Eng",Shopping!C:D,2,0),"")</f>
        <v/>
      </c>
    </row>
    <row r="54" spans="1:6" x14ac:dyDescent="0.25">
      <c r="A54" t="str">
        <f t="shared" si="1"/>
        <v/>
      </c>
      <c r="B54" t="str">
        <f t="shared" ca="1" si="0"/>
        <v/>
      </c>
      <c r="C54" s="1" t="str">
        <f ca="1">IFERROR($C$1-1+_xlfn.RANK.EQ(B54,$B$4:$B$242)+COUNTIF(B$4:$B54,B54)-1,"")</f>
        <v/>
      </c>
      <c r="D54" s="1" t="str">
        <f ca="1">IFERROR(VLOOKUP(C54,Shopping!A:B,2,0),"")</f>
        <v/>
      </c>
      <c r="E54" t="str">
        <f ca="1">IFERROR(VLOOKUP(D54&amp;"Viet",Shopping!C:D,2,0),"")</f>
        <v/>
      </c>
      <c r="F54" t="str">
        <f ca="1">IFERROR(VLOOKUP(D54&amp;"Eng",Shopping!C:D,2,0),"")</f>
        <v/>
      </c>
    </row>
    <row r="55" spans="1:6" x14ac:dyDescent="0.25">
      <c r="A55" t="str">
        <f t="shared" si="1"/>
        <v/>
      </c>
      <c r="B55" t="str">
        <f t="shared" ca="1" si="0"/>
        <v/>
      </c>
      <c r="C55" s="1" t="str">
        <f ca="1">IFERROR($C$1-1+_xlfn.RANK.EQ(B55,$B$4:$B$242)+COUNTIF(B$4:$B55,B55)-1,"")</f>
        <v/>
      </c>
      <c r="D55" s="1" t="str">
        <f ca="1">IFERROR(VLOOKUP(C55,Shopping!A:B,2,0),"")</f>
        <v/>
      </c>
      <c r="E55" t="str">
        <f ca="1">IFERROR(VLOOKUP(D55&amp;"Viet",Shopping!C:D,2,0),"")</f>
        <v/>
      </c>
      <c r="F55" t="str">
        <f ca="1">IFERROR(VLOOKUP(D55&amp;"Eng",Shopping!C:D,2,0),"")</f>
        <v/>
      </c>
    </row>
    <row r="56" spans="1:6" x14ac:dyDescent="0.25">
      <c r="A56" t="str">
        <f t="shared" si="1"/>
        <v/>
      </c>
      <c r="B56" t="str">
        <f t="shared" ca="1" si="0"/>
        <v/>
      </c>
      <c r="C56" s="1" t="str">
        <f ca="1">IFERROR($C$1-1+_xlfn.RANK.EQ(B56,$B$4:$B$242)+COUNTIF(B$4:$B56,B56)-1,"")</f>
        <v/>
      </c>
      <c r="D56" s="1" t="str">
        <f ca="1">IFERROR(VLOOKUP(C56,Shopping!A:B,2,0),"")</f>
        <v/>
      </c>
      <c r="E56" t="str">
        <f ca="1">IFERROR(VLOOKUP(D56&amp;"Viet",Shopping!C:D,2,0),"")</f>
        <v/>
      </c>
      <c r="F56" t="str">
        <f ca="1">IFERROR(VLOOKUP(D56&amp;"Eng",Shopping!C:D,2,0),"")</f>
        <v/>
      </c>
    </row>
    <row r="57" spans="1:6" x14ac:dyDescent="0.25">
      <c r="A57" t="str">
        <f t="shared" si="1"/>
        <v/>
      </c>
      <c r="B57" t="str">
        <f t="shared" ca="1" si="0"/>
        <v/>
      </c>
      <c r="C57" s="1" t="str">
        <f ca="1">IFERROR($C$1-1+_xlfn.RANK.EQ(B57,$B$4:$B$242)+COUNTIF(B$4:$B57,B57)-1,"")</f>
        <v/>
      </c>
      <c r="D57" s="1" t="str">
        <f ca="1">IFERROR(VLOOKUP(C57,Shopping!A:B,2,0),"")</f>
        <v/>
      </c>
      <c r="E57" t="str">
        <f ca="1">IFERROR(VLOOKUP(D57&amp;"Viet",Shopping!C:D,2,0),"")</f>
        <v/>
      </c>
      <c r="F57" t="str">
        <f ca="1">IFERROR(VLOOKUP(D57&amp;"Eng",Shopping!C:D,2,0),"")</f>
        <v/>
      </c>
    </row>
    <row r="58" spans="1:6" x14ac:dyDescent="0.25">
      <c r="A58" t="str">
        <f t="shared" si="1"/>
        <v/>
      </c>
      <c r="B58" t="str">
        <f t="shared" ca="1" si="0"/>
        <v/>
      </c>
      <c r="C58" s="1" t="str">
        <f ca="1">IFERROR($C$1-1+_xlfn.RANK.EQ(B58,$B$4:$B$242)+COUNTIF(B$4:$B58,B58)-1,"")</f>
        <v/>
      </c>
      <c r="D58" s="1" t="str">
        <f ca="1">IFERROR(VLOOKUP(C58,Shopping!A:B,2,0),"")</f>
        <v/>
      </c>
      <c r="E58" t="str">
        <f ca="1">IFERROR(VLOOKUP(D58&amp;"Viet",Shopping!C:D,2,0),"")</f>
        <v/>
      </c>
      <c r="F58" t="str">
        <f ca="1">IFERROR(VLOOKUP(D58&amp;"Eng",Shopping!C:D,2,0),"")</f>
        <v/>
      </c>
    </row>
    <row r="59" spans="1:6" x14ac:dyDescent="0.25">
      <c r="A59" t="str">
        <f t="shared" si="1"/>
        <v/>
      </c>
      <c r="B59" t="str">
        <f t="shared" ca="1" si="0"/>
        <v/>
      </c>
      <c r="C59" s="1" t="str">
        <f ca="1">IFERROR($C$1-1+_xlfn.RANK.EQ(B59,$B$4:$B$242)+COUNTIF(B$4:$B59,B59)-1,"")</f>
        <v/>
      </c>
      <c r="D59" s="1" t="str">
        <f ca="1">IFERROR(VLOOKUP(C59,Shopping!A:B,2,0),"")</f>
        <v/>
      </c>
      <c r="E59" t="str">
        <f ca="1">IFERROR(VLOOKUP(D59&amp;"Viet",Shopping!C:D,2,0),"")</f>
        <v/>
      </c>
      <c r="F59" t="str">
        <f ca="1">IFERROR(VLOOKUP(D59&amp;"Eng",Shopping!C:D,2,0),"")</f>
        <v/>
      </c>
    </row>
    <row r="60" spans="1:6" x14ac:dyDescent="0.25">
      <c r="A60" t="str">
        <f t="shared" si="1"/>
        <v/>
      </c>
      <c r="B60" t="str">
        <f t="shared" ca="1" si="0"/>
        <v/>
      </c>
      <c r="C60" s="1" t="str">
        <f ca="1">IFERROR($C$1-1+_xlfn.RANK.EQ(B60,$B$4:$B$242)+COUNTIF(B$4:$B60,B60)-1,"")</f>
        <v/>
      </c>
      <c r="D60" s="1" t="str">
        <f ca="1">IFERROR(VLOOKUP(C60,Shopping!A:B,2,0),"")</f>
        <v/>
      </c>
      <c r="E60" t="str">
        <f ca="1">IFERROR(VLOOKUP(D60&amp;"Viet",Shopping!C:D,2,0),"")</f>
        <v/>
      </c>
      <c r="F60" t="str">
        <f ca="1">IFERROR(VLOOKUP(D60&amp;"Eng",Shopping!C:D,2,0),"")</f>
        <v/>
      </c>
    </row>
    <row r="61" spans="1:6" x14ac:dyDescent="0.25">
      <c r="A61" t="str">
        <f t="shared" si="1"/>
        <v/>
      </c>
      <c r="B61" t="str">
        <f t="shared" ca="1" si="0"/>
        <v/>
      </c>
      <c r="C61" s="1" t="str">
        <f ca="1">IFERROR($C$1-1+_xlfn.RANK.EQ(B61,$B$4:$B$242)+COUNTIF(B$4:$B61,B61)-1,"")</f>
        <v/>
      </c>
      <c r="D61" s="1" t="str">
        <f ca="1">IFERROR(VLOOKUP(C61,Shopping!A:B,2,0),"")</f>
        <v/>
      </c>
      <c r="E61" t="str">
        <f ca="1">IFERROR(VLOOKUP(D61&amp;"Viet",Shopping!C:D,2,0),"")</f>
        <v/>
      </c>
      <c r="F61" t="str">
        <f ca="1">IFERROR(VLOOKUP(D61&amp;"Eng",Shopping!C:D,2,0),"")</f>
        <v/>
      </c>
    </row>
    <row r="62" spans="1:6" x14ac:dyDescent="0.25">
      <c r="A62" t="str">
        <f t="shared" si="1"/>
        <v/>
      </c>
      <c r="B62" t="str">
        <f t="shared" ca="1" si="0"/>
        <v/>
      </c>
      <c r="C62" s="1" t="str">
        <f ca="1">IFERROR($C$1-1+_xlfn.RANK.EQ(B62,$B$4:$B$242)+COUNTIF(B$4:$B62,B62)-1,"")</f>
        <v/>
      </c>
      <c r="D62" s="1" t="str">
        <f ca="1">IFERROR(VLOOKUP(C62,Shopping!A:B,2,0),"")</f>
        <v/>
      </c>
      <c r="E62" t="str">
        <f ca="1">IFERROR(VLOOKUP(D62&amp;"Viet",Shopping!C:D,2,0),"")</f>
        <v/>
      </c>
      <c r="F62" t="str">
        <f ca="1">IFERROR(VLOOKUP(D62&amp;"Eng",Shopping!C:D,2,0),"")</f>
        <v/>
      </c>
    </row>
    <row r="63" spans="1:6" x14ac:dyDescent="0.25">
      <c r="A63" t="str">
        <f t="shared" si="1"/>
        <v/>
      </c>
      <c r="B63" t="str">
        <f t="shared" ca="1" si="0"/>
        <v/>
      </c>
      <c r="C63" s="1" t="str">
        <f ca="1">IFERROR($C$1-1+_xlfn.RANK.EQ(B63,$B$4:$B$242)+COUNTIF(B$4:$B63,B63)-1,"")</f>
        <v/>
      </c>
      <c r="D63" s="1" t="str">
        <f ca="1">IFERROR(VLOOKUP(C63,Shopping!A:B,2,0),"")</f>
        <v/>
      </c>
      <c r="E63" t="str">
        <f ca="1">IFERROR(VLOOKUP(D63&amp;"Viet",Shopping!C:D,2,0),"")</f>
        <v/>
      </c>
      <c r="F63" t="str">
        <f ca="1">IFERROR(VLOOKUP(D63&amp;"Eng",Shopping!C:D,2,0),"")</f>
        <v/>
      </c>
    </row>
    <row r="64" spans="1:6" x14ac:dyDescent="0.25">
      <c r="A64" t="str">
        <f t="shared" si="1"/>
        <v/>
      </c>
      <c r="B64" t="str">
        <f t="shared" ca="1" si="0"/>
        <v/>
      </c>
      <c r="C64" s="1" t="str">
        <f ca="1">IFERROR($C$1-1+_xlfn.RANK.EQ(B64,$B$4:$B$242)+COUNTIF(B$4:$B64,B64)-1,"")</f>
        <v/>
      </c>
      <c r="D64" s="1" t="str">
        <f ca="1">IFERROR(VLOOKUP(C64,Shopping!A:B,2,0),"")</f>
        <v/>
      </c>
      <c r="E64" t="str">
        <f ca="1">IFERROR(VLOOKUP(D64&amp;"Viet",Shopping!C:D,2,0),"")</f>
        <v/>
      </c>
      <c r="F64" t="str">
        <f ca="1">IFERROR(VLOOKUP(D64&amp;"Eng",Shopping!C:D,2,0),"")</f>
        <v/>
      </c>
    </row>
    <row r="65" spans="1:6" x14ac:dyDescent="0.25">
      <c r="A65" t="str">
        <f t="shared" si="1"/>
        <v/>
      </c>
      <c r="B65" t="str">
        <f t="shared" ca="1" si="0"/>
        <v/>
      </c>
      <c r="C65" s="1" t="str">
        <f ca="1">IFERROR($C$1-1+_xlfn.RANK.EQ(B65,$B$4:$B$242)+COUNTIF(B$4:$B65,B65)-1,"")</f>
        <v/>
      </c>
      <c r="D65" s="1" t="str">
        <f ca="1">IFERROR(VLOOKUP(C65,Shopping!A:B,2,0),"")</f>
        <v/>
      </c>
      <c r="E65" t="str">
        <f ca="1">IFERROR(VLOOKUP(D65&amp;"Viet",Shopping!C:D,2,0),"")</f>
        <v/>
      </c>
      <c r="F65" t="str">
        <f ca="1">IFERROR(VLOOKUP(D65&amp;"Eng",Shopping!C:D,2,0),"")</f>
        <v/>
      </c>
    </row>
    <row r="66" spans="1:6" x14ac:dyDescent="0.25">
      <c r="A66" t="str">
        <f t="shared" si="1"/>
        <v/>
      </c>
      <c r="B66" t="str">
        <f t="shared" ca="1" si="0"/>
        <v/>
      </c>
      <c r="C66" s="1" t="str">
        <f ca="1">IFERROR($C$1-1+_xlfn.RANK.EQ(B66,$B$4:$B$242)+COUNTIF(B$4:$B66,B66)-1,"")</f>
        <v/>
      </c>
      <c r="D66" s="1" t="str">
        <f ca="1">IFERROR(VLOOKUP(C66,Shopping!A:B,2,0),"")</f>
        <v/>
      </c>
      <c r="E66" t="str">
        <f ca="1">IFERROR(VLOOKUP(D66&amp;"Viet",Shopping!C:D,2,0),"")</f>
        <v/>
      </c>
      <c r="F66" t="str">
        <f ca="1">IFERROR(VLOOKUP(D66&amp;"Eng",Shopping!C:D,2,0),"")</f>
        <v/>
      </c>
    </row>
    <row r="67" spans="1:6" x14ac:dyDescent="0.25">
      <c r="A67" t="str">
        <f t="shared" si="1"/>
        <v/>
      </c>
      <c r="B67" t="str">
        <f t="shared" ca="1" si="0"/>
        <v/>
      </c>
      <c r="C67" s="1" t="str">
        <f ca="1">IFERROR($C$1-1+_xlfn.RANK.EQ(B67,$B$4:$B$242)+COUNTIF(B$4:$B67,B67)-1,"")</f>
        <v/>
      </c>
      <c r="D67" s="1" t="str">
        <f ca="1">IFERROR(VLOOKUP(C67,Shopping!A:B,2,0),"")</f>
        <v/>
      </c>
      <c r="E67" t="str">
        <f ca="1">IFERROR(VLOOKUP(D67&amp;"Viet",Shopping!C:D,2,0),"")</f>
        <v/>
      </c>
      <c r="F67" t="str">
        <f ca="1">IFERROR(VLOOKUP(D67&amp;"Eng",Shopping!C:D,2,0),"")</f>
        <v/>
      </c>
    </row>
    <row r="68" spans="1:6" x14ac:dyDescent="0.25">
      <c r="A68" t="str">
        <f t="shared" si="1"/>
        <v/>
      </c>
      <c r="B68" t="str">
        <f t="shared" ref="B68:B131" ca="1" si="2">IF(A68="","",RANDBETWEEN($C$1,$C$2))</f>
        <v/>
      </c>
      <c r="C68" s="1" t="str">
        <f ca="1">IFERROR($C$1-1+_xlfn.RANK.EQ(B68,$B$4:$B$242)+COUNTIF(B$4:$B68,B68)-1,"")</f>
        <v/>
      </c>
      <c r="D68" s="1" t="str">
        <f ca="1">IFERROR(VLOOKUP(C68,Shopping!A:B,2,0),"")</f>
        <v/>
      </c>
      <c r="E68" t="str">
        <f ca="1">IFERROR(VLOOKUP(D68&amp;"Viet",Shopping!C:D,2,0),"")</f>
        <v/>
      </c>
      <c r="F68" t="str">
        <f ca="1">IFERROR(VLOOKUP(D68&amp;"Eng",Shopping!C:D,2,0),"")</f>
        <v/>
      </c>
    </row>
    <row r="69" spans="1:6" x14ac:dyDescent="0.25">
      <c r="A69" t="str">
        <f t="shared" si="1"/>
        <v/>
      </c>
      <c r="B69" t="str">
        <f t="shared" ca="1" si="2"/>
        <v/>
      </c>
      <c r="C69" s="1" t="str">
        <f ca="1">IFERROR($C$1-1+_xlfn.RANK.EQ(B69,$B$4:$B$242)+COUNTIF(B$4:$B69,B69)-1,"")</f>
        <v/>
      </c>
      <c r="D69" s="1" t="str">
        <f ca="1">IFERROR(VLOOKUP(C69,Shopping!A:B,2,0),"")</f>
        <v/>
      </c>
      <c r="E69" t="str">
        <f ca="1">IFERROR(VLOOKUP(D69&amp;"Viet",Shopping!C:D,2,0),"")</f>
        <v/>
      </c>
      <c r="F69" t="str">
        <f ca="1">IFERROR(VLOOKUP(D69&amp;"Eng",Shopping!C:D,2,0),"")</f>
        <v/>
      </c>
    </row>
    <row r="70" spans="1:6" x14ac:dyDescent="0.25">
      <c r="A70" t="str">
        <f t="shared" ref="A70:A133" si="3">IFERROR(IF(A69+1&gt;$C$2,"",A69+1),"")</f>
        <v/>
      </c>
      <c r="B70" t="str">
        <f t="shared" ca="1" si="2"/>
        <v/>
      </c>
      <c r="C70" s="1" t="str">
        <f ca="1">IFERROR($C$1-1+_xlfn.RANK.EQ(B70,$B$4:$B$242)+COUNTIF(B$4:$B70,B70)-1,"")</f>
        <v/>
      </c>
      <c r="D70" s="1" t="str">
        <f ca="1">IFERROR(VLOOKUP(C70,Shopping!A:B,2,0),"")</f>
        <v/>
      </c>
      <c r="E70" t="str">
        <f ca="1">IFERROR(VLOOKUP(D70&amp;"Viet",Shopping!C:D,2,0),"")</f>
        <v/>
      </c>
      <c r="F70" t="str">
        <f ca="1">IFERROR(VLOOKUP(D70&amp;"Eng",Shopping!C:D,2,0),"")</f>
        <v/>
      </c>
    </row>
    <row r="71" spans="1:6" x14ac:dyDescent="0.25">
      <c r="A71" t="str">
        <f t="shared" si="3"/>
        <v/>
      </c>
      <c r="B71" t="str">
        <f t="shared" ca="1" si="2"/>
        <v/>
      </c>
      <c r="C71" s="1" t="str">
        <f ca="1">IFERROR($C$1-1+_xlfn.RANK.EQ(B71,$B$4:$B$242)+COUNTIF(B$4:$B71,B71)-1,"")</f>
        <v/>
      </c>
      <c r="D71" s="1" t="str">
        <f ca="1">IFERROR(VLOOKUP(C71,Shopping!A:B,2,0),"")</f>
        <v/>
      </c>
      <c r="E71" t="str">
        <f ca="1">IFERROR(VLOOKUP(D71&amp;"Viet",Shopping!C:D,2,0),"")</f>
        <v/>
      </c>
      <c r="F71" t="str">
        <f ca="1">IFERROR(VLOOKUP(D71&amp;"Eng",Shopping!C:D,2,0),"")</f>
        <v/>
      </c>
    </row>
    <row r="72" spans="1:6" x14ac:dyDescent="0.25">
      <c r="A72" t="str">
        <f t="shared" si="3"/>
        <v/>
      </c>
      <c r="B72" t="str">
        <f t="shared" ca="1" si="2"/>
        <v/>
      </c>
      <c r="C72" s="1" t="str">
        <f ca="1">IFERROR($C$1-1+_xlfn.RANK.EQ(B72,$B$4:$B$242)+COUNTIF(B$4:$B72,B72)-1,"")</f>
        <v/>
      </c>
      <c r="D72" s="1" t="str">
        <f ca="1">IFERROR(VLOOKUP(C72,Shopping!A:B,2,0),"")</f>
        <v/>
      </c>
      <c r="E72" t="str">
        <f ca="1">IFERROR(VLOOKUP(D72&amp;"Viet",Shopping!C:D,2,0),"")</f>
        <v/>
      </c>
      <c r="F72" t="str">
        <f ca="1">IFERROR(VLOOKUP(D72&amp;"Eng",Shopping!C:D,2,0),"")</f>
        <v/>
      </c>
    </row>
    <row r="73" spans="1:6" x14ac:dyDescent="0.25">
      <c r="A73" t="str">
        <f t="shared" si="3"/>
        <v/>
      </c>
      <c r="B73" t="str">
        <f t="shared" ca="1" si="2"/>
        <v/>
      </c>
      <c r="C73" s="1" t="str">
        <f ca="1">IFERROR($C$1-1+_xlfn.RANK.EQ(B73,$B$4:$B$242)+COUNTIF(B$4:$B73,B73)-1,"")</f>
        <v/>
      </c>
      <c r="D73" s="1" t="str">
        <f ca="1">IFERROR(VLOOKUP(C73,Shopping!A:B,2,0),"")</f>
        <v/>
      </c>
    </row>
    <row r="74" spans="1:6" x14ac:dyDescent="0.25">
      <c r="A74" t="str">
        <f t="shared" si="3"/>
        <v/>
      </c>
      <c r="B74" t="str">
        <f t="shared" ca="1" si="2"/>
        <v/>
      </c>
      <c r="C74" s="1" t="str">
        <f ca="1">IFERROR($C$1-1+_xlfn.RANK.EQ(B74,$B$4:$B$242)+COUNTIF(B$4:$B74,B74)-1,"")</f>
        <v/>
      </c>
      <c r="D74" s="1" t="str">
        <f ca="1">IFERROR(VLOOKUP(C74,Shopping!A:B,2,0),"")</f>
        <v/>
      </c>
    </row>
    <row r="75" spans="1:6" x14ac:dyDescent="0.25">
      <c r="A75" t="str">
        <f t="shared" si="3"/>
        <v/>
      </c>
      <c r="B75" t="str">
        <f t="shared" ca="1" si="2"/>
        <v/>
      </c>
      <c r="C75" s="1" t="str">
        <f ca="1">IFERROR($C$1-1+_xlfn.RANK.EQ(B75,$B$4:$B$242)+COUNTIF(B$4:$B75,B75)-1,"")</f>
        <v/>
      </c>
      <c r="D75" s="1" t="str">
        <f ca="1">IFERROR(VLOOKUP(C75,Shopping!A:B,2,0),"")</f>
        <v/>
      </c>
    </row>
    <row r="76" spans="1:6" x14ac:dyDescent="0.25">
      <c r="A76" t="str">
        <f t="shared" si="3"/>
        <v/>
      </c>
      <c r="B76" t="str">
        <f t="shared" ca="1" si="2"/>
        <v/>
      </c>
      <c r="C76" s="1" t="str">
        <f ca="1">IFERROR($C$1-1+_xlfn.RANK.EQ(B76,$B$4:$B$242)+COUNTIF(B$4:$B76,B76)-1,"")</f>
        <v/>
      </c>
      <c r="D76" s="1" t="str">
        <f ca="1">IFERROR(VLOOKUP(C76,Shopping!A:B,2,0),"")</f>
        <v/>
      </c>
    </row>
    <row r="77" spans="1:6" x14ac:dyDescent="0.25">
      <c r="A77" t="str">
        <f t="shared" si="3"/>
        <v/>
      </c>
      <c r="B77" t="str">
        <f t="shared" ca="1" si="2"/>
        <v/>
      </c>
      <c r="C77" s="1" t="str">
        <f ca="1">IFERROR($C$1-1+_xlfn.RANK.EQ(B77,$B$4:$B$242)+COUNTIF(B$4:$B77,B77)-1,"")</f>
        <v/>
      </c>
      <c r="D77" s="1" t="str">
        <f ca="1">IFERROR(VLOOKUP(C77,Shopping!A:B,2,0),"")</f>
        <v/>
      </c>
    </row>
    <row r="78" spans="1:6" x14ac:dyDescent="0.25">
      <c r="A78" t="str">
        <f t="shared" si="3"/>
        <v/>
      </c>
      <c r="B78" t="str">
        <f t="shared" ca="1" si="2"/>
        <v/>
      </c>
      <c r="C78" s="1" t="str">
        <f ca="1">IFERROR($C$1-1+_xlfn.RANK.EQ(B78,$B$4:$B$242)+COUNTIF(B$4:$B78,B78)-1,"")</f>
        <v/>
      </c>
      <c r="D78" s="1" t="str">
        <f ca="1">IFERROR(VLOOKUP(C78,Shopping!A:B,2,0),"")</f>
        <v/>
      </c>
    </row>
    <row r="79" spans="1:6" x14ac:dyDescent="0.25">
      <c r="A79" t="str">
        <f t="shared" si="3"/>
        <v/>
      </c>
      <c r="B79" t="str">
        <f t="shared" ca="1" si="2"/>
        <v/>
      </c>
      <c r="C79" s="1" t="str">
        <f ca="1">IFERROR($C$1-1+_xlfn.RANK.EQ(B79,$B$4:$B$242)+COUNTIF(B$4:$B79,B79)-1,"")</f>
        <v/>
      </c>
      <c r="D79" s="1" t="str">
        <f ca="1">IFERROR(VLOOKUP(C79,Shopping!A:B,2,0),"")</f>
        <v/>
      </c>
    </row>
    <row r="80" spans="1:6" x14ac:dyDescent="0.25">
      <c r="A80" t="str">
        <f t="shared" si="3"/>
        <v/>
      </c>
      <c r="B80" t="str">
        <f t="shared" ca="1" si="2"/>
        <v/>
      </c>
      <c r="C80" s="1" t="str">
        <f ca="1">IFERROR($C$1-1+_xlfn.RANK.EQ(B80,$B$4:$B$242)+COUNTIF(B$4:$B80,B80)-1,"")</f>
        <v/>
      </c>
      <c r="D80" s="1" t="str">
        <f ca="1">IFERROR(VLOOKUP(C80,Shopping!A:B,2,0),"")</f>
        <v/>
      </c>
    </row>
    <row r="81" spans="1:4" x14ac:dyDescent="0.25">
      <c r="A81" t="str">
        <f t="shared" si="3"/>
        <v/>
      </c>
      <c r="B81" t="str">
        <f t="shared" ca="1" si="2"/>
        <v/>
      </c>
      <c r="C81" s="1" t="str">
        <f ca="1">IFERROR($C$1-1+_xlfn.RANK.EQ(B81,$B$4:$B$242)+COUNTIF(B$4:$B81,B81)-1,"")</f>
        <v/>
      </c>
      <c r="D81" s="1" t="str">
        <f ca="1">IFERROR(VLOOKUP(C81,Shopping!A:B,2,0),"")</f>
        <v/>
      </c>
    </row>
    <row r="82" spans="1:4" x14ac:dyDescent="0.25">
      <c r="A82" t="str">
        <f t="shared" si="3"/>
        <v/>
      </c>
      <c r="B82" t="str">
        <f t="shared" ca="1" si="2"/>
        <v/>
      </c>
      <c r="C82" s="1" t="str">
        <f ca="1">IFERROR($C$1-1+_xlfn.RANK.EQ(B82,$B$4:$B$242)+COUNTIF(B$4:$B82,B82)-1,"")</f>
        <v/>
      </c>
      <c r="D82" s="1" t="str">
        <f ca="1">IFERROR(VLOOKUP(C82,Shopping!A:B,2,0),"")</f>
        <v/>
      </c>
    </row>
    <row r="83" spans="1:4" x14ac:dyDescent="0.25">
      <c r="A83" t="str">
        <f t="shared" si="3"/>
        <v/>
      </c>
      <c r="B83" t="str">
        <f t="shared" ca="1" si="2"/>
        <v/>
      </c>
      <c r="C83" s="1" t="str">
        <f ca="1">IFERROR($C$1-1+_xlfn.RANK.EQ(B83,$B$4:$B$242)+COUNTIF(B$4:$B83,B83)-1,"")</f>
        <v/>
      </c>
      <c r="D83" s="1" t="str">
        <f ca="1">IFERROR(VLOOKUP(C83,Shopping!A:B,2,0),"")</f>
        <v/>
      </c>
    </row>
    <row r="84" spans="1:4" x14ac:dyDescent="0.25">
      <c r="A84" t="str">
        <f t="shared" si="3"/>
        <v/>
      </c>
      <c r="B84" t="str">
        <f t="shared" ca="1" si="2"/>
        <v/>
      </c>
      <c r="C84" s="1" t="str">
        <f ca="1">IFERROR($C$1-1+_xlfn.RANK.EQ(B84,$B$4:$B$242)+COUNTIF(B$4:$B84,B84)-1,"")</f>
        <v/>
      </c>
      <c r="D84" s="1" t="str">
        <f ca="1">IFERROR(VLOOKUP(C84,Shopping!A:B,2,0),"")</f>
        <v/>
      </c>
    </row>
    <row r="85" spans="1:4" x14ac:dyDescent="0.25">
      <c r="A85" t="str">
        <f t="shared" si="3"/>
        <v/>
      </c>
      <c r="B85" t="str">
        <f t="shared" ca="1" si="2"/>
        <v/>
      </c>
      <c r="C85" s="1" t="str">
        <f ca="1">IFERROR($C$1-1+_xlfn.RANK.EQ(B85,$B$4:$B$242)+COUNTIF(B$4:$B85,B85)-1,"")</f>
        <v/>
      </c>
      <c r="D85" s="1" t="str">
        <f ca="1">IFERROR(VLOOKUP(C85,Shopping!A:B,2,0),"")</f>
        <v/>
      </c>
    </row>
    <row r="86" spans="1:4" x14ac:dyDescent="0.25">
      <c r="A86" t="str">
        <f t="shared" si="3"/>
        <v/>
      </c>
      <c r="B86" t="str">
        <f t="shared" ca="1" si="2"/>
        <v/>
      </c>
      <c r="C86" s="1" t="str">
        <f ca="1">IFERROR($C$1-1+_xlfn.RANK.EQ(B86,$B$4:$B$242)+COUNTIF(B$4:$B86,B86)-1,"")</f>
        <v/>
      </c>
      <c r="D86" s="1" t="str">
        <f ca="1">IFERROR(VLOOKUP(C86,Shopping!A:B,2,0),"")</f>
        <v/>
      </c>
    </row>
    <row r="87" spans="1:4" x14ac:dyDescent="0.25">
      <c r="A87" t="str">
        <f t="shared" si="3"/>
        <v/>
      </c>
      <c r="B87" t="str">
        <f t="shared" ca="1" si="2"/>
        <v/>
      </c>
      <c r="C87" s="1" t="str">
        <f ca="1">IFERROR($C$1-1+_xlfn.RANK.EQ(B87,$B$4:$B$242)+COUNTIF(B$4:$B87,B87)-1,"")</f>
        <v/>
      </c>
      <c r="D87" s="1" t="str">
        <f ca="1">IFERROR(VLOOKUP(C87,Shopping!A:B,2,0),"")</f>
        <v/>
      </c>
    </row>
    <row r="88" spans="1:4" x14ac:dyDescent="0.25">
      <c r="A88" t="str">
        <f t="shared" si="3"/>
        <v/>
      </c>
      <c r="B88" t="str">
        <f t="shared" ca="1" si="2"/>
        <v/>
      </c>
      <c r="C88" s="1" t="str">
        <f ca="1">IFERROR($C$1-1+_xlfn.RANK.EQ(B88,$B$4:$B$242)+COUNTIF(B$4:$B88,B88)-1,"")</f>
        <v/>
      </c>
      <c r="D88" s="1" t="str">
        <f ca="1">IFERROR(VLOOKUP(C88,Shopping!A:B,2,0),"")</f>
        <v/>
      </c>
    </row>
    <row r="89" spans="1:4" x14ac:dyDescent="0.25">
      <c r="A89" t="str">
        <f t="shared" si="3"/>
        <v/>
      </c>
      <c r="B89" t="str">
        <f t="shared" ca="1" si="2"/>
        <v/>
      </c>
      <c r="C89" s="1" t="str">
        <f ca="1">IFERROR($C$1-1+_xlfn.RANK.EQ(B89,$B$4:$B$242)+COUNTIF(B$4:$B89,B89)-1,"")</f>
        <v/>
      </c>
      <c r="D89" s="1" t="str">
        <f ca="1">IFERROR(VLOOKUP(C89,Shopping!A:B,2,0),"")</f>
        <v/>
      </c>
    </row>
    <row r="90" spans="1:4" x14ac:dyDescent="0.25">
      <c r="A90" t="str">
        <f t="shared" si="3"/>
        <v/>
      </c>
      <c r="B90" t="str">
        <f t="shared" ca="1" si="2"/>
        <v/>
      </c>
      <c r="C90" s="1" t="str">
        <f ca="1">IFERROR($C$1-1+_xlfn.RANK.EQ(B90,$B$4:$B$242)+COUNTIF(B$4:$B90,B90)-1,"")</f>
        <v/>
      </c>
      <c r="D90" s="1" t="str">
        <f ca="1">IFERROR(VLOOKUP(C90,Shopping!A:B,2,0),"")</f>
        <v/>
      </c>
    </row>
    <row r="91" spans="1:4" x14ac:dyDescent="0.25">
      <c r="A91" t="str">
        <f t="shared" si="3"/>
        <v/>
      </c>
      <c r="B91" t="str">
        <f t="shared" ca="1" si="2"/>
        <v/>
      </c>
      <c r="C91" s="1" t="str">
        <f ca="1">IFERROR($C$1-1+_xlfn.RANK.EQ(B91,$B$4:$B$242)+COUNTIF(B$4:$B91,B91)-1,"")</f>
        <v/>
      </c>
      <c r="D91" s="1" t="str">
        <f ca="1">IFERROR(VLOOKUP(C91,Shopping!A:B,2,0),"")</f>
        <v/>
      </c>
    </row>
    <row r="92" spans="1:4" x14ac:dyDescent="0.25">
      <c r="A92" t="str">
        <f t="shared" si="3"/>
        <v/>
      </c>
      <c r="B92" t="str">
        <f t="shared" ca="1" si="2"/>
        <v/>
      </c>
      <c r="C92" s="1" t="str">
        <f ca="1">IFERROR($C$1-1+_xlfn.RANK.EQ(B92,$B$4:$B$242)+COUNTIF(B$4:$B92,B92)-1,"")</f>
        <v/>
      </c>
      <c r="D92" s="1" t="str">
        <f ca="1">IFERROR(VLOOKUP(C92,Shopping!A:B,2,0),"")</f>
        <v/>
      </c>
    </row>
    <row r="93" spans="1:4" x14ac:dyDescent="0.25">
      <c r="A93" t="str">
        <f t="shared" si="3"/>
        <v/>
      </c>
      <c r="B93" t="str">
        <f t="shared" ca="1" si="2"/>
        <v/>
      </c>
      <c r="C93" s="1" t="str">
        <f ca="1">IFERROR($C$1-1+_xlfn.RANK.EQ(B93,$B$4:$B$242)+COUNTIF(B$4:$B93,B93)-1,"")</f>
        <v/>
      </c>
      <c r="D93" s="1" t="str">
        <f ca="1">IFERROR(VLOOKUP(C93,Shopping!A:B,2,0),"")</f>
        <v/>
      </c>
    </row>
    <row r="94" spans="1:4" x14ac:dyDescent="0.25">
      <c r="A94" t="str">
        <f t="shared" si="3"/>
        <v/>
      </c>
      <c r="B94" t="str">
        <f t="shared" ca="1" si="2"/>
        <v/>
      </c>
      <c r="C94" s="1" t="str">
        <f ca="1">IFERROR($C$1-1+_xlfn.RANK.EQ(B94,$B$4:$B$242)+COUNTIF(B$4:$B94,B94)-1,"")</f>
        <v/>
      </c>
      <c r="D94" s="1" t="str">
        <f ca="1">IFERROR(VLOOKUP(C94,Shopping!A:B,2,0),"")</f>
        <v/>
      </c>
    </row>
    <row r="95" spans="1:4" x14ac:dyDescent="0.25">
      <c r="A95" t="str">
        <f t="shared" si="3"/>
        <v/>
      </c>
      <c r="B95" t="str">
        <f t="shared" ca="1" si="2"/>
        <v/>
      </c>
      <c r="C95" s="1" t="str">
        <f ca="1">IFERROR($C$1-1+_xlfn.RANK.EQ(B95,$B$4:$B$242)+COUNTIF(B$4:$B95,B95)-1,"")</f>
        <v/>
      </c>
      <c r="D95" s="1" t="str">
        <f ca="1">IFERROR(VLOOKUP(C95,Shopping!A:B,2,0),"")</f>
        <v/>
      </c>
    </row>
    <row r="96" spans="1:4" x14ac:dyDescent="0.25">
      <c r="A96" t="str">
        <f t="shared" si="3"/>
        <v/>
      </c>
      <c r="B96" t="str">
        <f t="shared" ca="1" si="2"/>
        <v/>
      </c>
      <c r="C96" s="1" t="str">
        <f ca="1">IFERROR($C$1-1+_xlfn.RANK.EQ(B96,$B$4:$B$242)+COUNTIF(B$4:$B96,B96)-1,"")</f>
        <v/>
      </c>
      <c r="D96" s="1" t="str">
        <f ca="1">IFERROR(VLOOKUP(C96,Shopping!A:B,2,0),"")</f>
        <v/>
      </c>
    </row>
    <row r="97" spans="1:4" x14ac:dyDescent="0.25">
      <c r="A97" t="str">
        <f t="shared" si="3"/>
        <v/>
      </c>
      <c r="B97" t="str">
        <f t="shared" ca="1" si="2"/>
        <v/>
      </c>
      <c r="C97" s="1" t="str">
        <f ca="1">IFERROR($C$1-1+_xlfn.RANK.EQ(B97,$B$4:$B$242)+COUNTIF(B$4:$B97,B97)-1,"")</f>
        <v/>
      </c>
      <c r="D97" s="1" t="str">
        <f ca="1">IFERROR(VLOOKUP(C97,Shopping!A:B,2,0),"")</f>
        <v/>
      </c>
    </row>
    <row r="98" spans="1:4" x14ac:dyDescent="0.25">
      <c r="A98" t="str">
        <f t="shared" si="3"/>
        <v/>
      </c>
      <c r="B98" t="str">
        <f t="shared" ca="1" si="2"/>
        <v/>
      </c>
      <c r="C98" s="1" t="str">
        <f ca="1">IFERROR($C$1-1+_xlfn.RANK.EQ(B98,$B$4:$B$242)+COUNTIF(B$4:$B98,B98)-1,"")</f>
        <v/>
      </c>
      <c r="D98" s="1" t="str">
        <f ca="1">IFERROR(VLOOKUP(C98,Shopping!A:B,2,0),"")</f>
        <v/>
      </c>
    </row>
    <row r="99" spans="1:4" x14ac:dyDescent="0.25">
      <c r="A99" t="str">
        <f t="shared" si="3"/>
        <v/>
      </c>
      <c r="B99" t="str">
        <f t="shared" ca="1" si="2"/>
        <v/>
      </c>
      <c r="C99" s="1" t="str">
        <f ca="1">IFERROR($C$1-1+_xlfn.RANK.EQ(B99,$B$4:$B$242)+COUNTIF(B$4:$B99,B99)-1,"")</f>
        <v/>
      </c>
      <c r="D99" s="1" t="str">
        <f ca="1">IFERROR(VLOOKUP(C99,Shopping!A:B,2,0),"")</f>
        <v/>
      </c>
    </row>
    <row r="100" spans="1:4" x14ac:dyDescent="0.25">
      <c r="A100" t="str">
        <f t="shared" si="3"/>
        <v/>
      </c>
      <c r="B100" t="str">
        <f t="shared" ca="1" si="2"/>
        <v/>
      </c>
      <c r="C100" s="1" t="str">
        <f ca="1">IFERROR($C$1-1+_xlfn.RANK.EQ(B100,$B$4:$B$242)+COUNTIF(B$4:$B100,B100)-1,"")</f>
        <v/>
      </c>
      <c r="D100" s="1" t="str">
        <f ca="1">IFERROR(VLOOKUP(C100,Shopping!A:B,2,0),"")</f>
        <v/>
      </c>
    </row>
    <row r="101" spans="1:4" x14ac:dyDescent="0.25">
      <c r="A101" t="str">
        <f t="shared" si="3"/>
        <v/>
      </c>
      <c r="B101" t="str">
        <f t="shared" ca="1" si="2"/>
        <v/>
      </c>
      <c r="C101" s="1" t="str">
        <f ca="1">IFERROR($C$1-1+_xlfn.RANK.EQ(B101,$B$4:$B$242)+COUNTIF(B$4:$B101,B101)-1,"")</f>
        <v/>
      </c>
      <c r="D101" s="1" t="str">
        <f ca="1">IFERROR(VLOOKUP(C101,Shopping!A:B,2,0),"")</f>
        <v/>
      </c>
    </row>
    <row r="102" spans="1:4" x14ac:dyDescent="0.25">
      <c r="A102" t="str">
        <f t="shared" si="3"/>
        <v/>
      </c>
      <c r="B102" t="str">
        <f t="shared" ca="1" si="2"/>
        <v/>
      </c>
      <c r="C102" s="1" t="str">
        <f ca="1">IFERROR($C$1-1+_xlfn.RANK.EQ(B102,$B$4:$B$242)+COUNTIF(B$4:$B102,B102)-1,"")</f>
        <v/>
      </c>
      <c r="D102" s="1" t="str">
        <f ca="1">IFERROR(VLOOKUP(C102,Shopping!A:B,2,0),"")</f>
        <v/>
      </c>
    </row>
    <row r="103" spans="1:4" x14ac:dyDescent="0.25">
      <c r="A103" t="str">
        <f t="shared" si="3"/>
        <v/>
      </c>
      <c r="B103" t="str">
        <f t="shared" ca="1" si="2"/>
        <v/>
      </c>
      <c r="C103" s="1" t="str">
        <f ca="1">IFERROR($C$1-1+_xlfn.RANK.EQ(B103,$B$4:$B$242)+COUNTIF(B$4:$B103,B103)-1,"")</f>
        <v/>
      </c>
      <c r="D103" s="1" t="str">
        <f ca="1">IFERROR(VLOOKUP(C103,Shopping!A:B,2,0),"")</f>
        <v/>
      </c>
    </row>
    <row r="104" spans="1:4" x14ac:dyDescent="0.25">
      <c r="A104" t="str">
        <f t="shared" si="3"/>
        <v/>
      </c>
      <c r="B104" t="str">
        <f t="shared" ca="1" si="2"/>
        <v/>
      </c>
      <c r="C104" s="1" t="str">
        <f ca="1">IFERROR($C$1-1+_xlfn.RANK.EQ(B104,$B$4:$B$242)+COUNTIF(B$4:$B104,B104)-1,"")</f>
        <v/>
      </c>
      <c r="D104" s="1" t="str">
        <f ca="1">IFERROR(VLOOKUP(C104,Shopping!A:B,2,0),"")</f>
        <v/>
      </c>
    </row>
    <row r="105" spans="1:4" x14ac:dyDescent="0.25">
      <c r="A105" t="str">
        <f t="shared" si="3"/>
        <v/>
      </c>
      <c r="B105" t="str">
        <f t="shared" ca="1" si="2"/>
        <v/>
      </c>
      <c r="C105" s="1" t="str">
        <f ca="1">IFERROR($C$1-1+_xlfn.RANK.EQ(B105,$B$4:$B$242)+COUNTIF(B$4:$B105,B105)-1,"")</f>
        <v/>
      </c>
      <c r="D105" s="1" t="str">
        <f ca="1">IFERROR(VLOOKUP(C105,Shopping!A:B,2,0),"")</f>
        <v/>
      </c>
    </row>
    <row r="106" spans="1:4" x14ac:dyDescent="0.25">
      <c r="A106" t="str">
        <f t="shared" si="3"/>
        <v/>
      </c>
      <c r="B106" t="str">
        <f t="shared" ca="1" si="2"/>
        <v/>
      </c>
      <c r="C106" s="1" t="str">
        <f ca="1">IFERROR($C$1-1+_xlfn.RANK.EQ(B106,$B$4:$B$242)+COUNTIF(B$4:$B106,B106)-1,"")</f>
        <v/>
      </c>
      <c r="D106" s="1" t="str">
        <f ca="1">IFERROR(VLOOKUP(C106,Shopping!A:B,2,0),"")</f>
        <v/>
      </c>
    </row>
    <row r="107" spans="1:4" x14ac:dyDescent="0.25">
      <c r="A107" t="str">
        <f t="shared" si="3"/>
        <v/>
      </c>
      <c r="B107" t="str">
        <f t="shared" ca="1" si="2"/>
        <v/>
      </c>
      <c r="C107" s="1" t="str">
        <f ca="1">IFERROR($C$1-1+_xlfn.RANK.EQ(B107,$B$4:$B$242)+COUNTIF(B$4:$B107,B107)-1,"")</f>
        <v/>
      </c>
      <c r="D107" s="1" t="str">
        <f ca="1">IFERROR(VLOOKUP(C107,Shopping!A:B,2,0),"")</f>
        <v/>
      </c>
    </row>
    <row r="108" spans="1:4" x14ac:dyDescent="0.25">
      <c r="A108" t="str">
        <f t="shared" si="3"/>
        <v/>
      </c>
      <c r="B108" t="str">
        <f t="shared" ca="1" si="2"/>
        <v/>
      </c>
      <c r="C108" s="1" t="str">
        <f ca="1">IFERROR($C$1-1+_xlfn.RANK.EQ(B108,$B$4:$B$242)+COUNTIF(B$4:$B108,B108)-1,"")</f>
        <v/>
      </c>
      <c r="D108" s="1" t="str">
        <f ca="1">IFERROR(VLOOKUP(C108,Shopping!A:B,2,0),"")</f>
        <v/>
      </c>
    </row>
    <row r="109" spans="1:4" x14ac:dyDescent="0.25">
      <c r="A109" t="str">
        <f t="shared" si="3"/>
        <v/>
      </c>
      <c r="B109" t="str">
        <f t="shared" ca="1" si="2"/>
        <v/>
      </c>
      <c r="C109" s="1" t="str">
        <f ca="1">IFERROR($C$1-1+_xlfn.RANK.EQ(B109,$B$4:$B$242)+COUNTIF(B$4:$B109,B109)-1,"")</f>
        <v/>
      </c>
      <c r="D109" s="1" t="str">
        <f ca="1">IFERROR(VLOOKUP(C109,Shopping!A:B,2,0),"")</f>
        <v/>
      </c>
    </row>
    <row r="110" spans="1:4" x14ac:dyDescent="0.25">
      <c r="A110" t="str">
        <f t="shared" si="3"/>
        <v/>
      </c>
      <c r="B110" t="str">
        <f t="shared" ca="1" si="2"/>
        <v/>
      </c>
      <c r="C110" s="1" t="str">
        <f ca="1">IFERROR($C$1-1+_xlfn.RANK.EQ(B110,$B$4:$B$242)+COUNTIF(B$4:$B110,B110)-1,"")</f>
        <v/>
      </c>
      <c r="D110" s="1" t="str">
        <f ca="1">IFERROR(VLOOKUP(C110,Shopping!A:B,2,0),"")</f>
        <v/>
      </c>
    </row>
    <row r="111" spans="1:4" x14ac:dyDescent="0.25">
      <c r="A111" t="str">
        <f t="shared" si="3"/>
        <v/>
      </c>
      <c r="B111" t="str">
        <f t="shared" ca="1" si="2"/>
        <v/>
      </c>
      <c r="C111" s="1" t="str">
        <f ca="1">IFERROR($C$1-1+_xlfn.RANK.EQ(B111,$B$4:$B$242)+COUNTIF(B$4:$B111,B111)-1,"")</f>
        <v/>
      </c>
      <c r="D111" s="1" t="str">
        <f ca="1">IFERROR(VLOOKUP(C111,Shopping!A:B,2,0),"")</f>
        <v/>
      </c>
    </row>
    <row r="112" spans="1:4" x14ac:dyDescent="0.25">
      <c r="A112" t="str">
        <f t="shared" si="3"/>
        <v/>
      </c>
      <c r="B112" t="str">
        <f t="shared" ca="1" si="2"/>
        <v/>
      </c>
      <c r="C112" s="1" t="str">
        <f ca="1">IFERROR($C$1-1+_xlfn.RANK.EQ(B112,$B$4:$B$242)+COUNTIF(B$4:$B112,B112)-1,"")</f>
        <v/>
      </c>
      <c r="D112" s="1" t="str">
        <f ca="1">IFERROR(VLOOKUP(C112,Shopping!A:B,2,0),"")</f>
        <v/>
      </c>
    </row>
    <row r="113" spans="1:4" x14ac:dyDescent="0.25">
      <c r="A113" t="str">
        <f t="shared" si="3"/>
        <v/>
      </c>
      <c r="B113" t="str">
        <f t="shared" ca="1" si="2"/>
        <v/>
      </c>
      <c r="C113" s="1" t="str">
        <f ca="1">IFERROR($C$1-1+_xlfn.RANK.EQ(B113,$B$4:$B$242)+COUNTIF(B$4:$B113,B113)-1,"")</f>
        <v/>
      </c>
      <c r="D113" s="1" t="str">
        <f ca="1">IFERROR(VLOOKUP(C113,Shopping!A:B,2,0),"")</f>
        <v/>
      </c>
    </row>
    <row r="114" spans="1:4" x14ac:dyDescent="0.25">
      <c r="A114" t="str">
        <f t="shared" si="3"/>
        <v/>
      </c>
      <c r="B114" t="str">
        <f t="shared" ca="1" si="2"/>
        <v/>
      </c>
      <c r="C114" s="1" t="str">
        <f ca="1">IFERROR($C$1-1+_xlfn.RANK.EQ(B114,$B$4:$B$242)+COUNTIF(B$4:$B114,B114)-1,"")</f>
        <v/>
      </c>
      <c r="D114" s="1" t="str">
        <f ca="1">IFERROR(VLOOKUP(C114,Shopping!A:B,2,0),"")</f>
        <v/>
      </c>
    </row>
    <row r="115" spans="1:4" x14ac:dyDescent="0.25">
      <c r="A115" t="str">
        <f t="shared" si="3"/>
        <v/>
      </c>
      <c r="B115" t="str">
        <f t="shared" ca="1" si="2"/>
        <v/>
      </c>
      <c r="C115" s="1" t="str">
        <f ca="1">IFERROR($C$1-1+_xlfn.RANK.EQ(B115,$B$4:$B$242)+COUNTIF(B$4:$B115,B115)-1,"")</f>
        <v/>
      </c>
      <c r="D115" s="1" t="str">
        <f ca="1">IFERROR(VLOOKUP(C115,Shopping!A:B,2,0),"")</f>
        <v/>
      </c>
    </row>
    <row r="116" spans="1:4" x14ac:dyDescent="0.25">
      <c r="A116" t="str">
        <f t="shared" si="3"/>
        <v/>
      </c>
      <c r="B116" t="str">
        <f t="shared" ca="1" si="2"/>
        <v/>
      </c>
      <c r="C116" s="1" t="str">
        <f ca="1">IFERROR($C$1-1+_xlfn.RANK.EQ(B116,$B$4:$B$242)+COUNTIF(B$4:$B116,B116)-1,"")</f>
        <v/>
      </c>
      <c r="D116" s="1" t="str">
        <f ca="1">IFERROR(VLOOKUP(C116,Shopping!A:B,2,0),"")</f>
        <v/>
      </c>
    </row>
    <row r="117" spans="1:4" x14ac:dyDescent="0.25">
      <c r="A117" t="str">
        <f t="shared" si="3"/>
        <v/>
      </c>
      <c r="B117" t="str">
        <f t="shared" ca="1" si="2"/>
        <v/>
      </c>
      <c r="C117" s="1" t="str">
        <f ca="1">IFERROR($C$1-1+_xlfn.RANK.EQ(B117,$B$4:$B$242)+COUNTIF(B$4:$B117,B117)-1,"")</f>
        <v/>
      </c>
      <c r="D117" s="1" t="str">
        <f ca="1">IFERROR(VLOOKUP(C117,Shopping!A:B,2,0),"")</f>
        <v/>
      </c>
    </row>
    <row r="118" spans="1:4" x14ac:dyDescent="0.25">
      <c r="A118" t="str">
        <f t="shared" si="3"/>
        <v/>
      </c>
      <c r="B118" t="str">
        <f t="shared" ca="1" si="2"/>
        <v/>
      </c>
      <c r="C118" s="1" t="str">
        <f ca="1">IFERROR($C$1-1+_xlfn.RANK.EQ(B118,$B$4:$B$242)+COUNTIF(B$4:$B118,B118)-1,"")</f>
        <v/>
      </c>
      <c r="D118" s="1" t="str">
        <f ca="1">IFERROR(VLOOKUP(C118,Shopping!A:B,2,0),"")</f>
        <v/>
      </c>
    </row>
    <row r="119" spans="1:4" x14ac:dyDescent="0.25">
      <c r="A119" t="str">
        <f t="shared" si="3"/>
        <v/>
      </c>
      <c r="B119" t="str">
        <f t="shared" ca="1" si="2"/>
        <v/>
      </c>
      <c r="C119" s="1" t="str">
        <f ca="1">IFERROR($C$1-1+_xlfn.RANK.EQ(B119,$B$4:$B$242)+COUNTIF(B$4:$B119,B119)-1,"")</f>
        <v/>
      </c>
      <c r="D119" s="1" t="str">
        <f ca="1">IFERROR(VLOOKUP(C119,Shopping!A:B,2,0),"")</f>
        <v/>
      </c>
    </row>
    <row r="120" spans="1:4" x14ac:dyDescent="0.25">
      <c r="A120" t="str">
        <f t="shared" si="3"/>
        <v/>
      </c>
      <c r="B120" t="str">
        <f t="shared" ca="1" si="2"/>
        <v/>
      </c>
      <c r="C120" s="1" t="str">
        <f ca="1">IFERROR($C$1-1+_xlfn.RANK.EQ(B120,$B$4:$B$242)+COUNTIF(B$4:$B120,B120)-1,"")</f>
        <v/>
      </c>
      <c r="D120" s="1" t="str">
        <f ca="1">IFERROR(VLOOKUP(C120,Shopping!A:B,2,0),"")</f>
        <v/>
      </c>
    </row>
    <row r="121" spans="1:4" x14ac:dyDescent="0.25">
      <c r="A121" t="str">
        <f t="shared" si="3"/>
        <v/>
      </c>
      <c r="B121" t="str">
        <f t="shared" ca="1" si="2"/>
        <v/>
      </c>
      <c r="C121" s="1" t="str">
        <f ca="1">IFERROR($C$1-1+_xlfn.RANK.EQ(B121,$B$4:$B$242)+COUNTIF(B$4:$B121,B121)-1,"")</f>
        <v/>
      </c>
      <c r="D121" s="1" t="str">
        <f ca="1">IFERROR(VLOOKUP(C121,Shopping!A:B,2,0),"")</f>
        <v/>
      </c>
    </row>
    <row r="122" spans="1:4" x14ac:dyDescent="0.25">
      <c r="A122" t="str">
        <f t="shared" si="3"/>
        <v/>
      </c>
      <c r="B122" t="str">
        <f t="shared" ca="1" si="2"/>
        <v/>
      </c>
      <c r="C122" s="1" t="str">
        <f ca="1">IFERROR($C$1-1+_xlfn.RANK.EQ(B122,$B$4:$B$242)+COUNTIF(B$4:$B122,B122)-1,"")</f>
        <v/>
      </c>
      <c r="D122" s="1" t="str">
        <f ca="1">IFERROR(VLOOKUP(C122,Shopping!A:B,2,0),"")</f>
        <v/>
      </c>
    </row>
    <row r="123" spans="1:4" x14ac:dyDescent="0.25">
      <c r="A123" t="str">
        <f t="shared" si="3"/>
        <v/>
      </c>
      <c r="B123" t="str">
        <f t="shared" ca="1" si="2"/>
        <v/>
      </c>
      <c r="C123" s="1" t="str">
        <f ca="1">IFERROR($C$1-1+_xlfn.RANK.EQ(B123,$B$4:$B$242)+COUNTIF(B$4:$B123,B123)-1,"")</f>
        <v/>
      </c>
      <c r="D123" s="1" t="str">
        <f ca="1">IFERROR(VLOOKUP(C123,Shopping!A:B,2,0),"")</f>
        <v/>
      </c>
    </row>
    <row r="124" spans="1:4" x14ac:dyDescent="0.25">
      <c r="A124" t="str">
        <f t="shared" si="3"/>
        <v/>
      </c>
      <c r="B124" t="str">
        <f t="shared" ca="1" si="2"/>
        <v/>
      </c>
      <c r="C124" s="1" t="str">
        <f ca="1">IFERROR($C$1-1+_xlfn.RANK.EQ(B124,$B$4:$B$242)+COUNTIF(B$4:$B124,B124)-1,"")</f>
        <v/>
      </c>
      <c r="D124" s="1" t="str">
        <f ca="1">IFERROR(VLOOKUP(C124,Shopping!A:B,2,0),"")</f>
        <v/>
      </c>
    </row>
    <row r="125" spans="1:4" x14ac:dyDescent="0.25">
      <c r="A125" t="str">
        <f t="shared" si="3"/>
        <v/>
      </c>
      <c r="B125" t="str">
        <f t="shared" ca="1" si="2"/>
        <v/>
      </c>
      <c r="C125" s="1" t="str">
        <f ca="1">IFERROR($C$1-1+_xlfn.RANK.EQ(B125,$B$4:$B$242)+COUNTIF(B$4:$B125,B125)-1,"")</f>
        <v/>
      </c>
      <c r="D125" s="1" t="str">
        <f ca="1">IFERROR(VLOOKUP(C125,Shopping!A:B,2,0),"")</f>
        <v/>
      </c>
    </row>
    <row r="126" spans="1:4" x14ac:dyDescent="0.25">
      <c r="A126" t="str">
        <f t="shared" si="3"/>
        <v/>
      </c>
      <c r="B126" t="str">
        <f t="shared" ca="1" si="2"/>
        <v/>
      </c>
      <c r="C126" s="1" t="str">
        <f ca="1">IFERROR($C$1-1+_xlfn.RANK.EQ(B126,$B$4:$B$242)+COUNTIF(B$4:$B126,B126)-1,"")</f>
        <v/>
      </c>
      <c r="D126" s="1" t="str">
        <f ca="1">IFERROR(VLOOKUP(C126,Shopping!A:B,2,0),"")</f>
        <v/>
      </c>
    </row>
    <row r="127" spans="1:4" x14ac:dyDescent="0.25">
      <c r="A127" t="str">
        <f t="shared" si="3"/>
        <v/>
      </c>
      <c r="B127" t="str">
        <f t="shared" ca="1" si="2"/>
        <v/>
      </c>
      <c r="C127" s="1" t="str">
        <f ca="1">IFERROR($C$1-1+_xlfn.RANK.EQ(B127,$B$4:$B$242)+COUNTIF(B$4:$B127,B127)-1,"")</f>
        <v/>
      </c>
      <c r="D127" s="1" t="str">
        <f ca="1">IFERROR(VLOOKUP(C127,Shopping!A:B,2,0),"")</f>
        <v/>
      </c>
    </row>
    <row r="128" spans="1:4" x14ac:dyDescent="0.25">
      <c r="A128" t="str">
        <f t="shared" si="3"/>
        <v/>
      </c>
      <c r="B128" t="str">
        <f t="shared" ca="1" si="2"/>
        <v/>
      </c>
      <c r="C128" s="1" t="str">
        <f ca="1">IFERROR($C$1-1+_xlfn.RANK.EQ(B128,$B$4:$B$242)+COUNTIF(B$4:$B128,B128)-1,"")</f>
        <v/>
      </c>
      <c r="D128" s="1" t="str">
        <f ca="1">IFERROR(VLOOKUP(C128,Shopping!A:B,2,0),"")</f>
        <v/>
      </c>
    </row>
    <row r="129" spans="1:4" x14ac:dyDescent="0.25">
      <c r="A129" t="str">
        <f t="shared" si="3"/>
        <v/>
      </c>
      <c r="B129" t="str">
        <f t="shared" ca="1" si="2"/>
        <v/>
      </c>
      <c r="C129" s="1" t="str">
        <f ca="1">IFERROR($C$1-1+_xlfn.RANK.EQ(B129,$B$4:$B$242)+COUNTIF(B$4:$B129,B129)-1,"")</f>
        <v/>
      </c>
      <c r="D129" s="1" t="str">
        <f ca="1">IFERROR(VLOOKUP(C129,Shopping!A:B,2,0),"")</f>
        <v/>
      </c>
    </row>
    <row r="130" spans="1:4" x14ac:dyDescent="0.25">
      <c r="A130" t="str">
        <f t="shared" si="3"/>
        <v/>
      </c>
      <c r="B130" t="str">
        <f t="shared" ca="1" si="2"/>
        <v/>
      </c>
      <c r="C130" s="1" t="str">
        <f ca="1">IFERROR($C$1-1+_xlfn.RANK.EQ(B130,$B$4:$B$242)+COUNTIF(B$4:$B130,B130)-1,"")</f>
        <v/>
      </c>
      <c r="D130" s="1" t="str">
        <f ca="1">IFERROR(VLOOKUP(C130,Shopping!A:B,2,0),"")</f>
        <v/>
      </c>
    </row>
    <row r="131" spans="1:4" x14ac:dyDescent="0.25">
      <c r="A131" t="str">
        <f t="shared" si="3"/>
        <v/>
      </c>
      <c r="B131" t="str">
        <f t="shared" ca="1" si="2"/>
        <v/>
      </c>
      <c r="C131" s="1" t="str">
        <f ca="1">IFERROR($C$1-1+_xlfn.RANK.EQ(B131,$B$4:$B$242)+COUNTIF(B$4:$B131,B131)-1,"")</f>
        <v/>
      </c>
      <c r="D131" s="1" t="str">
        <f ca="1">IFERROR(VLOOKUP(C131,Shopping!A:B,2,0),"")</f>
        <v/>
      </c>
    </row>
    <row r="132" spans="1:4" x14ac:dyDescent="0.25">
      <c r="A132" t="str">
        <f t="shared" si="3"/>
        <v/>
      </c>
      <c r="B132" t="str">
        <f t="shared" ref="B132:B195" ca="1" si="4">IF(A132="","",RANDBETWEEN($C$1,$C$2))</f>
        <v/>
      </c>
      <c r="C132" s="1" t="str">
        <f ca="1">IFERROR($C$1-1+_xlfn.RANK.EQ(B132,$B$4:$B$242)+COUNTIF(B$4:$B132,B132)-1,"")</f>
        <v/>
      </c>
      <c r="D132" s="1" t="str">
        <f ca="1">IFERROR(VLOOKUP(C132,Shopping!A:B,2,0),"")</f>
        <v/>
      </c>
    </row>
    <row r="133" spans="1:4" x14ac:dyDescent="0.25">
      <c r="A133" t="str">
        <f t="shared" si="3"/>
        <v/>
      </c>
      <c r="B133" t="str">
        <f t="shared" ca="1" si="4"/>
        <v/>
      </c>
      <c r="C133" s="1" t="str">
        <f ca="1">IFERROR($C$1-1+_xlfn.RANK.EQ(B133,$B$4:$B$242)+COUNTIF(B$4:$B133,B133)-1,"")</f>
        <v/>
      </c>
      <c r="D133" s="1" t="str">
        <f ca="1">IFERROR(VLOOKUP(C133,Shopping!A:B,2,0),"")</f>
        <v/>
      </c>
    </row>
    <row r="134" spans="1:4" x14ac:dyDescent="0.25">
      <c r="A134" t="str">
        <f t="shared" ref="A134:A197" si="5">IFERROR(IF(A133+1&gt;$C$2,"",A133+1),"")</f>
        <v/>
      </c>
      <c r="B134" t="str">
        <f t="shared" ca="1" si="4"/>
        <v/>
      </c>
      <c r="C134" s="1" t="str">
        <f ca="1">IFERROR($C$1-1+_xlfn.RANK.EQ(B134,$B$4:$B$242)+COUNTIF(B$4:$B134,B134)-1,"")</f>
        <v/>
      </c>
      <c r="D134" s="1" t="str">
        <f ca="1">IFERROR(VLOOKUP(C134,Shopping!A:B,2,0),"")</f>
        <v/>
      </c>
    </row>
    <row r="135" spans="1:4" x14ac:dyDescent="0.25">
      <c r="A135" t="str">
        <f t="shared" si="5"/>
        <v/>
      </c>
      <c r="B135" t="str">
        <f t="shared" ca="1" si="4"/>
        <v/>
      </c>
      <c r="C135" s="1" t="str">
        <f ca="1">IFERROR($C$1-1+_xlfn.RANK.EQ(B135,$B$4:$B$242)+COUNTIF(B$4:$B135,B135)-1,"")</f>
        <v/>
      </c>
      <c r="D135" s="1" t="str">
        <f ca="1">IFERROR(VLOOKUP(C135,Shopping!A:B,2,0),"")</f>
        <v/>
      </c>
    </row>
    <row r="136" spans="1:4" x14ac:dyDescent="0.25">
      <c r="A136" t="str">
        <f t="shared" si="5"/>
        <v/>
      </c>
      <c r="B136" t="str">
        <f t="shared" ca="1" si="4"/>
        <v/>
      </c>
      <c r="C136" s="1" t="str">
        <f ca="1">IFERROR($C$1-1+_xlfn.RANK.EQ(B136,$B$4:$B$242)+COUNTIF(B$4:$B136,B136)-1,"")</f>
        <v/>
      </c>
      <c r="D136" s="1" t="str">
        <f ca="1">IFERROR(VLOOKUP(C136,Shopping!A:B,2,0),"")</f>
        <v/>
      </c>
    </row>
    <row r="137" spans="1:4" x14ac:dyDescent="0.25">
      <c r="A137" t="str">
        <f t="shared" si="5"/>
        <v/>
      </c>
      <c r="B137" t="str">
        <f t="shared" ca="1" si="4"/>
        <v/>
      </c>
      <c r="C137" s="1" t="str">
        <f ca="1">IFERROR($C$1-1+_xlfn.RANK.EQ(B137,$B$4:$B$242)+COUNTIF(B$4:$B137,B137)-1,"")</f>
        <v/>
      </c>
      <c r="D137" s="1" t="str">
        <f ca="1">IFERROR(VLOOKUP(C137,Shopping!A:B,2,0),"")</f>
        <v/>
      </c>
    </row>
    <row r="138" spans="1:4" x14ac:dyDescent="0.25">
      <c r="A138" t="str">
        <f t="shared" si="5"/>
        <v/>
      </c>
      <c r="B138" t="str">
        <f t="shared" ca="1" si="4"/>
        <v/>
      </c>
      <c r="C138" s="1" t="str">
        <f ca="1">IFERROR($C$1-1+_xlfn.RANK.EQ(B138,$B$4:$B$242)+COUNTIF(B$4:$B138,B138)-1,"")</f>
        <v/>
      </c>
      <c r="D138" s="1" t="str">
        <f ca="1">IFERROR(VLOOKUP(C138,Shopping!A:B,2,0),"")</f>
        <v/>
      </c>
    </row>
    <row r="139" spans="1:4" x14ac:dyDescent="0.25">
      <c r="A139" t="str">
        <f t="shared" si="5"/>
        <v/>
      </c>
      <c r="B139" t="str">
        <f t="shared" ca="1" si="4"/>
        <v/>
      </c>
      <c r="C139" s="1" t="str">
        <f ca="1">IFERROR($C$1-1+_xlfn.RANK.EQ(B139,$B$4:$B$242)+COUNTIF(B$4:$B139,B139)-1,"")</f>
        <v/>
      </c>
      <c r="D139" s="1" t="str">
        <f ca="1">IFERROR(VLOOKUP(C139,Shopping!A:B,2,0),"")</f>
        <v/>
      </c>
    </row>
    <row r="140" spans="1:4" x14ac:dyDescent="0.25">
      <c r="A140" t="str">
        <f t="shared" si="5"/>
        <v/>
      </c>
      <c r="B140" t="str">
        <f t="shared" ca="1" si="4"/>
        <v/>
      </c>
      <c r="C140" s="1" t="str">
        <f ca="1">IFERROR($C$1-1+_xlfn.RANK.EQ(B140,$B$4:$B$242)+COUNTIF(B$4:$B140,B140)-1,"")</f>
        <v/>
      </c>
      <c r="D140" s="1" t="str">
        <f ca="1">IFERROR(VLOOKUP(C140,Shopping!A:B,2,0),"")</f>
        <v/>
      </c>
    </row>
    <row r="141" spans="1:4" x14ac:dyDescent="0.25">
      <c r="A141" t="str">
        <f t="shared" si="5"/>
        <v/>
      </c>
      <c r="B141" t="str">
        <f t="shared" ca="1" si="4"/>
        <v/>
      </c>
      <c r="C141" s="1" t="str">
        <f ca="1">IFERROR($C$1-1+_xlfn.RANK.EQ(B141,$B$4:$B$242)+COUNTIF(B$4:$B141,B141)-1,"")</f>
        <v/>
      </c>
      <c r="D141" s="1" t="str">
        <f ca="1">IFERROR(VLOOKUP(C141,Shopping!A:B,2,0),"")</f>
        <v/>
      </c>
    </row>
    <row r="142" spans="1:4" x14ac:dyDescent="0.25">
      <c r="A142" t="str">
        <f t="shared" si="5"/>
        <v/>
      </c>
      <c r="B142" t="str">
        <f t="shared" ca="1" si="4"/>
        <v/>
      </c>
      <c r="C142" s="1" t="str">
        <f ca="1">IFERROR($C$1-1+_xlfn.RANK.EQ(B142,$B$4:$B$242)+COUNTIF(B$4:$B142,B142)-1,"")</f>
        <v/>
      </c>
      <c r="D142" s="1" t="str">
        <f ca="1">IFERROR(VLOOKUP(C142,Shopping!A:B,2,0),"")</f>
        <v/>
      </c>
    </row>
    <row r="143" spans="1:4" x14ac:dyDescent="0.25">
      <c r="A143" t="str">
        <f t="shared" si="5"/>
        <v/>
      </c>
      <c r="B143" t="str">
        <f t="shared" ca="1" si="4"/>
        <v/>
      </c>
      <c r="D143" s="1"/>
    </row>
    <row r="144" spans="1:4" x14ac:dyDescent="0.25">
      <c r="A144" t="str">
        <f t="shared" si="5"/>
        <v/>
      </c>
      <c r="B144" t="str">
        <f t="shared" ca="1" si="4"/>
        <v/>
      </c>
      <c r="D144" s="1"/>
    </row>
    <row r="145" spans="1:4" x14ac:dyDescent="0.25">
      <c r="A145" t="str">
        <f t="shared" si="5"/>
        <v/>
      </c>
      <c r="B145" t="str">
        <f t="shared" ca="1" si="4"/>
        <v/>
      </c>
      <c r="D145" s="1"/>
    </row>
    <row r="146" spans="1:4" x14ac:dyDescent="0.25">
      <c r="A146" t="str">
        <f t="shared" si="5"/>
        <v/>
      </c>
      <c r="B146" t="str">
        <f t="shared" ca="1" si="4"/>
        <v/>
      </c>
      <c r="D146" s="1"/>
    </row>
    <row r="147" spans="1:4" x14ac:dyDescent="0.25">
      <c r="A147" t="str">
        <f t="shared" si="5"/>
        <v/>
      </c>
      <c r="B147" t="str">
        <f t="shared" ca="1" si="4"/>
        <v/>
      </c>
      <c r="D147" s="1"/>
    </row>
    <row r="148" spans="1:4" x14ac:dyDescent="0.25">
      <c r="A148" t="str">
        <f t="shared" si="5"/>
        <v/>
      </c>
      <c r="B148" t="str">
        <f t="shared" ca="1" si="4"/>
        <v/>
      </c>
      <c r="D148" s="1"/>
    </row>
    <row r="149" spans="1:4" x14ac:dyDescent="0.25">
      <c r="A149" t="str">
        <f t="shared" si="5"/>
        <v/>
      </c>
      <c r="B149" t="str">
        <f t="shared" ca="1" si="4"/>
        <v/>
      </c>
      <c r="D149" s="1"/>
    </row>
    <row r="150" spans="1:4" x14ac:dyDescent="0.25">
      <c r="A150" t="str">
        <f t="shared" si="5"/>
        <v/>
      </c>
      <c r="B150" t="str">
        <f t="shared" ca="1" si="4"/>
        <v/>
      </c>
      <c r="D150" s="1"/>
    </row>
    <row r="151" spans="1:4" x14ac:dyDescent="0.25">
      <c r="A151" t="str">
        <f t="shared" si="5"/>
        <v/>
      </c>
      <c r="B151" t="str">
        <f t="shared" ca="1" si="4"/>
        <v/>
      </c>
      <c r="D151" s="1"/>
    </row>
    <row r="152" spans="1:4" x14ac:dyDescent="0.25">
      <c r="A152" t="str">
        <f t="shared" si="5"/>
        <v/>
      </c>
      <c r="B152" t="str">
        <f t="shared" ca="1" si="4"/>
        <v/>
      </c>
      <c r="D152" s="1"/>
    </row>
    <row r="153" spans="1:4" x14ac:dyDescent="0.25">
      <c r="A153" t="str">
        <f t="shared" si="5"/>
        <v/>
      </c>
      <c r="B153" t="str">
        <f t="shared" ca="1" si="4"/>
        <v/>
      </c>
      <c r="D153" s="1"/>
    </row>
    <row r="154" spans="1:4" x14ac:dyDescent="0.25">
      <c r="A154" t="str">
        <f t="shared" si="5"/>
        <v/>
      </c>
      <c r="B154" t="str">
        <f t="shared" ca="1" si="4"/>
        <v/>
      </c>
      <c r="D154" s="1"/>
    </row>
    <row r="155" spans="1:4" x14ac:dyDescent="0.25">
      <c r="A155" t="str">
        <f t="shared" si="5"/>
        <v/>
      </c>
      <c r="B155" t="str">
        <f t="shared" ca="1" si="4"/>
        <v/>
      </c>
      <c r="D155" s="1"/>
    </row>
    <row r="156" spans="1:4" x14ac:dyDescent="0.25">
      <c r="A156" t="str">
        <f t="shared" si="5"/>
        <v/>
      </c>
      <c r="B156" t="str">
        <f t="shared" ca="1" si="4"/>
        <v/>
      </c>
      <c r="D156" s="1"/>
    </row>
    <row r="157" spans="1:4" x14ac:dyDescent="0.25">
      <c r="A157" t="str">
        <f t="shared" si="5"/>
        <v/>
      </c>
      <c r="B157" t="str">
        <f t="shared" ca="1" si="4"/>
        <v/>
      </c>
      <c r="D157" s="1"/>
    </row>
    <row r="158" spans="1:4" x14ac:dyDescent="0.25">
      <c r="A158" t="str">
        <f t="shared" si="5"/>
        <v/>
      </c>
      <c r="B158" t="str">
        <f t="shared" ca="1" si="4"/>
        <v/>
      </c>
      <c r="D158" s="1"/>
    </row>
    <row r="159" spans="1:4" x14ac:dyDescent="0.25">
      <c r="A159" t="str">
        <f t="shared" si="5"/>
        <v/>
      </c>
      <c r="B159" t="str">
        <f t="shared" ca="1" si="4"/>
        <v/>
      </c>
      <c r="D159" s="1"/>
    </row>
    <row r="160" spans="1:4" x14ac:dyDescent="0.25">
      <c r="A160" t="str">
        <f t="shared" si="5"/>
        <v/>
      </c>
      <c r="B160" t="str">
        <f t="shared" ca="1" si="4"/>
        <v/>
      </c>
      <c r="D160" s="1"/>
    </row>
    <row r="161" spans="1:4" x14ac:dyDescent="0.25">
      <c r="A161" t="str">
        <f t="shared" si="5"/>
        <v/>
      </c>
      <c r="B161" t="str">
        <f t="shared" ca="1" si="4"/>
        <v/>
      </c>
      <c r="D161" s="1"/>
    </row>
    <row r="162" spans="1:4" x14ac:dyDescent="0.25">
      <c r="A162" t="str">
        <f t="shared" si="5"/>
        <v/>
      </c>
      <c r="B162" t="str">
        <f t="shared" ca="1" si="4"/>
        <v/>
      </c>
      <c r="D162" s="1"/>
    </row>
    <row r="163" spans="1:4" x14ac:dyDescent="0.25">
      <c r="A163" t="str">
        <f t="shared" si="5"/>
        <v/>
      </c>
      <c r="B163" t="str">
        <f t="shared" ca="1" si="4"/>
        <v/>
      </c>
      <c r="D163" s="1"/>
    </row>
    <row r="164" spans="1:4" x14ac:dyDescent="0.25">
      <c r="A164" t="str">
        <f t="shared" si="5"/>
        <v/>
      </c>
      <c r="B164" t="str">
        <f t="shared" ca="1" si="4"/>
        <v/>
      </c>
      <c r="D164" s="1"/>
    </row>
    <row r="165" spans="1:4" x14ac:dyDescent="0.25">
      <c r="A165" t="str">
        <f t="shared" si="5"/>
        <v/>
      </c>
      <c r="B165" t="str">
        <f t="shared" ca="1" si="4"/>
        <v/>
      </c>
      <c r="D165" s="1"/>
    </row>
    <row r="166" spans="1:4" x14ac:dyDescent="0.25">
      <c r="A166" t="str">
        <f t="shared" si="5"/>
        <v/>
      </c>
      <c r="B166" t="str">
        <f t="shared" ca="1" si="4"/>
        <v/>
      </c>
      <c r="D166" s="1"/>
    </row>
    <row r="167" spans="1:4" x14ac:dyDescent="0.25">
      <c r="A167" t="str">
        <f t="shared" si="5"/>
        <v/>
      </c>
      <c r="B167" t="str">
        <f t="shared" ca="1" si="4"/>
        <v/>
      </c>
      <c r="D167" s="1"/>
    </row>
    <row r="168" spans="1:4" x14ac:dyDescent="0.25">
      <c r="A168" t="str">
        <f t="shared" si="5"/>
        <v/>
      </c>
      <c r="B168" t="str">
        <f t="shared" ca="1" si="4"/>
        <v/>
      </c>
      <c r="D168" s="1"/>
    </row>
    <row r="169" spans="1:4" x14ac:dyDescent="0.25">
      <c r="A169" t="str">
        <f t="shared" si="5"/>
        <v/>
      </c>
      <c r="B169" t="str">
        <f t="shared" ca="1" si="4"/>
        <v/>
      </c>
      <c r="D169" s="1"/>
    </row>
    <row r="170" spans="1:4" x14ac:dyDescent="0.25">
      <c r="A170" t="str">
        <f t="shared" si="5"/>
        <v/>
      </c>
      <c r="B170" t="str">
        <f t="shared" ca="1" si="4"/>
        <v/>
      </c>
      <c r="D170" s="1"/>
    </row>
    <row r="171" spans="1:4" x14ac:dyDescent="0.25">
      <c r="A171" t="str">
        <f t="shared" si="5"/>
        <v/>
      </c>
      <c r="B171" t="str">
        <f t="shared" ca="1" si="4"/>
        <v/>
      </c>
      <c r="D171" s="1"/>
    </row>
    <row r="172" spans="1:4" x14ac:dyDescent="0.25">
      <c r="A172" t="str">
        <f t="shared" si="5"/>
        <v/>
      </c>
      <c r="B172" t="str">
        <f t="shared" ca="1" si="4"/>
        <v/>
      </c>
      <c r="D172" s="1"/>
    </row>
    <row r="173" spans="1:4" x14ac:dyDescent="0.25">
      <c r="A173" t="str">
        <f t="shared" si="5"/>
        <v/>
      </c>
      <c r="B173" t="str">
        <f t="shared" ca="1" si="4"/>
        <v/>
      </c>
      <c r="D173" s="1"/>
    </row>
    <row r="174" spans="1:4" x14ac:dyDescent="0.25">
      <c r="A174" t="str">
        <f t="shared" si="5"/>
        <v/>
      </c>
      <c r="B174" t="str">
        <f t="shared" ca="1" si="4"/>
        <v/>
      </c>
      <c r="D174" s="1"/>
    </row>
    <row r="175" spans="1:4" x14ac:dyDescent="0.25">
      <c r="A175" t="str">
        <f t="shared" si="5"/>
        <v/>
      </c>
      <c r="B175" t="str">
        <f t="shared" ca="1" si="4"/>
        <v/>
      </c>
      <c r="D175" s="1"/>
    </row>
    <row r="176" spans="1:4" x14ac:dyDescent="0.25">
      <c r="A176" t="str">
        <f t="shared" si="5"/>
        <v/>
      </c>
      <c r="B176" t="str">
        <f t="shared" ca="1" si="4"/>
        <v/>
      </c>
      <c r="D176" s="1"/>
    </row>
    <row r="177" spans="1:4" x14ac:dyDescent="0.25">
      <c r="A177" t="str">
        <f t="shared" si="5"/>
        <v/>
      </c>
      <c r="B177" t="str">
        <f t="shared" ca="1" si="4"/>
        <v/>
      </c>
      <c r="D177" s="1"/>
    </row>
    <row r="178" spans="1:4" x14ac:dyDescent="0.25">
      <c r="A178" t="str">
        <f t="shared" si="5"/>
        <v/>
      </c>
      <c r="B178" t="str">
        <f t="shared" ca="1" si="4"/>
        <v/>
      </c>
      <c r="D178" s="1"/>
    </row>
    <row r="179" spans="1:4" x14ac:dyDescent="0.25">
      <c r="A179" t="str">
        <f t="shared" si="5"/>
        <v/>
      </c>
      <c r="B179" t="str">
        <f t="shared" ca="1" si="4"/>
        <v/>
      </c>
      <c r="D179" s="1"/>
    </row>
    <row r="180" spans="1:4" x14ac:dyDescent="0.25">
      <c r="A180" t="str">
        <f t="shared" si="5"/>
        <v/>
      </c>
      <c r="B180" t="str">
        <f t="shared" ca="1" si="4"/>
        <v/>
      </c>
      <c r="D180" s="1"/>
    </row>
    <row r="181" spans="1:4" x14ac:dyDescent="0.25">
      <c r="A181" t="str">
        <f t="shared" si="5"/>
        <v/>
      </c>
      <c r="B181" t="str">
        <f t="shared" ca="1" si="4"/>
        <v/>
      </c>
      <c r="D181" s="1"/>
    </row>
    <row r="182" spans="1:4" x14ac:dyDescent="0.25">
      <c r="A182" t="str">
        <f t="shared" si="5"/>
        <v/>
      </c>
      <c r="B182" t="str">
        <f t="shared" ca="1" si="4"/>
        <v/>
      </c>
      <c r="D182" s="1"/>
    </row>
    <row r="183" spans="1:4" x14ac:dyDescent="0.25">
      <c r="A183" t="str">
        <f t="shared" si="5"/>
        <v/>
      </c>
      <c r="B183" t="str">
        <f t="shared" ca="1" si="4"/>
        <v/>
      </c>
      <c r="D183" s="1"/>
    </row>
    <row r="184" spans="1:4" x14ac:dyDescent="0.25">
      <c r="A184" t="str">
        <f t="shared" si="5"/>
        <v/>
      </c>
      <c r="B184" t="str">
        <f t="shared" ca="1" si="4"/>
        <v/>
      </c>
      <c r="D184" s="1"/>
    </row>
    <row r="185" spans="1:4" x14ac:dyDescent="0.25">
      <c r="A185" t="str">
        <f t="shared" si="5"/>
        <v/>
      </c>
      <c r="B185" t="str">
        <f t="shared" ca="1" si="4"/>
        <v/>
      </c>
      <c r="D185" s="1"/>
    </row>
    <row r="186" spans="1:4" x14ac:dyDescent="0.25">
      <c r="A186" t="str">
        <f t="shared" si="5"/>
        <v/>
      </c>
      <c r="B186" t="str">
        <f t="shared" ca="1" si="4"/>
        <v/>
      </c>
      <c r="D186" s="1"/>
    </row>
    <row r="187" spans="1:4" x14ac:dyDescent="0.25">
      <c r="A187" t="str">
        <f t="shared" si="5"/>
        <v/>
      </c>
      <c r="B187" t="str">
        <f t="shared" ca="1" si="4"/>
        <v/>
      </c>
      <c r="D187" s="1"/>
    </row>
    <row r="188" spans="1:4" x14ac:dyDescent="0.25">
      <c r="A188" t="str">
        <f t="shared" si="5"/>
        <v/>
      </c>
      <c r="B188" t="str">
        <f t="shared" ca="1" si="4"/>
        <v/>
      </c>
      <c r="D188" s="1"/>
    </row>
    <row r="189" spans="1:4" x14ac:dyDescent="0.25">
      <c r="A189" t="str">
        <f t="shared" si="5"/>
        <v/>
      </c>
      <c r="B189" t="str">
        <f t="shared" ca="1" si="4"/>
        <v/>
      </c>
      <c r="D189" s="1"/>
    </row>
    <row r="190" spans="1:4" x14ac:dyDescent="0.25">
      <c r="A190" t="str">
        <f t="shared" si="5"/>
        <v/>
      </c>
      <c r="B190" t="str">
        <f t="shared" ca="1" si="4"/>
        <v/>
      </c>
      <c r="D190" s="1"/>
    </row>
    <row r="191" spans="1:4" x14ac:dyDescent="0.25">
      <c r="A191" t="str">
        <f t="shared" si="5"/>
        <v/>
      </c>
      <c r="B191" t="str">
        <f t="shared" ca="1" si="4"/>
        <v/>
      </c>
      <c r="D191" s="1"/>
    </row>
    <row r="192" spans="1:4" x14ac:dyDescent="0.25">
      <c r="A192" t="str">
        <f t="shared" si="5"/>
        <v/>
      </c>
      <c r="B192" t="str">
        <f t="shared" ca="1" si="4"/>
        <v/>
      </c>
      <c r="D192" s="1"/>
    </row>
    <row r="193" spans="1:4" x14ac:dyDescent="0.25">
      <c r="A193" t="str">
        <f t="shared" si="5"/>
        <v/>
      </c>
      <c r="B193" t="str">
        <f t="shared" ca="1" si="4"/>
        <v/>
      </c>
      <c r="D193" s="1"/>
    </row>
    <row r="194" spans="1:4" x14ac:dyDescent="0.25">
      <c r="A194" t="str">
        <f t="shared" si="5"/>
        <v/>
      </c>
      <c r="B194" t="str">
        <f t="shared" ca="1" si="4"/>
        <v/>
      </c>
      <c r="D194" s="1"/>
    </row>
    <row r="195" spans="1:4" x14ac:dyDescent="0.25">
      <c r="A195" t="str">
        <f t="shared" si="5"/>
        <v/>
      </c>
      <c r="B195" t="str">
        <f t="shared" ca="1" si="4"/>
        <v/>
      </c>
      <c r="D195" s="1"/>
    </row>
    <row r="196" spans="1:4" x14ac:dyDescent="0.25">
      <c r="A196" t="str">
        <f t="shared" si="5"/>
        <v/>
      </c>
      <c r="B196" t="str">
        <f t="shared" ref="B196:B259" ca="1" si="6">IF(A196="","",RANDBETWEEN($C$1,$C$2))</f>
        <v/>
      </c>
      <c r="D196" s="1"/>
    </row>
    <row r="197" spans="1:4" x14ac:dyDescent="0.25">
      <c r="A197" t="str">
        <f t="shared" si="5"/>
        <v/>
      </c>
      <c r="B197" t="str">
        <f t="shared" ca="1" si="6"/>
        <v/>
      </c>
      <c r="D197" s="1"/>
    </row>
    <row r="198" spans="1:4" x14ac:dyDescent="0.25">
      <c r="A198" t="str">
        <f t="shared" ref="A198:A261" si="7">IFERROR(IF(A197+1&gt;$C$2,"",A197+1),"")</f>
        <v/>
      </c>
      <c r="B198" t="str">
        <f t="shared" ca="1" si="6"/>
        <v/>
      </c>
      <c r="D198" s="1"/>
    </row>
    <row r="199" spans="1:4" x14ac:dyDescent="0.25">
      <c r="A199" t="str">
        <f t="shared" si="7"/>
        <v/>
      </c>
      <c r="B199" t="str">
        <f t="shared" ca="1" si="6"/>
        <v/>
      </c>
      <c r="D199" s="1"/>
    </row>
    <row r="200" spans="1:4" x14ac:dyDescent="0.25">
      <c r="A200" t="str">
        <f t="shared" si="7"/>
        <v/>
      </c>
      <c r="B200" t="str">
        <f t="shared" ca="1" si="6"/>
        <v/>
      </c>
      <c r="D200" s="1"/>
    </row>
    <row r="201" spans="1:4" x14ac:dyDescent="0.25">
      <c r="A201" t="str">
        <f t="shared" si="7"/>
        <v/>
      </c>
      <c r="B201" t="str">
        <f t="shared" ca="1" si="6"/>
        <v/>
      </c>
      <c r="D201" s="1"/>
    </row>
    <row r="202" spans="1:4" x14ac:dyDescent="0.25">
      <c r="A202" t="str">
        <f t="shared" si="7"/>
        <v/>
      </c>
      <c r="B202" t="str">
        <f t="shared" ca="1" si="6"/>
        <v/>
      </c>
      <c r="D202" s="1"/>
    </row>
    <row r="203" spans="1:4" x14ac:dyDescent="0.25">
      <c r="A203" t="str">
        <f t="shared" si="7"/>
        <v/>
      </c>
      <c r="B203" t="str">
        <f t="shared" ca="1" si="6"/>
        <v/>
      </c>
      <c r="D203" s="1"/>
    </row>
    <row r="204" spans="1:4" x14ac:dyDescent="0.25">
      <c r="A204" t="str">
        <f t="shared" si="7"/>
        <v/>
      </c>
      <c r="B204" t="str">
        <f t="shared" ca="1" si="6"/>
        <v/>
      </c>
      <c r="D204" s="1"/>
    </row>
    <row r="205" spans="1:4" x14ac:dyDescent="0.25">
      <c r="A205" t="str">
        <f t="shared" si="7"/>
        <v/>
      </c>
      <c r="B205" t="str">
        <f t="shared" ca="1" si="6"/>
        <v/>
      </c>
      <c r="D205" s="1"/>
    </row>
    <row r="206" spans="1:4" x14ac:dyDescent="0.25">
      <c r="A206" t="str">
        <f t="shared" si="7"/>
        <v/>
      </c>
      <c r="B206" t="str">
        <f t="shared" ca="1" si="6"/>
        <v/>
      </c>
      <c r="D206" s="1"/>
    </row>
    <row r="207" spans="1:4" x14ac:dyDescent="0.25">
      <c r="A207" t="str">
        <f t="shared" si="7"/>
        <v/>
      </c>
      <c r="B207" t="str">
        <f t="shared" ca="1" si="6"/>
        <v/>
      </c>
      <c r="D207" s="1"/>
    </row>
    <row r="208" spans="1:4" x14ac:dyDescent="0.25">
      <c r="A208" t="str">
        <f t="shared" si="7"/>
        <v/>
      </c>
      <c r="B208" t="str">
        <f t="shared" ca="1" si="6"/>
        <v/>
      </c>
      <c r="D208" s="1"/>
    </row>
    <row r="209" spans="1:4" x14ac:dyDescent="0.25">
      <c r="A209" t="str">
        <f t="shared" si="7"/>
        <v/>
      </c>
      <c r="B209" t="str">
        <f t="shared" ca="1" si="6"/>
        <v/>
      </c>
      <c r="D209" s="1"/>
    </row>
    <row r="210" spans="1:4" x14ac:dyDescent="0.25">
      <c r="A210" t="str">
        <f t="shared" si="7"/>
        <v/>
      </c>
      <c r="B210" t="str">
        <f t="shared" ca="1" si="6"/>
        <v/>
      </c>
      <c r="D210" s="1"/>
    </row>
    <row r="211" spans="1:4" x14ac:dyDescent="0.25">
      <c r="A211" t="str">
        <f t="shared" si="7"/>
        <v/>
      </c>
      <c r="B211" t="str">
        <f t="shared" ca="1" si="6"/>
        <v/>
      </c>
      <c r="D211" s="1"/>
    </row>
    <row r="212" spans="1:4" x14ac:dyDescent="0.25">
      <c r="A212" t="str">
        <f t="shared" si="7"/>
        <v/>
      </c>
      <c r="B212" t="str">
        <f t="shared" ca="1" si="6"/>
        <v/>
      </c>
      <c r="D212" s="1"/>
    </row>
    <row r="213" spans="1:4" x14ac:dyDescent="0.25">
      <c r="A213" t="str">
        <f t="shared" si="7"/>
        <v/>
      </c>
      <c r="B213" t="str">
        <f t="shared" ca="1" si="6"/>
        <v/>
      </c>
      <c r="D213" s="1"/>
    </row>
    <row r="214" spans="1:4" x14ac:dyDescent="0.25">
      <c r="A214" t="str">
        <f t="shared" si="7"/>
        <v/>
      </c>
      <c r="B214" t="str">
        <f t="shared" ca="1" si="6"/>
        <v/>
      </c>
      <c r="D214" s="1"/>
    </row>
    <row r="215" spans="1:4" x14ac:dyDescent="0.25">
      <c r="A215" t="str">
        <f t="shared" si="7"/>
        <v/>
      </c>
      <c r="B215" t="str">
        <f t="shared" ca="1" si="6"/>
        <v/>
      </c>
      <c r="D215" s="1"/>
    </row>
    <row r="216" spans="1:4" x14ac:dyDescent="0.25">
      <c r="A216" t="str">
        <f t="shared" si="7"/>
        <v/>
      </c>
      <c r="B216" t="str">
        <f t="shared" ca="1" si="6"/>
        <v/>
      </c>
      <c r="D216" s="1"/>
    </row>
    <row r="217" spans="1:4" x14ac:dyDescent="0.25">
      <c r="A217" t="str">
        <f t="shared" si="7"/>
        <v/>
      </c>
      <c r="B217" t="str">
        <f t="shared" ca="1" si="6"/>
        <v/>
      </c>
      <c r="D217" s="1"/>
    </row>
    <row r="218" spans="1:4" x14ac:dyDescent="0.25">
      <c r="A218" t="str">
        <f t="shared" si="7"/>
        <v/>
      </c>
      <c r="B218" t="str">
        <f t="shared" ca="1" si="6"/>
        <v/>
      </c>
      <c r="D218" s="1"/>
    </row>
    <row r="219" spans="1:4" x14ac:dyDescent="0.25">
      <c r="A219" t="str">
        <f t="shared" si="7"/>
        <v/>
      </c>
      <c r="B219" t="str">
        <f t="shared" ca="1" si="6"/>
        <v/>
      </c>
      <c r="D219" s="1"/>
    </row>
    <row r="220" spans="1:4" x14ac:dyDescent="0.25">
      <c r="A220" t="str">
        <f t="shared" si="7"/>
        <v/>
      </c>
      <c r="B220" t="str">
        <f t="shared" ca="1" si="6"/>
        <v/>
      </c>
      <c r="D220" s="1"/>
    </row>
    <row r="221" spans="1:4" x14ac:dyDescent="0.25">
      <c r="A221" t="str">
        <f t="shared" si="7"/>
        <v/>
      </c>
      <c r="B221" t="str">
        <f t="shared" ca="1" si="6"/>
        <v/>
      </c>
      <c r="D221" s="1"/>
    </row>
    <row r="222" spans="1:4" x14ac:dyDescent="0.25">
      <c r="A222" t="str">
        <f t="shared" si="7"/>
        <v/>
      </c>
      <c r="B222" t="str">
        <f t="shared" ca="1" si="6"/>
        <v/>
      </c>
      <c r="D222" s="1"/>
    </row>
    <row r="223" spans="1:4" x14ac:dyDescent="0.25">
      <c r="A223" t="str">
        <f t="shared" si="7"/>
        <v/>
      </c>
      <c r="B223" t="str">
        <f t="shared" ca="1" si="6"/>
        <v/>
      </c>
      <c r="D223" s="1"/>
    </row>
    <row r="224" spans="1:4" x14ac:dyDescent="0.25">
      <c r="A224" t="str">
        <f t="shared" si="7"/>
        <v/>
      </c>
      <c r="B224" t="str">
        <f t="shared" ca="1" si="6"/>
        <v/>
      </c>
      <c r="D224" s="1"/>
    </row>
    <row r="225" spans="1:4" x14ac:dyDescent="0.25">
      <c r="A225" t="str">
        <f t="shared" si="7"/>
        <v/>
      </c>
      <c r="B225" t="str">
        <f t="shared" ca="1" si="6"/>
        <v/>
      </c>
      <c r="D225" s="1"/>
    </row>
    <row r="226" spans="1:4" x14ac:dyDescent="0.25">
      <c r="A226" t="str">
        <f t="shared" si="7"/>
        <v/>
      </c>
      <c r="B226" t="str">
        <f t="shared" ca="1" si="6"/>
        <v/>
      </c>
      <c r="D226" s="1"/>
    </row>
    <row r="227" spans="1:4" x14ac:dyDescent="0.25">
      <c r="A227" t="str">
        <f t="shared" si="7"/>
        <v/>
      </c>
      <c r="B227" t="str">
        <f t="shared" ca="1" si="6"/>
        <v/>
      </c>
      <c r="D227" s="1"/>
    </row>
    <row r="228" spans="1:4" x14ac:dyDescent="0.25">
      <c r="A228" t="str">
        <f t="shared" si="7"/>
        <v/>
      </c>
      <c r="B228" t="str">
        <f t="shared" ca="1" si="6"/>
        <v/>
      </c>
      <c r="D228" s="1"/>
    </row>
    <row r="229" spans="1:4" x14ac:dyDescent="0.25">
      <c r="A229" t="str">
        <f t="shared" si="7"/>
        <v/>
      </c>
      <c r="B229" t="str">
        <f t="shared" ca="1" si="6"/>
        <v/>
      </c>
      <c r="D229" s="1"/>
    </row>
    <row r="230" spans="1:4" x14ac:dyDescent="0.25">
      <c r="A230" t="str">
        <f t="shared" si="7"/>
        <v/>
      </c>
      <c r="B230" t="str">
        <f t="shared" ca="1" si="6"/>
        <v/>
      </c>
      <c r="D230" s="1"/>
    </row>
    <row r="231" spans="1:4" x14ac:dyDescent="0.25">
      <c r="A231" t="str">
        <f t="shared" si="7"/>
        <v/>
      </c>
      <c r="B231" t="str">
        <f t="shared" ca="1" si="6"/>
        <v/>
      </c>
      <c r="D231" s="1"/>
    </row>
    <row r="232" spans="1:4" x14ac:dyDescent="0.25">
      <c r="A232" t="str">
        <f t="shared" si="7"/>
        <v/>
      </c>
      <c r="B232" t="str">
        <f t="shared" ca="1" si="6"/>
        <v/>
      </c>
      <c r="D232" s="1"/>
    </row>
    <row r="233" spans="1:4" x14ac:dyDescent="0.25">
      <c r="A233" t="str">
        <f t="shared" si="7"/>
        <v/>
      </c>
      <c r="B233" t="str">
        <f t="shared" ca="1" si="6"/>
        <v/>
      </c>
      <c r="D233" s="1"/>
    </row>
    <row r="234" spans="1:4" x14ac:dyDescent="0.25">
      <c r="A234" t="str">
        <f t="shared" si="7"/>
        <v/>
      </c>
      <c r="B234" t="str">
        <f t="shared" ca="1" si="6"/>
        <v/>
      </c>
      <c r="D234" s="1"/>
    </row>
    <row r="235" spans="1:4" x14ac:dyDescent="0.25">
      <c r="A235" t="str">
        <f t="shared" si="7"/>
        <v/>
      </c>
      <c r="B235" t="str">
        <f t="shared" ca="1" si="6"/>
        <v/>
      </c>
      <c r="D235" s="1"/>
    </row>
    <row r="236" spans="1:4" x14ac:dyDescent="0.25">
      <c r="A236" t="str">
        <f t="shared" si="7"/>
        <v/>
      </c>
      <c r="B236" t="str">
        <f t="shared" ca="1" si="6"/>
        <v/>
      </c>
      <c r="D236" s="1"/>
    </row>
    <row r="237" spans="1:4" x14ac:dyDescent="0.25">
      <c r="A237" t="str">
        <f t="shared" si="7"/>
        <v/>
      </c>
      <c r="B237" t="str">
        <f t="shared" ca="1" si="6"/>
        <v/>
      </c>
      <c r="D237" s="1"/>
    </row>
    <row r="238" spans="1:4" x14ac:dyDescent="0.25">
      <c r="A238" t="str">
        <f t="shared" si="7"/>
        <v/>
      </c>
      <c r="B238" t="str">
        <f t="shared" ca="1" si="6"/>
        <v/>
      </c>
      <c r="D238" s="1"/>
    </row>
    <row r="239" spans="1:4" x14ac:dyDescent="0.25">
      <c r="A239" t="str">
        <f t="shared" si="7"/>
        <v/>
      </c>
      <c r="B239" t="str">
        <f t="shared" ca="1" si="6"/>
        <v/>
      </c>
      <c r="D239" s="1"/>
    </row>
    <row r="240" spans="1:4" x14ac:dyDescent="0.25">
      <c r="A240" t="str">
        <f t="shared" si="7"/>
        <v/>
      </c>
      <c r="B240" t="str">
        <f t="shared" ca="1" si="6"/>
        <v/>
      </c>
      <c r="D240" s="1"/>
    </row>
    <row r="241" spans="1:4" x14ac:dyDescent="0.25">
      <c r="A241" t="str">
        <f t="shared" si="7"/>
        <v/>
      </c>
      <c r="B241" t="str">
        <f t="shared" ca="1" si="6"/>
        <v/>
      </c>
      <c r="D241" s="1"/>
    </row>
    <row r="242" spans="1:4" x14ac:dyDescent="0.25">
      <c r="A242" t="str">
        <f t="shared" si="7"/>
        <v/>
      </c>
      <c r="B242" t="str">
        <f t="shared" ca="1" si="6"/>
        <v/>
      </c>
      <c r="D242" s="1"/>
    </row>
    <row r="243" spans="1:4" x14ac:dyDescent="0.25">
      <c r="A243" t="str">
        <f t="shared" si="7"/>
        <v/>
      </c>
      <c r="B243" t="str">
        <f t="shared" ca="1" si="6"/>
        <v/>
      </c>
      <c r="D243" s="1"/>
    </row>
    <row r="244" spans="1:4" x14ac:dyDescent="0.25">
      <c r="A244" t="str">
        <f t="shared" si="7"/>
        <v/>
      </c>
      <c r="B244" t="str">
        <f t="shared" ca="1" si="6"/>
        <v/>
      </c>
      <c r="D244" s="1"/>
    </row>
    <row r="245" spans="1:4" x14ac:dyDescent="0.25">
      <c r="A245" t="str">
        <f t="shared" si="7"/>
        <v/>
      </c>
      <c r="B245" t="str">
        <f t="shared" ca="1" si="6"/>
        <v/>
      </c>
      <c r="D245" s="1"/>
    </row>
    <row r="246" spans="1:4" x14ac:dyDescent="0.25">
      <c r="A246" t="str">
        <f t="shared" si="7"/>
        <v/>
      </c>
      <c r="B246" t="str">
        <f t="shared" ca="1" si="6"/>
        <v/>
      </c>
      <c r="D246" s="1"/>
    </row>
    <row r="247" spans="1:4" x14ac:dyDescent="0.25">
      <c r="A247" t="str">
        <f t="shared" si="7"/>
        <v/>
      </c>
      <c r="B247" t="str">
        <f t="shared" ca="1" si="6"/>
        <v/>
      </c>
      <c r="D247" s="1"/>
    </row>
    <row r="248" spans="1:4" x14ac:dyDescent="0.25">
      <c r="A248" t="str">
        <f t="shared" si="7"/>
        <v/>
      </c>
      <c r="B248" t="str">
        <f t="shared" ca="1" si="6"/>
        <v/>
      </c>
      <c r="D248" s="1"/>
    </row>
    <row r="249" spans="1:4" x14ac:dyDescent="0.25">
      <c r="A249" t="str">
        <f t="shared" si="7"/>
        <v/>
      </c>
      <c r="B249" t="str">
        <f t="shared" ca="1" si="6"/>
        <v/>
      </c>
      <c r="D249" s="1"/>
    </row>
    <row r="250" spans="1:4" x14ac:dyDescent="0.25">
      <c r="A250" t="str">
        <f t="shared" si="7"/>
        <v/>
      </c>
      <c r="B250" t="str">
        <f t="shared" ca="1" si="6"/>
        <v/>
      </c>
      <c r="D250" s="1"/>
    </row>
    <row r="251" spans="1:4" x14ac:dyDescent="0.25">
      <c r="A251" t="str">
        <f t="shared" si="7"/>
        <v/>
      </c>
      <c r="B251" t="str">
        <f t="shared" ca="1" si="6"/>
        <v/>
      </c>
      <c r="D251" s="1"/>
    </row>
    <row r="252" spans="1:4" x14ac:dyDescent="0.25">
      <c r="A252" t="str">
        <f t="shared" si="7"/>
        <v/>
      </c>
      <c r="B252" t="str">
        <f t="shared" ca="1" si="6"/>
        <v/>
      </c>
      <c r="D252" s="1"/>
    </row>
    <row r="253" spans="1:4" x14ac:dyDescent="0.25">
      <c r="A253" t="str">
        <f t="shared" si="7"/>
        <v/>
      </c>
      <c r="B253" t="str">
        <f t="shared" ca="1" si="6"/>
        <v/>
      </c>
      <c r="D253" s="1"/>
    </row>
    <row r="254" spans="1:4" x14ac:dyDescent="0.25">
      <c r="A254" t="str">
        <f t="shared" si="7"/>
        <v/>
      </c>
      <c r="B254" t="str">
        <f t="shared" ca="1" si="6"/>
        <v/>
      </c>
      <c r="D254" s="1"/>
    </row>
    <row r="255" spans="1:4" x14ac:dyDescent="0.25">
      <c r="A255" t="str">
        <f t="shared" si="7"/>
        <v/>
      </c>
      <c r="B255" t="str">
        <f t="shared" ca="1" si="6"/>
        <v/>
      </c>
      <c r="D255" s="1"/>
    </row>
    <row r="256" spans="1:4" x14ac:dyDescent="0.25">
      <c r="A256" t="str">
        <f t="shared" si="7"/>
        <v/>
      </c>
      <c r="B256" t="str">
        <f t="shared" ca="1" si="6"/>
        <v/>
      </c>
      <c r="D256" s="1"/>
    </row>
    <row r="257" spans="1:4" x14ac:dyDescent="0.25">
      <c r="A257" t="str">
        <f t="shared" si="7"/>
        <v/>
      </c>
      <c r="B257" t="str">
        <f t="shared" ca="1" si="6"/>
        <v/>
      </c>
      <c r="D257" s="1"/>
    </row>
    <row r="258" spans="1:4" x14ac:dyDescent="0.25">
      <c r="A258" t="str">
        <f t="shared" si="7"/>
        <v/>
      </c>
      <c r="B258" t="str">
        <f t="shared" ca="1" si="6"/>
        <v/>
      </c>
      <c r="D258" s="1"/>
    </row>
    <row r="259" spans="1:4" x14ac:dyDescent="0.25">
      <c r="A259" t="str">
        <f t="shared" si="7"/>
        <v/>
      </c>
      <c r="B259" t="str">
        <f t="shared" ca="1" si="6"/>
        <v/>
      </c>
      <c r="D259" s="1"/>
    </row>
    <row r="260" spans="1:4" x14ac:dyDescent="0.25">
      <c r="A260" t="str">
        <f t="shared" si="7"/>
        <v/>
      </c>
      <c r="B260" t="str">
        <f t="shared" ref="B260:B295" ca="1" si="8">IF(A260="","",RANDBETWEEN($C$1,$C$2))</f>
        <v/>
      </c>
      <c r="D260" s="1"/>
    </row>
    <row r="261" spans="1:4" x14ac:dyDescent="0.25">
      <c r="A261" t="str">
        <f t="shared" si="7"/>
        <v/>
      </c>
      <c r="B261" t="str">
        <f t="shared" ca="1" si="8"/>
        <v/>
      </c>
      <c r="D261" s="1"/>
    </row>
    <row r="262" spans="1:4" x14ac:dyDescent="0.25">
      <c r="A262" t="str">
        <f t="shared" ref="A262:A295" si="9">IFERROR(IF(A261+1&gt;$C$2,"",A261+1),"")</f>
        <v/>
      </c>
      <c r="B262" t="str">
        <f t="shared" ca="1" si="8"/>
        <v/>
      </c>
      <c r="D262" s="1"/>
    </row>
    <row r="263" spans="1:4" x14ac:dyDescent="0.25">
      <c r="A263" t="str">
        <f t="shared" si="9"/>
        <v/>
      </c>
      <c r="B263" t="str">
        <f t="shared" ca="1" si="8"/>
        <v/>
      </c>
      <c r="D263" s="1"/>
    </row>
    <row r="264" spans="1:4" x14ac:dyDescent="0.25">
      <c r="A264" t="str">
        <f t="shared" si="9"/>
        <v/>
      </c>
      <c r="B264" t="str">
        <f t="shared" ca="1" si="8"/>
        <v/>
      </c>
      <c r="D264" s="1"/>
    </row>
    <row r="265" spans="1:4" x14ac:dyDescent="0.25">
      <c r="A265" t="str">
        <f t="shared" si="9"/>
        <v/>
      </c>
      <c r="B265" t="str">
        <f t="shared" ca="1" si="8"/>
        <v/>
      </c>
      <c r="D265" s="1"/>
    </row>
    <row r="266" spans="1:4" x14ac:dyDescent="0.25">
      <c r="A266" t="str">
        <f t="shared" si="9"/>
        <v/>
      </c>
      <c r="B266" t="str">
        <f t="shared" ca="1" si="8"/>
        <v/>
      </c>
      <c r="D266" s="1"/>
    </row>
    <row r="267" spans="1:4" x14ac:dyDescent="0.25">
      <c r="A267" t="str">
        <f t="shared" si="9"/>
        <v/>
      </c>
      <c r="B267" t="str">
        <f t="shared" ca="1" si="8"/>
        <v/>
      </c>
      <c r="D267" s="1"/>
    </row>
    <row r="268" spans="1:4" x14ac:dyDescent="0.25">
      <c r="A268" t="str">
        <f t="shared" si="9"/>
        <v/>
      </c>
      <c r="B268" t="str">
        <f t="shared" ca="1" si="8"/>
        <v/>
      </c>
      <c r="D268" s="1"/>
    </row>
    <row r="269" spans="1:4" x14ac:dyDescent="0.25">
      <c r="A269" t="str">
        <f t="shared" si="9"/>
        <v/>
      </c>
      <c r="B269" t="str">
        <f t="shared" ca="1" si="8"/>
        <v/>
      </c>
      <c r="D269" s="1"/>
    </row>
    <row r="270" spans="1:4" x14ac:dyDescent="0.25">
      <c r="A270" t="str">
        <f t="shared" si="9"/>
        <v/>
      </c>
      <c r="B270" t="str">
        <f t="shared" ca="1" si="8"/>
        <v/>
      </c>
      <c r="D270" s="1"/>
    </row>
    <row r="271" spans="1:4" x14ac:dyDescent="0.25">
      <c r="A271" t="str">
        <f t="shared" si="9"/>
        <v/>
      </c>
      <c r="B271" t="str">
        <f t="shared" ca="1" si="8"/>
        <v/>
      </c>
      <c r="D271" s="1"/>
    </row>
    <row r="272" spans="1:4" x14ac:dyDescent="0.25">
      <c r="A272" t="str">
        <f t="shared" si="9"/>
        <v/>
      </c>
      <c r="B272" t="str">
        <f t="shared" ca="1" si="8"/>
        <v/>
      </c>
      <c r="D272" s="1"/>
    </row>
    <row r="273" spans="1:4" x14ac:dyDescent="0.25">
      <c r="A273" t="str">
        <f t="shared" si="9"/>
        <v/>
      </c>
      <c r="B273" t="str">
        <f t="shared" ca="1" si="8"/>
        <v/>
      </c>
      <c r="D273" s="1"/>
    </row>
    <row r="274" spans="1:4" x14ac:dyDescent="0.25">
      <c r="A274" t="str">
        <f t="shared" si="9"/>
        <v/>
      </c>
      <c r="B274" t="str">
        <f t="shared" ca="1" si="8"/>
        <v/>
      </c>
      <c r="D274" s="1"/>
    </row>
    <row r="275" spans="1:4" x14ac:dyDescent="0.25">
      <c r="A275" t="str">
        <f t="shared" si="9"/>
        <v/>
      </c>
      <c r="B275" t="str">
        <f t="shared" ca="1" si="8"/>
        <v/>
      </c>
      <c r="D275" s="1"/>
    </row>
    <row r="276" spans="1:4" x14ac:dyDescent="0.25">
      <c r="A276" t="str">
        <f t="shared" si="9"/>
        <v/>
      </c>
      <c r="B276" t="str">
        <f t="shared" ca="1" si="8"/>
        <v/>
      </c>
      <c r="D276" s="1"/>
    </row>
    <row r="277" spans="1:4" x14ac:dyDescent="0.25">
      <c r="A277" t="str">
        <f t="shared" si="9"/>
        <v/>
      </c>
      <c r="B277" t="str">
        <f t="shared" ca="1" si="8"/>
        <v/>
      </c>
      <c r="D277" s="1"/>
    </row>
    <row r="278" spans="1:4" x14ac:dyDescent="0.25">
      <c r="A278" t="str">
        <f t="shared" si="9"/>
        <v/>
      </c>
      <c r="B278" t="str">
        <f t="shared" ca="1" si="8"/>
        <v/>
      </c>
      <c r="D278" s="1"/>
    </row>
    <row r="279" spans="1:4" x14ac:dyDescent="0.25">
      <c r="A279" t="str">
        <f t="shared" si="9"/>
        <v/>
      </c>
      <c r="B279" t="str">
        <f t="shared" ca="1" si="8"/>
        <v/>
      </c>
      <c r="D279" s="1"/>
    </row>
    <row r="280" spans="1:4" x14ac:dyDescent="0.25">
      <c r="A280" t="str">
        <f t="shared" si="9"/>
        <v/>
      </c>
      <c r="B280" t="str">
        <f t="shared" ca="1" si="8"/>
        <v/>
      </c>
      <c r="D280" s="1"/>
    </row>
    <row r="281" spans="1:4" x14ac:dyDescent="0.25">
      <c r="A281" t="str">
        <f t="shared" si="9"/>
        <v/>
      </c>
      <c r="B281" t="str">
        <f t="shared" ca="1" si="8"/>
        <v/>
      </c>
      <c r="D281" s="1"/>
    </row>
    <row r="282" spans="1:4" x14ac:dyDescent="0.25">
      <c r="A282" t="str">
        <f t="shared" si="9"/>
        <v/>
      </c>
      <c r="B282" t="str">
        <f t="shared" ca="1" si="8"/>
        <v/>
      </c>
      <c r="D282" s="1"/>
    </row>
    <row r="283" spans="1:4" x14ac:dyDescent="0.25">
      <c r="A283" t="str">
        <f t="shared" si="9"/>
        <v/>
      </c>
      <c r="B283" t="str">
        <f t="shared" ca="1" si="8"/>
        <v/>
      </c>
      <c r="D283" s="1"/>
    </row>
    <row r="284" spans="1:4" x14ac:dyDescent="0.25">
      <c r="A284" t="str">
        <f t="shared" si="9"/>
        <v/>
      </c>
      <c r="B284" t="str">
        <f t="shared" ca="1" si="8"/>
        <v/>
      </c>
      <c r="D284" s="1"/>
    </row>
    <row r="285" spans="1:4" x14ac:dyDescent="0.25">
      <c r="A285" t="str">
        <f t="shared" si="9"/>
        <v/>
      </c>
      <c r="B285" t="str">
        <f t="shared" ca="1" si="8"/>
        <v/>
      </c>
      <c r="D285" s="1"/>
    </row>
    <row r="286" spans="1:4" x14ac:dyDescent="0.25">
      <c r="A286" t="str">
        <f t="shared" si="9"/>
        <v/>
      </c>
      <c r="B286" t="str">
        <f t="shared" ca="1" si="8"/>
        <v/>
      </c>
      <c r="D286" s="1"/>
    </row>
    <row r="287" spans="1:4" x14ac:dyDescent="0.25">
      <c r="A287" t="str">
        <f t="shared" si="9"/>
        <v/>
      </c>
      <c r="B287" t="str">
        <f t="shared" ca="1" si="8"/>
        <v/>
      </c>
      <c r="D287" s="1"/>
    </row>
    <row r="288" spans="1:4" x14ac:dyDescent="0.25">
      <c r="A288" t="str">
        <f t="shared" si="9"/>
        <v/>
      </c>
      <c r="B288" t="str">
        <f t="shared" ca="1" si="8"/>
        <v/>
      </c>
      <c r="D288" s="1"/>
    </row>
    <row r="289" spans="1:4" x14ac:dyDescent="0.25">
      <c r="A289" t="str">
        <f t="shared" si="9"/>
        <v/>
      </c>
      <c r="B289" t="str">
        <f t="shared" ca="1" si="8"/>
        <v/>
      </c>
      <c r="D289" s="1"/>
    </row>
    <row r="290" spans="1:4" x14ac:dyDescent="0.25">
      <c r="A290" t="str">
        <f t="shared" si="9"/>
        <v/>
      </c>
      <c r="B290" t="str">
        <f t="shared" ca="1" si="8"/>
        <v/>
      </c>
      <c r="D290" s="1"/>
    </row>
    <row r="291" spans="1:4" x14ac:dyDescent="0.25">
      <c r="A291" t="str">
        <f t="shared" si="9"/>
        <v/>
      </c>
      <c r="B291" t="str">
        <f t="shared" ca="1" si="8"/>
        <v/>
      </c>
      <c r="D291" s="1"/>
    </row>
    <row r="292" spans="1:4" x14ac:dyDescent="0.25">
      <c r="A292" t="str">
        <f t="shared" si="9"/>
        <v/>
      </c>
      <c r="B292" t="str">
        <f t="shared" ca="1" si="8"/>
        <v/>
      </c>
      <c r="D292" s="1"/>
    </row>
    <row r="293" spans="1:4" x14ac:dyDescent="0.25">
      <c r="A293" t="str">
        <f t="shared" si="9"/>
        <v/>
      </c>
      <c r="B293" t="str">
        <f t="shared" ca="1" si="8"/>
        <v/>
      </c>
      <c r="D293" s="1"/>
    </row>
    <row r="294" spans="1:4" x14ac:dyDescent="0.25">
      <c r="A294" t="str">
        <f t="shared" si="9"/>
        <v/>
      </c>
      <c r="B294" t="str">
        <f t="shared" ca="1" si="8"/>
        <v/>
      </c>
      <c r="D294" s="1"/>
    </row>
    <row r="295" spans="1:4" x14ac:dyDescent="0.25">
      <c r="A295" t="str">
        <f t="shared" si="9"/>
        <v/>
      </c>
      <c r="B295" t="str">
        <f t="shared" ca="1" si="8"/>
        <v/>
      </c>
      <c r="D295" s="1"/>
    </row>
  </sheetData>
  <autoFilter ref="B3:F295" xr:uid="{510055BF-F702-4B6A-BC96-7718E75F032C}">
    <sortState xmlns:xlrd2="http://schemas.microsoft.com/office/spreadsheetml/2017/richdata2" ref="B4:F295">
      <sortCondition ref="C3:C72"/>
    </sortState>
  </autoFilter>
  <conditionalFormatting sqref="C296:D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E1B-A582-4851-A850-E4BF4217E78E}">
  <dimension ref="A1"/>
  <sheetViews>
    <sheetView workbookViewId="0">
      <selection activeCell="E20" sqref="E19:E20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Shopping</vt:lpstr>
      <vt:lpstr>Viet</vt:lpstr>
      <vt:lpstr>Sum</vt:lpstr>
      <vt:lpstr>Ramdom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2023-06-10T16:33:43Z</dcterms:modified>
</cp:coreProperties>
</file>