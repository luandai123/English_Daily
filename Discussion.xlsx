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Discussion\"/>
    </mc:Choice>
  </mc:AlternateContent>
  <xr:revisionPtr revIDLastSave="0" documentId="13_ncr:1_{7E795B19-73A3-4370-BE19-4AC4EC214729}" xr6:coauthVersionLast="47" xr6:coauthVersionMax="47" xr10:uidLastSave="{00000000-0000-0000-0000-000000000000}"/>
  <bookViews>
    <workbookView xWindow="-108" yWindow="-108" windowWidth="23256" windowHeight="12456" tabRatio="634" xr2:uid="{719E5D2F-C632-4960-9266-638D7C9B24E2}"/>
  </bookViews>
  <sheets>
    <sheet name="Discussion" sheetId="1" r:id="rId1"/>
    <sheet name="Viet" sheetId="5" r:id="rId2"/>
    <sheet name="Sum" sheetId="6" r:id="rId3"/>
    <sheet name="Ramdom" sheetId="2" r:id="rId4"/>
    <sheet name="Sheet1" sheetId="7" r:id="rId5"/>
    <sheet name="Sheet2" sheetId="10" r:id="rId6"/>
  </sheets>
  <definedNames>
    <definedName name="_xlnm._FilterDatabase" localSheetId="0" hidden="1">Discussion!$A$3:$H$119</definedName>
    <definedName name="_xlnm._FilterDatabase" localSheetId="3" hidden="1">Ramdom!$B$3:$F$295</definedName>
    <definedName name="_xlnm._FilterDatabase" localSheetId="5" hidden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C5" i="5" s="1"/>
  <c r="D6" i="5"/>
  <c r="C6" i="5" s="1"/>
  <c r="D7" i="5"/>
  <c r="C7" i="5" s="1"/>
  <c r="F4" i="1"/>
  <c r="G6" i="1"/>
  <c r="F6" i="1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G63" i="1"/>
  <c r="F63" i="1" s="1"/>
  <c r="G64" i="1"/>
  <c r="F64" i="1" s="1"/>
  <c r="G65" i="1"/>
  <c r="F65" i="1" s="1"/>
  <c r="G66" i="1"/>
  <c r="F66" i="1" s="1"/>
  <c r="G67" i="1"/>
  <c r="F67" i="1" s="1"/>
  <c r="G68" i="1"/>
  <c r="F68" i="1" s="1"/>
  <c r="G69" i="1"/>
  <c r="F69" i="1" s="1"/>
  <c r="G70" i="1"/>
  <c r="F70" i="1" s="1"/>
  <c r="G71" i="1"/>
  <c r="F71" i="1" s="1"/>
  <c r="G72" i="1"/>
  <c r="F72" i="1" s="1"/>
  <c r="G73" i="1"/>
  <c r="F73" i="1" s="1"/>
  <c r="G74" i="1"/>
  <c r="F74" i="1" s="1"/>
  <c r="G75" i="1"/>
  <c r="F75" i="1" s="1"/>
  <c r="G76" i="1"/>
  <c r="F76" i="1" s="1"/>
  <c r="G77" i="1"/>
  <c r="F77" i="1" s="1"/>
  <c r="G78" i="1"/>
  <c r="F78" i="1" s="1"/>
  <c r="G79" i="1"/>
  <c r="F79" i="1" s="1"/>
  <c r="G80" i="1"/>
  <c r="F80" i="1" s="1"/>
  <c r="G81" i="1"/>
  <c r="F81" i="1" s="1"/>
  <c r="G82" i="1"/>
  <c r="F82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G95" i="1"/>
  <c r="F95" i="1" s="1"/>
  <c r="G96" i="1"/>
  <c r="F96" i="1" s="1"/>
  <c r="G97" i="1"/>
  <c r="F97" i="1" s="1"/>
  <c r="G98" i="1"/>
  <c r="F98" i="1" s="1"/>
  <c r="G99" i="1"/>
  <c r="F99" i="1" s="1"/>
  <c r="G100" i="1"/>
  <c r="F100" i="1" s="1"/>
  <c r="G101" i="1"/>
  <c r="F101" i="1" s="1"/>
  <c r="G102" i="1"/>
  <c r="F102" i="1" s="1"/>
  <c r="G103" i="1"/>
  <c r="F103" i="1" s="1"/>
  <c r="G104" i="1"/>
  <c r="F104" i="1" s="1"/>
  <c r="G105" i="1"/>
  <c r="F105" i="1" s="1"/>
  <c r="G106" i="1"/>
  <c r="F106" i="1" s="1"/>
  <c r="G107" i="1"/>
  <c r="F107" i="1" s="1"/>
  <c r="G108" i="1"/>
  <c r="F108" i="1" s="1"/>
  <c r="G109" i="1"/>
  <c r="F109" i="1" s="1"/>
  <c r="G110" i="1"/>
  <c r="F110" i="1" s="1"/>
  <c r="G111" i="1"/>
  <c r="F111" i="1" s="1"/>
  <c r="G112" i="1"/>
  <c r="F112" i="1" s="1"/>
  <c r="G113" i="1"/>
  <c r="F113" i="1" s="1"/>
  <c r="G114" i="1"/>
  <c r="F114" i="1" s="1"/>
  <c r="G115" i="1"/>
  <c r="F115" i="1" s="1"/>
  <c r="G116" i="1"/>
  <c r="F116" i="1" s="1"/>
  <c r="G117" i="1"/>
  <c r="F117" i="1" s="1"/>
  <c r="G118" i="1"/>
  <c r="F118" i="1" s="1"/>
  <c r="G119" i="1"/>
  <c r="F119" i="1" s="1"/>
  <c r="D4" i="6" l="1"/>
  <c r="C4" i="6" s="1"/>
  <c r="D3" i="6" l="1"/>
  <c r="C3" i="6" s="1"/>
  <c r="D4" i="5"/>
  <c r="C4" i="5" s="1"/>
  <c r="D3" i="5"/>
  <c r="C3" i="5" s="1"/>
  <c r="G5" i="1"/>
  <c r="F5" i="1" s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C34" i="2" l="1"/>
  <c r="C4" i="2"/>
  <c r="C36" i="2"/>
  <c r="C35" i="2"/>
  <c r="C38" i="2"/>
  <c r="C39" i="2"/>
  <c r="C37" i="2"/>
  <c r="C40" i="2"/>
  <c r="C7" i="2"/>
  <c r="C10" i="2"/>
  <c r="C8" i="2"/>
  <c r="C6" i="2"/>
  <c r="C9" i="2"/>
  <c r="C11" i="2"/>
  <c r="C5" i="2"/>
  <c r="C13" i="2"/>
  <c r="C14" i="2"/>
  <c r="C12" i="2"/>
  <c r="C15" i="2"/>
  <c r="C16" i="2"/>
  <c r="C17" i="2"/>
  <c r="C18" i="2"/>
  <c r="C19" i="2"/>
  <c r="C20" i="2"/>
  <c r="C21" i="2"/>
  <c r="C22" i="2"/>
  <c r="C23" i="2"/>
  <c r="C25" i="2"/>
  <c r="C24" i="2"/>
  <c r="C26" i="2"/>
  <c r="C27" i="2"/>
  <c r="C28" i="2"/>
  <c r="C29" i="2"/>
  <c r="C30" i="2"/>
  <c r="C32" i="2"/>
  <c r="C31" i="2"/>
  <c r="C33" i="2"/>
  <c r="A42" i="2"/>
  <c r="B41" i="2"/>
  <c r="C41" i="2" s="1"/>
  <c r="A43" i="2" l="1"/>
  <c r="B42" i="2"/>
  <c r="C42" i="2" s="1"/>
  <c r="A44" i="2" l="1"/>
  <c r="B43" i="2"/>
  <c r="C43" i="2" s="1"/>
  <c r="A45" i="2" l="1"/>
  <c r="B44" i="2"/>
  <c r="C44" i="2" s="1"/>
  <c r="A46" i="2" l="1"/>
  <c r="B45" i="2"/>
  <c r="C45" i="2" s="1"/>
  <c r="A47" i="2" l="1"/>
  <c r="B46" i="2"/>
  <c r="C46" i="2" s="1"/>
  <c r="A48" i="2" l="1"/>
  <c r="B47" i="2"/>
  <c r="C47" i="2" s="1"/>
  <c r="A49" i="2" l="1"/>
  <c r="B48" i="2"/>
  <c r="C48" i="2" s="1"/>
  <c r="A50" i="2" l="1"/>
  <c r="B49" i="2"/>
  <c r="C49" i="2" s="1"/>
  <c r="A51" i="2" l="1"/>
  <c r="B50" i="2"/>
  <c r="C50" i="2" s="1"/>
  <c r="A52" i="2" l="1"/>
  <c r="B51" i="2"/>
  <c r="C51" i="2" s="1"/>
  <c r="A53" i="2" l="1"/>
  <c r="B52" i="2"/>
  <c r="C52" i="2" s="1"/>
  <c r="A54" i="2" l="1"/>
  <c r="B53" i="2"/>
  <c r="C53" i="2" s="1"/>
  <c r="A55" i="2" l="1"/>
  <c r="B54" i="2"/>
  <c r="C54" i="2" s="1"/>
  <c r="A56" i="2" l="1"/>
  <c r="B55" i="2"/>
  <c r="C55" i="2" s="1"/>
  <c r="A57" i="2" l="1"/>
  <c r="B56" i="2"/>
  <c r="C56" i="2" s="1"/>
  <c r="A58" i="2" l="1"/>
  <c r="B57" i="2"/>
  <c r="C57" i="2" s="1"/>
  <c r="A59" i="2" l="1"/>
  <c r="B58" i="2"/>
  <c r="C58" i="2" s="1"/>
  <c r="A60" i="2" l="1"/>
  <c r="B59" i="2"/>
  <c r="C59" i="2" s="1"/>
  <c r="A61" i="2" l="1"/>
  <c r="B60" i="2"/>
  <c r="C60" i="2" s="1"/>
  <c r="A62" i="2" l="1"/>
  <c r="B61" i="2"/>
  <c r="C61" i="2" s="1"/>
  <c r="A63" i="2" l="1"/>
  <c r="B62" i="2"/>
  <c r="C62" i="2" s="1"/>
  <c r="A64" i="2" l="1"/>
  <c r="B63" i="2"/>
  <c r="C63" i="2" s="1"/>
  <c r="A65" i="2" l="1"/>
  <c r="B64" i="2"/>
  <c r="C64" i="2" s="1"/>
  <c r="A66" i="2" l="1"/>
  <c r="B65" i="2"/>
  <c r="C65" i="2" s="1"/>
  <c r="A67" i="2" l="1"/>
  <c r="B66" i="2"/>
  <c r="C66" i="2" s="1"/>
  <c r="A68" i="2" l="1"/>
  <c r="B67" i="2"/>
  <c r="C67" i="2" s="1"/>
  <c r="A69" i="2" l="1"/>
  <c r="B68" i="2"/>
  <c r="C68" i="2" s="1"/>
  <c r="A70" i="2" l="1"/>
  <c r="B69" i="2"/>
  <c r="C69" i="2" s="1"/>
  <c r="A71" i="2" l="1"/>
  <c r="B70" i="2"/>
  <c r="C70" i="2" s="1"/>
  <c r="A72" i="2" l="1"/>
  <c r="B71" i="2"/>
  <c r="C71" i="2" s="1"/>
  <c r="A73" i="2" l="1"/>
  <c r="B72" i="2"/>
  <c r="C72" i="2" s="1"/>
  <c r="A74" i="2" l="1"/>
  <c r="B73" i="2"/>
  <c r="C73" i="2" s="1"/>
  <c r="A75" i="2" l="1"/>
  <c r="B74" i="2"/>
  <c r="C74" i="2" s="1"/>
  <c r="A76" i="2" l="1"/>
  <c r="B75" i="2"/>
  <c r="C75" i="2" s="1"/>
  <c r="A77" i="2" l="1"/>
  <c r="B76" i="2"/>
  <c r="C76" i="2" s="1"/>
  <c r="A78" i="2" l="1"/>
  <c r="B77" i="2"/>
  <c r="C77" i="2" s="1"/>
  <c r="A79" i="2" l="1"/>
  <c r="B78" i="2"/>
  <c r="C78" i="2" s="1"/>
  <c r="A80" i="2" l="1"/>
  <c r="B79" i="2"/>
  <c r="C79" i="2" s="1"/>
  <c r="A81" i="2" l="1"/>
  <c r="B80" i="2"/>
  <c r="C80" i="2" s="1"/>
  <c r="A82" i="2" l="1"/>
  <c r="B81" i="2"/>
  <c r="C81" i="2" s="1"/>
  <c r="A83" i="2" l="1"/>
  <c r="B82" i="2"/>
  <c r="C82" i="2" s="1"/>
  <c r="A84" i="2" l="1"/>
  <c r="B83" i="2"/>
  <c r="C83" i="2" s="1"/>
  <c r="A85" i="2" l="1"/>
  <c r="B84" i="2"/>
  <c r="C84" i="2" s="1"/>
  <c r="A86" i="2" l="1"/>
  <c r="B85" i="2"/>
  <c r="C85" i="2" s="1"/>
  <c r="A87" i="2" l="1"/>
  <c r="B86" i="2"/>
  <c r="C86" i="2" s="1"/>
  <c r="A88" i="2" l="1"/>
  <c r="B87" i="2"/>
  <c r="C87" i="2" s="1"/>
  <c r="A89" i="2" l="1"/>
  <c r="B88" i="2"/>
  <c r="C88" i="2" s="1"/>
  <c r="A90" i="2" l="1"/>
  <c r="B89" i="2"/>
  <c r="C89" i="2" s="1"/>
  <c r="A91" i="2" l="1"/>
  <c r="B90" i="2"/>
  <c r="C90" i="2" s="1"/>
  <c r="A92" i="2" l="1"/>
  <c r="B91" i="2"/>
  <c r="C91" i="2" s="1"/>
  <c r="A93" i="2" l="1"/>
  <c r="B92" i="2"/>
  <c r="C92" i="2" s="1"/>
  <c r="A94" i="2" l="1"/>
  <c r="B93" i="2"/>
  <c r="C93" i="2" s="1"/>
  <c r="A95" i="2" l="1"/>
  <c r="B94" i="2"/>
  <c r="C94" i="2" s="1"/>
  <c r="A96" i="2" l="1"/>
  <c r="B95" i="2"/>
  <c r="C95" i="2" s="1"/>
  <c r="A97" i="2" l="1"/>
  <c r="B96" i="2"/>
  <c r="C96" i="2" s="1"/>
  <c r="A98" i="2" l="1"/>
  <c r="B97" i="2"/>
  <c r="C97" i="2" s="1"/>
  <c r="A99" i="2" l="1"/>
  <c r="B98" i="2"/>
  <c r="C98" i="2" s="1"/>
  <c r="A100" i="2" l="1"/>
  <c r="B99" i="2"/>
  <c r="C99" i="2" s="1"/>
  <c r="A101" i="2" l="1"/>
  <c r="B100" i="2"/>
  <c r="C100" i="2" s="1"/>
  <c r="A102" i="2" l="1"/>
  <c r="B101" i="2"/>
  <c r="C101" i="2" s="1"/>
  <c r="A103" i="2" l="1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A108" i="2" l="1"/>
  <c r="B107" i="2"/>
  <c r="C107" i="2" s="1"/>
  <c r="A109" i="2" l="1"/>
  <c r="B108" i="2"/>
  <c r="C108" i="2" s="1"/>
  <c r="A110" i="2" l="1"/>
  <c r="B109" i="2"/>
  <c r="C109" i="2" s="1"/>
  <c r="A111" i="2" l="1"/>
  <c r="B110" i="2"/>
  <c r="C110" i="2" s="1"/>
  <c r="A112" i="2" l="1"/>
  <c r="B111" i="2"/>
  <c r="C111" i="2" s="1"/>
  <c r="A113" i="2" l="1"/>
  <c r="B112" i="2"/>
  <c r="C112" i="2" s="1"/>
  <c r="A114" i="2" l="1"/>
  <c r="B113" i="2"/>
  <c r="C113" i="2" s="1"/>
  <c r="A115" i="2" l="1"/>
  <c r="B114" i="2"/>
  <c r="C114" i="2" s="1"/>
  <c r="A116" i="2" l="1"/>
  <c r="B115" i="2"/>
  <c r="C115" i="2" s="1"/>
  <c r="A117" i="2" l="1"/>
  <c r="B116" i="2"/>
  <c r="C116" i="2" s="1"/>
  <c r="A118" i="2" l="1"/>
  <c r="B117" i="2"/>
  <c r="C117" i="2" s="1"/>
  <c r="A119" i="2" l="1"/>
  <c r="B118" i="2"/>
  <c r="C118" i="2" s="1"/>
  <c r="A120" i="2" l="1"/>
  <c r="B119" i="2"/>
  <c r="C119" i="2" s="1"/>
  <c r="A121" i="2" l="1"/>
  <c r="B120" i="2"/>
  <c r="C120" i="2" s="1"/>
  <c r="A122" i="2" l="1"/>
  <c r="B121" i="2"/>
  <c r="C121" i="2" s="1"/>
  <c r="A123" i="2" l="1"/>
  <c r="B122" i="2"/>
  <c r="C122" i="2" s="1"/>
  <c r="A124" i="2" l="1"/>
  <c r="B123" i="2"/>
  <c r="C123" i="2" s="1"/>
  <c r="A125" i="2" l="1"/>
  <c r="B124" i="2"/>
  <c r="C124" i="2" s="1"/>
  <c r="A126" i="2" l="1"/>
  <c r="B125" i="2"/>
  <c r="C125" i="2" s="1"/>
  <c r="A127" i="2" l="1"/>
  <c r="B126" i="2"/>
  <c r="C126" i="2" s="1"/>
  <c r="A128" i="2" l="1"/>
  <c r="B127" i="2"/>
  <c r="C127" i="2" s="1"/>
  <c r="A129" i="2" l="1"/>
  <c r="B128" i="2"/>
  <c r="C128" i="2" s="1"/>
  <c r="A130" i="2" l="1"/>
  <c r="B129" i="2"/>
  <c r="C129" i="2" s="1"/>
  <c r="A131" i="2" l="1"/>
  <c r="B130" i="2"/>
  <c r="C130" i="2" s="1"/>
  <c r="A132" i="2" l="1"/>
  <c r="B131" i="2"/>
  <c r="C131" i="2" s="1"/>
  <c r="A133" i="2" l="1"/>
  <c r="B132" i="2"/>
  <c r="C132" i="2" s="1"/>
  <c r="A134" i="2" l="1"/>
  <c r="B133" i="2"/>
  <c r="C133" i="2" s="1"/>
  <c r="A135" i="2" l="1"/>
  <c r="B134" i="2"/>
  <c r="C134" i="2" l="1"/>
  <c r="A136" i="2"/>
  <c r="B135" i="2"/>
  <c r="C135" i="2" s="1"/>
  <c r="A137" i="2" l="1"/>
  <c r="B136" i="2"/>
  <c r="C136" i="2" s="1"/>
  <c r="A138" i="2" l="1"/>
  <c r="B137" i="2"/>
  <c r="C137" i="2" s="1"/>
  <c r="A139" i="2" l="1"/>
  <c r="B138" i="2"/>
  <c r="C138" i="2" s="1"/>
  <c r="A140" i="2" l="1"/>
  <c r="B139" i="2"/>
  <c r="C139" i="2" s="1"/>
  <c r="A141" i="2" l="1"/>
  <c r="B140" i="2"/>
  <c r="C140" i="2" s="1"/>
  <c r="A142" i="2" l="1"/>
  <c r="B141" i="2"/>
  <c r="C141" i="2" s="1"/>
  <c r="A143" i="2" l="1"/>
  <c r="B142" i="2"/>
  <c r="C142" i="2" s="1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D9" i="2" l="1"/>
  <c r="D7" i="2"/>
  <c r="D10" i="2"/>
  <c r="D8" i="2"/>
  <c r="D6" i="2"/>
  <c r="D12" i="2"/>
  <c r="D11" i="2"/>
  <c r="D5" i="2"/>
  <c r="D13" i="2"/>
  <c r="D14" i="2"/>
  <c r="D16" i="2"/>
  <c r="D15" i="2"/>
  <c r="D17" i="2"/>
  <c r="D18" i="2"/>
  <c r="D20" i="2"/>
  <c r="D19" i="2"/>
  <c r="D22" i="2"/>
  <c r="D21" i="2"/>
  <c r="D23" i="2"/>
  <c r="D24" i="2"/>
  <c r="D25" i="2"/>
  <c r="D26" i="2"/>
  <c r="D27" i="2"/>
  <c r="D29" i="2"/>
  <c r="D28" i="2"/>
  <c r="D31" i="2"/>
  <c r="D30" i="2"/>
  <c r="D32" i="2"/>
  <c r="D33" i="2"/>
  <c r="D34" i="2"/>
  <c r="D35" i="2"/>
  <c r="D36" i="2"/>
  <c r="D37" i="2"/>
  <c r="D39" i="2"/>
  <c r="D38" i="2"/>
  <c r="D40" i="2"/>
  <c r="D42" i="2"/>
  <c r="D41" i="2"/>
  <c r="D43" i="2"/>
  <c r="D45" i="2"/>
  <c r="D44" i="2"/>
  <c r="D46" i="2"/>
  <c r="D47" i="2"/>
  <c r="D48" i="2"/>
  <c r="D49" i="2"/>
  <c r="D50" i="2"/>
  <c r="D53" i="2"/>
  <c r="D51" i="2"/>
  <c r="D54" i="2"/>
  <c r="D52" i="2"/>
  <c r="D56" i="2"/>
  <c r="D55" i="2"/>
  <c r="D59" i="2"/>
  <c r="D57" i="2"/>
  <c r="D58" i="2"/>
  <c r="D60" i="2"/>
  <c r="D61" i="2"/>
  <c r="D62" i="2"/>
  <c r="D63" i="2"/>
  <c r="D64" i="2"/>
  <c r="D65" i="2"/>
  <c r="D66" i="2"/>
  <c r="D68" i="2"/>
  <c r="D67" i="2"/>
  <c r="D69" i="2"/>
  <c r="D70" i="2"/>
  <c r="D71" i="2"/>
  <c r="D72" i="2"/>
  <c r="D73" i="2"/>
  <c r="D74" i="2"/>
  <c r="D76" i="2"/>
  <c r="D77" i="2"/>
  <c r="D75" i="2"/>
  <c r="D78" i="2"/>
  <c r="D79" i="2"/>
  <c r="D82" i="2"/>
  <c r="D80" i="2"/>
  <c r="D81" i="2"/>
  <c r="D83" i="2"/>
  <c r="D84" i="2"/>
  <c r="D85" i="2"/>
  <c r="D86" i="2"/>
  <c r="D87" i="2"/>
  <c r="D91" i="2"/>
  <c r="D89" i="2"/>
  <c r="D92" i="2"/>
  <c r="D88" i="2"/>
  <c r="D90" i="2"/>
  <c r="D93" i="2"/>
  <c r="D94" i="2"/>
  <c r="D95" i="2"/>
  <c r="D97" i="2"/>
  <c r="D96" i="2"/>
  <c r="D98" i="2"/>
  <c r="D99" i="2"/>
  <c r="D101" i="2"/>
  <c r="D103" i="2"/>
  <c r="D102" i="2"/>
  <c r="D100" i="2"/>
  <c r="D104" i="2"/>
  <c r="D106" i="2"/>
  <c r="D107" i="2"/>
  <c r="D105" i="2"/>
  <c r="D108" i="2"/>
  <c r="D109" i="2"/>
  <c r="D111" i="2"/>
  <c r="D110" i="2"/>
  <c r="D113" i="2"/>
  <c r="D112" i="2"/>
  <c r="D115" i="2"/>
  <c r="D114" i="2"/>
  <c r="D118" i="2"/>
  <c r="D116" i="2"/>
  <c r="D117" i="2"/>
  <c r="D119" i="2"/>
  <c r="D120" i="2"/>
  <c r="D121" i="2"/>
  <c r="D125" i="2"/>
  <c r="D122" i="2"/>
  <c r="D123" i="2"/>
  <c r="D126" i="2"/>
  <c r="D124" i="2"/>
  <c r="D127" i="2"/>
  <c r="D128" i="2"/>
  <c r="D129" i="2"/>
  <c r="D130" i="2"/>
  <c r="D131" i="2"/>
  <c r="D132" i="2"/>
  <c r="D133" i="2"/>
  <c r="D134" i="2"/>
  <c r="D135" i="2"/>
  <c r="D137" i="2"/>
  <c r="D136" i="2"/>
  <c r="D139" i="2"/>
  <c r="D138" i="2"/>
  <c r="D142" i="2"/>
  <c r="D140" i="2"/>
  <c r="D141" i="2"/>
  <c r="D4" i="2"/>
  <c r="A244" i="2"/>
  <c r="B243" i="2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<sst xmlns="http://schemas.openxmlformats.org/spreadsheetml/2006/main" count="523" uniqueCount="323">
  <si>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</si>
  <si>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</si>
  <si>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</si>
  <si>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</si>
  <si>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</si>
  <si>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</si>
  <si>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</si>
  <si>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</si>
  <si>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</si>
  <si>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</si>
  <si>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</si>
  <si>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</si>
  <si>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</si>
  <si>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</si>
  <si>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</si>
  <si>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2.1</t>
  </si>
  <si>
    <t>2.3</t>
  </si>
  <si>
    <t>2.2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</si>
  <si>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</si>
  <si>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</si>
  <si>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</si>
  <si>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</si>
  <si>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</si>
  <si>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</si>
  <si>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</si>
  <si>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</si>
  <si>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</si>
  <si>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01-05</t>
  </si>
  <si>
    <t>Man</t>
  </si>
  <si>
    <t>Woman</t>
  </si>
  <si>
    <t>4.4</t>
  </si>
  <si>
    <t>5.4</t>
  </si>
  <si>
    <t>1.4</t>
  </si>
  <si>
    <t>1.5</t>
  </si>
  <si>
    <t>2.4</t>
  </si>
  <si>
    <t>2.5</t>
  </si>
  <si>
    <t>4.5</t>
  </si>
  <si>
    <t>3.4</t>
  </si>
  <si>
    <t>3.5</t>
  </si>
  <si>
    <t>3.6</t>
  </si>
  <si>
    <t>3.7</t>
  </si>
  <si>
    <t>3.8</t>
  </si>
  <si>
    <t>4.6</t>
  </si>
  <si>
    <t>1Struc</t>
  </si>
  <si>
    <t>1.1Viet</t>
  </si>
  <si>
    <t>1.1Phon</t>
  </si>
  <si>
    <t>1.2Viet</t>
  </si>
  <si>
    <t>1.2Phon</t>
  </si>
  <si>
    <t>1.3Viet</t>
  </si>
  <si>
    <t>1.3Phon</t>
  </si>
  <si>
    <t>1.4Viet</t>
  </si>
  <si>
    <t>1.4Phon</t>
  </si>
  <si>
    <t>1.5Viet</t>
  </si>
  <si>
    <t>1.5Phon</t>
  </si>
  <si>
    <t>2Struc</t>
  </si>
  <si>
    <t>2.1Viet</t>
  </si>
  <si>
    <t>2.1Phon</t>
  </si>
  <si>
    <t>2.2Viet</t>
  </si>
  <si>
    <t>2.2Phon</t>
  </si>
  <si>
    <t>2.3Viet</t>
  </si>
  <si>
    <t>2.3Phon</t>
  </si>
  <si>
    <t>2.4Viet</t>
  </si>
  <si>
    <t>2.4Phon</t>
  </si>
  <si>
    <t>2.5Viet</t>
  </si>
  <si>
    <t>2.5Phon</t>
  </si>
  <si>
    <t>3Struc</t>
  </si>
  <si>
    <t>3.1Viet</t>
  </si>
  <si>
    <t>3.1Phon</t>
  </si>
  <si>
    <t>3.2Viet</t>
  </si>
  <si>
    <t>3.2Phon</t>
  </si>
  <si>
    <t>3.3Viet</t>
  </si>
  <si>
    <t>3.3Phon</t>
  </si>
  <si>
    <t>3.4Viet</t>
  </si>
  <si>
    <t>3.4Phon</t>
  </si>
  <si>
    <t>3.5Viet</t>
  </si>
  <si>
    <t>3.5Phon</t>
  </si>
  <si>
    <t>3.6Viet</t>
  </si>
  <si>
    <t>3.6Phon</t>
  </si>
  <si>
    <t>3.7Viet</t>
  </si>
  <si>
    <t>3.7Phon</t>
  </si>
  <si>
    <t>3.8Viet</t>
  </si>
  <si>
    <t>3.8Phon</t>
  </si>
  <si>
    <t>4Struc</t>
  </si>
  <si>
    <t>4.1Viet</t>
  </si>
  <si>
    <t>4.1Phon</t>
  </si>
  <si>
    <t>4.2Viet</t>
  </si>
  <si>
    <t>4.2Phon</t>
  </si>
  <si>
    <t>4.3Viet</t>
  </si>
  <si>
    <t>4.3Phon</t>
  </si>
  <si>
    <t>4.4Viet</t>
  </si>
  <si>
    <t>4.4Phon</t>
  </si>
  <si>
    <t>4.5Viet</t>
  </si>
  <si>
    <t>4.5Phon</t>
  </si>
  <si>
    <t>4.6Viet</t>
  </si>
  <si>
    <t>4.6Phon</t>
  </si>
  <si>
    <t>5Struc</t>
  </si>
  <si>
    <t>5.1Viet</t>
  </si>
  <si>
    <t>5.1Phon</t>
  </si>
  <si>
    <t>5.2Viet</t>
  </si>
  <si>
    <t>5.2Phon</t>
  </si>
  <si>
    <t>5.3Viet</t>
  </si>
  <si>
    <t>5.3Phon</t>
  </si>
  <si>
    <t>5.4Viet</t>
  </si>
  <si>
    <t>5.4Phon</t>
  </si>
  <si>
    <t>I want to ask you about your sales lately.</t>
  </si>
  <si>
    <t>aɪ waːnt tu: æsk ju: əˈbaʊt jʊr seɪlz ˈleɪtli</t>
  </si>
  <si>
    <t>I want to ask you about your profits lately.</t>
  </si>
  <si>
    <t>aɪ waːnt tu: æsk ju: əˈbaʊt jʊr ˈpraːfɪts ˈleɪtli</t>
  </si>
  <si>
    <t>I want to ask you about your work performance lately.</t>
  </si>
  <si>
    <t>aɪ waːnt tu: æsk ju: əˈbaʊt jʊr wɜ:rk pərˈfɔːməns ˈleɪtli</t>
  </si>
  <si>
    <t>I want to ask you about your business lately.</t>
  </si>
  <si>
    <t>aɪ waːnt tu: æsk ju: əˈbaʊt jʊr ˈbɪznɪs ˈleɪtli</t>
  </si>
  <si>
    <t>I want to ask you to kindly send me the related information.</t>
  </si>
  <si>
    <t>aɪ waːnt tu: æsk ju: tu: ˈkaɪndli send miː ðə rɪˈleɪtɪd ˌɪnfərˈmeɪʃən</t>
  </si>
  <si>
    <t>We’d like to discuss the price you quoted.</t>
  </si>
  <si>
    <t>wi:d laɪk tu: dɪˈskʌs ðə praɪs ju: ˈkwoʊtɪd</t>
  </si>
  <si>
    <t>We’d like to discuss the terms and conditions of payment.</t>
  </si>
  <si>
    <t>wi:d laɪk tu: dɪˈskʌs ðə tɜːrmz ænd kənˈdɪʃənz ʌv ˈpeɪmənt</t>
  </si>
  <si>
    <t>We’d like to discuss the discount on early settlement.</t>
  </si>
  <si>
    <t>wi:d laɪk tu: dɪˈskʌs ðə ˈdɪskaʊnt aːn ˈɜ:rli ˈsetəlmənt</t>
  </si>
  <si>
    <t>We’d like to discuss this opportunity further.</t>
  </si>
  <si>
    <t>wi:d laɪk tu: dɪˈskʌs ðɪs ˌaːpərˈtuːnəti ˈfɜːrðər</t>
  </si>
  <si>
    <t>We’d like to discuss in more detail.</t>
  </si>
  <si>
    <t>wi:d laɪk tu: dɪˈskʌs ɪn mɔːr ˈdiːteɪl</t>
  </si>
  <si>
    <t>I would like to get things under way.</t>
  </si>
  <si>
    <t>aɪ wʊd laɪk tu: get θɪŋz ˈʌndər weɪ</t>
  </si>
  <si>
    <t>I would like to confirm the purpose of this meeting.</t>
  </si>
  <si>
    <t>aɪ wʊd laɪk tu: kənˈfɜːrm ðə ˈpɜ:rpəs ʌv ðɪs ˈmiːtɪŋ</t>
  </si>
  <si>
    <t>I would like to ask you a question.</t>
  </si>
  <si>
    <t>aɪ wʊd laɪk tu: æsk ju: ə ˈkwestʃən</t>
  </si>
  <si>
    <t>I would like to flag a number of points for discussion.</t>
  </si>
  <si>
    <t>aɪ wʊd laɪk tu: flæg ə ˈnʌmbər ʌv pɔɪnts fɔːr dɪˈskʌʃən</t>
  </si>
  <si>
    <t>I would like to repeat this point.</t>
  </si>
  <si>
    <t>aɪ wʊd laɪk tu: rɪˈpiːt ðɪs pɔɪnt</t>
  </si>
  <si>
    <t>I would like to add a few comments which may have some bearing on the subject.</t>
  </si>
  <si>
    <t>aɪ wʊd laɪk tu: æd ə fjuː ˈkaːments wɪtʃ meɪ hæv sʌm ˈberɪŋ aːn ðə ˈsʌbdʒekt</t>
  </si>
  <si>
    <t>I would like to hear your comments.</t>
  </si>
  <si>
    <t>aɪ wʊd laɪk tu: hɪr jʊr ˈkaːments</t>
  </si>
  <si>
    <t>I would like to open it up for questions.</t>
  </si>
  <si>
    <t>aɪ wʊd laɪk tu: ˈoʊpən ɪt ʌp fɔːr ˈkwestʃənz</t>
  </si>
  <si>
    <t>I would like to start by talking about the advertising campaign.</t>
  </si>
  <si>
    <t>aɪ wʊd laɪk tuː staːrt baɪ ˈta:kɪŋ əˈbaʊt ði: ˈædvərtaɪzɪŋ kæmˈpeɪn</t>
  </si>
  <si>
    <t>I would like to move on.</t>
  </si>
  <si>
    <t>aɪ wʊd laɪk tuː muːv aːn</t>
  </si>
  <si>
    <t>I would like to talk about the database in more detail.</t>
  </si>
  <si>
    <t>aɪ wʊd laɪk tu: taːk əˈbaʊt ðə ˈdeɪtəbeɪs ɪn mɔːr ˈdiːteɪl</t>
  </si>
  <si>
    <t>I would like to try.</t>
  </si>
  <si>
    <t>aɪ wʊd laɪk tu: traɪ</t>
  </si>
  <si>
    <t>I would like to give you a brief overview of cosmetic market.</t>
  </si>
  <si>
    <t>aɪ wʊd laɪk tu: ɡɪv ju: ə briːf ˈəʊvərvjuː ʌv kaːzˈmetɪk ˈmaːrkɪt</t>
  </si>
  <si>
    <t>Could you run that by me one more time?</t>
  </si>
  <si>
    <t>kʊd ju: rʌn ðæt baɪ miː wʌn mɔːr taɪm</t>
  </si>
  <si>
    <t>Could you talk about what plans we have for the future?</t>
  </si>
  <si>
    <t>kʊd ju: taːk əˈbaʊt wʌt plænz wi: hæv fɔːr ðə ˈfjuːtʃər</t>
  </si>
  <si>
    <t>Could you explain to me?</t>
  </si>
  <si>
    <t>kʊd ju: ɪksˈpleɪn tu: miː</t>
  </si>
  <si>
    <t>Could you provide me with more detailed information and data on your products?</t>
  </si>
  <si>
    <t>kʊd ju: prəˈvaɪd miː wɪð mɔːr ˈdiːteɪld ˌɪnfərˈmeɪʃən ænd ˈdeɪtə aːn jʊr ˈpraːdʌkts</t>
  </si>
  <si>
    <t>Could you show me up-to-date catalogues and documents?</t>
  </si>
  <si>
    <t>kʊd ju: ʃoʊ miː ʌp tə deɪt ˈkætəlaːɡz ænd ˈdaːkjuments</t>
  </si>
  <si>
    <t>Could you start things off?</t>
  </si>
  <si>
    <t>kʊd ju: staːrt θɪŋz aːf</t>
  </si>
  <si>
    <t>I am afraid there is no room for any reduction in price.</t>
  </si>
  <si>
    <t>aɪ æm əˈfreɪd ðer ɪz noʊ ru:m fɔːr ˈeni rɪˈdʌkʃən ɪn praɪs</t>
  </si>
  <si>
    <t>I am afraid they are not the same price.</t>
  </si>
  <si>
    <t>aɪ æm əˈfreɪd ðeɪ aːr naːt ðə seɪm praɪs</t>
  </si>
  <si>
    <t>I am afraid we haven’t received any payment yet.</t>
  </si>
  <si>
    <t>aɪ æm əˈfreɪd wi: ˈhævənt rɪˈsiːvd ˈeni ˈpeɪmənt jet</t>
  </si>
  <si>
    <t>I am afraid I can’t because that would be against our company regulation.</t>
  </si>
  <si>
    <t>aɪ æm əˈfreɪd aɪ kænt bɪˈkəz ðæt wʊd bi: əˈɡenst ˈaʊər ˈkʌmpəni ˌreɡjuˈleɪʃn</t>
  </si>
  <si>
    <t>I am afraid we are drifting away somewhat from our course.</t>
  </si>
  <si>
    <t>aɪ æm əˈfreɪd wi: aːr ˈdrɪftɪŋ əˈweɪ ˈsʌmwʌt frʌm ˈaʊər kɔːrs</t>
  </si>
  <si>
    <t>I am afraid we are running out of time, please be brief.</t>
  </si>
  <si>
    <t>aɪ æm əˈfreɪd wi: aːr ˈrʌnɪŋ aʊt ʌv taɪm pliːz bi: briːf</t>
  </si>
  <si>
    <t>I am afraid I can’t go for that.</t>
  </si>
  <si>
    <t>aɪ æm əˈfreɪd aɪ kænt ɡoʊ fɔːr ðæt</t>
  </si>
  <si>
    <t>I am afraid I have to turn down your offer.</t>
  </si>
  <si>
    <t>aɪ æm əˈfreɪd aɪ hæv tu: tɜ:rn daʊn jɔːr ˈɔːfər</t>
  </si>
  <si>
    <t>I WANT TO ASK YOU ABOUT… /Tôi muốn hỏi anh về… của anh gần đây/</t>
  </si>
  <si>
    <t>WE’D LIKE TO DISCUSS… /Chúng tôi muốn thảo luận về.../</t>
  </si>
  <si>
    <t>I WOULD LIKE TO... /Tôi muốn…/</t>
  </si>
  <si>
    <t>COULD YOU... /Bạn có thể…/</t>
  </si>
  <si>
    <t>I AM AFRAID OF... /Tôi e rằng.../</t>
  </si>
  <si>
    <t>3.9</t>
  </si>
  <si>
    <t>3.10</t>
  </si>
  <si>
    <t>3.11</t>
  </si>
  <si>
    <t>3.12</t>
  </si>
  <si>
    <t>3.13</t>
  </si>
  <si>
    <t>5.5</t>
  </si>
  <si>
    <t>5.6</t>
  </si>
  <si>
    <t>5.7</t>
  </si>
  <si>
    <t>5.8</t>
  </si>
  <si>
    <t>Tôi muốn hỏi anh về doanh số của anh gần đây.</t>
  </si>
  <si>
    <t>Tôi muốn hỏi anh về lợi nhuận của anh gần đây.</t>
  </si>
  <si>
    <t>Tôi muốn hỏi anh về hiệu suất công việc của anh gần đây.</t>
  </si>
  <si>
    <t>Tôi muốn hỏi anh về việc kinh doanh của anh gần đây.</t>
  </si>
  <si>
    <t>Tôi hi vọng ông có thể gửi cho tôi các thông tin liên quan.</t>
  </si>
  <si>
    <t>Chúng tôi muốn thảo luận về mức giá mà ông đưa ra.</t>
  </si>
  <si>
    <t>Chúng tôi muốn thảo luận về các điều khoản và điều kiện chi trả.</t>
  </si>
  <si>
    <t>Chúng tôi muốn thảo luận về khoản tiền được giảm nếu thanh toán sớm.</t>
  </si>
  <si>
    <t>Chúng tôi muốn thảo luận về cơ hội này nhiều hơn.</t>
  </si>
  <si>
    <t>Chúng tôi muốn thảo luận chi tiết hơn.</t>
  </si>
  <si>
    <t>Tôi muốn mọi việc được tiến hành.</t>
  </si>
  <si>
    <t>Tôi muốn xác nhận lại mục đích của cuộc họp này.</t>
  </si>
  <si>
    <t>Tôi muốn hỏi anh một câu.</t>
  </si>
  <si>
    <t>Tôi muốn đánh dấu một số điểm để thảo luận.</t>
  </si>
  <si>
    <t>Tôi muốn nhắc lại ý này.</t>
  </si>
  <si>
    <t>Tôi muốn đề xuất thêm vài ý kiến có liên quan đến chủ đề này.</t>
  </si>
  <si>
    <t>Tôi muốn nghe ý kiến của các bạn.</t>
  </si>
  <si>
    <t>Bây giờ tôi sẽ trả lời các câu hỏi.</t>
  </si>
  <si>
    <t>Tôi xin bắt đầu bằng cách nói về chiến dịch quảng cáo.</t>
  </si>
  <si>
    <t>Tôi xin được tiếp tục.</t>
  </si>
  <si>
    <t>Tôi muốn nói chi tiết hơn về các cơ sở dữ liệu.</t>
  </si>
  <si>
    <t>Tôi muốn thử.</t>
  </si>
  <si>
    <t>Tôi muốn trình bày ngắn gọn về thị trường mỹ phẩm.</t>
  </si>
  <si>
    <t>Bạn có thể trình bày một lần nữa cho tôi không?</t>
  </si>
  <si>
    <t>Anh có thể nói đôi điều về kế hoạch sắp tới của chúng ta không?</t>
  </si>
  <si>
    <t>Bạn giải thích cho tôi với?</t>
  </si>
  <si>
    <t>Ông cho tôi thêm thông tin và dữ liệu về sản phẩm của ông được không?</t>
  </si>
  <si>
    <t>Ông có thể cho tôi xem ca ta lô và tài liệu cập nhật tới hiện tại không?</t>
  </si>
  <si>
    <t>Anh có thể bắt đầu được chưa?</t>
  </si>
  <si>
    <t>Tôi e rằng không thể giảm giá được nữa.</t>
  </si>
  <si>
    <t>Tôi e rằng chúng không đồng giá.</t>
  </si>
  <si>
    <t>Tôi e rằng chúng tôi chưa nhận thanh toán nào hết.</t>
  </si>
  <si>
    <t>Tôi e là tôi không thể, bởi vì như vậy sẽ trái với quy định của công ty chúng tôi.</t>
  </si>
  <si>
    <t>Tôi e rằng chúng ta đang bị cuốn khỏi vấn đề chính.</t>
  </si>
  <si>
    <t>Tôi e là chúng ta không còn nhiều thời gian nữa. Xin hãy nói ngắn gọn thôi.</t>
  </si>
  <si>
    <t>Tôi e là tôi không thể chấp nhận điều đó.</t>
  </si>
  <si>
    <t>Tôi e rằng tôi phải bác bỏ đề nghị của anh.</t>
  </si>
  <si>
    <t>1.1Eng</t>
  </si>
  <si>
    <t>1.2Eng</t>
  </si>
  <si>
    <t>1.3Eng</t>
  </si>
  <si>
    <t>1.4Eng</t>
  </si>
  <si>
    <t>1.5Eng</t>
  </si>
  <si>
    <t>2.1Eng</t>
  </si>
  <si>
    <t>2.2Eng</t>
  </si>
  <si>
    <t>2.3Eng</t>
  </si>
  <si>
    <t>2.4Eng</t>
  </si>
  <si>
    <t>2.5Eng</t>
  </si>
  <si>
    <t>3.1Eng</t>
  </si>
  <si>
    <t>3.2Eng</t>
  </si>
  <si>
    <t>3.3Eng</t>
  </si>
  <si>
    <t>3.4Eng</t>
  </si>
  <si>
    <t>3.5Eng</t>
  </si>
  <si>
    <t>3.6Eng</t>
  </si>
  <si>
    <t>3.7Eng</t>
  </si>
  <si>
    <t>3.8Eng</t>
  </si>
  <si>
    <t>3.9Viet</t>
  </si>
  <si>
    <t>3.9Eng</t>
  </si>
  <si>
    <t>3.9Phon</t>
  </si>
  <si>
    <t>3.10Viet</t>
  </si>
  <si>
    <t>3.10Eng</t>
  </si>
  <si>
    <t>3.10Phon</t>
  </si>
  <si>
    <t>3.11Viet</t>
  </si>
  <si>
    <t>3.11Eng</t>
  </si>
  <si>
    <t>3.11Phon</t>
  </si>
  <si>
    <t>3.12Viet</t>
  </si>
  <si>
    <t>3.12Eng</t>
  </si>
  <si>
    <t>3.12Phon</t>
  </si>
  <si>
    <t>3.13Viet</t>
  </si>
  <si>
    <t>3.13Eng</t>
  </si>
  <si>
    <t>3.13Phon</t>
  </si>
  <si>
    <t>4.1Eng</t>
  </si>
  <si>
    <t>4.2Eng</t>
  </si>
  <si>
    <t>4.3Eng</t>
  </si>
  <si>
    <t>4.4Eng</t>
  </si>
  <si>
    <t>4.5Eng</t>
  </si>
  <si>
    <t>4.6Eng</t>
  </si>
  <si>
    <t>5.1Eng</t>
  </si>
  <si>
    <t>5.2Eng</t>
  </si>
  <si>
    <t>5.3Eng</t>
  </si>
  <si>
    <t>5.4Eng</t>
  </si>
  <si>
    <t>5.5Viet</t>
  </si>
  <si>
    <t>5.5Eng</t>
  </si>
  <si>
    <t>5.5Phon</t>
  </si>
  <si>
    <t>5.6Viet</t>
  </si>
  <si>
    <t>5.6Eng</t>
  </si>
  <si>
    <t>5.6Phon</t>
  </si>
  <si>
    <t>5.7Viet</t>
  </si>
  <si>
    <t>5.7Eng</t>
  </si>
  <si>
    <t>5.7Phon</t>
  </si>
  <si>
    <t>5.8Viet</t>
  </si>
  <si>
    <t>5.8Eng</t>
  </si>
  <si>
    <t>5.8Phon</t>
  </si>
  <si>
    <t>TOPIC: DISCUSSION</t>
  </si>
  <si>
    <t>https://drive.google.com/file/d/1lkh8jcr85LICTsksDQ7_BYnUQl3gOyAV/view?usp=sharing</t>
  </si>
  <si>
    <t>https://drive.google.com/file/d/1P_3DcEQ_tML-h9z38KjK-NDy4UA1ALzf/view?usp=sharing</t>
  </si>
  <si>
    <t>https://drive.google.com/file/d/1piF9LqgfYhwzXUhx5XI_CjxC6UZkY-hS/view?usp=sharing</t>
  </si>
  <si>
    <t>https://drive.google.com/file/d/1hPvzcbxB0_UkQp9yqh7CSyhv-tpqcuU8/view?usp=sharing</t>
  </si>
  <si>
    <t>https://drive.google.com/file/d/1xeVzc9P4a_ROIQ_QweAcbX-7LIFy-9PR/view?usp=sharing</t>
  </si>
  <si>
    <t>https://drive.google.com/file/d/1p22GOupLd9sCRmMQjEz1AhVDxQ649Tv_/view?usp=sharing</t>
  </si>
  <si>
    <t>https://drive.google.com/file/d/1BkY4PdvGJeqU4m_T_QQxaFhDGHa5rT8K/view?usp=sharing</t>
  </si>
  <si>
    <t>https://drive.google.com/file/d/1jRgso7_BUtOijcQup2wDBHfbqfIi1VXh/view?usp=sharing</t>
  </si>
  <si>
    <t>https://drive.google.com/file/d/1hgubR1vMD65CSeEH7gKfKDn4rlIEmeHy/view?usp=sharing</t>
  </si>
  <si>
    <t>https://drive.google.com/file/d/17ifgTufzlA8Eo-ohgkzuH189DnsKlEEe/view?usp=sharing</t>
  </si>
  <si>
    <t>https://drive.google.com/file/d/1mwul5IpSIZvG_axjaFvRkd6WG40Zcbcb/view?usp=sharing</t>
  </si>
  <si>
    <t>https://drive.google.com/file/d/1mt5TWOihD0jpSFeE0AQVHUGOnNtg9KXw/view?usp=sharing</t>
  </si>
  <si>
    <t>https://drive.google.com/file/d/1egSrW5SoJbQ2nFRfw3KlTnPxsGd5lIAz/view?usp=sharing</t>
  </si>
  <si>
    <t>https://drive.google.com/file/d/1OkxIu5ZGWFNYvqKXpaNpEV8_t_l-mXFF/view?usp=sharing</t>
  </si>
  <si>
    <t>https://drive.google.com/file/d/1bdrEWckLFBoYVTbB4wVRzyydcjpWAtqx/view?usp=sharing</t>
  </si>
  <si>
    <t>https://drive.google.com/file/d/1ZM7SdDIOi2EMlSbNuq_rN4EB_yeg2kRo/view?usp=sharing</t>
  </si>
  <si>
    <t>https://drive.google.com/file/d/1f8GfPpTqg-yi_PEP_q5ksYEBot2-Tdnc/view?usp=sharing</t>
  </si>
  <si>
    <t>https://drive.google.com/file/d/1FqMiglwxRAtwzS7kO8a-S3SY76CAaBgF/view?usp=sharing</t>
  </si>
  <si>
    <t>https://drive.google.com/file/d/1OiVt5yZKxsQq3xChcw5YxAQgXQZhZBuX/view?usp=sharing</t>
  </si>
  <si>
    <t>https://drive.google.com/file/d/1IWVq59AOU5R8gAuN7oSHniPJJPcKXZUa/view?usp=sharing</t>
  </si>
  <si>
    <t>https://drive.google.com/file/d/15TNIAMLDZt4oBFvmwN73jDxZdUv336UG/view?usp=sharing</t>
  </si>
  <si>
    <t>https://drive.google.com/file/d/1-xPQGNDSTnH9WJrkRAd88VMlDFTJbgVu/view?usp=sharing</t>
  </si>
  <si>
    <t>https://drive.google.com/file/d/1tl2m8jVcLTOs7-I0Gyyu8Fof4oA7lVaw/view?usp=sharing</t>
  </si>
  <si>
    <t>https://drive.google.com/file/d/1M0dZcuby1bD3qi_Ktengkp2eAOex--PB/view?usp=sharing</t>
  </si>
  <si>
    <t>https://drive.google.com/file/d/1YtvC8lEr2P1OSdsBqHQsQolwkotYiRy0/view?usp=sharing</t>
  </si>
  <si>
    <t>https://drive.google.com/file/d/1UWZvGGItrj1sR8GySgbuiH75idhZEhzI/view?usp=sharing</t>
  </si>
  <si>
    <t>https://drive.google.com/file/d/1hSqRKAPH0DhYyNaSXfOQ8XEnHS8rWbk3/view?usp=sharing</t>
  </si>
  <si>
    <t>https://drive.google.com/file/d/1cHlEmuSgERf52cflsIN6nwlXJVwiEC6y/view?usp=sharing</t>
  </si>
  <si>
    <t>https://drive.google.com/file/d/144zEVeMZVKppXDUrR46jBJ-ihiiSOmvE/view?usp=sharing</t>
  </si>
  <si>
    <t>https://drive.google.com/file/d/1bddmoqSX-wqvJq4Uzm9JKa1LTPAolBc1/view?usp=sharing</t>
  </si>
  <si>
    <t>https://drive.google.com/file/d/1qtY1eQ3hhXP3y9yZyHjRVHFJjVmVgiGq/view?usp=sharing</t>
  </si>
  <si>
    <t>https://drive.google.com/file/d/1CBcXvNKrMiGqR7SixfZddESPReNbhCh3/view?usp=sharing</t>
  </si>
  <si>
    <t>https://drive.google.com/file/d/1QxZFqhwtmJwpTHxeez0DTZsHUnEoqs55/view?usp=sharing</t>
  </si>
  <si>
    <t>https://drive.google.com/file/d/1dLposUfYP_AQ6JfHq_A0q_dFtu5iAfIo/view?usp=sharing</t>
  </si>
  <si>
    <t>https://drive.google.com/file/d/1PGRSzZ5nzzbFTu8YCvEvkXCGJRr-JFGj/view?usp=sharing</t>
  </si>
  <si>
    <t>https://drive.google.com/file/d/1ZVKdYOHE_KDo891VQs7NQpXk8vYAacro/view?usp=sharing</t>
  </si>
  <si>
    <t>https://drive.google.com/file/d/1EHM5aIDwc3DQpuJaSYDqp9DrXIya4F2Q/view?usp=sharing</t>
  </si>
  <si>
    <t>https://drive.google.com/file/d/1-7RJH-owW6j1_TZ7v7OaPg8lSdRV0G7j/view?usp=sharing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</si>
</sst>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4" fillId="2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0" borderId="0" xfId="1" applyFo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2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A2:H119"/>
  <sheetViews>
    <sheetView showGridLines="0" tabSelected="1" topLeftCell="A86" zoomScale="81" zoomScaleNormal="81" workbookViewId="0">
      <selection activeCell="B3" sqref="B3:F119"/>
    </sheetView>
  </sheetViews>
  <sheetFormatPr defaultRowHeight="13.8" x14ac:dyDescent="0.25"/>
  <cols>
    <col min="1" max="1" width="5.296875" style="15" customWidth="1"/>
    <col min="2" max="2" width="7.3984375" style="15" customWidth="1"/>
    <col min="3" max="3" width="9.5" style="15" customWidth="1"/>
    <col min="4" max="4" width="42.3984375" style="11" customWidth="1"/>
    <col min="5" max="5" width="8.8984375" style="15" customWidth="1"/>
    <col min="6" max="6" width="49.19921875" style="11" customWidth="1"/>
    <col min="7" max="7" width="7.296875" style="21" customWidth="1"/>
    <col min="8" max="8" width="79.5" style="21" customWidth="1"/>
    <col min="9" max="16384" width="8.796875" style="21"/>
  </cols>
  <sheetData>
    <row r="2" spans="1:8" x14ac:dyDescent="0.25">
      <c r="B2" s="11" t="s">
        <v>284</v>
      </c>
      <c r="E2" s="11"/>
    </row>
    <row r="3" spans="1:8" x14ac:dyDescent="0.25">
      <c r="A3" s="15" t="s">
        <v>1</v>
      </c>
      <c r="B3" s="12" t="s">
        <v>1</v>
      </c>
      <c r="C3" s="12" t="s">
        <v>8</v>
      </c>
      <c r="D3" s="19" t="s">
        <v>0</v>
      </c>
      <c r="E3" s="12" t="s">
        <v>2</v>
      </c>
      <c r="F3" s="19" t="s">
        <v>9</v>
      </c>
      <c r="G3" s="15" t="s">
        <v>8</v>
      </c>
      <c r="H3" s="22" t="s">
        <v>10</v>
      </c>
    </row>
    <row r="4" spans="1:8" s="10" customFormat="1" x14ac:dyDescent="0.25">
      <c r="A4" s="15"/>
      <c r="B4" s="13">
        <v>1</v>
      </c>
      <c r="C4" s="14" t="s">
        <v>43</v>
      </c>
      <c r="D4" s="20" t="s">
        <v>178</v>
      </c>
      <c r="E4" s="14" t="s">
        <v>11</v>
      </c>
      <c r="F4" s="20" t="str">
        <f>IF(G4="","","https://docs.google.com/uc?export=download&amp;id="&amp;G4)</f>
        <v/>
      </c>
      <c r="G4" s="9"/>
      <c r="H4" s="21"/>
    </row>
    <row r="5" spans="1:8" x14ac:dyDescent="0.25">
      <c r="B5" s="24" t="s">
        <v>13</v>
      </c>
      <c r="C5" s="24" t="s">
        <v>44</v>
      </c>
      <c r="D5" s="25" t="s">
        <v>192</v>
      </c>
      <c r="E5" s="24" t="s">
        <v>3</v>
      </c>
      <c r="F5" s="20" t="str">
        <f t="shared" ref="F5:F68" si="0">IF(G5="","","https://docs.google.com/uc?export=download&amp;id="&amp;G5)</f>
        <v/>
      </c>
      <c r="G5" s="23" t="str">
        <f>IFERROR(LEFT(RIGHT(H5,LEN(H5)-32),LEN(RIGHT(H5,LEN(H5)-32))-17),"")</f>
        <v/>
      </c>
    </row>
    <row r="6" spans="1:8" x14ac:dyDescent="0.25">
      <c r="A6" s="15">
        <v>1</v>
      </c>
      <c r="B6" s="24" t="s">
        <v>13</v>
      </c>
      <c r="C6" s="24" t="s">
        <v>229</v>
      </c>
      <c r="D6" s="25" t="s">
        <v>104</v>
      </c>
      <c r="E6" s="24" t="s">
        <v>4</v>
      </c>
      <c r="F6" s="20" t="str">
        <f t="shared" si="0"/>
        <v>https://docs.google.com/uc?export=download&amp;id=1P_3DcEQ_tML-h9z38KjK-NDy4UA1ALzf</v>
      </c>
      <c r="G6" s="23" t="str">
        <f t="shared" ref="G6:G69" si="1">IFERROR(LEFT(RIGHT(H6,LEN(H6)-32),LEN(RIGHT(H6,LEN(H6)-32))-17),"")</f>
        <v>1P_3DcEQ_tML-h9z38KjK-NDy4UA1ALzf</v>
      </c>
      <c r="H6" s="21" t="s">
        <v>286</v>
      </c>
    </row>
    <row r="7" spans="1:8" x14ac:dyDescent="0.25">
      <c r="B7" s="24" t="s">
        <v>13</v>
      </c>
      <c r="C7" s="24" t="s">
        <v>45</v>
      </c>
      <c r="D7" s="25" t="s">
        <v>105</v>
      </c>
      <c r="E7" s="24" t="s">
        <v>5</v>
      </c>
      <c r="F7" s="20" t="str">
        <f t="shared" si="0"/>
        <v/>
      </c>
      <c r="G7" s="23" t="str">
        <f t="shared" si="1"/>
        <v/>
      </c>
    </row>
    <row r="8" spans="1:8" x14ac:dyDescent="0.25">
      <c r="B8" s="24" t="s">
        <v>14</v>
      </c>
      <c r="C8" s="24" t="s">
        <v>46</v>
      </c>
      <c r="D8" s="25" t="s">
        <v>193</v>
      </c>
      <c r="E8" s="24" t="s">
        <v>3</v>
      </c>
      <c r="F8" s="20" t="str">
        <f t="shared" si="0"/>
        <v/>
      </c>
      <c r="G8" s="23" t="str">
        <f t="shared" si="1"/>
        <v/>
      </c>
    </row>
    <row r="9" spans="1:8" x14ac:dyDescent="0.25">
      <c r="A9" s="15">
        <v>2</v>
      </c>
      <c r="B9" s="24" t="s">
        <v>14</v>
      </c>
      <c r="C9" s="24" t="s">
        <v>230</v>
      </c>
      <c r="D9" s="25" t="s">
        <v>106</v>
      </c>
      <c r="E9" s="24" t="s">
        <v>4</v>
      </c>
      <c r="F9" s="20" t="str">
        <f t="shared" si="0"/>
        <v>https://docs.google.com/uc?export=download&amp;id=1piF9LqgfYhwzXUhx5XI_CjxC6UZkY-hS</v>
      </c>
      <c r="G9" s="23" t="str">
        <f t="shared" si="1"/>
        <v>1piF9LqgfYhwzXUhx5XI_CjxC6UZkY-hS</v>
      </c>
      <c r="H9" s="21" t="s">
        <v>287</v>
      </c>
    </row>
    <row r="10" spans="1:8" x14ac:dyDescent="0.25">
      <c r="B10" s="24" t="s">
        <v>14</v>
      </c>
      <c r="C10" s="24" t="s">
        <v>47</v>
      </c>
      <c r="D10" s="25" t="s">
        <v>107</v>
      </c>
      <c r="E10" s="24" t="s">
        <v>5</v>
      </c>
      <c r="F10" s="20" t="str">
        <f t="shared" si="0"/>
        <v/>
      </c>
      <c r="G10" s="23" t="str">
        <f t="shared" si="1"/>
        <v/>
      </c>
    </row>
    <row r="11" spans="1:8" x14ac:dyDescent="0.25">
      <c r="B11" s="24" t="s">
        <v>12</v>
      </c>
      <c r="C11" s="24" t="s">
        <v>48</v>
      </c>
      <c r="D11" s="25" t="s">
        <v>194</v>
      </c>
      <c r="E11" s="24" t="s">
        <v>3</v>
      </c>
      <c r="F11" s="20" t="str">
        <f t="shared" si="0"/>
        <v/>
      </c>
      <c r="G11" s="23" t="str">
        <f t="shared" si="1"/>
        <v/>
      </c>
    </row>
    <row r="12" spans="1:8" x14ac:dyDescent="0.25">
      <c r="A12" s="15">
        <v>3</v>
      </c>
      <c r="B12" s="24" t="s">
        <v>12</v>
      </c>
      <c r="C12" s="24" t="s">
        <v>231</v>
      </c>
      <c r="D12" s="25" t="s">
        <v>108</v>
      </c>
      <c r="E12" s="24" t="s">
        <v>4</v>
      </c>
      <c r="F12" s="20" t="str">
        <f t="shared" si="0"/>
        <v>https://docs.google.com/uc?export=download&amp;id=1hPvzcbxB0_UkQp9yqh7CSyhv-tpqcuU8</v>
      </c>
      <c r="G12" s="23" t="str">
        <f t="shared" si="1"/>
        <v>1hPvzcbxB0_UkQp9yqh7CSyhv-tpqcuU8</v>
      </c>
      <c r="H12" s="21" t="s">
        <v>288</v>
      </c>
    </row>
    <row r="13" spans="1:8" x14ac:dyDescent="0.25">
      <c r="B13" s="24" t="s">
        <v>12</v>
      </c>
      <c r="C13" s="24" t="s">
        <v>49</v>
      </c>
      <c r="D13" s="25" t="s">
        <v>109</v>
      </c>
      <c r="E13" s="24" t="s">
        <v>5</v>
      </c>
      <c r="F13" s="20" t="str">
        <f t="shared" si="0"/>
        <v/>
      </c>
      <c r="G13" s="23" t="str">
        <f t="shared" si="1"/>
        <v/>
      </c>
    </row>
    <row r="14" spans="1:8" x14ac:dyDescent="0.25">
      <c r="B14" s="24" t="s">
        <v>32</v>
      </c>
      <c r="C14" s="24" t="s">
        <v>50</v>
      </c>
      <c r="D14" s="25" t="s">
        <v>195</v>
      </c>
      <c r="E14" s="24" t="s">
        <v>3</v>
      </c>
      <c r="F14" s="20" t="str">
        <f t="shared" si="0"/>
        <v/>
      </c>
      <c r="G14" s="23" t="str">
        <f t="shared" si="1"/>
        <v/>
      </c>
    </row>
    <row r="15" spans="1:8" x14ac:dyDescent="0.25">
      <c r="A15" s="15">
        <v>4</v>
      </c>
      <c r="B15" s="24" t="s">
        <v>32</v>
      </c>
      <c r="C15" s="24" t="s">
        <v>232</v>
      </c>
      <c r="D15" s="25" t="s">
        <v>110</v>
      </c>
      <c r="E15" s="24" t="s">
        <v>4</v>
      </c>
      <c r="F15" s="20" t="str">
        <f t="shared" si="0"/>
        <v>https://docs.google.com/uc?export=download&amp;id=1xeVzc9P4a_ROIQ_QweAcbX-7LIFy-9PR</v>
      </c>
      <c r="G15" s="23" t="str">
        <f t="shared" si="1"/>
        <v>1xeVzc9P4a_ROIQ_QweAcbX-7LIFy-9PR</v>
      </c>
      <c r="H15" s="21" t="s">
        <v>289</v>
      </c>
    </row>
    <row r="16" spans="1:8" x14ac:dyDescent="0.25">
      <c r="B16" s="24" t="s">
        <v>32</v>
      </c>
      <c r="C16" s="24" t="s">
        <v>51</v>
      </c>
      <c r="D16" s="25" t="s">
        <v>111</v>
      </c>
      <c r="E16" s="24" t="s">
        <v>5</v>
      </c>
      <c r="F16" s="20" t="str">
        <f t="shared" si="0"/>
        <v/>
      </c>
      <c r="G16" s="23" t="str">
        <f t="shared" si="1"/>
        <v/>
      </c>
    </row>
    <row r="17" spans="1:8" s="10" customFormat="1" x14ac:dyDescent="0.25">
      <c r="A17" s="15"/>
      <c r="B17" s="24" t="s">
        <v>33</v>
      </c>
      <c r="C17" s="24" t="s">
        <v>52</v>
      </c>
      <c r="D17" s="25" t="s">
        <v>196</v>
      </c>
      <c r="E17" s="24" t="s">
        <v>3</v>
      </c>
      <c r="F17" s="20" t="str">
        <f t="shared" si="0"/>
        <v/>
      </c>
      <c r="G17" s="23" t="str">
        <f t="shared" si="1"/>
        <v/>
      </c>
      <c r="H17" s="21"/>
    </row>
    <row r="18" spans="1:8" x14ac:dyDescent="0.25">
      <c r="A18" s="15">
        <v>5</v>
      </c>
      <c r="B18" s="24" t="s">
        <v>33</v>
      </c>
      <c r="C18" s="24" t="s">
        <v>233</v>
      </c>
      <c r="D18" s="25" t="s">
        <v>112</v>
      </c>
      <c r="E18" s="24" t="s">
        <v>4</v>
      </c>
      <c r="F18" s="20" t="str">
        <f t="shared" si="0"/>
        <v>https://docs.google.com/uc?export=download&amp;id=1p22GOupLd9sCRmMQjEz1AhVDxQ649Tv_</v>
      </c>
      <c r="G18" s="23" t="str">
        <f t="shared" si="1"/>
        <v>1p22GOupLd9sCRmMQjEz1AhVDxQ649Tv_</v>
      </c>
      <c r="H18" s="21" t="s">
        <v>290</v>
      </c>
    </row>
    <row r="19" spans="1:8" x14ac:dyDescent="0.25">
      <c r="B19" s="24" t="s">
        <v>33</v>
      </c>
      <c r="C19" s="24" t="s">
        <v>53</v>
      </c>
      <c r="D19" s="25" t="s">
        <v>113</v>
      </c>
      <c r="E19" s="24" t="s">
        <v>5</v>
      </c>
      <c r="F19" s="20" t="str">
        <f t="shared" si="0"/>
        <v/>
      </c>
      <c r="G19" s="23" t="str">
        <f t="shared" si="1"/>
        <v/>
      </c>
    </row>
    <row r="20" spans="1:8" x14ac:dyDescent="0.25">
      <c r="B20" s="24">
        <v>2</v>
      </c>
      <c r="C20" s="24" t="s">
        <v>54</v>
      </c>
      <c r="D20" s="25" t="s">
        <v>179</v>
      </c>
      <c r="E20" s="24" t="s">
        <v>11</v>
      </c>
      <c r="F20" s="20" t="str">
        <f t="shared" si="0"/>
        <v/>
      </c>
      <c r="G20" s="23" t="str">
        <f t="shared" si="1"/>
        <v/>
      </c>
    </row>
    <row r="21" spans="1:8" x14ac:dyDescent="0.25">
      <c r="B21" s="24" t="s">
        <v>15</v>
      </c>
      <c r="C21" s="24" t="s">
        <v>55</v>
      </c>
      <c r="D21" s="25" t="s">
        <v>197</v>
      </c>
      <c r="E21" s="24" t="s">
        <v>3</v>
      </c>
      <c r="F21" s="20" t="str">
        <f t="shared" si="0"/>
        <v/>
      </c>
      <c r="G21" s="23" t="str">
        <f t="shared" si="1"/>
        <v/>
      </c>
    </row>
    <row r="22" spans="1:8" x14ac:dyDescent="0.25">
      <c r="A22" s="15">
        <v>6</v>
      </c>
      <c r="B22" s="24" t="s">
        <v>15</v>
      </c>
      <c r="C22" s="24" t="s">
        <v>234</v>
      </c>
      <c r="D22" s="25" t="s">
        <v>114</v>
      </c>
      <c r="E22" s="24" t="s">
        <v>4</v>
      </c>
      <c r="F22" s="20" t="str">
        <f t="shared" si="0"/>
        <v>https://docs.google.com/uc?export=download&amp;id=1BkY4PdvGJeqU4m_T_QQxaFhDGHa5rT8K</v>
      </c>
      <c r="G22" s="23" t="str">
        <f t="shared" si="1"/>
        <v>1BkY4PdvGJeqU4m_T_QQxaFhDGHa5rT8K</v>
      </c>
      <c r="H22" s="21" t="s">
        <v>291</v>
      </c>
    </row>
    <row r="23" spans="1:8" x14ac:dyDescent="0.25">
      <c r="B23" s="24" t="s">
        <v>15</v>
      </c>
      <c r="C23" s="24" t="s">
        <v>56</v>
      </c>
      <c r="D23" s="25" t="s">
        <v>115</v>
      </c>
      <c r="E23" s="24" t="s">
        <v>5</v>
      </c>
      <c r="F23" s="20" t="str">
        <f t="shared" si="0"/>
        <v/>
      </c>
      <c r="G23" s="23" t="str">
        <f t="shared" si="1"/>
        <v/>
      </c>
    </row>
    <row r="24" spans="1:8" x14ac:dyDescent="0.25">
      <c r="B24" s="24" t="s">
        <v>17</v>
      </c>
      <c r="C24" s="24" t="s">
        <v>57</v>
      </c>
      <c r="D24" s="25" t="s">
        <v>198</v>
      </c>
      <c r="E24" s="24" t="s">
        <v>3</v>
      </c>
      <c r="F24" s="20" t="str">
        <f t="shared" si="0"/>
        <v/>
      </c>
      <c r="G24" s="23" t="str">
        <f t="shared" si="1"/>
        <v/>
      </c>
    </row>
    <row r="25" spans="1:8" x14ac:dyDescent="0.25">
      <c r="A25" s="15">
        <v>7</v>
      </c>
      <c r="B25" s="24" t="s">
        <v>17</v>
      </c>
      <c r="C25" s="24" t="s">
        <v>235</v>
      </c>
      <c r="D25" s="25" t="s">
        <v>116</v>
      </c>
      <c r="E25" s="24" t="s">
        <v>4</v>
      </c>
      <c r="F25" s="20" t="str">
        <f t="shared" si="0"/>
        <v>https://docs.google.com/uc?export=download&amp;id=1hgubR1vMD65CSeEH7gKfKDn4rlIEmeHy</v>
      </c>
      <c r="G25" s="23" t="str">
        <f t="shared" si="1"/>
        <v>1hgubR1vMD65CSeEH7gKfKDn4rlIEmeHy</v>
      </c>
      <c r="H25" s="21" t="s">
        <v>293</v>
      </c>
    </row>
    <row r="26" spans="1:8" x14ac:dyDescent="0.25">
      <c r="B26" s="24" t="s">
        <v>17</v>
      </c>
      <c r="C26" s="24" t="s">
        <v>58</v>
      </c>
      <c r="D26" s="25" t="s">
        <v>117</v>
      </c>
      <c r="E26" s="24" t="s">
        <v>5</v>
      </c>
      <c r="F26" s="20" t="str">
        <f t="shared" si="0"/>
        <v/>
      </c>
      <c r="G26" s="23" t="str">
        <f t="shared" si="1"/>
        <v/>
      </c>
    </row>
    <row r="27" spans="1:8" x14ac:dyDescent="0.25">
      <c r="B27" s="24" t="s">
        <v>16</v>
      </c>
      <c r="C27" s="24" t="s">
        <v>59</v>
      </c>
      <c r="D27" s="25" t="s">
        <v>199</v>
      </c>
      <c r="E27" s="24" t="s">
        <v>3</v>
      </c>
      <c r="F27" s="20" t="str">
        <f t="shared" si="0"/>
        <v/>
      </c>
      <c r="G27" s="23" t="str">
        <f t="shared" si="1"/>
        <v/>
      </c>
    </row>
    <row r="28" spans="1:8" x14ac:dyDescent="0.25">
      <c r="A28" s="15">
        <v>8</v>
      </c>
      <c r="B28" s="24" t="s">
        <v>16</v>
      </c>
      <c r="C28" s="24" t="s">
        <v>236</v>
      </c>
      <c r="D28" s="25" t="s">
        <v>118</v>
      </c>
      <c r="E28" s="24" t="s">
        <v>4</v>
      </c>
      <c r="F28" s="20" t="str">
        <f t="shared" si="0"/>
        <v>https://docs.google.com/uc?export=download&amp;id=1jRgso7_BUtOijcQup2wDBHfbqfIi1VXh</v>
      </c>
      <c r="G28" s="23" t="str">
        <f t="shared" si="1"/>
        <v>1jRgso7_BUtOijcQup2wDBHfbqfIi1VXh</v>
      </c>
      <c r="H28" s="21" t="s">
        <v>292</v>
      </c>
    </row>
    <row r="29" spans="1:8" x14ac:dyDescent="0.25">
      <c r="B29" s="24" t="s">
        <v>16</v>
      </c>
      <c r="C29" s="24" t="s">
        <v>60</v>
      </c>
      <c r="D29" s="25" t="s">
        <v>119</v>
      </c>
      <c r="E29" s="24" t="s">
        <v>5</v>
      </c>
      <c r="F29" s="20" t="str">
        <f t="shared" si="0"/>
        <v/>
      </c>
      <c r="G29" s="23" t="str">
        <f t="shared" si="1"/>
        <v/>
      </c>
    </row>
    <row r="30" spans="1:8" s="10" customFormat="1" x14ac:dyDescent="0.25">
      <c r="A30" s="15"/>
      <c r="B30" s="24" t="s">
        <v>34</v>
      </c>
      <c r="C30" s="24" t="s">
        <v>61</v>
      </c>
      <c r="D30" s="25" t="s">
        <v>200</v>
      </c>
      <c r="E30" s="24" t="s">
        <v>3</v>
      </c>
      <c r="F30" s="20" t="str">
        <f t="shared" si="0"/>
        <v/>
      </c>
      <c r="G30" s="23" t="str">
        <f t="shared" si="1"/>
        <v/>
      </c>
      <c r="H30" s="21"/>
    </row>
    <row r="31" spans="1:8" x14ac:dyDescent="0.25">
      <c r="A31" s="15">
        <v>9</v>
      </c>
      <c r="B31" s="24" t="s">
        <v>34</v>
      </c>
      <c r="C31" s="24" t="s">
        <v>237</v>
      </c>
      <c r="D31" s="25" t="s">
        <v>120</v>
      </c>
      <c r="E31" s="24" t="s">
        <v>4</v>
      </c>
      <c r="F31" s="20" t="str">
        <f t="shared" si="0"/>
        <v>https://docs.google.com/uc?export=download&amp;id=17ifgTufzlA8Eo-ohgkzuH189DnsKlEEe</v>
      </c>
      <c r="G31" s="23" t="str">
        <f t="shared" si="1"/>
        <v>17ifgTufzlA8Eo-ohgkzuH189DnsKlEEe</v>
      </c>
      <c r="H31" s="21" t="s">
        <v>294</v>
      </c>
    </row>
    <row r="32" spans="1:8" x14ac:dyDescent="0.25">
      <c r="B32" s="24" t="s">
        <v>34</v>
      </c>
      <c r="C32" s="24" t="s">
        <v>62</v>
      </c>
      <c r="D32" s="20" t="s">
        <v>121</v>
      </c>
      <c r="E32" s="24" t="s">
        <v>5</v>
      </c>
      <c r="F32" s="20" t="str">
        <f t="shared" si="0"/>
        <v/>
      </c>
      <c r="G32" s="23" t="str">
        <f t="shared" si="1"/>
        <v/>
      </c>
    </row>
    <row r="33" spans="1:8" x14ac:dyDescent="0.25">
      <c r="B33" s="24" t="s">
        <v>35</v>
      </c>
      <c r="C33" s="24" t="s">
        <v>63</v>
      </c>
      <c r="D33" s="25" t="s">
        <v>201</v>
      </c>
      <c r="E33" s="24" t="s">
        <v>3</v>
      </c>
      <c r="F33" s="20" t="str">
        <f t="shared" si="0"/>
        <v/>
      </c>
      <c r="G33" s="23" t="str">
        <f t="shared" si="1"/>
        <v/>
      </c>
    </row>
    <row r="34" spans="1:8" x14ac:dyDescent="0.25">
      <c r="A34" s="15">
        <v>10</v>
      </c>
      <c r="B34" s="24" t="s">
        <v>35</v>
      </c>
      <c r="C34" s="24" t="s">
        <v>238</v>
      </c>
      <c r="D34" s="25" t="s">
        <v>122</v>
      </c>
      <c r="E34" s="24" t="s">
        <v>4</v>
      </c>
      <c r="F34" s="20" t="str">
        <f t="shared" si="0"/>
        <v>https://docs.google.com/uc?export=download&amp;id=1mwul5IpSIZvG_axjaFvRkd6WG40Zcbcb</v>
      </c>
      <c r="G34" s="23" t="str">
        <f t="shared" si="1"/>
        <v>1mwul5IpSIZvG_axjaFvRkd6WG40Zcbcb</v>
      </c>
      <c r="H34" s="21" t="s">
        <v>295</v>
      </c>
    </row>
    <row r="35" spans="1:8" x14ac:dyDescent="0.25">
      <c r="B35" s="24" t="s">
        <v>35</v>
      </c>
      <c r="C35" s="24" t="s">
        <v>64</v>
      </c>
      <c r="D35" s="25" t="s">
        <v>123</v>
      </c>
      <c r="E35" s="24" t="s">
        <v>5</v>
      </c>
      <c r="F35" s="20" t="str">
        <f t="shared" si="0"/>
        <v/>
      </c>
      <c r="G35" s="23" t="str">
        <f t="shared" si="1"/>
        <v/>
      </c>
    </row>
    <row r="36" spans="1:8" x14ac:dyDescent="0.25">
      <c r="B36" s="24">
        <v>3</v>
      </c>
      <c r="C36" s="24" t="s">
        <v>65</v>
      </c>
      <c r="D36" s="25" t="s">
        <v>180</v>
      </c>
      <c r="E36" s="24" t="s">
        <v>11</v>
      </c>
      <c r="F36" s="20" t="str">
        <f t="shared" si="0"/>
        <v/>
      </c>
      <c r="G36" s="23" t="str">
        <f t="shared" si="1"/>
        <v/>
      </c>
    </row>
    <row r="37" spans="1:8" x14ac:dyDescent="0.25">
      <c r="B37" s="24" t="s">
        <v>18</v>
      </c>
      <c r="C37" s="24" t="s">
        <v>66</v>
      </c>
      <c r="D37" s="25" t="s">
        <v>202</v>
      </c>
      <c r="E37" s="24" t="s">
        <v>3</v>
      </c>
      <c r="F37" s="20" t="str">
        <f t="shared" si="0"/>
        <v/>
      </c>
      <c r="G37" s="23" t="str">
        <f t="shared" si="1"/>
        <v/>
      </c>
    </row>
    <row r="38" spans="1:8" x14ac:dyDescent="0.25">
      <c r="A38" s="15">
        <v>11</v>
      </c>
      <c r="B38" s="24" t="s">
        <v>18</v>
      </c>
      <c r="C38" s="24" t="s">
        <v>239</v>
      </c>
      <c r="D38" s="25" t="s">
        <v>124</v>
      </c>
      <c r="E38" s="24" t="s">
        <v>4</v>
      </c>
      <c r="F38" s="20" t="str">
        <f t="shared" si="0"/>
        <v>https://docs.google.com/uc?export=download&amp;id=1mt5TWOihD0jpSFeE0AQVHUGOnNtg9KXw</v>
      </c>
      <c r="G38" s="23" t="str">
        <f t="shared" si="1"/>
        <v>1mt5TWOihD0jpSFeE0AQVHUGOnNtg9KXw</v>
      </c>
      <c r="H38" s="21" t="s">
        <v>296</v>
      </c>
    </row>
    <row r="39" spans="1:8" x14ac:dyDescent="0.25">
      <c r="B39" s="24" t="s">
        <v>18</v>
      </c>
      <c r="C39" s="24" t="s">
        <v>67</v>
      </c>
      <c r="D39" s="25" t="s">
        <v>125</v>
      </c>
      <c r="E39" s="24" t="s">
        <v>5</v>
      </c>
      <c r="F39" s="20" t="str">
        <f t="shared" si="0"/>
        <v/>
      </c>
      <c r="G39" s="23" t="str">
        <f t="shared" si="1"/>
        <v/>
      </c>
    </row>
    <row r="40" spans="1:8" x14ac:dyDescent="0.25">
      <c r="B40" s="24" t="s">
        <v>19</v>
      </c>
      <c r="C40" s="24" t="s">
        <v>68</v>
      </c>
      <c r="D40" s="25" t="s">
        <v>203</v>
      </c>
      <c r="E40" s="24" t="s">
        <v>3</v>
      </c>
      <c r="F40" s="20" t="str">
        <f t="shared" si="0"/>
        <v/>
      </c>
      <c r="G40" s="23" t="str">
        <f t="shared" si="1"/>
        <v/>
      </c>
    </row>
    <row r="41" spans="1:8" x14ac:dyDescent="0.25">
      <c r="A41" s="15">
        <v>12</v>
      </c>
      <c r="B41" s="24" t="s">
        <v>19</v>
      </c>
      <c r="C41" s="24" t="s">
        <v>240</v>
      </c>
      <c r="D41" s="25" t="s">
        <v>126</v>
      </c>
      <c r="E41" s="24" t="s">
        <v>4</v>
      </c>
      <c r="F41" s="20" t="str">
        <f t="shared" si="0"/>
        <v>https://docs.google.com/uc?export=download&amp;id=1egSrW5SoJbQ2nFRfw3KlTnPxsGd5lIAz</v>
      </c>
      <c r="G41" s="23" t="str">
        <f t="shared" si="1"/>
        <v>1egSrW5SoJbQ2nFRfw3KlTnPxsGd5lIAz</v>
      </c>
      <c r="H41" s="21" t="s">
        <v>297</v>
      </c>
    </row>
    <row r="42" spans="1:8" x14ac:dyDescent="0.25">
      <c r="B42" s="24" t="s">
        <v>19</v>
      </c>
      <c r="C42" s="24" t="s">
        <v>69</v>
      </c>
      <c r="D42" s="25" t="s">
        <v>127</v>
      </c>
      <c r="E42" s="24" t="s">
        <v>5</v>
      </c>
      <c r="F42" s="20" t="str">
        <f t="shared" si="0"/>
        <v/>
      </c>
      <c r="G42" s="23" t="str">
        <f t="shared" si="1"/>
        <v/>
      </c>
    </row>
    <row r="43" spans="1:8" x14ac:dyDescent="0.25">
      <c r="B43" s="24" t="s">
        <v>20</v>
      </c>
      <c r="C43" s="24" t="s">
        <v>70</v>
      </c>
      <c r="D43" s="25" t="s">
        <v>204</v>
      </c>
      <c r="E43" s="24" t="s">
        <v>3</v>
      </c>
      <c r="F43" s="20" t="str">
        <f t="shared" si="0"/>
        <v/>
      </c>
      <c r="G43" s="23" t="str">
        <f t="shared" si="1"/>
        <v/>
      </c>
    </row>
    <row r="44" spans="1:8" x14ac:dyDescent="0.25">
      <c r="A44" s="15">
        <v>13</v>
      </c>
      <c r="B44" s="24" t="s">
        <v>20</v>
      </c>
      <c r="C44" s="24" t="s">
        <v>241</v>
      </c>
      <c r="D44" s="25" t="s">
        <v>128</v>
      </c>
      <c r="E44" s="24" t="s">
        <v>4</v>
      </c>
      <c r="F44" s="20" t="str">
        <f t="shared" si="0"/>
        <v>https://docs.google.com/uc?export=download&amp;id=1f8GfPpTqg-yi_PEP_q5ksYEBot2-Tdnc</v>
      </c>
      <c r="G44" s="23" t="str">
        <f t="shared" si="1"/>
        <v>1f8GfPpTqg-yi_PEP_q5ksYEBot2-Tdnc</v>
      </c>
      <c r="H44" s="21" t="s">
        <v>301</v>
      </c>
    </row>
    <row r="45" spans="1:8" x14ac:dyDescent="0.25">
      <c r="B45" s="24" t="s">
        <v>20</v>
      </c>
      <c r="C45" s="24" t="s">
        <v>71</v>
      </c>
      <c r="D45" s="25" t="s">
        <v>129</v>
      </c>
      <c r="E45" s="24" t="s">
        <v>5</v>
      </c>
      <c r="F45" s="20" t="str">
        <f t="shared" si="0"/>
        <v/>
      </c>
      <c r="G45" s="23" t="str">
        <f t="shared" si="1"/>
        <v/>
      </c>
    </row>
    <row r="46" spans="1:8" x14ac:dyDescent="0.25">
      <c r="B46" s="24" t="s">
        <v>37</v>
      </c>
      <c r="C46" s="24" t="s">
        <v>72</v>
      </c>
      <c r="D46" s="25" t="s">
        <v>205</v>
      </c>
      <c r="E46" s="24" t="s">
        <v>3</v>
      </c>
      <c r="F46" s="20" t="str">
        <f t="shared" si="0"/>
        <v/>
      </c>
      <c r="G46" s="23" t="str">
        <f t="shared" si="1"/>
        <v/>
      </c>
    </row>
    <row r="47" spans="1:8" x14ac:dyDescent="0.25">
      <c r="A47" s="15">
        <v>14</v>
      </c>
      <c r="B47" s="24" t="s">
        <v>37</v>
      </c>
      <c r="C47" s="24" t="s">
        <v>242</v>
      </c>
      <c r="D47" s="25" t="s">
        <v>130</v>
      </c>
      <c r="E47" s="24" t="s">
        <v>4</v>
      </c>
      <c r="F47" s="20" t="str">
        <f t="shared" si="0"/>
        <v>https://docs.google.com/uc?export=download&amp;id=1FqMiglwxRAtwzS7kO8a-S3SY76CAaBgF</v>
      </c>
      <c r="G47" s="23" t="str">
        <f t="shared" si="1"/>
        <v>1FqMiglwxRAtwzS7kO8a-S3SY76CAaBgF</v>
      </c>
      <c r="H47" s="21" t="s">
        <v>302</v>
      </c>
    </row>
    <row r="48" spans="1:8" x14ac:dyDescent="0.25">
      <c r="B48" s="24" t="s">
        <v>37</v>
      </c>
      <c r="C48" s="24" t="s">
        <v>73</v>
      </c>
      <c r="D48" s="25" t="s">
        <v>131</v>
      </c>
      <c r="E48" s="24" t="s">
        <v>5</v>
      </c>
      <c r="F48" s="20" t="str">
        <f t="shared" si="0"/>
        <v/>
      </c>
      <c r="G48" s="23" t="str">
        <f t="shared" si="1"/>
        <v/>
      </c>
    </row>
    <row r="49" spans="1:8" x14ac:dyDescent="0.25">
      <c r="B49" s="24" t="s">
        <v>38</v>
      </c>
      <c r="C49" s="24" t="s">
        <v>74</v>
      </c>
      <c r="D49" s="25" t="s">
        <v>206</v>
      </c>
      <c r="E49" s="24" t="s">
        <v>3</v>
      </c>
      <c r="F49" s="20" t="str">
        <f t="shared" si="0"/>
        <v/>
      </c>
      <c r="G49" s="23" t="str">
        <f t="shared" si="1"/>
        <v/>
      </c>
    </row>
    <row r="50" spans="1:8" x14ac:dyDescent="0.25">
      <c r="A50" s="15">
        <v>15</v>
      </c>
      <c r="B50" s="24" t="s">
        <v>38</v>
      </c>
      <c r="C50" s="24" t="s">
        <v>243</v>
      </c>
      <c r="D50" s="25" t="s">
        <v>132</v>
      </c>
      <c r="E50" s="24" t="s">
        <v>4</v>
      </c>
      <c r="F50" s="20" t="str">
        <f t="shared" si="0"/>
        <v>https://docs.google.com/uc?export=download&amp;id=1OiVt5yZKxsQq3xChcw5YxAQgXQZhZBuX</v>
      </c>
      <c r="G50" s="23" t="str">
        <f t="shared" si="1"/>
        <v>1OiVt5yZKxsQq3xChcw5YxAQgXQZhZBuX</v>
      </c>
      <c r="H50" s="21" t="s">
        <v>303</v>
      </c>
    </row>
    <row r="51" spans="1:8" x14ac:dyDescent="0.25">
      <c r="B51" s="24" t="s">
        <v>38</v>
      </c>
      <c r="C51" s="24" t="s">
        <v>75</v>
      </c>
      <c r="D51" s="25" t="s">
        <v>133</v>
      </c>
      <c r="E51" s="24" t="s">
        <v>5</v>
      </c>
      <c r="F51" s="20" t="str">
        <f t="shared" si="0"/>
        <v/>
      </c>
      <c r="G51" s="23" t="str">
        <f t="shared" si="1"/>
        <v/>
      </c>
    </row>
    <row r="52" spans="1:8" x14ac:dyDescent="0.25">
      <c r="B52" s="24" t="s">
        <v>39</v>
      </c>
      <c r="C52" s="24" t="s">
        <v>76</v>
      </c>
      <c r="D52" s="25" t="s">
        <v>207</v>
      </c>
      <c r="E52" s="24" t="s">
        <v>3</v>
      </c>
      <c r="F52" s="20" t="str">
        <f t="shared" si="0"/>
        <v/>
      </c>
      <c r="G52" s="23" t="str">
        <f t="shared" si="1"/>
        <v/>
      </c>
    </row>
    <row r="53" spans="1:8" x14ac:dyDescent="0.25">
      <c r="A53" s="15">
        <v>16</v>
      </c>
      <c r="B53" s="24" t="s">
        <v>39</v>
      </c>
      <c r="C53" s="24" t="s">
        <v>244</v>
      </c>
      <c r="D53" s="25" t="s">
        <v>134</v>
      </c>
      <c r="E53" s="24" t="s">
        <v>4</v>
      </c>
      <c r="F53" s="20" t="str">
        <f t="shared" si="0"/>
        <v>https://docs.google.com/uc?export=download&amp;id=1IWVq59AOU5R8gAuN7oSHniPJJPcKXZUa</v>
      </c>
      <c r="G53" s="23" t="str">
        <f t="shared" si="1"/>
        <v>1IWVq59AOU5R8gAuN7oSHniPJJPcKXZUa</v>
      </c>
      <c r="H53" s="21" t="s">
        <v>304</v>
      </c>
    </row>
    <row r="54" spans="1:8" x14ac:dyDescent="0.25">
      <c r="B54" s="24" t="s">
        <v>39</v>
      </c>
      <c r="C54" s="24" t="s">
        <v>77</v>
      </c>
      <c r="D54" s="25" t="s">
        <v>135</v>
      </c>
      <c r="E54" s="24" t="s">
        <v>5</v>
      </c>
      <c r="F54" s="20" t="str">
        <f t="shared" si="0"/>
        <v/>
      </c>
      <c r="G54" s="23" t="str">
        <f t="shared" si="1"/>
        <v/>
      </c>
    </row>
    <row r="55" spans="1:8" x14ac:dyDescent="0.25">
      <c r="B55" s="24" t="s">
        <v>40</v>
      </c>
      <c r="C55" s="24" t="s">
        <v>78</v>
      </c>
      <c r="D55" s="25" t="s">
        <v>208</v>
      </c>
      <c r="E55" s="24" t="s">
        <v>3</v>
      </c>
      <c r="F55" s="20" t="str">
        <f t="shared" si="0"/>
        <v/>
      </c>
      <c r="G55" s="23" t="str">
        <f t="shared" si="1"/>
        <v/>
      </c>
    </row>
    <row r="56" spans="1:8" x14ac:dyDescent="0.25">
      <c r="A56" s="15">
        <v>17</v>
      </c>
      <c r="B56" s="24" t="s">
        <v>40</v>
      </c>
      <c r="C56" s="24" t="s">
        <v>245</v>
      </c>
      <c r="D56" s="25" t="s">
        <v>136</v>
      </c>
      <c r="E56" s="24" t="s">
        <v>4</v>
      </c>
      <c r="F56" s="20" t="str">
        <f t="shared" si="0"/>
        <v>https://docs.google.com/uc?export=download&amp;id=15TNIAMLDZt4oBFvmwN73jDxZdUv336UG</v>
      </c>
      <c r="G56" s="23" t="str">
        <f t="shared" si="1"/>
        <v>15TNIAMLDZt4oBFvmwN73jDxZdUv336UG</v>
      </c>
      <c r="H56" s="21" t="s">
        <v>305</v>
      </c>
    </row>
    <row r="57" spans="1:8" x14ac:dyDescent="0.25">
      <c r="B57" s="24" t="s">
        <v>40</v>
      </c>
      <c r="C57" s="24" t="s">
        <v>79</v>
      </c>
      <c r="D57" s="25" t="s">
        <v>137</v>
      </c>
      <c r="E57" s="24" t="s">
        <v>5</v>
      </c>
      <c r="F57" s="20" t="str">
        <f t="shared" si="0"/>
        <v/>
      </c>
      <c r="G57" s="23" t="str">
        <f t="shared" si="1"/>
        <v/>
      </c>
    </row>
    <row r="58" spans="1:8" x14ac:dyDescent="0.25">
      <c r="B58" s="24" t="s">
        <v>41</v>
      </c>
      <c r="C58" s="24" t="s">
        <v>80</v>
      </c>
      <c r="D58" s="25" t="s">
        <v>209</v>
      </c>
      <c r="E58" s="24" t="s">
        <v>3</v>
      </c>
      <c r="F58" s="20" t="str">
        <f t="shared" si="0"/>
        <v/>
      </c>
      <c r="G58" s="23" t="str">
        <f t="shared" si="1"/>
        <v/>
      </c>
    </row>
    <row r="59" spans="1:8" s="10" customFormat="1" x14ac:dyDescent="0.25">
      <c r="A59" s="15">
        <v>18</v>
      </c>
      <c r="B59" s="24" t="s">
        <v>41</v>
      </c>
      <c r="C59" s="24" t="s">
        <v>246</v>
      </c>
      <c r="D59" s="25" t="s">
        <v>138</v>
      </c>
      <c r="E59" s="24" t="s">
        <v>4</v>
      </c>
      <c r="F59" s="20" t="str">
        <f t="shared" si="0"/>
        <v>https://docs.google.com/uc?export=download&amp;id=1-xPQGNDSTnH9WJrkRAd88VMlDFTJbgVu</v>
      </c>
      <c r="G59" s="23" t="str">
        <f t="shared" si="1"/>
        <v>1-xPQGNDSTnH9WJrkRAd88VMlDFTJbgVu</v>
      </c>
      <c r="H59" s="21" t="s">
        <v>306</v>
      </c>
    </row>
    <row r="60" spans="1:8" x14ac:dyDescent="0.25">
      <c r="B60" s="24" t="s">
        <v>41</v>
      </c>
      <c r="C60" s="24" t="s">
        <v>81</v>
      </c>
      <c r="D60" s="20" t="s">
        <v>139</v>
      </c>
      <c r="E60" s="24" t="s">
        <v>5</v>
      </c>
      <c r="F60" s="20" t="str">
        <f t="shared" si="0"/>
        <v/>
      </c>
      <c r="G60" s="23" t="str">
        <f t="shared" si="1"/>
        <v/>
      </c>
    </row>
    <row r="61" spans="1:8" x14ac:dyDescent="0.25">
      <c r="B61" s="24" t="s">
        <v>183</v>
      </c>
      <c r="C61" s="24" t="s">
        <v>247</v>
      </c>
      <c r="D61" s="25" t="s">
        <v>210</v>
      </c>
      <c r="E61" s="24" t="s">
        <v>3</v>
      </c>
      <c r="F61" s="20" t="str">
        <f t="shared" si="0"/>
        <v/>
      </c>
      <c r="G61" s="23" t="str">
        <f t="shared" si="1"/>
        <v/>
      </c>
    </row>
    <row r="62" spans="1:8" x14ac:dyDescent="0.25">
      <c r="A62" s="15">
        <v>19</v>
      </c>
      <c r="B62" s="24" t="s">
        <v>183</v>
      </c>
      <c r="C62" s="24" t="s">
        <v>248</v>
      </c>
      <c r="D62" s="25" t="s">
        <v>140</v>
      </c>
      <c r="E62" s="24" t="s">
        <v>4</v>
      </c>
      <c r="F62" s="20" t="str">
        <f t="shared" si="0"/>
        <v>https://docs.google.com/uc?export=download&amp;id=1tl2m8jVcLTOs7-I0Gyyu8Fof4oA7lVaw</v>
      </c>
      <c r="G62" s="23" t="str">
        <f t="shared" si="1"/>
        <v>1tl2m8jVcLTOs7-I0Gyyu8Fof4oA7lVaw</v>
      </c>
      <c r="H62" s="21" t="s">
        <v>307</v>
      </c>
    </row>
    <row r="63" spans="1:8" x14ac:dyDescent="0.25">
      <c r="B63" s="24" t="s">
        <v>183</v>
      </c>
      <c r="C63" s="24" t="s">
        <v>249</v>
      </c>
      <c r="D63" s="25" t="s">
        <v>141</v>
      </c>
      <c r="E63" s="24" t="s">
        <v>5</v>
      </c>
      <c r="F63" s="20" t="str">
        <f t="shared" si="0"/>
        <v/>
      </c>
      <c r="G63" s="23" t="str">
        <f t="shared" si="1"/>
        <v/>
      </c>
    </row>
    <row r="64" spans="1:8" x14ac:dyDescent="0.25">
      <c r="B64" s="24" t="s">
        <v>184</v>
      </c>
      <c r="C64" s="24" t="s">
        <v>250</v>
      </c>
      <c r="D64" s="25" t="s">
        <v>211</v>
      </c>
      <c r="E64" s="24" t="s">
        <v>3</v>
      </c>
      <c r="F64" s="20" t="str">
        <f t="shared" si="0"/>
        <v/>
      </c>
      <c r="G64" s="23" t="str">
        <f t="shared" si="1"/>
        <v/>
      </c>
    </row>
    <row r="65" spans="1:8" x14ac:dyDescent="0.25">
      <c r="A65" s="15">
        <v>20</v>
      </c>
      <c r="B65" s="24" t="s">
        <v>184</v>
      </c>
      <c r="C65" s="24" t="s">
        <v>251</v>
      </c>
      <c r="D65" s="25" t="s">
        <v>142</v>
      </c>
      <c r="E65" s="24" t="s">
        <v>4</v>
      </c>
      <c r="F65" s="20" t="str">
        <f t="shared" si="0"/>
        <v>https://docs.google.com/uc?export=download&amp;id=1-7RJH-owW6j1_TZ7v7OaPg8lSdRV0G7j</v>
      </c>
      <c r="G65" s="23" t="str">
        <f t="shared" si="1"/>
        <v>1-7RJH-owW6j1_TZ7v7OaPg8lSdRV0G7j</v>
      </c>
      <c r="H65" s="21" t="s">
        <v>322</v>
      </c>
    </row>
    <row r="66" spans="1:8" x14ac:dyDescent="0.25">
      <c r="B66" s="24" t="s">
        <v>184</v>
      </c>
      <c r="C66" s="24" t="s">
        <v>252</v>
      </c>
      <c r="D66" s="25" t="s">
        <v>143</v>
      </c>
      <c r="E66" s="24" t="s">
        <v>5</v>
      </c>
      <c r="F66" s="20" t="str">
        <f t="shared" si="0"/>
        <v/>
      </c>
      <c r="G66" s="23" t="str">
        <f t="shared" si="1"/>
        <v/>
      </c>
    </row>
    <row r="67" spans="1:8" x14ac:dyDescent="0.25">
      <c r="B67" s="24" t="s">
        <v>185</v>
      </c>
      <c r="C67" s="24" t="s">
        <v>253</v>
      </c>
      <c r="D67" s="25" t="s">
        <v>212</v>
      </c>
      <c r="E67" s="24" t="s">
        <v>3</v>
      </c>
      <c r="F67" s="20" t="str">
        <f t="shared" si="0"/>
        <v/>
      </c>
      <c r="G67" s="23" t="str">
        <f t="shared" si="1"/>
        <v/>
      </c>
    </row>
    <row r="68" spans="1:8" x14ac:dyDescent="0.25">
      <c r="A68" s="15">
        <v>21</v>
      </c>
      <c r="B68" s="24" t="s">
        <v>185</v>
      </c>
      <c r="C68" s="24" t="s">
        <v>254</v>
      </c>
      <c r="D68" s="25" t="s">
        <v>144</v>
      </c>
      <c r="E68" s="24" t="s">
        <v>4</v>
      </c>
      <c r="F68" s="20" t="str">
        <f t="shared" si="0"/>
        <v>https://docs.google.com/uc?export=download&amp;id=1OkxIu5ZGWFNYvqKXpaNpEV8_t_l-mXFF</v>
      </c>
      <c r="G68" s="23" t="str">
        <f t="shared" si="1"/>
        <v>1OkxIu5ZGWFNYvqKXpaNpEV8_t_l-mXFF</v>
      </c>
      <c r="H68" s="21" t="s">
        <v>298</v>
      </c>
    </row>
    <row r="69" spans="1:8" x14ac:dyDescent="0.25">
      <c r="B69" s="24" t="s">
        <v>185</v>
      </c>
      <c r="C69" s="24" t="s">
        <v>255</v>
      </c>
      <c r="D69" s="25" t="s">
        <v>145</v>
      </c>
      <c r="E69" s="24" t="s">
        <v>5</v>
      </c>
      <c r="F69" s="20" t="str">
        <f t="shared" ref="F69:F119" si="2">IF(G69="","","https://docs.google.com/uc?export=download&amp;id="&amp;G69)</f>
        <v/>
      </c>
      <c r="G69" s="23" t="str">
        <f t="shared" si="1"/>
        <v/>
      </c>
    </row>
    <row r="70" spans="1:8" x14ac:dyDescent="0.25">
      <c r="B70" s="24" t="s">
        <v>186</v>
      </c>
      <c r="C70" s="24" t="s">
        <v>256</v>
      </c>
      <c r="D70" s="25" t="s">
        <v>213</v>
      </c>
      <c r="E70" s="24" t="s">
        <v>3</v>
      </c>
      <c r="F70" s="20" t="str">
        <f t="shared" si="2"/>
        <v/>
      </c>
      <c r="G70" s="23" t="str">
        <f t="shared" ref="G70:G119" si="3">IFERROR(LEFT(RIGHT(H70,LEN(H70)-32),LEN(RIGHT(H70,LEN(H70)-32))-17),"")</f>
        <v/>
      </c>
    </row>
    <row r="71" spans="1:8" x14ac:dyDescent="0.25">
      <c r="A71" s="15">
        <v>22</v>
      </c>
      <c r="B71" s="24" t="s">
        <v>186</v>
      </c>
      <c r="C71" s="24" t="s">
        <v>257</v>
      </c>
      <c r="D71" s="25" t="s">
        <v>146</v>
      </c>
      <c r="E71" s="24" t="s">
        <v>4</v>
      </c>
      <c r="F71" s="20" t="str">
        <f t="shared" si="2"/>
        <v>https://docs.google.com/uc?export=download&amp;id=1bdrEWckLFBoYVTbB4wVRzyydcjpWAtqx</v>
      </c>
      <c r="G71" s="23" t="str">
        <f t="shared" si="3"/>
        <v>1bdrEWckLFBoYVTbB4wVRzyydcjpWAtqx</v>
      </c>
      <c r="H71" s="21" t="s">
        <v>299</v>
      </c>
    </row>
    <row r="72" spans="1:8" s="10" customFormat="1" x14ac:dyDescent="0.25">
      <c r="A72" s="15"/>
      <c r="B72" s="24" t="s">
        <v>186</v>
      </c>
      <c r="C72" s="24" t="s">
        <v>258</v>
      </c>
      <c r="D72" s="25" t="s">
        <v>147</v>
      </c>
      <c r="E72" s="24" t="s">
        <v>5</v>
      </c>
      <c r="F72" s="20" t="str">
        <f t="shared" si="2"/>
        <v/>
      </c>
      <c r="G72" s="23" t="str">
        <f t="shared" si="3"/>
        <v/>
      </c>
      <c r="H72" s="21"/>
    </row>
    <row r="73" spans="1:8" x14ac:dyDescent="0.25">
      <c r="B73" s="24" t="s">
        <v>187</v>
      </c>
      <c r="C73" s="24" t="s">
        <v>259</v>
      </c>
      <c r="D73" s="25" t="s">
        <v>214</v>
      </c>
      <c r="E73" s="24" t="s">
        <v>3</v>
      </c>
      <c r="F73" s="20" t="str">
        <f t="shared" si="2"/>
        <v/>
      </c>
      <c r="G73" s="23" t="str">
        <f t="shared" si="3"/>
        <v/>
      </c>
    </row>
    <row r="74" spans="1:8" x14ac:dyDescent="0.25">
      <c r="A74" s="15">
        <v>23</v>
      </c>
      <c r="B74" s="24" t="s">
        <v>187</v>
      </c>
      <c r="C74" s="24" t="s">
        <v>260</v>
      </c>
      <c r="D74" s="25" t="s">
        <v>148</v>
      </c>
      <c r="E74" s="24" t="s">
        <v>4</v>
      </c>
      <c r="F74" s="20" t="str">
        <f t="shared" si="2"/>
        <v>https://docs.google.com/uc?export=download&amp;id=1ZM7SdDIOi2EMlSbNuq_rN4EB_yeg2kRo</v>
      </c>
      <c r="G74" s="23" t="str">
        <f t="shared" si="3"/>
        <v>1ZM7SdDIOi2EMlSbNuq_rN4EB_yeg2kRo</v>
      </c>
      <c r="H74" s="21" t="s">
        <v>300</v>
      </c>
    </row>
    <row r="75" spans="1:8" x14ac:dyDescent="0.25">
      <c r="B75" s="24" t="s">
        <v>187</v>
      </c>
      <c r="C75" s="24" t="s">
        <v>261</v>
      </c>
      <c r="D75" s="25" t="s">
        <v>149</v>
      </c>
      <c r="E75" s="24" t="s">
        <v>5</v>
      </c>
      <c r="F75" s="20" t="str">
        <f t="shared" si="2"/>
        <v/>
      </c>
      <c r="G75" s="23" t="str">
        <f t="shared" si="3"/>
        <v/>
      </c>
    </row>
    <row r="76" spans="1:8" x14ac:dyDescent="0.25">
      <c r="B76" s="24">
        <v>4</v>
      </c>
      <c r="C76" s="24" t="s">
        <v>82</v>
      </c>
      <c r="D76" s="25" t="s">
        <v>181</v>
      </c>
      <c r="E76" s="24" t="s">
        <v>11</v>
      </c>
      <c r="F76" s="20" t="str">
        <f t="shared" si="2"/>
        <v/>
      </c>
      <c r="G76" s="23" t="str">
        <f t="shared" si="3"/>
        <v/>
      </c>
    </row>
    <row r="77" spans="1:8" x14ac:dyDescent="0.25">
      <c r="B77" s="24" t="s">
        <v>21</v>
      </c>
      <c r="C77" s="24" t="s">
        <v>83</v>
      </c>
      <c r="D77" s="25" t="s">
        <v>215</v>
      </c>
      <c r="E77" s="24" t="s">
        <v>3</v>
      </c>
      <c r="F77" s="20" t="str">
        <f t="shared" si="2"/>
        <v/>
      </c>
      <c r="G77" s="23" t="str">
        <f t="shared" si="3"/>
        <v/>
      </c>
    </row>
    <row r="78" spans="1:8" x14ac:dyDescent="0.25">
      <c r="A78" s="15">
        <v>24</v>
      </c>
      <c r="B78" s="24" t="s">
        <v>21</v>
      </c>
      <c r="C78" s="24" t="s">
        <v>262</v>
      </c>
      <c r="D78" s="25" t="s">
        <v>150</v>
      </c>
      <c r="E78" s="24" t="s">
        <v>4</v>
      </c>
      <c r="F78" s="20" t="str">
        <f t="shared" si="2"/>
        <v>https://docs.google.com/uc?export=download&amp;id=1M0dZcuby1bD3qi_Ktengkp2eAOex--PB</v>
      </c>
      <c r="G78" s="23" t="str">
        <f t="shared" si="3"/>
        <v>1M0dZcuby1bD3qi_Ktengkp2eAOex--PB</v>
      </c>
      <c r="H78" s="21" t="s">
        <v>308</v>
      </c>
    </row>
    <row r="79" spans="1:8" x14ac:dyDescent="0.25">
      <c r="B79" s="24" t="s">
        <v>21</v>
      </c>
      <c r="C79" s="24" t="s">
        <v>84</v>
      </c>
      <c r="D79" s="25" t="s">
        <v>151</v>
      </c>
      <c r="E79" s="24" t="s">
        <v>5</v>
      </c>
      <c r="F79" s="20" t="str">
        <f t="shared" si="2"/>
        <v/>
      </c>
      <c r="G79" s="23" t="str">
        <f t="shared" si="3"/>
        <v/>
      </c>
    </row>
    <row r="80" spans="1:8" x14ac:dyDescent="0.25">
      <c r="B80" s="24" t="s">
        <v>22</v>
      </c>
      <c r="C80" s="24" t="s">
        <v>85</v>
      </c>
      <c r="D80" s="25" t="s">
        <v>216</v>
      </c>
      <c r="E80" s="24" t="s">
        <v>3</v>
      </c>
      <c r="F80" s="20" t="str">
        <f t="shared" si="2"/>
        <v/>
      </c>
      <c r="G80" s="23" t="str">
        <f t="shared" si="3"/>
        <v/>
      </c>
    </row>
    <row r="81" spans="1:8" x14ac:dyDescent="0.25">
      <c r="A81" s="15">
        <v>25</v>
      </c>
      <c r="B81" s="24" t="s">
        <v>22</v>
      </c>
      <c r="C81" s="24" t="s">
        <v>263</v>
      </c>
      <c r="D81" s="25" t="s">
        <v>152</v>
      </c>
      <c r="E81" s="24" t="s">
        <v>4</v>
      </c>
      <c r="F81" s="20" t="str">
        <f t="shared" si="2"/>
        <v>https://docs.google.com/uc?export=download&amp;id=1YtvC8lEr2P1OSdsBqHQsQolwkotYiRy0</v>
      </c>
      <c r="G81" s="23" t="str">
        <f t="shared" si="3"/>
        <v>1YtvC8lEr2P1OSdsBqHQsQolwkotYiRy0</v>
      </c>
      <c r="H81" s="21" t="s">
        <v>309</v>
      </c>
    </row>
    <row r="82" spans="1:8" x14ac:dyDescent="0.25">
      <c r="B82" s="24" t="s">
        <v>22</v>
      </c>
      <c r="C82" s="24" t="s">
        <v>86</v>
      </c>
      <c r="D82" s="25" t="s">
        <v>153</v>
      </c>
      <c r="E82" s="24" t="s">
        <v>5</v>
      </c>
      <c r="F82" s="20" t="str">
        <f t="shared" si="2"/>
        <v/>
      </c>
      <c r="G82" s="23" t="str">
        <f t="shared" si="3"/>
        <v/>
      </c>
    </row>
    <row r="83" spans="1:8" x14ac:dyDescent="0.25">
      <c r="B83" s="24" t="s">
        <v>23</v>
      </c>
      <c r="C83" s="24" t="s">
        <v>87</v>
      </c>
      <c r="D83" s="25" t="s">
        <v>217</v>
      </c>
      <c r="E83" s="24" t="s">
        <v>3</v>
      </c>
      <c r="F83" s="20" t="str">
        <f t="shared" si="2"/>
        <v/>
      </c>
      <c r="G83" s="23" t="str">
        <f t="shared" si="3"/>
        <v/>
      </c>
    </row>
    <row r="84" spans="1:8" x14ac:dyDescent="0.25">
      <c r="A84" s="15">
        <v>26</v>
      </c>
      <c r="B84" s="24" t="s">
        <v>23</v>
      </c>
      <c r="C84" s="24" t="s">
        <v>264</v>
      </c>
      <c r="D84" s="25" t="s">
        <v>154</v>
      </c>
      <c r="E84" s="24" t="s">
        <v>4</v>
      </c>
      <c r="F84" s="20" t="str">
        <f t="shared" si="2"/>
        <v>https://docs.google.com/uc?export=download&amp;id=1UWZvGGItrj1sR8GySgbuiH75idhZEhzI</v>
      </c>
      <c r="G84" s="23" t="str">
        <f t="shared" si="3"/>
        <v>1UWZvGGItrj1sR8GySgbuiH75idhZEhzI</v>
      </c>
      <c r="H84" s="21" t="s">
        <v>310</v>
      </c>
    </row>
    <row r="85" spans="1:8" s="10" customFormat="1" x14ac:dyDescent="0.25">
      <c r="A85" s="15"/>
      <c r="B85" s="24" t="s">
        <v>23</v>
      </c>
      <c r="C85" s="24" t="s">
        <v>88</v>
      </c>
      <c r="D85" s="20" t="s">
        <v>155</v>
      </c>
      <c r="E85" s="24" t="s">
        <v>5</v>
      </c>
      <c r="F85" s="20" t="str">
        <f t="shared" si="2"/>
        <v/>
      </c>
      <c r="G85" s="23" t="str">
        <f t="shared" si="3"/>
        <v/>
      </c>
      <c r="H85" s="21"/>
    </row>
    <row r="86" spans="1:8" x14ac:dyDescent="0.25">
      <c r="B86" s="24" t="s">
        <v>30</v>
      </c>
      <c r="C86" s="24" t="s">
        <v>89</v>
      </c>
      <c r="D86" s="25" t="s">
        <v>218</v>
      </c>
      <c r="E86" s="24" t="s">
        <v>3</v>
      </c>
      <c r="F86" s="20" t="str">
        <f t="shared" si="2"/>
        <v/>
      </c>
      <c r="G86" s="23" t="str">
        <f t="shared" si="3"/>
        <v/>
      </c>
    </row>
    <row r="87" spans="1:8" x14ac:dyDescent="0.25">
      <c r="A87" s="15">
        <v>27</v>
      </c>
      <c r="B87" s="24" t="s">
        <v>30</v>
      </c>
      <c r="C87" s="24" t="s">
        <v>265</v>
      </c>
      <c r="D87" s="25" t="s">
        <v>156</v>
      </c>
      <c r="E87" s="24" t="s">
        <v>4</v>
      </c>
      <c r="F87" s="20" t="str">
        <f t="shared" si="2"/>
        <v>https://docs.google.com/uc?export=download&amp;id=1hSqRKAPH0DhYyNaSXfOQ8XEnHS8rWbk3</v>
      </c>
      <c r="G87" s="23" t="str">
        <f t="shared" si="3"/>
        <v>1hSqRKAPH0DhYyNaSXfOQ8XEnHS8rWbk3</v>
      </c>
      <c r="H87" s="21" t="s">
        <v>311</v>
      </c>
    </row>
    <row r="88" spans="1:8" x14ac:dyDescent="0.25">
      <c r="B88" s="24" t="s">
        <v>30</v>
      </c>
      <c r="C88" s="24" t="s">
        <v>90</v>
      </c>
      <c r="D88" s="25" t="s">
        <v>157</v>
      </c>
      <c r="E88" s="24" t="s">
        <v>5</v>
      </c>
      <c r="F88" s="20" t="str">
        <f t="shared" si="2"/>
        <v/>
      </c>
      <c r="G88" s="23" t="str">
        <f t="shared" si="3"/>
        <v/>
      </c>
    </row>
    <row r="89" spans="1:8" x14ac:dyDescent="0.25">
      <c r="B89" s="24" t="s">
        <v>36</v>
      </c>
      <c r="C89" s="24" t="s">
        <v>91</v>
      </c>
      <c r="D89" s="25" t="s">
        <v>219</v>
      </c>
      <c r="E89" s="24" t="s">
        <v>3</v>
      </c>
      <c r="F89" s="20" t="str">
        <f t="shared" si="2"/>
        <v/>
      </c>
      <c r="G89" s="23" t="str">
        <f t="shared" si="3"/>
        <v/>
      </c>
    </row>
    <row r="90" spans="1:8" x14ac:dyDescent="0.25">
      <c r="A90" s="15">
        <v>28</v>
      </c>
      <c r="B90" s="24" t="s">
        <v>36</v>
      </c>
      <c r="C90" s="24" t="s">
        <v>266</v>
      </c>
      <c r="D90" s="25" t="s">
        <v>158</v>
      </c>
      <c r="E90" s="24" t="s">
        <v>4</v>
      </c>
      <c r="F90" s="20" t="str">
        <f t="shared" si="2"/>
        <v>https://docs.google.com/uc?export=download&amp;id=1cHlEmuSgERf52cflsIN6nwlXJVwiEC6y</v>
      </c>
      <c r="G90" s="23" t="str">
        <f t="shared" si="3"/>
        <v>1cHlEmuSgERf52cflsIN6nwlXJVwiEC6y</v>
      </c>
      <c r="H90" s="21" t="s">
        <v>312</v>
      </c>
    </row>
    <row r="91" spans="1:8" x14ac:dyDescent="0.25">
      <c r="B91" s="24" t="s">
        <v>36</v>
      </c>
      <c r="C91" s="24" t="s">
        <v>92</v>
      </c>
      <c r="D91" s="25" t="s">
        <v>159</v>
      </c>
      <c r="E91" s="24" t="s">
        <v>5</v>
      </c>
      <c r="F91" s="20" t="str">
        <f t="shared" si="2"/>
        <v/>
      </c>
      <c r="G91" s="23" t="str">
        <f t="shared" si="3"/>
        <v/>
      </c>
    </row>
    <row r="92" spans="1:8" x14ac:dyDescent="0.25">
      <c r="B92" s="24" t="s">
        <v>42</v>
      </c>
      <c r="C92" s="24" t="s">
        <v>93</v>
      </c>
      <c r="D92" s="25" t="s">
        <v>220</v>
      </c>
      <c r="E92" s="24" t="s">
        <v>3</v>
      </c>
      <c r="F92" s="20" t="str">
        <f t="shared" si="2"/>
        <v/>
      </c>
      <c r="G92" s="23" t="str">
        <f t="shared" si="3"/>
        <v/>
      </c>
    </row>
    <row r="93" spans="1:8" x14ac:dyDescent="0.25">
      <c r="A93" s="15">
        <v>29</v>
      </c>
      <c r="B93" s="24" t="s">
        <v>42</v>
      </c>
      <c r="C93" s="24" t="s">
        <v>267</v>
      </c>
      <c r="D93" s="25" t="s">
        <v>160</v>
      </c>
      <c r="E93" s="24" t="s">
        <v>4</v>
      </c>
      <c r="F93" s="20" t="str">
        <f t="shared" si="2"/>
        <v>https://docs.google.com/uc?export=download&amp;id=144zEVeMZVKppXDUrR46jBJ-ihiiSOmvE</v>
      </c>
      <c r="G93" s="23" t="str">
        <f t="shared" si="3"/>
        <v>144zEVeMZVKppXDUrR46jBJ-ihiiSOmvE</v>
      </c>
      <c r="H93" s="21" t="s">
        <v>313</v>
      </c>
    </row>
    <row r="94" spans="1:8" x14ac:dyDescent="0.25">
      <c r="B94" s="24" t="s">
        <v>42</v>
      </c>
      <c r="C94" s="24" t="s">
        <v>94</v>
      </c>
      <c r="D94" s="25" t="s">
        <v>161</v>
      </c>
      <c r="E94" s="24" t="s">
        <v>5</v>
      </c>
      <c r="F94" s="20" t="str">
        <f t="shared" si="2"/>
        <v/>
      </c>
      <c r="G94" s="23" t="str">
        <f t="shared" si="3"/>
        <v/>
      </c>
    </row>
    <row r="95" spans="1:8" x14ac:dyDescent="0.25">
      <c r="B95" s="24">
        <v>5</v>
      </c>
      <c r="C95" s="24" t="s">
        <v>95</v>
      </c>
      <c r="D95" s="25" t="s">
        <v>182</v>
      </c>
      <c r="E95" s="24" t="s">
        <v>11</v>
      </c>
      <c r="F95" s="20" t="str">
        <f t="shared" si="2"/>
        <v/>
      </c>
      <c r="G95" s="23" t="str">
        <f t="shared" si="3"/>
        <v/>
      </c>
    </row>
    <row r="96" spans="1:8" x14ac:dyDescent="0.25">
      <c r="B96" s="24" t="s">
        <v>24</v>
      </c>
      <c r="C96" s="24" t="s">
        <v>96</v>
      </c>
      <c r="D96" s="25" t="s">
        <v>221</v>
      </c>
      <c r="E96" s="24" t="s">
        <v>3</v>
      </c>
      <c r="F96" s="20" t="str">
        <f t="shared" si="2"/>
        <v/>
      </c>
      <c r="G96" s="23" t="str">
        <f t="shared" si="3"/>
        <v/>
      </c>
    </row>
    <row r="97" spans="1:8" x14ac:dyDescent="0.25">
      <c r="A97" s="15">
        <v>30</v>
      </c>
      <c r="B97" s="24" t="s">
        <v>24</v>
      </c>
      <c r="C97" s="24" t="s">
        <v>268</v>
      </c>
      <c r="D97" s="25" t="s">
        <v>162</v>
      </c>
      <c r="E97" s="24" t="s">
        <v>4</v>
      </c>
      <c r="F97" s="20" t="str">
        <f t="shared" si="2"/>
        <v>https://docs.google.com/uc?export=download&amp;id=1bddmoqSX-wqvJq4Uzm9JKa1LTPAolBc1</v>
      </c>
      <c r="G97" s="23" t="str">
        <f t="shared" si="3"/>
        <v>1bddmoqSX-wqvJq4Uzm9JKa1LTPAolBc1</v>
      </c>
      <c r="H97" s="21" t="s">
        <v>314</v>
      </c>
    </row>
    <row r="98" spans="1:8" x14ac:dyDescent="0.25">
      <c r="B98" s="24" t="s">
        <v>24</v>
      </c>
      <c r="C98" s="24" t="s">
        <v>97</v>
      </c>
      <c r="D98" s="25" t="s">
        <v>163</v>
      </c>
      <c r="E98" s="24" t="s">
        <v>5</v>
      </c>
      <c r="F98" s="20" t="str">
        <f t="shared" si="2"/>
        <v/>
      </c>
      <c r="G98" s="23" t="str">
        <f t="shared" si="3"/>
        <v/>
      </c>
    </row>
    <row r="99" spans="1:8" x14ac:dyDescent="0.25">
      <c r="B99" s="24" t="s">
        <v>25</v>
      </c>
      <c r="C99" s="24" t="s">
        <v>98</v>
      </c>
      <c r="D99" s="25" t="s">
        <v>222</v>
      </c>
      <c r="E99" s="24" t="s">
        <v>3</v>
      </c>
      <c r="F99" s="20" t="str">
        <f t="shared" si="2"/>
        <v/>
      </c>
      <c r="G99" s="23" t="str">
        <f t="shared" si="3"/>
        <v/>
      </c>
    </row>
    <row r="100" spans="1:8" x14ac:dyDescent="0.25">
      <c r="A100" s="15">
        <v>31</v>
      </c>
      <c r="B100" s="24" t="s">
        <v>25</v>
      </c>
      <c r="C100" s="24" t="s">
        <v>269</v>
      </c>
      <c r="D100" s="25" t="s">
        <v>164</v>
      </c>
      <c r="E100" s="24" t="s">
        <v>4</v>
      </c>
      <c r="F100" s="20" t="str">
        <f t="shared" si="2"/>
        <v>https://docs.google.com/uc?export=download&amp;id=1qtY1eQ3hhXP3y9yZyHjRVHFJjVmVgiGq</v>
      </c>
      <c r="G100" s="23" t="str">
        <f t="shared" si="3"/>
        <v>1qtY1eQ3hhXP3y9yZyHjRVHFJjVmVgiGq</v>
      </c>
      <c r="H100" s="21" t="s">
        <v>315</v>
      </c>
    </row>
    <row r="101" spans="1:8" x14ac:dyDescent="0.25">
      <c r="B101" s="24" t="s">
        <v>25</v>
      </c>
      <c r="C101" s="24" t="s">
        <v>99</v>
      </c>
      <c r="D101" s="25" t="s">
        <v>165</v>
      </c>
      <c r="E101" s="24" t="s">
        <v>5</v>
      </c>
      <c r="F101" s="20" t="str">
        <f t="shared" si="2"/>
        <v/>
      </c>
      <c r="G101" s="23" t="str">
        <f t="shared" si="3"/>
        <v/>
      </c>
    </row>
    <row r="102" spans="1:8" x14ac:dyDescent="0.25">
      <c r="B102" s="24" t="s">
        <v>26</v>
      </c>
      <c r="C102" s="24" t="s">
        <v>100</v>
      </c>
      <c r="D102" s="25" t="s">
        <v>223</v>
      </c>
      <c r="E102" s="24" t="s">
        <v>3</v>
      </c>
      <c r="F102" s="20" t="str">
        <f t="shared" si="2"/>
        <v/>
      </c>
      <c r="G102" s="23" t="str">
        <f t="shared" si="3"/>
        <v/>
      </c>
    </row>
    <row r="103" spans="1:8" x14ac:dyDescent="0.25">
      <c r="A103" s="15">
        <v>32</v>
      </c>
      <c r="B103" s="24" t="s">
        <v>26</v>
      </c>
      <c r="C103" s="24" t="s">
        <v>270</v>
      </c>
      <c r="D103" s="25" t="s">
        <v>166</v>
      </c>
      <c r="E103" s="24" t="s">
        <v>4</v>
      </c>
      <c r="F103" s="20" t="str">
        <f t="shared" si="2"/>
        <v>https://docs.google.com/uc?export=download&amp;id=1CBcXvNKrMiGqR7SixfZddESPReNbhCh3</v>
      </c>
      <c r="G103" s="23" t="str">
        <f t="shared" si="3"/>
        <v>1CBcXvNKrMiGqR7SixfZddESPReNbhCh3</v>
      </c>
      <c r="H103" s="21" t="s">
        <v>316</v>
      </c>
    </row>
    <row r="104" spans="1:8" x14ac:dyDescent="0.25">
      <c r="B104" s="24" t="s">
        <v>26</v>
      </c>
      <c r="C104" s="24" t="s">
        <v>101</v>
      </c>
      <c r="D104" s="25" t="s">
        <v>167</v>
      </c>
      <c r="E104" s="24" t="s">
        <v>5</v>
      </c>
      <c r="F104" s="20" t="str">
        <f t="shared" si="2"/>
        <v/>
      </c>
      <c r="G104" s="23" t="str">
        <f t="shared" si="3"/>
        <v/>
      </c>
    </row>
    <row r="105" spans="1:8" x14ac:dyDescent="0.25">
      <c r="B105" s="24" t="s">
        <v>31</v>
      </c>
      <c r="C105" s="24" t="s">
        <v>102</v>
      </c>
      <c r="D105" s="25" t="s">
        <v>224</v>
      </c>
      <c r="E105" s="24" t="s">
        <v>3</v>
      </c>
      <c r="F105" s="20" t="str">
        <f t="shared" si="2"/>
        <v/>
      </c>
      <c r="G105" s="23" t="str">
        <f t="shared" si="3"/>
        <v/>
      </c>
    </row>
    <row r="106" spans="1:8" x14ac:dyDescent="0.25">
      <c r="A106" s="15">
        <v>33</v>
      </c>
      <c r="B106" s="24" t="s">
        <v>31</v>
      </c>
      <c r="C106" s="24" t="s">
        <v>271</v>
      </c>
      <c r="D106" s="25" t="s">
        <v>168</v>
      </c>
      <c r="E106" s="24" t="s">
        <v>4</v>
      </c>
      <c r="F106" s="20" t="str">
        <f t="shared" si="2"/>
        <v>https://docs.google.com/uc?export=download&amp;id=1QxZFqhwtmJwpTHxeez0DTZsHUnEoqs55</v>
      </c>
      <c r="G106" s="23" t="str">
        <f t="shared" si="3"/>
        <v>1QxZFqhwtmJwpTHxeez0DTZsHUnEoqs55</v>
      </c>
      <c r="H106" s="21" t="s">
        <v>317</v>
      </c>
    </row>
    <row r="107" spans="1:8" x14ac:dyDescent="0.25">
      <c r="B107" s="24" t="s">
        <v>31</v>
      </c>
      <c r="C107" s="24" t="s">
        <v>103</v>
      </c>
      <c r="D107" s="20" t="s">
        <v>169</v>
      </c>
      <c r="E107" s="24" t="s">
        <v>5</v>
      </c>
      <c r="F107" s="20" t="str">
        <f t="shared" si="2"/>
        <v/>
      </c>
      <c r="G107" s="23" t="str">
        <f t="shared" si="3"/>
        <v/>
      </c>
    </row>
    <row r="108" spans="1:8" x14ac:dyDescent="0.25">
      <c r="B108" s="24" t="s">
        <v>188</v>
      </c>
      <c r="C108" s="24" t="s">
        <v>272</v>
      </c>
      <c r="D108" s="25" t="s">
        <v>225</v>
      </c>
      <c r="E108" s="24" t="s">
        <v>3</v>
      </c>
      <c r="F108" s="20" t="str">
        <f t="shared" si="2"/>
        <v/>
      </c>
      <c r="G108" s="23" t="str">
        <f t="shared" si="3"/>
        <v/>
      </c>
    </row>
    <row r="109" spans="1:8" x14ac:dyDescent="0.25">
      <c r="A109" s="15">
        <v>34</v>
      </c>
      <c r="B109" s="24" t="s">
        <v>188</v>
      </c>
      <c r="C109" s="24" t="s">
        <v>273</v>
      </c>
      <c r="D109" s="25" t="s">
        <v>170</v>
      </c>
      <c r="E109" s="24" t="s">
        <v>4</v>
      </c>
      <c r="F109" s="20" t="str">
        <f t="shared" si="2"/>
        <v>https://docs.google.com/uc?export=download&amp;id=1dLposUfYP_AQ6JfHq_A0q_dFtu5iAfIo</v>
      </c>
      <c r="G109" s="23" t="str">
        <f t="shared" si="3"/>
        <v>1dLposUfYP_AQ6JfHq_A0q_dFtu5iAfIo</v>
      </c>
      <c r="H109" s="21" t="s">
        <v>318</v>
      </c>
    </row>
    <row r="110" spans="1:8" x14ac:dyDescent="0.25">
      <c r="B110" s="24" t="s">
        <v>188</v>
      </c>
      <c r="C110" s="24" t="s">
        <v>274</v>
      </c>
      <c r="D110" s="25" t="s">
        <v>171</v>
      </c>
      <c r="E110" s="24" t="s">
        <v>5</v>
      </c>
      <c r="F110" s="20" t="str">
        <f t="shared" si="2"/>
        <v/>
      </c>
      <c r="G110" s="23" t="str">
        <f t="shared" si="3"/>
        <v/>
      </c>
    </row>
    <row r="111" spans="1:8" x14ac:dyDescent="0.25">
      <c r="B111" s="24" t="s">
        <v>189</v>
      </c>
      <c r="C111" s="24" t="s">
        <v>275</v>
      </c>
      <c r="D111" s="25" t="s">
        <v>226</v>
      </c>
      <c r="E111" s="24" t="s">
        <v>3</v>
      </c>
      <c r="F111" s="20" t="str">
        <f t="shared" si="2"/>
        <v/>
      </c>
      <c r="G111" s="23" t="str">
        <f t="shared" si="3"/>
        <v/>
      </c>
    </row>
    <row r="112" spans="1:8" x14ac:dyDescent="0.25">
      <c r="A112" s="15">
        <v>35</v>
      </c>
      <c r="B112" s="24" t="s">
        <v>189</v>
      </c>
      <c r="C112" s="24" t="s">
        <v>276</v>
      </c>
      <c r="D112" s="25" t="s">
        <v>172</v>
      </c>
      <c r="E112" s="24" t="s">
        <v>4</v>
      </c>
      <c r="F112" s="20" t="str">
        <f t="shared" si="2"/>
        <v>https://docs.google.com/uc?export=download&amp;id=1PGRSzZ5nzzbFTu8YCvEvkXCGJRr-JFGj</v>
      </c>
      <c r="G112" s="23" t="str">
        <f t="shared" si="3"/>
        <v>1PGRSzZ5nzzbFTu8YCvEvkXCGJRr-JFGj</v>
      </c>
      <c r="H112" s="26" t="s">
        <v>319</v>
      </c>
    </row>
    <row r="113" spans="1:8" x14ac:dyDescent="0.25">
      <c r="B113" s="24" t="s">
        <v>189</v>
      </c>
      <c r="C113" s="24" t="s">
        <v>277</v>
      </c>
      <c r="D113" s="25" t="s">
        <v>173</v>
      </c>
      <c r="E113" s="24" t="s">
        <v>5</v>
      </c>
      <c r="F113" s="20" t="str">
        <f t="shared" si="2"/>
        <v/>
      </c>
      <c r="G113" s="23" t="str">
        <f t="shared" si="3"/>
        <v/>
      </c>
    </row>
    <row r="114" spans="1:8" x14ac:dyDescent="0.25">
      <c r="B114" s="24" t="s">
        <v>190</v>
      </c>
      <c r="C114" s="24" t="s">
        <v>278</v>
      </c>
      <c r="D114" s="25" t="s">
        <v>227</v>
      </c>
      <c r="E114" s="24" t="s">
        <v>3</v>
      </c>
      <c r="F114" s="20" t="str">
        <f t="shared" si="2"/>
        <v/>
      </c>
      <c r="G114" s="23" t="str">
        <f t="shared" si="3"/>
        <v/>
      </c>
      <c r="H114" s="20"/>
    </row>
    <row r="115" spans="1:8" x14ac:dyDescent="0.25">
      <c r="A115" s="15">
        <v>36</v>
      </c>
      <c r="B115" s="24" t="s">
        <v>190</v>
      </c>
      <c r="C115" s="24" t="s">
        <v>279</v>
      </c>
      <c r="D115" s="25" t="s">
        <v>174</v>
      </c>
      <c r="E115" s="24" t="s">
        <v>4</v>
      </c>
      <c r="F115" s="20" t="str">
        <f t="shared" si="2"/>
        <v>https://docs.google.com/uc?export=download&amp;id=1ZVKdYOHE_KDo891VQs7NQpXk8vYAacro</v>
      </c>
      <c r="G115" s="23" t="str">
        <f t="shared" si="3"/>
        <v>1ZVKdYOHE_KDo891VQs7NQpXk8vYAacro</v>
      </c>
      <c r="H115" s="21" t="s">
        <v>320</v>
      </c>
    </row>
    <row r="116" spans="1:8" x14ac:dyDescent="0.25">
      <c r="B116" s="24" t="s">
        <v>190</v>
      </c>
      <c r="C116" s="24" t="s">
        <v>280</v>
      </c>
      <c r="D116" s="25" t="s">
        <v>175</v>
      </c>
      <c r="E116" s="24" t="s">
        <v>5</v>
      </c>
      <c r="F116" s="20" t="str">
        <f t="shared" si="2"/>
        <v/>
      </c>
      <c r="G116" s="23" t="str">
        <f t="shared" si="3"/>
        <v/>
      </c>
    </row>
    <row r="117" spans="1:8" x14ac:dyDescent="0.25">
      <c r="B117" s="24" t="s">
        <v>191</v>
      </c>
      <c r="C117" s="24" t="s">
        <v>281</v>
      </c>
      <c r="D117" s="25" t="s">
        <v>228</v>
      </c>
      <c r="E117" s="24" t="s">
        <v>3</v>
      </c>
      <c r="F117" s="20" t="str">
        <f t="shared" si="2"/>
        <v/>
      </c>
      <c r="G117" s="23" t="str">
        <f t="shared" si="3"/>
        <v/>
      </c>
    </row>
    <row r="118" spans="1:8" x14ac:dyDescent="0.25">
      <c r="A118" s="15">
        <v>37</v>
      </c>
      <c r="B118" s="24" t="s">
        <v>191</v>
      </c>
      <c r="C118" s="24" t="s">
        <v>282</v>
      </c>
      <c r="D118" s="25" t="s">
        <v>176</v>
      </c>
      <c r="E118" s="24" t="s">
        <v>4</v>
      </c>
      <c r="F118" s="20" t="str">
        <f t="shared" si="2"/>
        <v>https://docs.google.com/uc?export=download&amp;id=1EHM5aIDwc3DQpuJaSYDqp9DrXIya4F2Q</v>
      </c>
      <c r="G118" s="23" t="str">
        <f t="shared" si="3"/>
        <v>1EHM5aIDwc3DQpuJaSYDqp9DrXIya4F2Q</v>
      </c>
      <c r="H118" s="21" t="s">
        <v>321</v>
      </c>
    </row>
    <row r="119" spans="1:8" x14ac:dyDescent="0.25">
      <c r="B119" s="24" t="s">
        <v>191</v>
      </c>
      <c r="C119" s="24" t="s">
        <v>283</v>
      </c>
      <c r="D119" s="25" t="s">
        <v>177</v>
      </c>
      <c r="E119" s="24" t="s">
        <v>5</v>
      </c>
      <c r="F119" s="20" t="str">
        <f t="shared" si="2"/>
        <v/>
      </c>
      <c r="G119" s="23" t="str">
        <f t="shared" si="3"/>
        <v/>
      </c>
    </row>
  </sheetData>
  <autoFilter ref="A3:H119" xr:uid="{409C9D1B-A452-401C-9733-8750E50DAAFC}"/>
  <conditionalFormatting sqref="H1:H113 H115:H1048576">
    <cfRule type="duplicateValues" dxfId="1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7"/>
  <sheetViews>
    <sheetView topLeftCell="A2" workbookViewId="0">
      <selection activeCell="C3" sqref="C3"/>
    </sheetView>
  </sheetViews>
  <sheetFormatPr defaultRowHeight="13.8" x14ac:dyDescent="0.25"/>
  <cols>
    <col min="2" max="2" width="12.19921875" style="1" bestFit="1" customWidth="1"/>
    <col min="3" max="3" width="75.8984375" customWidth="1"/>
    <col min="5" max="5" width="74.2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27</v>
      </c>
      <c r="C3" s="6" t="str">
        <f>IF(D3="","","https://docs.google.com/uc?export=download&amp;id="&amp;D3)</f>
        <v>https://docs.google.com/uc?export=download&amp;id=1lkh8jcr85LICTsksDQ7_BYnUQl3gOyAV</v>
      </c>
      <c r="D3" s="7" t="str">
        <f t="shared" ref="D3:D4" si="0">IFERROR(LEFT(RIGHT(E3,LEN(E3)-32),LEN(RIGHT(E3,LEN(E3)-32))-17),"")</f>
        <v>1lkh8jcr85LICTsksDQ7_BYnUQl3gOyAV</v>
      </c>
      <c r="E3" s="7" t="s">
        <v>285</v>
      </c>
    </row>
    <row r="4" spans="2:5" x14ac:dyDescent="0.25">
      <c r="B4" s="8"/>
      <c r="C4" s="6" t="str">
        <f t="shared" ref="C4" si="1">IF(D4="","","https://docs.google.com/uc?export=download&amp;id="&amp;D4)</f>
        <v/>
      </c>
      <c r="D4" s="7" t="str">
        <f t="shared" si="0"/>
        <v/>
      </c>
      <c r="E4" s="7"/>
    </row>
    <row r="5" spans="2:5" x14ac:dyDescent="0.25">
      <c r="B5" s="8"/>
      <c r="C5" s="6" t="str">
        <f t="shared" ref="C5:C7" si="2">IF(D5="","","https://docs.google.com/uc?export=download&amp;id="&amp;D5)</f>
        <v/>
      </c>
      <c r="D5" s="7" t="str">
        <f t="shared" ref="D5:D7" si="3">IFERROR(LEFT(RIGHT(E5,LEN(E5)-32),LEN(RIGHT(E5,LEN(E5)-32))-17),"")</f>
        <v/>
      </c>
      <c r="E5" s="7"/>
    </row>
    <row r="6" spans="2:5" x14ac:dyDescent="0.25">
      <c r="B6" s="8"/>
      <c r="C6" s="6" t="str">
        <f t="shared" si="2"/>
        <v/>
      </c>
      <c r="D6" s="7" t="str">
        <f t="shared" si="3"/>
        <v/>
      </c>
      <c r="E6" s="7"/>
    </row>
    <row r="7" spans="2:5" x14ac:dyDescent="0.25">
      <c r="B7" s="8"/>
      <c r="C7" s="6" t="str">
        <f t="shared" si="2"/>
        <v/>
      </c>
      <c r="D7" s="7" t="str">
        <f t="shared" si="3"/>
        <v/>
      </c>
      <c r="E7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4" sqref="C4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29</v>
      </c>
      <c r="C3" s="6" t="str">
        <f>IF(D3="","","https://docs.google.com/uc?export=download&amp;id="&amp;D3)</f>
        <v/>
      </c>
      <c r="D3" s="7" t="str">
        <f t="shared" ref="D3" si="0">IFERROR(LEFT(RIGHT(E3,LEN(E3)-32),LEN(RIGHT(E3,LEN(E3)-32))-17),"")</f>
        <v/>
      </c>
      <c r="E3" s="7"/>
    </row>
    <row r="4" spans="2:5" x14ac:dyDescent="0.25">
      <c r="B4" s="8" t="s">
        <v>28</v>
      </c>
      <c r="C4" s="6" t="str">
        <f>IF(D4="","","https://docs.google.com/uc?export=download&amp;id="&amp;D4)</f>
        <v/>
      </c>
      <c r="D4" s="7" t="str">
        <f t="shared" ref="D4" si="1">IFERROR(LEFT(RIGHT(E4,LEN(E4)-32),LEN(RIGHT(E4,LEN(E4)-32))-17),"")</f>
        <v/>
      </c>
      <c r="E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J295"/>
  <sheetViews>
    <sheetView topLeftCell="C1" zoomScale="86" zoomScaleNormal="86" workbookViewId="0">
      <selection activeCell="E4" sqref="E4:E40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0" ht="17.399999999999999" customHeight="1" x14ac:dyDescent="0.25">
      <c r="B1" t="s">
        <v>6</v>
      </c>
      <c r="C1" s="16">
        <v>1</v>
      </c>
      <c r="D1" s="3"/>
    </row>
    <row r="2" spans="1:10" x14ac:dyDescent="0.25">
      <c r="B2" t="s">
        <v>7</v>
      </c>
      <c r="C2" s="16">
        <v>37</v>
      </c>
      <c r="D2" s="3"/>
    </row>
    <row r="3" spans="1:10" x14ac:dyDescent="0.25">
      <c r="C3" s="17" t="s">
        <v>1</v>
      </c>
      <c r="D3" s="4" t="s">
        <v>1</v>
      </c>
      <c r="E3" s="4" t="s">
        <v>3</v>
      </c>
      <c r="F3" s="4" t="s">
        <v>4</v>
      </c>
    </row>
    <row r="4" spans="1:10" x14ac:dyDescent="0.25">
      <c r="A4">
        <f>C1</f>
        <v>1</v>
      </c>
      <c r="B4">
        <f t="shared" ref="B4:B67" ca="1" si="0">IF(A4="","",RANDBETWEEN($C$1,$C$2))</f>
        <v>18</v>
      </c>
      <c r="C4" s="1">
        <f ca="1">IFERROR($C$1-1+_xlfn.RANK.EQ(B4,$B$4:$B$40)+COUNTIF(B$4:$B4,B4)-1,"")</f>
        <v>24</v>
      </c>
      <c r="D4" s="1" t="str">
        <f ca="1">IFERROR(VLOOKUP(C4,Discussion!A:B,2,0),"")</f>
        <v>4.1</v>
      </c>
      <c r="E4" t="str">
        <f ca="1">IFERROR(VLOOKUP(D4&amp;"Viet",Discussion!C:D,2,0),"")</f>
        <v>Bạn có thể trình bày một lần nữa cho tôi không?</v>
      </c>
      <c r="F4" t="str">
        <f ca="1">IFERROR(VLOOKUP(D4&amp;"Eng",Discussion!C:D,2,0),"")</f>
        <v>Could you run that by me one more time?</v>
      </c>
    </row>
    <row r="5" spans="1:10" x14ac:dyDescent="0.25">
      <c r="A5">
        <f>IFERROR(IF(A4+1&gt;$C$2,"",A4+1),"")</f>
        <v>2</v>
      </c>
      <c r="B5">
        <f t="shared" ca="1" si="0"/>
        <v>20</v>
      </c>
      <c r="C5" s="1">
        <f ca="1">IFERROR($C$1-1+_xlfn.RANK.EQ(B5,$B$4:$B$40)+COUNTIF(B$4:$B5,B5)-1,"")</f>
        <v>22</v>
      </c>
      <c r="D5" s="1" t="str">
        <f ca="1">IFERROR(VLOOKUP(C5,Discussion!A:B,2,0),"")</f>
        <v>3.12</v>
      </c>
      <c r="E5" t="str">
        <f ca="1">IFERROR(VLOOKUP(D5&amp;"Viet",Discussion!C:D,2,0),"")</f>
        <v>Tôi muốn thử.</v>
      </c>
      <c r="F5" t="str">
        <f ca="1">IFERROR(VLOOKUP(D5&amp;"Eng",Discussion!C:D,2,0),"")</f>
        <v>I would like to try.</v>
      </c>
    </row>
    <row r="6" spans="1:10" x14ac:dyDescent="0.25">
      <c r="A6">
        <f t="shared" ref="A6:A69" si="1">IFERROR(IF(A5+1&gt;$C$2,"",A5+1),"")</f>
        <v>3</v>
      </c>
      <c r="B6">
        <f t="shared" ca="1" si="0"/>
        <v>10</v>
      </c>
      <c r="C6" s="1">
        <f ca="1">IFERROR($C$1-1+_xlfn.RANK.EQ(B6,$B$4:$B$40)+COUNTIF(B$4:$B6,B6)-1,"")</f>
        <v>28</v>
      </c>
      <c r="D6" s="1" t="str">
        <f ca="1">IFERROR(VLOOKUP(C6,Discussion!A:B,2,0),"")</f>
        <v>4.5</v>
      </c>
      <c r="E6" t="str">
        <f ca="1">IFERROR(VLOOKUP(D6&amp;"Viet",Discussion!C:D,2,0),"")</f>
        <v>Ông có thể cho tôi xem ca ta lô và tài liệu cập nhật tới hiện tại không?</v>
      </c>
      <c r="F6" t="str">
        <f ca="1">IFERROR(VLOOKUP(D6&amp;"Eng",Discussion!C:D,2,0),"")</f>
        <v>Could you show me up-to-date catalogues and documents?</v>
      </c>
    </row>
    <row r="7" spans="1:10" x14ac:dyDescent="0.25">
      <c r="A7">
        <f t="shared" si="1"/>
        <v>4</v>
      </c>
      <c r="B7">
        <f t="shared" ca="1" si="0"/>
        <v>30</v>
      </c>
      <c r="C7" s="1">
        <f ca="1">IFERROR($C$1-1+_xlfn.RANK.EQ(B7,$B$4:$B$40)+COUNTIF(B$4:$B7,B7)-1,"")</f>
        <v>9</v>
      </c>
      <c r="D7" s="1" t="str">
        <f ca="1">IFERROR(VLOOKUP(C7,Discussion!A:B,2,0),"")</f>
        <v>2.4</v>
      </c>
      <c r="E7" t="str">
        <f ca="1">IFERROR(VLOOKUP(D7&amp;"Viet",Discussion!C:D,2,0),"")</f>
        <v>Chúng tôi muốn thảo luận về cơ hội này nhiều hơn.</v>
      </c>
      <c r="F7" t="str">
        <f ca="1">IFERROR(VLOOKUP(D7&amp;"Eng",Discussion!C:D,2,0),"")</f>
        <v>We’d like to discuss this opportunity further.</v>
      </c>
    </row>
    <row r="8" spans="1:10" x14ac:dyDescent="0.25">
      <c r="A8">
        <f t="shared" si="1"/>
        <v>5</v>
      </c>
      <c r="B8">
        <f t="shared" ca="1" si="0"/>
        <v>36</v>
      </c>
      <c r="C8" s="1">
        <f ca="1">IFERROR($C$1-1+_xlfn.RANK.EQ(B8,$B$4:$B$40)+COUNTIF(B$4:$B8,B8)-1,"")</f>
        <v>1</v>
      </c>
      <c r="D8" s="1" t="str">
        <f ca="1">IFERROR(VLOOKUP(C8,Discussion!A:B,2,0),"")</f>
        <v>1.1</v>
      </c>
      <c r="E8" t="str">
        <f ca="1">IFERROR(VLOOKUP(D8&amp;"Viet",Discussion!C:D,2,0),"")</f>
        <v>Tôi muốn hỏi anh về doanh số của anh gần đây.</v>
      </c>
      <c r="F8" t="str">
        <f ca="1">IFERROR(VLOOKUP(D8&amp;"Eng",Discussion!C:D,2,0),"")</f>
        <v>I want to ask you about your sales lately.</v>
      </c>
    </row>
    <row r="9" spans="1:10" x14ac:dyDescent="0.25">
      <c r="A9">
        <f t="shared" si="1"/>
        <v>6</v>
      </c>
      <c r="B9">
        <f t="shared" ca="1" si="0"/>
        <v>28</v>
      </c>
      <c r="C9" s="1">
        <f ca="1">IFERROR($C$1-1+_xlfn.RANK.EQ(B9,$B$4:$B$40)+COUNTIF(B$4:$B9,B9)-1,"")</f>
        <v>12</v>
      </c>
      <c r="D9" s="1" t="str">
        <f ca="1">IFERROR(VLOOKUP(C9,Discussion!A:B,2,0),"")</f>
        <v>3.2</v>
      </c>
      <c r="E9" t="str">
        <f ca="1">IFERROR(VLOOKUP(D9&amp;"Viet",Discussion!C:D,2,0),"")</f>
        <v>Tôi muốn xác nhận lại mục đích của cuộc họp này.</v>
      </c>
      <c r="F9" t="str">
        <f ca="1">IFERROR(VLOOKUP(D9&amp;"Eng",Discussion!C:D,2,0),"")</f>
        <v>I would like to confirm the purpose of this meeting.</v>
      </c>
    </row>
    <row r="10" spans="1:10" x14ac:dyDescent="0.25">
      <c r="A10">
        <f t="shared" si="1"/>
        <v>7</v>
      </c>
      <c r="B10">
        <f t="shared" ca="1" si="0"/>
        <v>30</v>
      </c>
      <c r="C10" s="1">
        <f ca="1">IFERROR($C$1-1+_xlfn.RANK.EQ(B10,$B$4:$B$40)+COUNTIF(B$4:$B10,B10)-1,"")</f>
        <v>10</v>
      </c>
      <c r="D10" s="1" t="str">
        <f ca="1">IFERROR(VLOOKUP(C10,Discussion!A:B,2,0),"")</f>
        <v>2.5</v>
      </c>
      <c r="E10" t="str">
        <f ca="1">IFERROR(VLOOKUP(D10&amp;"Viet",Discussion!C:D,2,0),"")</f>
        <v>Chúng tôi muốn thảo luận chi tiết hơn.</v>
      </c>
      <c r="F10" t="str">
        <f ca="1">IFERROR(VLOOKUP(D10&amp;"Eng",Discussion!C:D,2,0),"")</f>
        <v>We’d like to discuss in more detail.</v>
      </c>
    </row>
    <row r="11" spans="1:10" x14ac:dyDescent="0.25">
      <c r="A11">
        <f t="shared" si="1"/>
        <v>8</v>
      </c>
      <c r="B11">
        <f t="shared" ca="1" si="0"/>
        <v>33</v>
      </c>
      <c r="C11" s="1">
        <f ca="1">IFERROR($C$1-1+_xlfn.RANK.EQ(B11,$B$4:$B$40)+COUNTIF(B$4:$B11,B11)-1,"")</f>
        <v>6</v>
      </c>
      <c r="D11" s="1" t="str">
        <f ca="1">IFERROR(VLOOKUP(C11,Discussion!A:B,2,0),"")</f>
        <v>2.1</v>
      </c>
      <c r="E11" t="str">
        <f ca="1">IFERROR(VLOOKUP(D11&amp;"Viet",Discussion!C:D,2,0),"")</f>
        <v>Chúng tôi muốn thảo luận về mức giá mà ông đưa ra.</v>
      </c>
      <c r="F11" t="str">
        <f ca="1">IFERROR(VLOOKUP(D11&amp;"Eng",Discussion!C:D,2,0),"")</f>
        <v>We’d like to discuss the price you quoted.</v>
      </c>
    </row>
    <row r="12" spans="1:10" x14ac:dyDescent="0.25">
      <c r="A12">
        <f t="shared" si="1"/>
        <v>9</v>
      </c>
      <c r="B12">
        <f t="shared" ca="1" si="0"/>
        <v>27</v>
      </c>
      <c r="C12" s="1">
        <f ca="1">IFERROR($C$1-1+_xlfn.RANK.EQ(B12,$B$4:$B$40)+COUNTIF(B$4:$B12,B12)-1,"")</f>
        <v>14</v>
      </c>
      <c r="D12" s="1" t="str">
        <f ca="1">IFERROR(VLOOKUP(C12,Discussion!A:B,2,0),"")</f>
        <v>3.4</v>
      </c>
      <c r="E12" t="str">
        <f ca="1">IFERROR(VLOOKUP(D12&amp;"Viet",Discussion!C:D,2,0),"")</f>
        <v>Tôi muốn đánh dấu một số điểm để thảo luận.</v>
      </c>
      <c r="F12" t="str">
        <f ca="1">IFERROR(VLOOKUP(D12&amp;"Eng",Discussion!C:D,2,0),"")</f>
        <v>I would like to flag a number of points for discussion.</v>
      </c>
      <c r="J12" s="18"/>
    </row>
    <row r="13" spans="1:10" x14ac:dyDescent="0.25">
      <c r="A13">
        <f t="shared" si="1"/>
        <v>10</v>
      </c>
      <c r="B13">
        <f t="shared" ca="1" si="0"/>
        <v>11</v>
      </c>
      <c r="C13" s="1">
        <f ca="1">IFERROR($C$1-1+_xlfn.RANK.EQ(B13,$B$4:$B$40)+COUNTIF(B$4:$B13,B13)-1,"")</f>
        <v>26</v>
      </c>
      <c r="D13" s="1" t="str">
        <f ca="1">IFERROR(VLOOKUP(C13,Discussion!A:B,2,0),"")</f>
        <v>4.3</v>
      </c>
      <c r="E13" t="str">
        <f ca="1">IFERROR(VLOOKUP(D13&amp;"Viet",Discussion!C:D,2,0),"")</f>
        <v>Bạn giải thích cho tôi với?</v>
      </c>
      <c r="F13" t="str">
        <f ca="1">IFERROR(VLOOKUP(D13&amp;"Eng",Discussion!C:D,2,0),"")</f>
        <v>Could you explain to me?</v>
      </c>
    </row>
    <row r="14" spans="1:10" x14ac:dyDescent="0.25">
      <c r="A14">
        <f t="shared" si="1"/>
        <v>11</v>
      </c>
      <c r="B14">
        <f t="shared" ca="1" si="0"/>
        <v>22</v>
      </c>
      <c r="C14" s="1">
        <f ca="1">IFERROR($C$1-1+_xlfn.RANK.EQ(B14,$B$4:$B$40)+COUNTIF(B$4:$B14,B14)-1,"")</f>
        <v>20</v>
      </c>
      <c r="D14" s="1" t="str">
        <f ca="1">IFERROR(VLOOKUP(C14,Discussion!A:B,2,0),"")</f>
        <v>3.10</v>
      </c>
      <c r="E14" t="str">
        <f ca="1">IFERROR(VLOOKUP(D14&amp;"Viet",Discussion!C:D,2,0),"")</f>
        <v>Tôi xin được tiếp tục.</v>
      </c>
      <c r="F14" t="str">
        <f ca="1">IFERROR(VLOOKUP(D14&amp;"Eng",Discussion!C:D,2,0),"")</f>
        <v>I would like to move on.</v>
      </c>
    </row>
    <row r="15" spans="1:10" x14ac:dyDescent="0.25">
      <c r="A15">
        <f t="shared" si="1"/>
        <v>12</v>
      </c>
      <c r="B15">
        <f t="shared" ca="1" si="0"/>
        <v>7</v>
      </c>
      <c r="C15" s="1">
        <f ca="1">IFERROR($C$1-1+_xlfn.RANK.EQ(B15,$B$4:$B$40)+COUNTIF(B$4:$B15,B15)-1,"")</f>
        <v>29</v>
      </c>
      <c r="D15" s="1" t="str">
        <f ca="1">IFERROR(VLOOKUP(C15,Discussion!A:B,2,0),"")</f>
        <v>4.6</v>
      </c>
      <c r="E15" t="str">
        <f ca="1">IFERROR(VLOOKUP(D15&amp;"Viet",Discussion!C:D,2,0),"")</f>
        <v>Anh có thể bắt đầu được chưa?</v>
      </c>
      <c r="F15" t="str">
        <f ca="1">IFERROR(VLOOKUP(D15&amp;"Eng",Discussion!C:D,2,0),"")</f>
        <v>Could you start things off?</v>
      </c>
    </row>
    <row r="16" spans="1:10" x14ac:dyDescent="0.25">
      <c r="A16">
        <f t="shared" si="1"/>
        <v>13</v>
      </c>
      <c r="B16">
        <f t="shared" ca="1" si="0"/>
        <v>36</v>
      </c>
      <c r="C16" s="1">
        <f ca="1">IFERROR($C$1-1+_xlfn.RANK.EQ(B16,$B$4:$B$40)+COUNTIF(B$4:$B16,B16)-1,"")</f>
        <v>2</v>
      </c>
      <c r="D16" s="1" t="str">
        <f ca="1">IFERROR(VLOOKUP(C16,Discussion!A:B,2,0),"")</f>
        <v>1.2</v>
      </c>
      <c r="E16" t="str">
        <f ca="1">IFERROR(VLOOKUP(D16&amp;"Viet",Discussion!C:D,2,0),"")</f>
        <v>Tôi muốn hỏi anh về lợi nhuận của anh gần đây.</v>
      </c>
      <c r="F16" t="str">
        <f ca="1">IFERROR(VLOOKUP(D16&amp;"Eng",Discussion!C:D,2,0),"")</f>
        <v>I want to ask you about your profits lately.</v>
      </c>
    </row>
    <row r="17" spans="1:6" x14ac:dyDescent="0.25">
      <c r="A17">
        <f t="shared" si="1"/>
        <v>14</v>
      </c>
      <c r="B17">
        <f t="shared" ca="1" si="0"/>
        <v>26</v>
      </c>
      <c r="C17" s="1">
        <f ca="1">IFERROR($C$1-1+_xlfn.RANK.EQ(B17,$B$4:$B$40)+COUNTIF(B$4:$B17,B17)-1,"")</f>
        <v>15</v>
      </c>
      <c r="D17" s="1" t="str">
        <f ca="1">IFERROR(VLOOKUP(C17,Discussion!A:B,2,0),"")</f>
        <v>3.5</v>
      </c>
      <c r="E17" t="str">
        <f ca="1">IFERROR(VLOOKUP(D17&amp;"Viet",Discussion!C:D,2,0),"")</f>
        <v>Tôi muốn nhắc lại ý này.</v>
      </c>
      <c r="F17" t="str">
        <f ca="1">IFERROR(VLOOKUP(D17&amp;"Eng",Discussion!C:D,2,0),"")</f>
        <v>I would like to repeat this point.</v>
      </c>
    </row>
    <row r="18" spans="1:6" ht="12.6" customHeight="1" x14ac:dyDescent="0.25">
      <c r="A18">
        <f t="shared" si="1"/>
        <v>15</v>
      </c>
      <c r="B18">
        <f t="shared" ca="1" si="0"/>
        <v>23</v>
      </c>
      <c r="C18" s="1">
        <f ca="1">IFERROR($C$1-1+_xlfn.RANK.EQ(B18,$B$4:$B$40)+COUNTIF(B$4:$B18,B18)-1,"")</f>
        <v>19</v>
      </c>
      <c r="D18" s="1" t="str">
        <f ca="1">IFERROR(VLOOKUP(C18,Discussion!A:B,2,0),"")</f>
        <v>3.9</v>
      </c>
      <c r="E18" t="str">
        <f ca="1">IFERROR(VLOOKUP(D18&amp;"Viet",Discussion!C:D,2,0),"")</f>
        <v>Tôi xin bắt đầu bằng cách nói về chiến dịch quảng cáo.</v>
      </c>
      <c r="F18" t="str">
        <f ca="1">IFERROR(VLOOKUP(D18&amp;"Eng",Discussion!C:D,2,0),"")</f>
        <v>I would like to start by talking about the advertising campaign.</v>
      </c>
    </row>
    <row r="19" spans="1:6" x14ac:dyDescent="0.25">
      <c r="A19">
        <f t="shared" si="1"/>
        <v>16</v>
      </c>
      <c r="B19">
        <f t="shared" ca="1" si="0"/>
        <v>6</v>
      </c>
      <c r="C19" s="1">
        <f ca="1">IFERROR($C$1-1+_xlfn.RANK.EQ(B19,$B$4:$B$40)+COUNTIF(B$4:$B19,B19)-1,"")</f>
        <v>30</v>
      </c>
      <c r="D19" s="1" t="str">
        <f ca="1">IFERROR(VLOOKUP(C19,Discussion!A:B,2,0),"")</f>
        <v>5.1</v>
      </c>
      <c r="E19" t="str">
        <f ca="1">IFERROR(VLOOKUP(D19&amp;"Viet",Discussion!C:D,2,0),"")</f>
        <v>Tôi e rằng không thể giảm giá được nữa.</v>
      </c>
      <c r="F19" t="str">
        <f ca="1">IFERROR(VLOOKUP(D19&amp;"Eng",Discussion!C:D,2,0),"")</f>
        <v>I am afraid there is no room for any reduction in price.</v>
      </c>
    </row>
    <row r="20" spans="1:6" x14ac:dyDescent="0.25">
      <c r="A20">
        <f t="shared" si="1"/>
        <v>17</v>
      </c>
      <c r="B20">
        <f t="shared" ca="1" si="0"/>
        <v>34</v>
      </c>
      <c r="C20" s="1">
        <f ca="1">IFERROR($C$1-1+_xlfn.RANK.EQ(B20,$B$4:$B$40)+COUNTIF(B$4:$B20,B20)-1,"")</f>
        <v>4</v>
      </c>
      <c r="D20" s="1" t="str">
        <f ca="1">IFERROR(VLOOKUP(C20,Discussion!A:B,2,0),"")</f>
        <v>1.4</v>
      </c>
      <c r="E20" t="str">
        <f ca="1">IFERROR(VLOOKUP(D20&amp;"Viet",Discussion!C:D,2,0),"")</f>
        <v>Tôi muốn hỏi anh về việc kinh doanh của anh gần đây.</v>
      </c>
      <c r="F20" t="str">
        <f ca="1">IFERROR(VLOOKUP(D20&amp;"Eng",Discussion!C:D,2,0),"")</f>
        <v>I want to ask you about your business lately.</v>
      </c>
    </row>
    <row r="21" spans="1:6" x14ac:dyDescent="0.25">
      <c r="A21">
        <f t="shared" si="1"/>
        <v>18</v>
      </c>
      <c r="B21">
        <f t="shared" ca="1" si="0"/>
        <v>34</v>
      </c>
      <c r="C21" s="1">
        <f ca="1">IFERROR($C$1-1+_xlfn.RANK.EQ(B21,$B$4:$B$40)+COUNTIF(B$4:$B21,B21)-1,"")</f>
        <v>5</v>
      </c>
      <c r="D21" s="1" t="str">
        <f ca="1">IFERROR(VLOOKUP(C21,Discussion!A:B,2,0),"")</f>
        <v>1.5</v>
      </c>
      <c r="E21" t="str">
        <f ca="1">IFERROR(VLOOKUP(D21&amp;"Viet",Discussion!C:D,2,0),"")</f>
        <v>Tôi hi vọng ông có thể gửi cho tôi các thông tin liên quan.</v>
      </c>
      <c r="F21" t="str">
        <f ca="1">IFERROR(VLOOKUP(D21&amp;"Eng",Discussion!C:D,2,0),"")</f>
        <v>I want to ask you to kindly send me the related information.</v>
      </c>
    </row>
    <row r="22" spans="1:6" x14ac:dyDescent="0.25">
      <c r="A22">
        <f t="shared" si="1"/>
        <v>19</v>
      </c>
      <c r="B22">
        <f t="shared" ca="1" si="0"/>
        <v>32</v>
      </c>
      <c r="C22" s="1">
        <f ca="1">IFERROR($C$1-1+_xlfn.RANK.EQ(B22,$B$4:$B$40)+COUNTIF(B$4:$B22,B22)-1,"")</f>
        <v>8</v>
      </c>
      <c r="D22" s="1" t="str">
        <f ca="1">IFERROR(VLOOKUP(C22,Discussion!A:B,2,0),"")</f>
        <v>2.3</v>
      </c>
      <c r="E22" t="str">
        <f ca="1">IFERROR(VLOOKUP(D22&amp;"Viet",Discussion!C:D,2,0),"")</f>
        <v>Chúng tôi muốn thảo luận về khoản tiền được giảm nếu thanh toán sớm.</v>
      </c>
      <c r="F22" t="str">
        <f ca="1">IFERROR(VLOOKUP(D22&amp;"Eng",Discussion!C:D,2,0),"")</f>
        <v>We’d like to discuss the discount on early settlement.</v>
      </c>
    </row>
    <row r="23" spans="1:6" x14ac:dyDescent="0.25">
      <c r="A23">
        <f t="shared" si="1"/>
        <v>20</v>
      </c>
      <c r="B23">
        <f t="shared" ca="1" si="0"/>
        <v>2</v>
      </c>
      <c r="C23" s="1">
        <f ca="1">IFERROR($C$1-1+_xlfn.RANK.EQ(B23,$B$4:$B$40)+COUNTIF(B$4:$B23,B23)-1,"")</f>
        <v>35</v>
      </c>
      <c r="D23" s="1" t="str">
        <f ca="1">IFERROR(VLOOKUP(C23,Discussion!A:B,2,0),"")</f>
        <v>5.6</v>
      </c>
      <c r="E23" t="str">
        <f ca="1">IFERROR(VLOOKUP(D23&amp;"Viet",Discussion!C:D,2,0),"")</f>
        <v>Tôi e là chúng ta không còn nhiều thời gian nữa. Xin hãy nói ngắn gọn thôi.</v>
      </c>
      <c r="F23" t="str">
        <f ca="1">IFERROR(VLOOKUP(D23&amp;"Eng",Discussion!C:D,2,0),"")</f>
        <v>I am afraid we are running out of time, please be brief.</v>
      </c>
    </row>
    <row r="24" spans="1:6" x14ac:dyDescent="0.25">
      <c r="A24">
        <f t="shared" si="1"/>
        <v>21</v>
      </c>
      <c r="B24">
        <f t="shared" ca="1" si="0"/>
        <v>2</v>
      </c>
      <c r="C24" s="1">
        <f ca="1">IFERROR($C$1-1+_xlfn.RANK.EQ(B24,$B$4:$B$40)+COUNTIF(B$4:$B24,B24)-1,"")</f>
        <v>36</v>
      </c>
      <c r="D24" s="1" t="str">
        <f ca="1">IFERROR(VLOOKUP(C24,Discussion!A:B,2,0),"")</f>
        <v>5.7</v>
      </c>
      <c r="E24" t="str">
        <f ca="1">IFERROR(VLOOKUP(D24&amp;"Viet",Discussion!C:D,2,0),"")</f>
        <v>Tôi e là tôi không thể chấp nhận điều đó.</v>
      </c>
      <c r="F24" t="str">
        <f ca="1">IFERROR(VLOOKUP(D24&amp;"Eng",Discussion!C:D,2,0),"")</f>
        <v>I am afraid I can’t go for that.</v>
      </c>
    </row>
    <row r="25" spans="1:6" x14ac:dyDescent="0.25">
      <c r="A25">
        <f t="shared" si="1"/>
        <v>22</v>
      </c>
      <c r="B25">
        <f t="shared" ca="1" si="0"/>
        <v>5</v>
      </c>
      <c r="C25" s="1">
        <f ca="1">IFERROR($C$1-1+_xlfn.RANK.EQ(B25,$B$4:$B$40)+COUNTIF(B$4:$B25,B25)-1,"")</f>
        <v>32</v>
      </c>
      <c r="D25" s="1" t="str">
        <f ca="1">IFERROR(VLOOKUP(C25,Discussion!A:B,2,0),"")</f>
        <v>5.3</v>
      </c>
      <c r="E25" t="str">
        <f ca="1">IFERROR(VLOOKUP(D25&amp;"Viet",Discussion!C:D,2,0),"")</f>
        <v>Tôi e rằng chúng tôi chưa nhận thanh toán nào hết.</v>
      </c>
      <c r="F25" t="str">
        <f ca="1">IFERROR(VLOOKUP(D25&amp;"Eng",Discussion!C:D,2,0),"")</f>
        <v>I am afraid we haven’t received any payment yet.</v>
      </c>
    </row>
    <row r="26" spans="1:6" x14ac:dyDescent="0.25">
      <c r="A26">
        <f t="shared" si="1"/>
        <v>23</v>
      </c>
      <c r="B26">
        <f t="shared" ca="1" si="0"/>
        <v>21</v>
      </c>
      <c r="C26" s="1">
        <f ca="1">IFERROR($C$1-1+_xlfn.RANK.EQ(B26,$B$4:$B$40)+COUNTIF(B$4:$B26,B26)-1,"")</f>
        <v>21</v>
      </c>
      <c r="D26" s="1" t="str">
        <f ca="1">IFERROR(VLOOKUP(C26,Discussion!A:B,2,0),"")</f>
        <v>3.11</v>
      </c>
      <c r="E26" t="str">
        <f ca="1">IFERROR(VLOOKUP(D26&amp;"Viet",Discussion!C:D,2,0),"")</f>
        <v>Tôi muốn nói chi tiết hơn về các cơ sở dữ liệu.</v>
      </c>
      <c r="F26" t="str">
        <f ca="1">IFERROR(VLOOKUP(D26&amp;"Eng",Discussion!C:D,2,0),"")</f>
        <v>I would like to talk about the database in more detail.</v>
      </c>
    </row>
    <row r="27" spans="1:6" x14ac:dyDescent="0.25">
      <c r="A27">
        <f t="shared" si="1"/>
        <v>24</v>
      </c>
      <c r="B27">
        <f t="shared" ca="1" si="0"/>
        <v>28</v>
      </c>
      <c r="C27" s="1">
        <f ca="1">IFERROR($C$1-1+_xlfn.RANK.EQ(B27,$B$4:$B$40)+COUNTIF(B$4:$B27,B27)-1,"")</f>
        <v>13</v>
      </c>
      <c r="D27" s="1" t="str">
        <f ca="1">IFERROR(VLOOKUP(C27,Discussion!A:B,2,0),"")</f>
        <v>3.3</v>
      </c>
      <c r="E27" t="str">
        <f ca="1">IFERROR(VLOOKUP(D27&amp;"Viet",Discussion!C:D,2,0),"")</f>
        <v>Tôi muốn hỏi anh một câu.</v>
      </c>
      <c r="F27" t="str">
        <f ca="1">IFERROR(VLOOKUP(D27&amp;"Eng",Discussion!C:D,2,0),"")</f>
        <v>I would like to ask you a question.</v>
      </c>
    </row>
    <row r="28" spans="1:6" x14ac:dyDescent="0.25">
      <c r="A28">
        <f t="shared" si="1"/>
        <v>25</v>
      </c>
      <c r="B28">
        <f t="shared" ca="1" si="0"/>
        <v>11</v>
      </c>
      <c r="C28" s="1">
        <f ca="1">IFERROR($C$1-1+_xlfn.RANK.EQ(B28,$B$4:$B$40)+COUNTIF(B$4:$B28,B28)-1,"")</f>
        <v>27</v>
      </c>
      <c r="D28" s="1" t="str">
        <f ca="1">IFERROR(VLOOKUP(C28,Discussion!A:B,2,0),"")</f>
        <v>4.4</v>
      </c>
      <c r="E28" t="str">
        <f ca="1">IFERROR(VLOOKUP(D28&amp;"Viet",Discussion!C:D,2,0),"")</f>
        <v>Ông cho tôi thêm thông tin và dữ liệu về sản phẩm của ông được không?</v>
      </c>
      <c r="F28" t="str">
        <f ca="1">IFERROR(VLOOKUP(D28&amp;"Eng",Discussion!C:D,2,0),"")</f>
        <v>Could you provide me with more detailed information and data on your products?</v>
      </c>
    </row>
    <row r="29" spans="1:6" x14ac:dyDescent="0.25">
      <c r="A29">
        <f t="shared" si="1"/>
        <v>26</v>
      </c>
      <c r="B29">
        <f t="shared" ca="1" si="0"/>
        <v>24</v>
      </c>
      <c r="C29" s="1">
        <f ca="1">IFERROR($C$1-1+_xlfn.RANK.EQ(B29,$B$4:$B$40)+COUNTIF(B$4:$B29,B29)-1,"")</f>
        <v>18</v>
      </c>
      <c r="D29" s="1" t="str">
        <f ca="1">IFERROR(VLOOKUP(C29,Discussion!A:B,2,0),"")</f>
        <v>3.8</v>
      </c>
      <c r="E29" t="str">
        <f ca="1">IFERROR(VLOOKUP(D29&amp;"Viet",Discussion!C:D,2,0),"")</f>
        <v>Bây giờ tôi sẽ trả lời các câu hỏi.</v>
      </c>
      <c r="F29" t="str">
        <f ca="1">IFERROR(VLOOKUP(D29&amp;"Eng",Discussion!C:D,2,0),"")</f>
        <v>I would like to open it up for questions.</v>
      </c>
    </row>
    <row r="30" spans="1:6" x14ac:dyDescent="0.25">
      <c r="A30">
        <f t="shared" si="1"/>
        <v>27</v>
      </c>
      <c r="B30">
        <f t="shared" ca="1" si="0"/>
        <v>3</v>
      </c>
      <c r="C30" s="1">
        <f ca="1">IFERROR($C$1-1+_xlfn.RANK.EQ(B30,$B$4:$B$40)+COUNTIF(B$4:$B30,B30)-1,"")</f>
        <v>33</v>
      </c>
      <c r="D30" s="1" t="str">
        <f ca="1">IFERROR(VLOOKUP(C30,Discussion!A:B,2,0),"")</f>
        <v>5.4</v>
      </c>
      <c r="E30" t="str">
        <f ca="1">IFERROR(VLOOKUP(D30&amp;"Viet",Discussion!C:D,2,0),"")</f>
        <v>Tôi e là tôi không thể, bởi vì như vậy sẽ trái với quy định của công ty chúng tôi.</v>
      </c>
      <c r="F30" t="str">
        <f ca="1">IFERROR(VLOOKUP(D30&amp;"Eng",Discussion!C:D,2,0),"")</f>
        <v>I am afraid I can’t because that would be against our company regulation.</v>
      </c>
    </row>
    <row r="31" spans="1:6" x14ac:dyDescent="0.25">
      <c r="A31">
        <f t="shared" si="1"/>
        <v>28</v>
      </c>
      <c r="B31">
        <f t="shared" ca="1" si="0"/>
        <v>2</v>
      </c>
      <c r="C31" s="1">
        <f ca="1">IFERROR($C$1-1+_xlfn.RANK.EQ(B31,$B$4:$B$40)+COUNTIF(B$4:$B31,B31)-1,"")</f>
        <v>37</v>
      </c>
      <c r="D31" s="1" t="str">
        <f ca="1">IFERROR(VLOOKUP(C31,Discussion!A:B,2,0),"")</f>
        <v>5.8</v>
      </c>
      <c r="E31" t="str">
        <f ca="1">IFERROR(VLOOKUP(D31&amp;"Viet",Discussion!C:D,2,0),"")</f>
        <v>Tôi e rằng tôi phải bác bỏ đề nghị của anh.</v>
      </c>
      <c r="F31" t="str">
        <f ca="1">IFERROR(VLOOKUP(D31&amp;"Eng",Discussion!C:D,2,0),"")</f>
        <v>I am afraid I have to turn down your offer.</v>
      </c>
    </row>
    <row r="32" spans="1:6" x14ac:dyDescent="0.25">
      <c r="A32">
        <f t="shared" si="1"/>
        <v>29</v>
      </c>
      <c r="B32">
        <f t="shared" ca="1" si="0"/>
        <v>25</v>
      </c>
      <c r="C32" s="1">
        <f ca="1">IFERROR($C$1-1+_xlfn.RANK.EQ(B32,$B$4:$B$40)+COUNTIF(B$4:$B32,B32)-1,"")</f>
        <v>17</v>
      </c>
      <c r="D32" s="1" t="str">
        <f ca="1">IFERROR(VLOOKUP(C32,Discussion!A:B,2,0),"")</f>
        <v>3.7</v>
      </c>
      <c r="E32" t="str">
        <f ca="1">IFERROR(VLOOKUP(D32&amp;"Viet",Discussion!C:D,2,0),"")</f>
        <v>Tôi muốn nghe ý kiến của các bạn.</v>
      </c>
      <c r="F32" t="str">
        <f ca="1">IFERROR(VLOOKUP(D32&amp;"Eng",Discussion!C:D,2,0),"")</f>
        <v>I would like to hear your comments.</v>
      </c>
    </row>
    <row r="33" spans="1:6" x14ac:dyDescent="0.25">
      <c r="A33">
        <f t="shared" si="1"/>
        <v>30</v>
      </c>
      <c r="B33">
        <f t="shared" ca="1" si="0"/>
        <v>36</v>
      </c>
      <c r="C33" s="1">
        <f ca="1">IFERROR($C$1-1+_xlfn.RANK.EQ(B33,$B$4:$B$40)+COUNTIF(B$4:$B33,B33)-1,"")</f>
        <v>3</v>
      </c>
      <c r="D33" s="1" t="str">
        <f ca="1">IFERROR(VLOOKUP(C33,Discussion!A:B,2,0),"")</f>
        <v>1.3</v>
      </c>
      <c r="E33" t="str">
        <f ca="1">IFERROR(VLOOKUP(D33&amp;"Viet",Discussion!C:D,2,0),"")</f>
        <v>Tôi muốn hỏi anh về hiệu suất công việc của anh gần đây.</v>
      </c>
      <c r="F33" t="str">
        <f ca="1">IFERROR(VLOOKUP(D33&amp;"Eng",Discussion!C:D,2,0),"")</f>
        <v>I want to ask you about your work performance lately.</v>
      </c>
    </row>
    <row r="34" spans="1:6" x14ac:dyDescent="0.25">
      <c r="A34">
        <f t="shared" si="1"/>
        <v>31</v>
      </c>
      <c r="B34">
        <f t="shared" ca="1" si="0"/>
        <v>16</v>
      </c>
      <c r="C34" s="1">
        <f ca="1">IFERROR($C$1-1+_xlfn.RANK.EQ(B34,$B$4:$B$40)+COUNTIF(B$4:$B34,B34)-1,"")</f>
        <v>25</v>
      </c>
      <c r="D34" s="1" t="str">
        <f ca="1">IFERROR(VLOOKUP(C34,Discussion!A:B,2,0),"")</f>
        <v>4.2</v>
      </c>
      <c r="E34" t="str">
        <f ca="1">IFERROR(VLOOKUP(D34&amp;"Viet",Discussion!C:D,2,0),"")</f>
        <v>Anh có thể nói đôi điều về kế hoạch sắp tới của chúng ta không?</v>
      </c>
      <c r="F34" t="str">
        <f ca="1">IFERROR(VLOOKUP(D34&amp;"Eng",Discussion!C:D,2,0),"")</f>
        <v>Could you talk about what plans we have for the future?</v>
      </c>
    </row>
    <row r="35" spans="1:6" x14ac:dyDescent="0.25">
      <c r="A35">
        <f t="shared" si="1"/>
        <v>32</v>
      </c>
      <c r="B35">
        <f t="shared" ca="1" si="0"/>
        <v>6</v>
      </c>
      <c r="C35" s="1">
        <f ca="1">IFERROR($C$1-1+_xlfn.RANK.EQ(B35,$B$4:$B$40)+COUNTIF(B$4:$B35,B35)-1,"")</f>
        <v>31</v>
      </c>
      <c r="D35" s="1" t="str">
        <f ca="1">IFERROR(VLOOKUP(C35,Discussion!A:B,2,0),"")</f>
        <v>5.2</v>
      </c>
      <c r="E35" t="str">
        <f ca="1">IFERROR(VLOOKUP(D35&amp;"Viet",Discussion!C:D,2,0),"")</f>
        <v>Tôi e rằng chúng không đồng giá.</v>
      </c>
      <c r="F35" t="str">
        <f ca="1">IFERROR(VLOOKUP(D35&amp;"Eng",Discussion!C:D,2,0),"")</f>
        <v>I am afraid they are not the same price.</v>
      </c>
    </row>
    <row r="36" spans="1:6" x14ac:dyDescent="0.25">
      <c r="A36">
        <f t="shared" si="1"/>
        <v>33</v>
      </c>
      <c r="B36">
        <f t="shared" ca="1" si="0"/>
        <v>3</v>
      </c>
      <c r="C36" s="1">
        <f ca="1">IFERROR($C$1-1+_xlfn.RANK.EQ(B36,$B$4:$B$40)+COUNTIF(B$4:$B36,B36)-1,"")</f>
        <v>34</v>
      </c>
      <c r="D36" s="1" t="str">
        <f ca="1">IFERROR(VLOOKUP(C36,Discussion!A:B,2,0),"")</f>
        <v>5.5</v>
      </c>
      <c r="E36" t="str">
        <f ca="1">IFERROR(VLOOKUP(D36&amp;"Viet",Discussion!C:D,2,0),"")</f>
        <v>Tôi e rằng chúng ta đang bị cuốn khỏi vấn đề chính.</v>
      </c>
      <c r="F36" t="str">
        <f ca="1">IFERROR(VLOOKUP(D36&amp;"Eng",Discussion!C:D,2,0),"")</f>
        <v>I am afraid we are drifting away somewhat from our course.</v>
      </c>
    </row>
    <row r="37" spans="1:6" x14ac:dyDescent="0.25">
      <c r="A37">
        <f t="shared" si="1"/>
        <v>34</v>
      </c>
      <c r="B37">
        <f t="shared" ca="1" si="0"/>
        <v>19</v>
      </c>
      <c r="C37" s="1">
        <f ca="1">IFERROR($C$1-1+_xlfn.RANK.EQ(B37,$B$4:$B$40)+COUNTIF(B$4:$B37,B37)-1,"")</f>
        <v>23</v>
      </c>
      <c r="D37" s="1" t="str">
        <f ca="1">IFERROR(VLOOKUP(C37,Discussion!A:B,2,0),"")</f>
        <v>3.13</v>
      </c>
      <c r="E37" t="str">
        <f ca="1">IFERROR(VLOOKUP(D37&amp;"Viet",Discussion!C:D,2,0),"")</f>
        <v>Tôi muốn trình bày ngắn gọn về thị trường mỹ phẩm.</v>
      </c>
      <c r="F37" t="str">
        <f ca="1">IFERROR(VLOOKUP(D37&amp;"Eng",Discussion!C:D,2,0),"")</f>
        <v>I would like to give you a brief overview of cosmetic market.</v>
      </c>
    </row>
    <row r="38" spans="1:6" x14ac:dyDescent="0.25">
      <c r="A38">
        <f t="shared" si="1"/>
        <v>35</v>
      </c>
      <c r="B38">
        <f t="shared" ca="1" si="0"/>
        <v>33</v>
      </c>
      <c r="C38" s="1">
        <f ca="1">IFERROR($C$1-1+_xlfn.RANK.EQ(B38,$B$4:$B$40)+COUNTIF(B$4:$B38,B38)-1,"")</f>
        <v>7</v>
      </c>
      <c r="D38" s="1" t="str">
        <f ca="1">IFERROR(VLOOKUP(C38,Discussion!A:B,2,0),"")</f>
        <v>2.2</v>
      </c>
      <c r="E38" t="str">
        <f ca="1">IFERROR(VLOOKUP(D38&amp;"Viet",Discussion!C:D,2,0),"")</f>
        <v>Chúng tôi muốn thảo luận về các điều khoản và điều kiện chi trả.</v>
      </c>
      <c r="F38" t="str">
        <f ca="1">IFERROR(VLOOKUP(D38&amp;"Eng",Discussion!C:D,2,0),"")</f>
        <v>We’d like to discuss the terms and conditions of payment.</v>
      </c>
    </row>
    <row r="39" spans="1:6" x14ac:dyDescent="0.25">
      <c r="A39">
        <f t="shared" si="1"/>
        <v>36</v>
      </c>
      <c r="B39">
        <f t="shared" ca="1" si="0"/>
        <v>29</v>
      </c>
      <c r="C39" s="1">
        <f ca="1">IFERROR($C$1-1+_xlfn.RANK.EQ(B39,$B$4:$B$40)+COUNTIF(B$4:$B39,B39)-1,"")</f>
        <v>11</v>
      </c>
      <c r="D39" s="1" t="str">
        <f ca="1">IFERROR(VLOOKUP(C39,Discussion!A:B,2,0),"")</f>
        <v>3.1</v>
      </c>
      <c r="E39" t="str">
        <f ca="1">IFERROR(VLOOKUP(D39&amp;"Viet",Discussion!C:D,2,0),"")</f>
        <v>Tôi muốn mọi việc được tiến hành.</v>
      </c>
      <c r="F39" t="str">
        <f ca="1">IFERROR(VLOOKUP(D39&amp;"Eng",Discussion!C:D,2,0),"")</f>
        <v>I would like to get things under way.</v>
      </c>
    </row>
    <row r="40" spans="1:6" x14ac:dyDescent="0.25">
      <c r="A40">
        <f t="shared" si="1"/>
        <v>37</v>
      </c>
      <c r="B40">
        <f t="shared" ca="1" si="0"/>
        <v>26</v>
      </c>
      <c r="C40" s="1">
        <f ca="1">IFERROR($C$1-1+_xlfn.RANK.EQ(B40,$B$4:$B$40)+COUNTIF(B$4:$B40,B40)-1,"")</f>
        <v>16</v>
      </c>
      <c r="D40" s="1" t="str">
        <f ca="1">IFERROR(VLOOKUP(C40,Discussion!A:B,2,0),"")</f>
        <v>3.6</v>
      </c>
      <c r="E40" t="str">
        <f ca="1">IFERROR(VLOOKUP(D40&amp;"Viet",Discussion!C:D,2,0),"")</f>
        <v>Tôi muốn đề xuất thêm vài ý kiến có liên quan đến chủ đề này.</v>
      </c>
      <c r="F40" t="str">
        <f ca="1">IFERROR(VLOOKUP(D40&amp;"Eng",Discussion!C:D,2,0),"")</f>
        <v>I would like to add a few comments which may have some bearing on the subject.</v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IFERROR($C$1-1+_xlfn.RANK.EQ(B41,$B$4:$B$40)+COUNTIF(B$4:$B41,B41)-1,"")</f>
        <v/>
      </c>
      <c r="D41" s="1" t="str">
        <f ca="1">IFERROR(VLOOKUP(C41,Discussion!A:B,2,0),"")</f>
        <v/>
      </c>
      <c r="E41" t="str">
        <f ca="1">IFERROR(VLOOKUP(D41&amp;"Viet",Discussion!C:D,2,0),"")</f>
        <v/>
      </c>
      <c r="F41" t="str">
        <f ca="1">IFERROR(VLOOKUP(D41&amp;"Eng",Discussion!C:D,2,0),"")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IFERROR($C$1-1+_xlfn.RANK.EQ(B42,$B$4:$B$40)+COUNTIF(B$4:$B42,B42)-1,"")</f>
        <v/>
      </c>
      <c r="D42" s="1" t="str">
        <f ca="1">IFERROR(VLOOKUP(C42,Discussion!A:B,2,0),"")</f>
        <v/>
      </c>
      <c r="E42" t="str">
        <f ca="1">IFERROR(VLOOKUP(D42&amp;"Viet",Discussion!C:D,2,0),"")</f>
        <v/>
      </c>
      <c r="F42" t="str">
        <f ca="1">IFERROR(VLOOKUP(D42&amp;"Eng",Discussion!C:D,2,0),"")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IFERROR($C$1-1+_xlfn.RANK.EQ(B43,$B$4:$B$40)+COUNTIF(B$4:$B43,B43)-1,"")</f>
        <v/>
      </c>
      <c r="D43" s="1" t="str">
        <f ca="1">IFERROR(VLOOKUP(C43,Discussion!A:B,2,0),"")</f>
        <v/>
      </c>
      <c r="E43" t="str">
        <f ca="1">IFERROR(VLOOKUP(D43&amp;"Viet",Discussion!C:D,2,0),"")</f>
        <v/>
      </c>
      <c r="F43" t="str">
        <f ca="1">IFERROR(VLOOKUP(D43&amp;"Eng",Discussion!C:D,2,0),"")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IFERROR($C$1-1+_xlfn.RANK.EQ(B44,$B$4:$B$40)+COUNTIF(B$4:$B44,B44)-1,"")</f>
        <v/>
      </c>
      <c r="D44" s="1" t="str">
        <f ca="1">IFERROR(VLOOKUP(C44,Discussion!A:B,2,0),"")</f>
        <v/>
      </c>
      <c r="E44" t="str">
        <f ca="1">IFERROR(VLOOKUP(D44&amp;"Viet",Discussion!C:D,2,0),"")</f>
        <v/>
      </c>
      <c r="F44" t="str">
        <f ca="1">IFERROR(VLOOKUP(D44&amp;"Eng",Discussion!C:D,2,0),"")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IFERROR($C$1-1+_xlfn.RANK.EQ(B45,$B$4:$B$40)+COUNTIF(B$4:$B45,B45)-1,"")</f>
        <v/>
      </c>
      <c r="D45" s="1" t="str">
        <f ca="1">IFERROR(VLOOKUP(C45,Discussion!A:B,2,0),"")</f>
        <v/>
      </c>
      <c r="E45" t="str">
        <f ca="1">IFERROR(VLOOKUP(D45&amp;"Viet",Discussion!C:D,2,0),"")</f>
        <v/>
      </c>
      <c r="F45" t="str">
        <f ca="1">IFERROR(VLOOKUP(D45&amp;"Eng",Discussion!C:D,2,0),"")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IFERROR($C$1-1+_xlfn.RANK.EQ(B46,$B$4:$B$40)+COUNTIF(B$4:$B46,B46)-1,"")</f>
        <v/>
      </c>
      <c r="D46" s="1" t="str">
        <f ca="1">IFERROR(VLOOKUP(C46,Discussion!A:B,2,0),"")</f>
        <v/>
      </c>
      <c r="E46" t="str">
        <f ca="1">IFERROR(VLOOKUP(D46&amp;"Viet",Discussion!C:D,2,0),"")</f>
        <v/>
      </c>
      <c r="F46" t="str">
        <f ca="1">IFERROR(VLOOKUP(D46&amp;"Eng",Discussion!C:D,2,0),"")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IFERROR($C$1-1+_xlfn.RANK.EQ(B47,$B$4:$B$40)+COUNTIF(B$4:$B47,B47)-1,"")</f>
        <v/>
      </c>
      <c r="D47" s="1" t="str">
        <f ca="1">IFERROR(VLOOKUP(C47,Discussion!A:B,2,0),"")</f>
        <v/>
      </c>
      <c r="E47" t="str">
        <f ca="1">IFERROR(VLOOKUP(D47&amp;"Viet",Discussion!C:D,2,0),"")</f>
        <v/>
      </c>
      <c r="F47" t="str">
        <f ca="1">IFERROR(VLOOKUP(D47&amp;"Eng",Discussion!C:D,2,0),"")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IFERROR($C$1-1+_xlfn.RANK.EQ(B48,$B$4:$B$40)+COUNTIF(B$4:$B48,B48)-1,"")</f>
        <v/>
      </c>
      <c r="D48" s="1" t="str">
        <f ca="1">IFERROR(VLOOKUP(C48,Discussion!A:B,2,0),"")</f>
        <v/>
      </c>
      <c r="E48" t="str">
        <f ca="1">IFERROR(VLOOKUP(D48&amp;"Viet",Discussion!C:D,2,0),"")</f>
        <v/>
      </c>
      <c r="F48" t="str">
        <f ca="1">IFERROR(VLOOKUP(D48&amp;"Eng",Discussion!C:D,2,0),"")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IFERROR($C$1-1+_xlfn.RANK.EQ(B49,$B$4:$B$40)+COUNTIF(B$4:$B49,B49)-1,"")</f>
        <v/>
      </c>
      <c r="D49" s="1" t="str">
        <f ca="1">IFERROR(VLOOKUP(C49,Discussion!A:B,2,0),"")</f>
        <v/>
      </c>
      <c r="E49" t="str">
        <f ca="1">IFERROR(VLOOKUP(D49&amp;"Viet",Discussion!C:D,2,0),"")</f>
        <v/>
      </c>
      <c r="F49" t="str">
        <f ca="1">IFERROR(VLOOKUP(D49&amp;"Eng",Discussion!C:D,2,0),"")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IFERROR($C$1-1+_xlfn.RANK.EQ(B50,$B$4:$B$40)+COUNTIF(B$4:$B50,B50)-1,"")</f>
        <v/>
      </c>
      <c r="D50" s="1" t="str">
        <f ca="1">IFERROR(VLOOKUP(C50,Discussion!A:B,2,0),"")</f>
        <v/>
      </c>
      <c r="E50" t="str">
        <f ca="1">IFERROR(VLOOKUP(D50&amp;"Viet",Discussion!C:D,2,0),"")</f>
        <v/>
      </c>
      <c r="F50" t="str">
        <f ca="1">IFERROR(VLOOKUP(D50&amp;"Eng",Discussion!C:D,2,0),"")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IFERROR($C$1-1+_xlfn.RANK.EQ(B51,$B$4:$B$40)+COUNTIF(B$4:$B51,B51)-1,"")</f>
        <v/>
      </c>
      <c r="D51" s="1" t="str">
        <f ca="1">IFERROR(VLOOKUP(C51,Discussion!A:B,2,0),"")</f>
        <v/>
      </c>
      <c r="E51" t="str">
        <f ca="1">IFERROR(VLOOKUP(D51&amp;"Viet",Discussion!C:D,2,0),"")</f>
        <v/>
      </c>
      <c r="F51" t="str">
        <f ca="1">IFERROR(VLOOKUP(D51&amp;"Eng",Discussion!C:D,2,0),"")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IFERROR($C$1-1+_xlfn.RANK.EQ(B52,$B$4:$B$40)+COUNTIF(B$4:$B52,B52)-1,"")</f>
        <v/>
      </c>
      <c r="D52" s="1" t="str">
        <f ca="1">IFERROR(VLOOKUP(C52,Discussion!A:B,2,0),"")</f>
        <v/>
      </c>
      <c r="E52" t="str">
        <f ca="1">IFERROR(VLOOKUP(D52&amp;"Viet",Discussion!C:D,2,0),"")</f>
        <v/>
      </c>
      <c r="F52" t="str">
        <f ca="1">IFERROR(VLOOKUP(D52&amp;"Eng",Discussion!C:D,2,0),"")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IFERROR($C$1-1+_xlfn.RANK.EQ(B53,$B$4:$B$40)+COUNTIF(B$4:$B53,B53)-1,"")</f>
        <v/>
      </c>
      <c r="D53" s="1" t="str">
        <f ca="1">IFERROR(VLOOKUP(C53,Discussion!A:B,2,0),"")</f>
        <v/>
      </c>
      <c r="E53" t="str">
        <f ca="1">IFERROR(VLOOKUP(D53&amp;"Viet",Discussion!C:D,2,0),"")</f>
        <v/>
      </c>
      <c r="F53" t="str">
        <f ca="1">IFERROR(VLOOKUP(D53&amp;"Eng",Discussion!C:D,2,0),"")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IFERROR($C$1-1+_xlfn.RANK.EQ(B54,$B$4:$B$40)+COUNTIF(B$4:$B54,B54)-1,"")</f>
        <v/>
      </c>
      <c r="D54" s="1" t="str">
        <f ca="1">IFERROR(VLOOKUP(C54,Discussion!A:B,2,0),"")</f>
        <v/>
      </c>
      <c r="E54" t="str">
        <f ca="1">IFERROR(VLOOKUP(D54&amp;"Viet",Discussion!C:D,2,0),"")</f>
        <v/>
      </c>
      <c r="F54" t="str">
        <f ca="1">IFERROR(VLOOKUP(D54&amp;"Eng",Discussion!C:D,2,0),"")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IFERROR($C$1-1+_xlfn.RANK.EQ(B55,$B$4:$B$40)+COUNTIF(B$4:$B55,B55)-1,"")</f>
        <v/>
      </c>
      <c r="D55" s="1" t="str">
        <f ca="1">IFERROR(VLOOKUP(C55,Discussion!A:B,2,0),"")</f>
        <v/>
      </c>
      <c r="E55" t="str">
        <f ca="1">IFERROR(VLOOKUP(D55&amp;"Viet",Discussion!C:D,2,0),"")</f>
        <v/>
      </c>
      <c r="F55" t="str">
        <f ca="1">IFERROR(VLOOKUP(D55&amp;"Eng",Discussion!C:D,2,0),"")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IFERROR($C$1-1+_xlfn.RANK.EQ(B56,$B$4:$B$40)+COUNTIF(B$4:$B56,B56)-1,"")</f>
        <v/>
      </c>
      <c r="D56" s="1" t="str">
        <f ca="1">IFERROR(VLOOKUP(C56,Discussion!A:B,2,0),"")</f>
        <v/>
      </c>
      <c r="E56" t="str">
        <f ca="1">IFERROR(VLOOKUP(D56&amp;"Viet",Discussion!C:D,2,0),"")</f>
        <v/>
      </c>
      <c r="F56" t="str">
        <f ca="1">IFERROR(VLOOKUP(D56&amp;"Eng",Discussion!C:D,2,0),"")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IFERROR($C$1-1+_xlfn.RANK.EQ(B57,$B$4:$B$40)+COUNTIF(B$4:$B57,B57)-1,"")</f>
        <v/>
      </c>
      <c r="D57" s="1" t="str">
        <f ca="1">IFERROR(VLOOKUP(C57,Discussion!A:B,2,0),"")</f>
        <v/>
      </c>
      <c r="E57" t="str">
        <f ca="1">IFERROR(VLOOKUP(D57&amp;"Viet",Discussion!C:D,2,0),"")</f>
        <v/>
      </c>
      <c r="F57" t="str">
        <f ca="1">IFERROR(VLOOKUP(D57&amp;"Eng",Discussion!C:D,2,0),"")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IFERROR($C$1-1+_xlfn.RANK.EQ(B58,$B$4:$B$40)+COUNTIF(B$4:$B58,B58)-1,"")</f>
        <v/>
      </c>
      <c r="D58" s="1" t="str">
        <f ca="1">IFERROR(VLOOKUP(C58,Discussion!A:B,2,0),"")</f>
        <v/>
      </c>
      <c r="E58" t="str">
        <f ca="1">IFERROR(VLOOKUP(D58&amp;"Viet",Discussion!C:D,2,0),"")</f>
        <v/>
      </c>
      <c r="F58" t="str">
        <f ca="1">IFERROR(VLOOKUP(D58&amp;"Eng",Discussion!C:D,2,0),"")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IFERROR($C$1-1+_xlfn.RANK.EQ(B59,$B$4:$B$40)+COUNTIF(B$4:$B59,B59)-1,"")</f>
        <v/>
      </c>
      <c r="D59" s="1" t="str">
        <f ca="1">IFERROR(VLOOKUP(C59,Discussion!A:B,2,0),"")</f>
        <v/>
      </c>
      <c r="E59" t="str">
        <f ca="1">IFERROR(VLOOKUP(D59&amp;"Viet",Discussion!C:D,2,0),"")</f>
        <v/>
      </c>
      <c r="F59" t="str">
        <f ca="1">IFERROR(VLOOKUP(D59&amp;"Eng",Discussion!C:D,2,0),"")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IFERROR($C$1-1+_xlfn.RANK.EQ(B60,$B$4:$B$40)+COUNTIF(B$4:$B60,B60)-1,"")</f>
        <v/>
      </c>
      <c r="D60" s="1" t="str">
        <f ca="1">IFERROR(VLOOKUP(C60,Discussion!A:B,2,0),"")</f>
        <v/>
      </c>
      <c r="E60" t="str">
        <f ca="1">IFERROR(VLOOKUP(D60&amp;"Viet",Discussion!C:D,2,0),"")</f>
        <v/>
      </c>
      <c r="F60" t="str">
        <f ca="1">IFERROR(VLOOKUP(D60&amp;"Eng",Discussion!C:D,2,0),"")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IFERROR($C$1-1+_xlfn.RANK.EQ(B61,$B$4:$B$40)+COUNTIF(B$4:$B61,B61)-1,"")</f>
        <v/>
      </c>
      <c r="D61" s="1" t="str">
        <f ca="1">IFERROR(VLOOKUP(C61,Discussion!A:B,2,0),"")</f>
        <v/>
      </c>
      <c r="E61" t="str">
        <f ca="1">IFERROR(VLOOKUP(D61&amp;"Viet",Discussion!C:D,2,0),"")</f>
        <v/>
      </c>
      <c r="F61" t="str">
        <f ca="1">IFERROR(VLOOKUP(D61&amp;"Eng",Discussion!C:D,2,0),"")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IFERROR($C$1-1+_xlfn.RANK.EQ(B62,$B$4:$B$40)+COUNTIF(B$4:$B62,B62)-1,"")</f>
        <v/>
      </c>
      <c r="D62" s="1" t="str">
        <f ca="1">IFERROR(VLOOKUP(C62,Discussion!A:B,2,0),"")</f>
        <v/>
      </c>
      <c r="E62" t="str">
        <f ca="1">IFERROR(VLOOKUP(D62&amp;"Viet",Discussion!C:D,2,0),"")</f>
        <v/>
      </c>
      <c r="F62" t="str">
        <f ca="1">IFERROR(VLOOKUP(D62&amp;"Eng",Discussion!C:D,2,0),"")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IFERROR($C$1-1+_xlfn.RANK.EQ(B63,$B$4:$B$40)+COUNTIF(B$4:$B63,B63)-1,"")</f>
        <v/>
      </c>
      <c r="D63" s="1" t="str">
        <f ca="1">IFERROR(VLOOKUP(C63,Discussion!A:B,2,0),"")</f>
        <v/>
      </c>
      <c r="E63" t="str">
        <f ca="1">IFERROR(VLOOKUP(D63&amp;"Viet",Discussion!C:D,2,0),"")</f>
        <v/>
      </c>
      <c r="F63" t="str">
        <f ca="1">IFERROR(VLOOKUP(D63&amp;"Eng",Discussion!C:D,2,0),"")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IFERROR($C$1-1+_xlfn.RANK.EQ(B64,$B$4:$B$40)+COUNTIF(B$4:$B64,B64)-1,"")</f>
        <v/>
      </c>
      <c r="D64" s="1" t="str">
        <f ca="1">IFERROR(VLOOKUP(C64,Discussion!A:B,2,0),"")</f>
        <v/>
      </c>
      <c r="E64" t="str">
        <f ca="1">IFERROR(VLOOKUP(D64&amp;"Viet",Discussion!C:D,2,0),"")</f>
        <v/>
      </c>
      <c r="F64" t="str">
        <f ca="1">IFERROR(VLOOKUP(D64&amp;"Eng",Discussion!C:D,2,0),"")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IFERROR($C$1-1+_xlfn.RANK.EQ(B65,$B$4:$B$40)+COUNTIF(B$4:$B65,B65)-1,"")</f>
        <v/>
      </c>
      <c r="D65" s="1" t="str">
        <f ca="1">IFERROR(VLOOKUP(C65,Discussion!A:B,2,0),"")</f>
        <v/>
      </c>
      <c r="E65" t="str">
        <f ca="1">IFERROR(VLOOKUP(D65&amp;"Viet",Discussion!C:D,2,0),"")</f>
        <v/>
      </c>
      <c r="F65" t="str">
        <f ca="1">IFERROR(VLOOKUP(D65&amp;"Eng",Discussion!C:D,2,0),"")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IFERROR($C$1-1+_xlfn.RANK.EQ(B66,$B$4:$B$40)+COUNTIF(B$4:$B66,B66)-1,"")</f>
        <v/>
      </c>
      <c r="D66" s="1" t="str">
        <f ca="1">IFERROR(VLOOKUP(C66,Discussion!A:B,2,0),"")</f>
        <v/>
      </c>
      <c r="E66" t="str">
        <f ca="1">IFERROR(VLOOKUP(D66&amp;"Viet",Discussion!C:D,2,0),"")</f>
        <v/>
      </c>
      <c r="F66" t="str">
        <f ca="1">IFERROR(VLOOKUP(D66&amp;"Eng",Discussion!C:D,2,0),"")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IFERROR($C$1-1+_xlfn.RANK.EQ(B67,$B$4:$B$40)+COUNTIF(B$4:$B67,B67)-1,"")</f>
        <v/>
      </c>
      <c r="D67" s="1" t="str">
        <f ca="1">IFERROR(VLOOKUP(C67,Discussion!A:B,2,0),"")</f>
        <v/>
      </c>
      <c r="E67" t="str">
        <f ca="1">IFERROR(VLOOKUP(D67&amp;"Viet",Discussion!C:D,2,0),"")</f>
        <v/>
      </c>
      <c r="F67" t="str">
        <f ca="1">IFERROR(VLOOKUP(D67&amp;"Eng",Discussion!C:D,2,0),"")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IFERROR($C$1-1+_xlfn.RANK.EQ(B68,$B$4:$B$40)+COUNTIF(B$4:$B68,B68)-1,"")</f>
        <v/>
      </c>
      <c r="D68" s="1" t="str">
        <f ca="1">IFERROR(VLOOKUP(C68,Discussion!A:B,2,0),"")</f>
        <v/>
      </c>
      <c r="E68" t="str">
        <f ca="1">IFERROR(VLOOKUP(D68&amp;"Viet",Discussion!C:D,2,0),"")</f>
        <v/>
      </c>
      <c r="F68" t="str">
        <f ca="1">IFERROR(VLOOKUP(D68&amp;"Eng",Discussion!C:D,2,0),"")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IFERROR($C$1-1+_xlfn.RANK.EQ(B69,$B$4:$B$40)+COUNTIF(B$4:$B69,B69)-1,"")</f>
        <v/>
      </c>
      <c r="D69" s="1" t="str">
        <f ca="1">IFERROR(VLOOKUP(C69,Discussion!A:B,2,0),"")</f>
        <v/>
      </c>
      <c r="E69" t="str">
        <f ca="1">IFERROR(VLOOKUP(D69&amp;"Viet",Discussion!C:D,2,0),"")</f>
        <v/>
      </c>
      <c r="F69" t="str">
        <f ca="1">IFERROR(VLOOKUP(D69&amp;"Eng",Discussion!C:D,2,0),"")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IFERROR($C$1-1+_xlfn.RANK.EQ(B70,$B$4:$B$40)+COUNTIF(B$4:$B70,B70)-1,"")</f>
        <v/>
      </c>
      <c r="D70" s="1" t="str">
        <f ca="1">IFERROR(VLOOKUP(C70,Discussion!A:B,2,0),"")</f>
        <v/>
      </c>
      <c r="E70" t="str">
        <f ca="1">IFERROR(VLOOKUP(D70&amp;"Viet",Discussion!C:D,2,0),"")</f>
        <v/>
      </c>
      <c r="F70" t="str">
        <f ca="1">IFERROR(VLOOKUP(D70&amp;"Eng",Discussion!C:D,2,0),"")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IFERROR($C$1-1+_xlfn.RANK.EQ(B71,$B$4:$B$40)+COUNTIF(B$4:$B71,B71)-1,"")</f>
        <v/>
      </c>
      <c r="D71" s="1" t="str">
        <f ca="1">IFERROR(VLOOKUP(C71,Discussion!A:B,2,0),"")</f>
        <v/>
      </c>
      <c r="E71" t="str">
        <f ca="1">IFERROR(VLOOKUP(D71&amp;"Viet",Discussion!C:D,2,0),"")</f>
        <v/>
      </c>
      <c r="F71" t="str">
        <f ca="1">IFERROR(VLOOKUP(D71&amp;"Eng",Discussion!C:D,2,0),"")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IFERROR($C$1-1+_xlfn.RANK.EQ(B72,$B$4:$B$40)+COUNTIF(B$4:$B72,B72)-1,"")</f>
        <v/>
      </c>
      <c r="D72" s="1" t="str">
        <f ca="1">IFERROR(VLOOKUP(C72,Discussion!A:B,2,0),"")</f>
        <v/>
      </c>
      <c r="E72" t="str">
        <f ca="1">IFERROR(VLOOKUP(D72&amp;"Viet",Discussion!C:D,2,0),"")</f>
        <v/>
      </c>
      <c r="F72" t="str">
        <f ca="1">IFERROR(VLOOKUP(D72&amp;"Eng",Discussion!C:D,2,0),"")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IFERROR($C$1-1+_xlfn.RANK.EQ(B73,$B$4:$B$40)+COUNTIF(B$4:$B73,B73)-1,"")</f>
        <v/>
      </c>
      <c r="D73" s="1" t="str">
        <f ca="1">IFERROR(VLOOKUP(C73,Discussion!A:B,2,0),"")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IFERROR($C$1-1+_xlfn.RANK.EQ(B74,$B$4:$B$40)+COUNTIF(B$4:$B74,B74)-1,"")</f>
        <v/>
      </c>
      <c r="D74" s="1" t="str">
        <f ca="1">IFERROR(VLOOKUP(C74,Discussion!A:B,2,0),"")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IFERROR($C$1-1+_xlfn.RANK.EQ(B75,$B$4:$B$40)+COUNTIF(B$4:$B75,B75)-1,"")</f>
        <v/>
      </c>
      <c r="D75" s="1" t="str">
        <f ca="1">IFERROR(VLOOKUP(C75,Discussion!A:B,2,0),"")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IFERROR($C$1-1+_xlfn.RANK.EQ(B76,$B$4:$B$40)+COUNTIF(B$4:$B76,B76)-1,"")</f>
        <v/>
      </c>
      <c r="D76" s="1" t="str">
        <f ca="1">IFERROR(VLOOKUP(C76,Discussion!A:B,2,0),"")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IFERROR($C$1-1+_xlfn.RANK.EQ(B77,$B$4:$B$40)+COUNTIF(B$4:$B77,B77)-1,"")</f>
        <v/>
      </c>
      <c r="D77" s="1" t="str">
        <f ca="1">IFERROR(VLOOKUP(C77,Discussion!A:B,2,0),"")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IFERROR($C$1-1+_xlfn.RANK.EQ(B78,$B$4:$B$40)+COUNTIF(B$4:$B78,B78)-1,"")</f>
        <v/>
      </c>
      <c r="D78" s="1" t="str">
        <f ca="1">IFERROR(VLOOKUP(C78,Discussion!A:B,2,0),"")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IFERROR($C$1-1+_xlfn.RANK.EQ(B79,$B$4:$B$40)+COUNTIF(B$4:$B79,B79)-1,"")</f>
        <v/>
      </c>
      <c r="D79" s="1" t="str">
        <f ca="1">IFERROR(VLOOKUP(C79,Discussion!A:B,2,0),"")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IFERROR($C$1-1+_xlfn.RANK.EQ(B80,$B$4:$B$40)+COUNTIF(B$4:$B80,B80)-1,"")</f>
        <v/>
      </c>
      <c r="D80" s="1" t="str">
        <f ca="1">IFERROR(VLOOKUP(C80,Discussion!A:B,2,0),"")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IFERROR($C$1-1+_xlfn.RANK.EQ(B81,$B$4:$B$40)+COUNTIF(B$4:$B81,B81)-1,"")</f>
        <v/>
      </c>
      <c r="D81" s="1" t="str">
        <f ca="1">IFERROR(VLOOKUP(C81,Discussion!A:B,2,0),"")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IFERROR($C$1-1+_xlfn.RANK.EQ(B82,$B$4:$B$40)+COUNTIF(B$4:$B82,B82)-1,"")</f>
        <v/>
      </c>
      <c r="D82" s="1" t="str">
        <f ca="1">IFERROR(VLOOKUP(C82,Discussion!A:B,2,0),"")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IFERROR($C$1-1+_xlfn.RANK.EQ(B83,$B$4:$B$40)+COUNTIF(B$4:$B83,B83)-1,"")</f>
        <v/>
      </c>
      <c r="D83" s="1" t="str">
        <f ca="1">IFERROR(VLOOKUP(C83,Discussion!A:B,2,0),"")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IFERROR($C$1-1+_xlfn.RANK.EQ(B84,$B$4:$B$40)+COUNTIF(B$4:$B84,B84)-1,"")</f>
        <v/>
      </c>
      <c r="D84" s="1" t="str">
        <f ca="1">IFERROR(VLOOKUP(C84,Discussion!A:B,2,0),"")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IFERROR($C$1-1+_xlfn.RANK.EQ(B85,$B$4:$B$40)+COUNTIF(B$4:$B85,B85)-1,"")</f>
        <v/>
      </c>
      <c r="D85" s="1" t="str">
        <f ca="1">IFERROR(VLOOKUP(C85,Discussion!A:B,2,0),"")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IFERROR($C$1-1+_xlfn.RANK.EQ(B86,$B$4:$B$40)+COUNTIF(B$4:$B86,B86)-1,"")</f>
        <v/>
      </c>
      <c r="D86" s="1" t="str">
        <f ca="1">IFERROR(VLOOKUP(C86,Discussion!A:B,2,0),"")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IFERROR($C$1-1+_xlfn.RANK.EQ(B87,$B$4:$B$40)+COUNTIF(B$4:$B87,B87)-1,"")</f>
        <v/>
      </c>
      <c r="D87" s="1" t="str">
        <f ca="1">IFERROR(VLOOKUP(C87,Discussion!A:B,2,0),"")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IFERROR($C$1-1+_xlfn.RANK.EQ(B88,$B$4:$B$40)+COUNTIF(B$4:$B88,B88)-1,"")</f>
        <v/>
      </c>
      <c r="D88" s="1" t="str">
        <f ca="1">IFERROR(VLOOKUP(C88,Discussion!A:B,2,0),"")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IFERROR($C$1-1+_xlfn.RANK.EQ(B89,$B$4:$B$40)+COUNTIF(B$4:$B89,B89)-1,"")</f>
        <v/>
      </c>
      <c r="D89" s="1" t="str">
        <f ca="1">IFERROR(VLOOKUP(C89,Discussion!A:B,2,0),"")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IFERROR($C$1-1+_xlfn.RANK.EQ(B90,$B$4:$B$40)+COUNTIF(B$4:$B90,B90)-1,"")</f>
        <v/>
      </c>
      <c r="D90" s="1" t="str">
        <f ca="1">IFERROR(VLOOKUP(C90,Discussion!A:B,2,0),"")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IFERROR($C$1-1+_xlfn.RANK.EQ(B91,$B$4:$B$40)+COUNTIF(B$4:$B91,B91)-1,"")</f>
        <v/>
      </c>
      <c r="D91" s="1" t="str">
        <f ca="1">IFERROR(VLOOKUP(C91,Discussion!A:B,2,0),"")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IFERROR($C$1-1+_xlfn.RANK.EQ(B92,$B$4:$B$40)+COUNTIF(B$4:$B92,B92)-1,"")</f>
        <v/>
      </c>
      <c r="D92" s="1" t="str">
        <f ca="1">IFERROR(VLOOKUP(C92,Discussion!A:B,2,0),"")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IFERROR($C$1-1+_xlfn.RANK.EQ(B93,$B$4:$B$40)+COUNTIF(B$4:$B93,B93)-1,"")</f>
        <v/>
      </c>
      <c r="D93" s="1" t="str">
        <f ca="1">IFERROR(VLOOKUP(C93,Discussion!A:B,2,0),"")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IFERROR($C$1-1+_xlfn.RANK.EQ(B94,$B$4:$B$40)+COUNTIF(B$4:$B94,B94)-1,"")</f>
        <v/>
      </c>
      <c r="D94" s="1" t="str">
        <f ca="1">IFERROR(VLOOKUP(C94,Discussion!A:B,2,0),"")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IFERROR($C$1-1+_xlfn.RANK.EQ(B95,$B$4:$B$40)+COUNTIF(B$4:$B95,B95)-1,"")</f>
        <v/>
      </c>
      <c r="D95" s="1" t="str">
        <f ca="1">IFERROR(VLOOKUP(C95,Discussion!A:B,2,0),"")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IFERROR($C$1-1+_xlfn.RANK.EQ(B96,$B$4:$B$40)+COUNTIF(B$4:$B96,B96)-1,"")</f>
        <v/>
      </c>
      <c r="D96" s="1" t="str">
        <f ca="1">IFERROR(VLOOKUP(C96,Discussion!A:B,2,0),"")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IFERROR($C$1-1+_xlfn.RANK.EQ(B97,$B$4:$B$40)+COUNTIF(B$4:$B97,B97)-1,"")</f>
        <v/>
      </c>
      <c r="D97" s="1" t="str">
        <f ca="1">IFERROR(VLOOKUP(C97,Discussion!A:B,2,0),"")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IFERROR($C$1-1+_xlfn.RANK.EQ(B98,$B$4:$B$40)+COUNTIF(B$4:$B98,B98)-1,"")</f>
        <v/>
      </c>
      <c r="D98" s="1" t="str">
        <f ca="1">IFERROR(VLOOKUP(C98,Discussion!A:B,2,0),"")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IFERROR($C$1-1+_xlfn.RANK.EQ(B99,$B$4:$B$40)+COUNTIF(B$4:$B99,B99)-1,"")</f>
        <v/>
      </c>
      <c r="D99" s="1" t="str">
        <f ca="1">IFERROR(VLOOKUP(C99,Discussion!A:B,2,0),"")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IFERROR($C$1-1+_xlfn.RANK.EQ(B100,$B$4:$B$40)+COUNTIF(B$4:$B100,B100)-1,"")</f>
        <v/>
      </c>
      <c r="D100" s="1" t="str">
        <f ca="1">IFERROR(VLOOKUP(C100,Discussion!A:B,2,0),"")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IFERROR($C$1-1+_xlfn.RANK.EQ(B101,$B$4:$B$40)+COUNTIF(B$4:$B101,B101)-1,"")</f>
        <v/>
      </c>
      <c r="D101" s="1" t="str">
        <f ca="1">IFERROR(VLOOKUP(C101,Discussion!A:B,2,0),"")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IFERROR($C$1-1+_xlfn.RANK.EQ(B102,$B$4:$B$40)+COUNTIF(B$4:$B102,B102)-1,"")</f>
        <v/>
      </c>
      <c r="D102" s="1" t="str">
        <f ca="1">IFERROR(VLOOKUP(C102,Discussion!A:B,2,0),"")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IFERROR($C$1-1+_xlfn.RANK.EQ(B103,$B$4:$B$40)+COUNTIF(B$4:$B103,B103)-1,"")</f>
        <v/>
      </c>
      <c r="D103" s="1" t="str">
        <f ca="1">IFERROR(VLOOKUP(C103,Discussion!A:B,2,0),"")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IFERROR($C$1-1+_xlfn.RANK.EQ(B104,$B$4:$B$40)+COUNTIF(B$4:$B104,B104)-1,"")</f>
        <v/>
      </c>
      <c r="D104" s="1" t="str">
        <f ca="1">IFERROR(VLOOKUP(C104,Discussion!A:B,2,0),"")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IFERROR($C$1-1+_xlfn.RANK.EQ(B105,$B$4:$B$40)+COUNTIF(B$4:$B105,B105)-1,"")</f>
        <v/>
      </c>
      <c r="D105" s="1" t="str">
        <f ca="1">IFERROR(VLOOKUP(C105,Discussion!A:B,2,0),"")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IFERROR($C$1-1+_xlfn.RANK.EQ(B106,$B$4:$B$40)+COUNTIF(B$4:$B106,B106)-1,"")</f>
        <v/>
      </c>
      <c r="D106" s="1" t="str">
        <f ca="1">IFERROR(VLOOKUP(C106,Discussion!A:B,2,0),"")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IFERROR($C$1-1+_xlfn.RANK.EQ(B107,$B$4:$B$40)+COUNTIF(B$4:$B107,B107)-1,"")</f>
        <v/>
      </c>
      <c r="D107" s="1" t="str">
        <f ca="1">IFERROR(VLOOKUP(C107,Discussion!A:B,2,0),"")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IFERROR($C$1-1+_xlfn.RANK.EQ(B108,$B$4:$B$40)+COUNTIF(B$4:$B108,B108)-1,"")</f>
        <v/>
      </c>
      <c r="D108" s="1" t="str">
        <f ca="1">IFERROR(VLOOKUP(C108,Discussion!A:B,2,0),"")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IFERROR($C$1-1+_xlfn.RANK.EQ(B109,$B$4:$B$40)+COUNTIF(B$4:$B109,B109)-1,"")</f>
        <v/>
      </c>
      <c r="D109" s="1" t="str">
        <f ca="1">IFERROR(VLOOKUP(C109,Discussion!A:B,2,0),"")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IFERROR($C$1-1+_xlfn.RANK.EQ(B110,$B$4:$B$40)+COUNTIF(B$4:$B110,B110)-1,"")</f>
        <v/>
      </c>
      <c r="D110" s="1" t="str">
        <f ca="1">IFERROR(VLOOKUP(C110,Discussion!A:B,2,0),"")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IFERROR($C$1-1+_xlfn.RANK.EQ(B111,$B$4:$B$40)+COUNTIF(B$4:$B111,B111)-1,"")</f>
        <v/>
      </c>
      <c r="D111" s="1" t="str">
        <f ca="1">IFERROR(VLOOKUP(C111,Discussion!A:B,2,0),"")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IFERROR($C$1-1+_xlfn.RANK.EQ(B112,$B$4:$B$40)+COUNTIF(B$4:$B112,B112)-1,"")</f>
        <v/>
      </c>
      <c r="D112" s="1" t="str">
        <f ca="1">IFERROR(VLOOKUP(C112,Discussion!A:B,2,0),"")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IFERROR($C$1-1+_xlfn.RANK.EQ(B113,$B$4:$B$40)+COUNTIF(B$4:$B113,B113)-1,"")</f>
        <v/>
      </c>
      <c r="D113" s="1" t="str">
        <f ca="1">IFERROR(VLOOKUP(C113,Discussion!A:B,2,0),"")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IFERROR($C$1-1+_xlfn.RANK.EQ(B114,$B$4:$B$40)+COUNTIF(B$4:$B114,B114)-1,"")</f>
        <v/>
      </c>
      <c r="D114" s="1" t="str">
        <f ca="1">IFERROR(VLOOKUP(C114,Discussion!A:B,2,0),"")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IFERROR($C$1-1+_xlfn.RANK.EQ(B115,$B$4:$B$40)+COUNTIF(B$4:$B115,B115)-1,"")</f>
        <v/>
      </c>
      <c r="D115" s="1" t="str">
        <f ca="1">IFERROR(VLOOKUP(C115,Discussion!A:B,2,0),"")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IFERROR($C$1-1+_xlfn.RANK.EQ(B116,$B$4:$B$40)+COUNTIF(B$4:$B116,B116)-1,"")</f>
        <v/>
      </c>
      <c r="D116" s="1" t="str">
        <f ca="1">IFERROR(VLOOKUP(C116,Discussion!A:B,2,0),"")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IFERROR($C$1-1+_xlfn.RANK.EQ(B117,$B$4:$B$40)+COUNTIF(B$4:$B117,B117)-1,"")</f>
        <v/>
      </c>
      <c r="D117" s="1" t="str">
        <f ca="1">IFERROR(VLOOKUP(C117,Discussion!A:B,2,0),"")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IFERROR($C$1-1+_xlfn.RANK.EQ(B118,$B$4:$B$40)+COUNTIF(B$4:$B118,B118)-1,"")</f>
        <v/>
      </c>
      <c r="D118" s="1" t="str">
        <f ca="1">IFERROR(VLOOKUP(C118,Discussion!A:B,2,0),"")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IFERROR($C$1-1+_xlfn.RANK.EQ(B119,$B$4:$B$40)+COUNTIF(B$4:$B119,B119)-1,"")</f>
        <v/>
      </c>
      <c r="D119" s="1" t="str">
        <f ca="1">IFERROR(VLOOKUP(C119,Discussion!A:B,2,0),"")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IFERROR($C$1-1+_xlfn.RANK.EQ(B120,$B$4:$B$40)+COUNTIF(B$4:$B120,B120)-1,"")</f>
        <v/>
      </c>
      <c r="D120" s="1" t="str">
        <f ca="1">IFERROR(VLOOKUP(C120,Discussion!A:B,2,0),"")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IFERROR($C$1-1+_xlfn.RANK.EQ(B121,$B$4:$B$40)+COUNTIF(B$4:$B121,B121)-1,"")</f>
        <v/>
      </c>
      <c r="D121" s="1" t="str">
        <f ca="1">IFERROR(VLOOKUP(C121,Discussion!A:B,2,0),"")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IFERROR($C$1-1+_xlfn.RANK.EQ(B122,$B$4:$B$40)+COUNTIF(B$4:$B122,B122)-1,"")</f>
        <v/>
      </c>
      <c r="D122" s="1" t="str">
        <f ca="1">IFERROR(VLOOKUP(C122,Discussion!A:B,2,0),"")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IFERROR($C$1-1+_xlfn.RANK.EQ(B123,$B$4:$B$40)+COUNTIF(B$4:$B123,B123)-1,"")</f>
        <v/>
      </c>
      <c r="D123" s="1" t="str">
        <f ca="1">IFERROR(VLOOKUP(C123,Discussion!A:B,2,0),"")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IFERROR($C$1-1+_xlfn.RANK.EQ(B124,$B$4:$B$40)+COUNTIF(B$4:$B124,B124)-1,"")</f>
        <v/>
      </c>
      <c r="D124" s="1" t="str">
        <f ca="1">IFERROR(VLOOKUP(C124,Discussion!A:B,2,0),"")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IFERROR($C$1-1+_xlfn.RANK.EQ(B125,$B$4:$B$40)+COUNTIF(B$4:$B125,B125)-1,"")</f>
        <v/>
      </c>
      <c r="D125" s="1" t="str">
        <f ca="1">IFERROR(VLOOKUP(C125,Discussion!A:B,2,0),"")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IFERROR($C$1-1+_xlfn.RANK.EQ(B126,$B$4:$B$40)+COUNTIF(B$4:$B126,B126)-1,"")</f>
        <v/>
      </c>
      <c r="D126" s="1" t="str">
        <f ca="1">IFERROR(VLOOKUP(C126,Discussion!A:B,2,0),"")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IFERROR($C$1-1+_xlfn.RANK.EQ(B127,$B$4:$B$40)+COUNTIF(B$4:$B127,B127)-1,"")</f>
        <v/>
      </c>
      <c r="D127" s="1" t="str">
        <f ca="1">IFERROR(VLOOKUP(C127,Discussion!A:B,2,0),"")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IFERROR($C$1-1+_xlfn.RANK.EQ(B128,$B$4:$B$40)+COUNTIF(B$4:$B128,B128)-1,"")</f>
        <v/>
      </c>
      <c r="D128" s="1" t="str">
        <f ca="1">IFERROR(VLOOKUP(C128,Discussion!A:B,2,0),"")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IFERROR($C$1-1+_xlfn.RANK.EQ(B129,$B$4:$B$40)+COUNTIF(B$4:$B129,B129)-1,"")</f>
        <v/>
      </c>
      <c r="D129" s="1" t="str">
        <f ca="1">IFERROR(VLOOKUP(C129,Discussion!A:B,2,0),"")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IFERROR($C$1-1+_xlfn.RANK.EQ(B130,$B$4:$B$40)+COUNTIF(B$4:$B130,B130)-1,"")</f>
        <v/>
      </c>
      <c r="D130" s="1" t="str">
        <f ca="1">IFERROR(VLOOKUP(C130,Discussion!A:B,2,0),"")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IFERROR($C$1-1+_xlfn.RANK.EQ(B131,$B$4:$B$40)+COUNTIF(B$4:$B131,B131)-1,"")</f>
        <v/>
      </c>
      <c r="D131" s="1" t="str">
        <f ca="1">IFERROR(VLOOKUP(C131,Discussion!A:B,2,0),"")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IFERROR($C$1-1+_xlfn.RANK.EQ(B132,$B$4:$B$40)+COUNTIF(B$4:$B132,B132)-1,"")</f>
        <v/>
      </c>
      <c r="D132" s="1" t="str">
        <f ca="1">IFERROR(VLOOKUP(C132,Discussion!A:B,2,0),"")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IFERROR($C$1-1+_xlfn.RANK.EQ(B133,$B$4:$B$40)+COUNTIF(B$4:$B133,B133)-1,"")</f>
        <v/>
      </c>
      <c r="D133" s="1" t="str">
        <f ca="1">IFERROR(VLOOKUP(C133,Discussion!A:B,2,0),"")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IFERROR($C$1-1+_xlfn.RANK.EQ(B134,$B$4:$B$40)+COUNTIF(B$4:$B134,B134)-1,"")</f>
        <v/>
      </c>
      <c r="D134" s="1" t="str">
        <f ca="1">IFERROR(VLOOKUP(C134,Discussion!A:B,2,0),"")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IFERROR($C$1-1+_xlfn.RANK.EQ(B135,$B$4:$B$40)+COUNTIF(B$4:$B135,B135)-1,"")</f>
        <v/>
      </c>
      <c r="D135" s="1" t="str">
        <f ca="1">IFERROR(VLOOKUP(C135,Discussion!A:B,2,0),"")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IFERROR($C$1-1+_xlfn.RANK.EQ(B136,$B$4:$B$40)+COUNTIF(B$4:$B136,B136)-1,"")</f>
        <v/>
      </c>
      <c r="D136" s="1" t="str">
        <f ca="1">IFERROR(VLOOKUP(C136,Discussion!A:B,2,0),"")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IFERROR($C$1-1+_xlfn.RANK.EQ(B137,$B$4:$B$40)+COUNTIF(B$4:$B137,B137)-1,"")</f>
        <v/>
      </c>
      <c r="D137" s="1" t="str">
        <f ca="1">IFERROR(VLOOKUP(C137,Discussion!A:B,2,0),"")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IFERROR($C$1-1+_xlfn.RANK.EQ(B138,$B$4:$B$40)+COUNTIF(B$4:$B138,B138)-1,"")</f>
        <v/>
      </c>
      <c r="D138" s="1" t="str">
        <f ca="1">IFERROR(VLOOKUP(C138,Discussion!A:B,2,0),"")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IFERROR($C$1-1+_xlfn.RANK.EQ(B139,$B$4:$B$40)+COUNTIF(B$4:$B139,B139)-1,"")</f>
        <v/>
      </c>
      <c r="D139" s="1" t="str">
        <f ca="1">IFERROR(VLOOKUP(C139,Discussion!A:B,2,0),"")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IFERROR($C$1-1+_xlfn.RANK.EQ(B140,$B$4:$B$40)+COUNTIF(B$4:$B140,B140)-1,"")</f>
        <v/>
      </c>
      <c r="D140" s="1" t="str">
        <f ca="1">IFERROR(VLOOKUP(C140,Discussion!A:B,2,0),"")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IFERROR($C$1-1+_xlfn.RANK.EQ(B141,$B$4:$B$40)+COUNTIF(B$4:$B141,B141)-1,"")</f>
        <v/>
      </c>
      <c r="D141" s="1" t="str">
        <f ca="1">IFERROR(VLOOKUP(C141,Discussion!A:B,2,0),"")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IFERROR($C$1-1+_xlfn.RANK.EQ(B142,$B$4:$B$40)+COUNTIF(B$4:$B142,B142)-1,"")</f>
        <v/>
      </c>
      <c r="D142" s="1" t="str">
        <f ca="1">IFERROR(VLOOKUP(C142,Discussion!A:B,2,0),"")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D295" s="1"/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6:D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dimension ref="A1:D1"/>
  <sheetViews>
    <sheetView zoomScale="96" zoomScaleNormal="96" workbookViewId="0">
      <selection activeCell="I15" sqref="I15"/>
    </sheetView>
  </sheetViews>
  <sheetFormatPr defaultRowHeight="13.8" x14ac:dyDescent="0.25"/>
  <cols>
    <col min="1" max="2" width="8.796875" style="1"/>
    <col min="3" max="3" width="8.796875" style="27"/>
    <col min="4" max="4" width="8.796875" style="1"/>
  </cols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6718-A9E9-438B-B207-C9ED05A276B1}">
  <dimension ref="A1"/>
  <sheetViews>
    <sheetView topLeftCell="A91" workbookViewId="0">
      <selection activeCell="L106" sqref="L106"/>
    </sheetView>
  </sheetViews>
  <sheetFormatPr defaultRowHeight="13.8" x14ac:dyDescent="0.25"/>
  <cols>
    <col min="1" max="1" width="8.7968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Discussion</vt:lpstr>
      <vt:lpstr>Viet</vt:lpstr>
      <vt:lpstr>Sum</vt:lpstr>
      <vt:lpstr>Ramdom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2023-07-08T05:32:18Z</dcterms:modified>
</cp:coreProperties>
</file>