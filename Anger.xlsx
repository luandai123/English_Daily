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Anger\"/>
    </mc:Choice>
  </mc:AlternateContent>
  <xr:revisionPtr revIDLastSave="0" documentId="13_ncr:1_{96CBFBB1-5A06-487A-82A2-4D7E63756942}" xr6:coauthVersionLast="47" xr6:coauthVersionMax="47" xr10:uidLastSave="{00000000-0000-0000-0000-000000000000}"/>
  <bookViews>
    <workbookView xWindow="-108" yWindow="-108" windowWidth="23256" windowHeight="12456" tabRatio="634" activeTab="1" xr2:uid="{719E5D2F-C632-4960-9266-638D7C9B24E2}"/>
  </bookViews>
  <sheets>
    <sheet name="Anger" sheetId="1" r:id="rId1"/>
    <sheet name="Viet" sheetId="5" r:id="rId2"/>
    <sheet name="Sum" sheetId="6" r:id="rId3"/>
    <sheet name="Ramdom" sheetId="2" r:id="rId4"/>
    <sheet name="Sheet1" sheetId="7" r:id="rId5"/>
  </sheets>
  <definedNames>
    <definedName name="_xlnm._FilterDatabase" localSheetId="0" hidden="1">Anger!$A$3:$H$96</definedName>
    <definedName name="_xlnm._FilterDatabase" localSheetId="3" hidden="1">Ramdom!$B$3:$F$295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C5" i="5" s="1"/>
  <c r="D4" i="6"/>
  <c r="C4" i="6" s="1"/>
  <c r="D3" i="6" l="1"/>
  <c r="C3" i="6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D4" i="5"/>
  <c r="C4" i="5" s="1"/>
  <c r="D3" i="5"/>
  <c r="C3" i="5" s="1"/>
  <c r="G6" i="1"/>
  <c r="G5" i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C25" i="2" s="1"/>
  <c r="C26" i="2" l="1"/>
  <c r="C29" i="2"/>
  <c r="C27" i="2"/>
  <c r="C28" i="2"/>
  <c r="C30" i="2"/>
  <c r="C31" i="2"/>
  <c r="C9" i="2"/>
  <c r="C8" i="2"/>
  <c r="C6" i="2"/>
  <c r="C10" i="2"/>
  <c r="C7" i="2"/>
  <c r="C5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4" i="2"/>
  <c r="A33" i="2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A42" i="2" l="1"/>
  <c r="B41" i="2"/>
  <c r="A43" i="2" l="1"/>
  <c r="B42" i="2"/>
  <c r="A44" i="2" l="1"/>
  <c r="B43" i="2"/>
  <c r="A45" i="2" l="1"/>
  <c r="B44" i="2"/>
  <c r="A46" i="2" l="1"/>
  <c r="B45" i="2"/>
  <c r="A47" i="2" l="1"/>
  <c r="B46" i="2"/>
  <c r="A48" i="2" l="1"/>
  <c r="B47" i="2"/>
  <c r="A49" i="2" l="1"/>
  <c r="B48" i="2"/>
  <c r="A50" i="2" l="1"/>
  <c r="B49" i="2"/>
  <c r="A51" i="2" l="1"/>
  <c r="B50" i="2"/>
  <c r="A52" i="2" l="1"/>
  <c r="B51" i="2"/>
  <c r="A53" i="2" l="1"/>
  <c r="B52" i="2"/>
  <c r="A54" i="2" l="1"/>
  <c r="B53" i="2"/>
  <c r="A55" i="2" l="1"/>
  <c r="B54" i="2"/>
  <c r="A56" i="2" l="1"/>
  <c r="B55" i="2"/>
  <c r="A57" i="2" l="1"/>
  <c r="B56" i="2"/>
  <c r="A58" i="2" l="1"/>
  <c r="B57" i="2"/>
  <c r="A59" i="2" l="1"/>
  <c r="B58" i="2"/>
  <c r="A60" i="2" l="1"/>
  <c r="B59" i="2"/>
  <c r="A61" i="2" l="1"/>
  <c r="B60" i="2"/>
  <c r="A62" i="2" l="1"/>
  <c r="B61" i="2"/>
  <c r="A63" i="2" l="1"/>
  <c r="B62" i="2"/>
  <c r="A64" i="2" l="1"/>
  <c r="B63" i="2"/>
  <c r="A65" i="2" l="1"/>
  <c r="B64" i="2"/>
  <c r="A66" i="2" l="1"/>
  <c r="B65" i="2"/>
  <c r="A67" i="2" l="1"/>
  <c r="B66" i="2"/>
  <c r="A68" i="2" l="1"/>
  <c r="B67" i="2"/>
  <c r="A69" i="2" l="1"/>
  <c r="B68" i="2"/>
  <c r="A70" i="2" l="1"/>
  <c r="B69" i="2"/>
  <c r="A71" i="2" l="1"/>
  <c r="B70" i="2"/>
  <c r="A72" i="2" l="1"/>
  <c r="B71" i="2"/>
  <c r="A73" i="2" l="1"/>
  <c r="B72" i="2"/>
  <c r="A74" i="2" l="1"/>
  <c r="B73" i="2"/>
  <c r="A75" i="2" l="1"/>
  <c r="B74" i="2"/>
  <c r="A76" i="2" l="1"/>
  <c r="B75" i="2"/>
  <c r="A77" i="2" l="1"/>
  <c r="B76" i="2"/>
  <c r="A78" i="2" l="1"/>
  <c r="B77" i="2"/>
  <c r="A79" i="2" l="1"/>
  <c r="B78" i="2"/>
  <c r="A80" i="2" l="1"/>
  <c r="B79" i="2"/>
  <c r="A81" i="2" l="1"/>
  <c r="B80" i="2"/>
  <c r="A82" i="2" l="1"/>
  <c r="B81" i="2"/>
  <c r="A83" i="2" l="1"/>
  <c r="B82" i="2"/>
  <c r="A84" i="2" l="1"/>
  <c r="B83" i="2"/>
  <c r="A85" i="2" l="1"/>
  <c r="B84" i="2"/>
  <c r="A86" i="2" l="1"/>
  <c r="B85" i="2"/>
  <c r="A87" i="2" l="1"/>
  <c r="B86" i="2"/>
  <c r="A88" i="2" l="1"/>
  <c r="B87" i="2"/>
  <c r="A89" i="2" l="1"/>
  <c r="B88" i="2"/>
  <c r="A90" i="2" l="1"/>
  <c r="B89" i="2"/>
  <c r="A91" i="2" l="1"/>
  <c r="B90" i="2"/>
  <c r="A92" i="2" l="1"/>
  <c r="B91" i="2"/>
  <c r="A93" i="2" l="1"/>
  <c r="B92" i="2"/>
  <c r="A94" i="2" l="1"/>
  <c r="B93" i="2"/>
  <c r="A95" i="2" l="1"/>
  <c r="B94" i="2"/>
  <c r="A96" i="2" l="1"/>
  <c r="B95" i="2"/>
  <c r="A97" i="2" l="1"/>
  <c r="B96" i="2"/>
  <c r="A98" i="2" l="1"/>
  <c r="B97" i="2"/>
  <c r="A99" i="2" l="1"/>
  <c r="B98" i="2"/>
  <c r="A100" i="2" l="1"/>
  <c r="B99" i="2"/>
  <c r="A101" i="2" l="1"/>
  <c r="B100" i="2"/>
  <c r="A102" i="2" l="1"/>
  <c r="B101" i="2"/>
  <c r="C32" i="2" l="1"/>
  <c r="C33" i="2"/>
  <c r="C34" i="2"/>
  <c r="C35" i="2"/>
  <c r="C36" i="2"/>
  <c r="C38" i="2"/>
  <c r="C37" i="2"/>
  <c r="C40" i="2"/>
  <c r="C39" i="2"/>
  <c r="C41" i="2"/>
  <c r="C42" i="2"/>
  <c r="C44" i="2"/>
  <c r="C43" i="2"/>
  <c r="C45" i="2"/>
  <c r="C47" i="2"/>
  <c r="C46" i="2"/>
  <c r="C48" i="2"/>
  <c r="C49" i="2"/>
  <c r="C50" i="2"/>
  <c r="C51" i="2"/>
  <c r="C52" i="2"/>
  <c r="C53" i="2"/>
  <c r="C54" i="2"/>
  <c r="C56" i="2"/>
  <c r="C55" i="2"/>
  <c r="C57" i="2"/>
  <c r="C59" i="2"/>
  <c r="C58" i="2"/>
  <c r="C60" i="2"/>
  <c r="C63" i="2"/>
  <c r="C61" i="2"/>
  <c r="C62" i="2"/>
  <c r="C65" i="2"/>
  <c r="C64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5" i="2"/>
  <c r="C84" i="2"/>
  <c r="C86" i="2"/>
  <c r="C87" i="2"/>
  <c r="C88" i="2"/>
  <c r="C90" i="2"/>
  <c r="C89" i="2"/>
  <c r="C92" i="2"/>
  <c r="C93" i="2"/>
  <c r="C95" i="2"/>
  <c r="C91" i="2"/>
  <c r="C98" i="2"/>
  <c r="C99" i="2"/>
  <c r="C96" i="2"/>
  <c r="C100" i="2"/>
  <c r="C94" i="2"/>
  <c r="C97" i="2"/>
  <c r="C101" i="2"/>
  <c r="A103" i="2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117" i="2" s="1"/>
  <c r="A119" i="2" l="1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26" i="2" s="1"/>
  <c r="A128" i="2" l="1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s="1"/>
  <c r="A136" i="2" l="1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<sst xmlns="http://schemas.openxmlformats.org/spreadsheetml/2006/main" count="431" uniqueCount="269">
  <si>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</si>
  <si>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</si>
  <si>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</si>
  <si>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</si>
  <si>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</si>
  <si>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</si>
  <si>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</si>
  <si>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</si>
  <si>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</si>
  <si>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</si>
  <si>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</si>
  <si>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</si>
  <si>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</si>
  <si>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</si>
  <si>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</si>
  <si>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1.4</t>
  </si>
  <si>
    <t>2.1</t>
  </si>
  <si>
    <t>2.3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</si>
  <si>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</si>
  <si>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</si>
  <si>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</si>
  <si>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</si>
  <si>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</si>
  <si>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</si>
  <si>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</si>
  <si>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</si>
  <si>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</si>
  <si>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</si>
  <si>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</si>
  <si>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</si>
  <si>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</si>
  <si>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</si>
  <si>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</si>
  <si>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</si>
  <si>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</si>
  <si>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</si>
  <si>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</si>
  <si>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</si>
  <si>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</si>
  <si>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</si>
  <si>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01-05</t>
  </si>
  <si>
    <t>Man</t>
  </si>
  <si>
    <t>Woman</t>
  </si>
  <si>
    <t>1Struc</t>
  </si>
  <si>
    <t>1.1Viet</t>
  </si>
  <si>
    <t>1.1Eng</t>
  </si>
  <si>
    <t>1.2Viet</t>
  </si>
  <si>
    <t>1.2Eng</t>
  </si>
  <si>
    <t>1.3Viet</t>
  </si>
  <si>
    <t>1.3Eng</t>
  </si>
  <si>
    <t>1.4Viet</t>
  </si>
  <si>
    <t>1.4Eng</t>
  </si>
  <si>
    <t>2Struc</t>
  </si>
  <si>
    <t>2.1Viet</t>
  </si>
  <si>
    <t>2.1Eng</t>
  </si>
  <si>
    <t>2.2Viet</t>
  </si>
  <si>
    <t>2.2Eng</t>
  </si>
  <si>
    <t>2.3Viet</t>
  </si>
  <si>
    <t>2.3Eng</t>
  </si>
  <si>
    <t>3Struc</t>
  </si>
  <si>
    <t>3.3Eng</t>
  </si>
  <si>
    <t>3.1Viet</t>
  </si>
  <si>
    <t>3.1Eng</t>
  </si>
  <si>
    <t>3.2Viet</t>
  </si>
  <si>
    <t>3.2Eng</t>
  </si>
  <si>
    <t>3.3Viet</t>
  </si>
  <si>
    <t>4Struc</t>
  </si>
  <si>
    <t>4.1Viet</t>
  </si>
  <si>
    <t>4.1Eng</t>
  </si>
  <si>
    <t>4.2Viet</t>
  </si>
  <si>
    <t>4.2Eng</t>
  </si>
  <si>
    <t>4.3Viet</t>
  </si>
  <si>
    <t>4.3Eng</t>
  </si>
  <si>
    <t>5Struc</t>
  </si>
  <si>
    <t>5.1Viet</t>
  </si>
  <si>
    <t>5.1Eng</t>
  </si>
  <si>
    <t>5.2Viet</t>
  </si>
  <si>
    <t>5.2Eng</t>
  </si>
  <si>
    <t>5.3Viet</t>
  </si>
  <si>
    <t>5.3Eng</t>
  </si>
  <si>
    <t>6Struc</t>
  </si>
  <si>
    <t>6.1Viet</t>
  </si>
  <si>
    <t>6.1Eng</t>
  </si>
  <si>
    <t>6.2Viet</t>
  </si>
  <si>
    <t>6.2Eng</t>
  </si>
  <si>
    <t>6.3Viet</t>
  </si>
  <si>
    <t>6.3Eng</t>
  </si>
  <si>
    <t>7Struc</t>
  </si>
  <si>
    <t>7.1Viet</t>
  </si>
  <si>
    <t>7.1Eng</t>
  </si>
  <si>
    <t>7.2Viet</t>
  </si>
  <si>
    <t>7.2Eng</t>
  </si>
  <si>
    <t>7.3Viet</t>
  </si>
  <si>
    <t>7.3Eng</t>
  </si>
  <si>
    <t>8Struc</t>
  </si>
  <si>
    <t>8.1Viet</t>
  </si>
  <si>
    <t>8.1Eng</t>
  </si>
  <si>
    <t>8.2Viet</t>
  </si>
  <si>
    <t>8.2Eng</t>
  </si>
  <si>
    <t>8.3Viet</t>
  </si>
  <si>
    <t>8.3Eng</t>
  </si>
  <si>
    <t>9Struc</t>
  </si>
  <si>
    <t>9.1Viet</t>
  </si>
  <si>
    <t>9.1Eng</t>
  </si>
  <si>
    <t>9.2Viet</t>
  </si>
  <si>
    <t>9.2Eng</t>
  </si>
  <si>
    <t>9.3Viet</t>
  </si>
  <si>
    <t>9.3Eng</t>
  </si>
  <si>
    <t>1.1Phon</t>
  </si>
  <si>
    <t>1.2Phon</t>
  </si>
  <si>
    <t>1.3Phon</t>
  </si>
  <si>
    <t>1.4Phon</t>
  </si>
  <si>
    <t>2.1Phon</t>
  </si>
  <si>
    <t>2.2Phon</t>
  </si>
  <si>
    <t>2.3Phon</t>
  </si>
  <si>
    <t>3.1Phon</t>
  </si>
  <si>
    <t>3.2Phon</t>
  </si>
  <si>
    <t>3.3Phon</t>
  </si>
  <si>
    <t>4.1Phon</t>
  </si>
  <si>
    <t>4.2Phon</t>
  </si>
  <si>
    <t>4.3Phon</t>
  </si>
  <si>
    <t>5.1Phon</t>
  </si>
  <si>
    <t>5.2Phon</t>
  </si>
  <si>
    <t>5.3Phon</t>
  </si>
  <si>
    <t>6.1Phon</t>
  </si>
  <si>
    <t>6.2Phon</t>
  </si>
  <si>
    <t>6.3Phon</t>
  </si>
  <si>
    <t>7.1Phon</t>
  </si>
  <si>
    <t>7.2Phon</t>
  </si>
  <si>
    <t>7.3Phon</t>
  </si>
  <si>
    <t>8.1Phon</t>
  </si>
  <si>
    <t>8.2Phon</t>
  </si>
  <si>
    <t>8.3Phon</t>
  </si>
  <si>
    <t>9.1Phon</t>
  </si>
  <si>
    <t>9.2Phon</t>
  </si>
  <si>
    <t>9.3Phon</t>
  </si>
  <si>
    <t>l</t>
  </si>
  <si>
    <t>k</t>
  </si>
  <si>
    <t>j</t>
  </si>
  <si>
    <t>06-09</t>
  </si>
  <si>
    <t>TOPIC: ANGER</t>
  </si>
  <si>
    <t>I’m so mad at you right now.</t>
  </si>
  <si>
    <t>aɪm soʊ mæd æt ju: raɪt naʊ</t>
  </si>
  <si>
    <t>He is so mad at her.</t>
  </si>
  <si>
    <t>hi: ɪz soʊ mæd æt hɜ:r</t>
  </si>
  <si>
    <t>I am so mad at her.</t>
  </si>
  <si>
    <t>aɪ æm soʊ mæd æt hɜ:r</t>
  </si>
  <si>
    <t>My mom is so mad at me.</t>
  </si>
  <si>
    <t>maɪ ma:m ɪz soʊ mæd æt mi:</t>
  </si>
  <si>
    <t>Your mom is going to be furious when she finds out what happened.</t>
  </si>
  <si>
    <t>jʊr ma:m ɪz ˈgoʊɪŋ tu: bi: ˈfjʊriəs wɛn ʃi: faɪndz aʊt wʌt ˈhæpənd</t>
  </si>
  <si>
    <t>He is going to be upset when he finds out what happened.</t>
  </si>
  <si>
    <t>hi: ɪz ˈgoʊɪŋ tu: bi: ʌpˈset wɛn hi: faɪndz aʊt wʌt ˈhæpənd</t>
  </si>
  <si>
    <t>You are going to be furious when you find out what happened.</t>
  </si>
  <si>
    <t>ju: a:r ˈgoʊɪŋ tu: bi: ˈfjʊriəs wɛn ju: faɪnd aʊt wʌt ˈhæpənd</t>
  </si>
  <si>
    <t>I need to better control my temper.</t>
  </si>
  <si>
    <t>aɪ ni:d tu: ˈbɛtər kənˈtroʊl maɪ ˈtɛmpər</t>
  </si>
  <si>
    <t>You need to better control your temper.</t>
  </si>
  <si>
    <t>ju: ni:d tu: ˈbɛtər kənˈtroʊl jʊr ˈtɛmpər</t>
  </si>
  <si>
    <t>He needs to better control his temper.</t>
  </si>
  <si>
    <t>hi: ni:dz tu: ˈbɛtər kənˈtroʊl hɪz ˈtɛmpər</t>
  </si>
  <si>
    <t>It won’t help anything if you get angry.</t>
  </si>
  <si>
    <t>ɪt woʊnt hɛlp ˈɛniθɪŋ ɪf ju: gɛt ˈæŋgri</t>
  </si>
  <si>
    <t>It won’t help anything if I get angry.</t>
  </si>
  <si>
    <t>ɪt woʊnt hɛlp ˈɛniθɪŋ ɪf aɪ gɛt ˈæŋgri</t>
  </si>
  <si>
    <t>It won’t help anything if he gets angry.</t>
  </si>
  <si>
    <t>ɪt woʊnt hɛlp ˈɛniθɪŋ ɪf hi: gɛts ˈæŋgri</t>
  </si>
  <si>
    <t>I’m sure he didn’t do it on purpose.</t>
  </si>
  <si>
    <t>aɪm ʃʊr hi: ˈdɪdənt du: ɪt a:n ˈpɜ:rpəs</t>
  </si>
  <si>
    <t>Do you do it on purpose?</t>
  </si>
  <si>
    <t>du: ju: du: ɪt a:n ˈpɜ:rpəs</t>
  </si>
  <si>
    <t>I do it on purpose.</t>
  </si>
  <si>
    <t>aɪ du: ɪt a:n ˈpɜ:rpəs</t>
  </si>
  <si>
    <t>He knows how much I hate being stood up.</t>
  </si>
  <si>
    <t>hi: noʊz haʊ mʌʧ aɪ heɪt ˈbi:ɪŋ stʊd ʌp</t>
  </si>
  <si>
    <t>You know how much I hate being kept waiting.</t>
  </si>
  <si>
    <t>ju: noʊ haʊ mʌʧ aɪ heɪt ˈbi:ɪŋ kɛpt ˈweɪtɪŋ</t>
  </si>
  <si>
    <t>I know how much you hate having your time wasted.</t>
  </si>
  <si>
    <t>aɪ noʊ haʊ mʌʧ ju: heɪt ˈhævɪŋ jʊr taɪm ˈweɪstɪd</t>
  </si>
  <si>
    <t>I was simply too mad to think straight.</t>
  </si>
  <si>
    <t>aɪ wʌz ˈsɪmpli tu: mæd tu: θɪŋk streɪt</t>
  </si>
  <si>
    <t>I was simply too mad to think clearly.</t>
  </si>
  <si>
    <t>aɪ wʌz ˈsɪmpli tu: mæd tu: θɪŋk ˈklɪrli</t>
  </si>
  <si>
    <t>I was simply too mad to think sensibly.</t>
  </si>
  <si>
    <t>aɪ wʌz ˈsɪmpli tu: mæd tu: θɪŋk ˈsensəbli</t>
  </si>
  <si>
    <t>Maybe I won’t stop being friend with him, but I’m still going to tell him off.</t>
  </si>
  <si>
    <t>ˈmeɪbi aɪ woʊnt sta:p ˈbi:ɪŋ frɛnd wɪð hɪm bʌt aɪm stɪl ˈgoʊɪŋ tu: tɛl hɪm a:f</t>
  </si>
  <si>
    <t>I don’t understand how she can be so irresponsible.</t>
  </si>
  <si>
    <t>aɪ doʊnt ˌʌndərˈstænd haʊ ʃi: kæn bi: soʊ ˌɪrəˈspaːnsəbəl</t>
  </si>
  <si>
    <t>I don’t understand how he can be so careless.</t>
  </si>
  <si>
    <t>aɪ doʊnt ˌʌndərˈstænd haʊ hi: kæn bi: soʊ ˈkerləs</t>
  </si>
  <si>
    <t>I don’t understand how you can be so thoughtless.</t>
  </si>
  <si>
    <t>aɪ doʊnt ˌʌndərˈstænd haʊ ju: kæn bi: soʊ ˈθaːtləs</t>
  </si>
  <si>
    <t>Maybe I won’t stop being friend with you, but I’m still going to tell you what I think about you.</t>
  </si>
  <si>
    <t>ˈmeɪbi aɪ woʊnt sta:p ˈbi:ɪŋ frɛnd wɪð ju: bʌt aɪm stɪl ˈgoʊɪŋ tu: tɛl ju: wʌt aɪ θɪŋk əˈbaʊt ju:</t>
  </si>
  <si>
    <t>Maybe I won’t stop being friend with her, but I’m still going to tell her what I think about her.</t>
  </si>
  <si>
    <t>ˈmeɪbi aɪ woʊnt sta:p ˈbi:ɪŋ frɛnd wɪð hɜ:r bʌt aɪm stɪl ˈgoʊɪŋ tu: tɛl hɜ:r wʌt aɪ θɪŋk əˈbaʊt hɜ:r</t>
  </si>
  <si>
    <t>S + TO BE SO MAD AT + SOMEONE /Nổi giận/nổi điên với ai đó…/</t>
  </si>
  <si>
    <t>Anh ấy nổi giận với cô ấy.</t>
  </si>
  <si>
    <t>Tôi rất giận cô ấy.</t>
  </si>
  <si>
    <t>Mẹ tôi nổi giận với tôi.</t>
  </si>
  <si>
    <t>S1 + TO BE GOING TO BE + TÍNH TỪ WHEN S1 FINDS OUT WHAT HAPPENED /Ai đó sẽ... khi phát hiện chuyện đã xảy ra/</t>
  </si>
  <si>
    <t>Mẹ của bạn sẽ nổi giận khi bà ấy phát hiện chuyện đã xảy ra.</t>
  </si>
  <si>
    <t>Anh ấy sẽ buồn khi anh ấy phát hiện chuyện đã xảy ra.</t>
  </si>
  <si>
    <t>Bạn sẽ nổi giận khi bạn phát hiện chuyện đã xảy ra.</t>
  </si>
  <si>
    <t>S + NEED TO BETTER CONTROL S’S TEMPER /Cần kiềm chế tính khí/</t>
  </si>
  <si>
    <t>Tôi cần kiềm chế tính khí của mình nhiều hơn.</t>
  </si>
  <si>
    <t>Bạn nên kiềm chế tính khí của bạn nhiều hơn.</t>
  </si>
  <si>
    <t>Anh ấy cần kiềm chế tính khí của ảnh nhiều hơn.</t>
  </si>
  <si>
    <t>IT WON’T HELP ANYTHING IF + S GET ANGRY /Không giải quyết được gì cả nếu nổi giận/</t>
  </si>
  <si>
    <t>Nếu anh nổi giận thì nó không giải quyết được gì cả.</t>
  </si>
  <si>
    <t>Nếu tôi nổi giận thì nó không giải quyết được gì cả.</t>
  </si>
  <si>
    <t>Nếu anh ấy nổi giận thì nó không giải quyết được gì cả.</t>
  </si>
  <si>
    <t>DO SOMETHING ON PURPOSE /Cố tình làm chuyện gì/</t>
  </si>
  <si>
    <t>Tôi chắc chắn là anh ấy không cố tình làm như vậy.</t>
  </si>
  <si>
    <t>Bạn cố tình làm chuyện này à?</t>
  </si>
  <si>
    <t>Tôi cố ý làm điều đó.</t>
  </si>
  <si>
    <t>S1 + KNOW/KNOWS HOW MUCH + S2 HATE… /Biết là ai đó rất ghét/</t>
  </si>
  <si>
    <t>Anh ta biết là tôi rất ghét bị cho leo cây.</t>
  </si>
  <si>
    <t>Bạn biết là tôi rất ghét bị chờ lâu.</t>
  </si>
  <si>
    <t>Tôi biết là anh rất ghét bị phí thời giờ.</t>
  </si>
  <si>
    <t>S + TO BE + TOO MAD TO THINK... /Ai đó quá giận nên không kịp suy nghĩ…/</t>
  </si>
  <si>
    <t>Tôi đã quá giận nên không kịp suy nghĩ đúng đắn.</t>
  </si>
  <si>
    <t>Tôi đã quá giận nên không kịp suy nghĩ rõ ràng.</t>
  </si>
  <si>
    <t>Tôi đã quá giận nên không kịp suy nghĩ hợp lý.</t>
  </si>
  <si>
    <t>MAYBE I WON’T STOP BEING FRIEND WITH…, BUT I’M STILL GOING TO... /Có lẽ là tôi sẽ không chấm dứt mối quan hệ bạn bè với..., nhưng tôi sẽ vẫn…/</t>
  </si>
  <si>
    <t>Có lẽ tôi sẽ không chấm dứt mối quan hệ bạn bè với anh ấy, nhưng tôi vẫn phải mắng cho anh ta một trận.</t>
  </si>
  <si>
    <t>Có lẽ tôi sẽ không chấm dứt mối quan hệ bạn bè với cô ấy, nhưng tôi vẫn phải nói cho cổ biết suy nghĩ của tôi về cổ.</t>
  </si>
  <si>
    <t>Có lẽ tôi sẽ không chấm dứt mối quan hệ bạn bè với anh, nhưng tôi vẫn phải nói hết cho nhẹ người.</t>
  </si>
  <si>
    <t>I DON’T UNDERSTAND HOW + CHỦ NGỮ CAN BE SO + TÍNH TỪ /Tôi không hiểu làm sao... Có thể…/</t>
  </si>
  <si>
    <t>Tôi không hiểu làm sao mà cô ấy lại có thể vô trách nhiệm đến như vậy.</t>
  </si>
  <si>
    <t>Tôi không hiểu làm sao mà anh ấy lại có thể bất cẩn đến như vậy.</t>
  </si>
  <si>
    <t>Tôi không hiểu sao bạn có thể thiếu suy nghĩ vậy.</t>
  </si>
  <si>
    <t>;l</t>
  </si>
  <si>
    <t>https://drive.google.com/file/d/1m6o0grLZpRv8NcYs-9Kyle81Amc2DeiQ/view?usp=sharing</t>
  </si>
  <si>
    <t>https://drive.google.com/file/d/1vKerznEEx67IeMZZhGUSLRClr-1NUrYi/view?usp=sharing</t>
  </si>
  <si>
    <t>https://drive.google.com/file/d/1ZOHF8mv3TaDXUIYFR-yYUxcctLB4VrG8/view?usp=sharing</t>
  </si>
  <si>
    <t>https://drive.google.com/file/d/1oOAe_Uo5RVjuOwL7odyMUqbjcIay_4zG/view?usp=sharing</t>
  </si>
  <si>
    <t>Hiện giờ tôi đang rất giận bạn.</t>
  </si>
  <si>
    <t>https://docs.google.com/uc?export=download&amp;id=1-ajtbCeUQXHx9GEHjoFMkU2clNh7XW_P</t>
  </si>
  <si>
    <t>https://docs.google.com/uc?export=download&amp;id=10gXMNgd1mYXzzOu6WlJuQMY8kh1GgQLo</t>
  </si>
  <si>
    <t>https://docs.google.com/uc?export=download&amp;id=13ndrDVWCNHoZUGo8I9eO3sP3DRFSIRCz</t>
  </si>
  <si>
    <t>https://docs.google.com/uc?export=download&amp;id=1cp9AwpnTjbDDMNQSLUfYp_HDLjn_mQg5</t>
  </si>
  <si>
    <t>https://docs.google.com/uc?export=download&amp;id=1WcQSGY7PYWiqAhjbizdVGF5UFhSXhzUG</t>
  </si>
  <si>
    <t>https://docs.google.com/uc?export=download&amp;id=1AqJeMqtujwHOo6O4biI_ypOx87W7cw8b</t>
  </si>
  <si>
    <t>https://docs.google.com/uc?export=download&amp;id=1DfkD12QTNOSkC2S5jEKAjqqjtUZHGmcs</t>
  </si>
  <si>
    <t>https://docs.google.com/uc?export=download&amp;id=1OJJMQjui7NiMn5YPFzxTPVR0lacZ3TS4</t>
  </si>
  <si>
    <t>https://docs.google.com/uc?export=download&amp;id=14g_Nn4aDOkoedZL_SLFdPzZd0q0zRcIg</t>
  </si>
  <si>
    <t>https://docs.google.com/uc?export=download&amp;id=1VXbIm_rp2K2_-3gv_0uGwXLWTaga9m8e</t>
  </si>
  <si>
    <t>https://docs.google.com/uc?export=download&amp;id=1Z2tcV1F8ffVNbKdYizR67rfLfllc0HDi</t>
  </si>
  <si>
    <t>https://docs.google.com/uc?export=download&amp;id=1alzMSjfa4r1AiHZtrCZUWdvkBs6rD6_o</t>
  </si>
  <si>
    <t>https://docs.google.com/uc?export=download&amp;id=1BVTOas9FMh-TksBpFQymIW_vyAOm2WGD</t>
  </si>
  <si>
    <t>https://docs.google.com/uc?export=download&amp;id=19ssLrHsvaZ6eAnOZ2MJl2_QuDV2uGAKn</t>
  </si>
  <si>
    <t>https://docs.google.com/uc?export=download&amp;id=1VKrIjIs6hYQUwuTePb04Km1Uy9Mg5UyW</t>
  </si>
  <si>
    <t>https://docs.google.com/uc?export=download&amp;id=1knpgzLY0VxIpVErV0Bo0w55zPQPS2jBx</t>
  </si>
  <si>
    <t>https://docs.google.com/uc?export=download&amp;id=1Hx9AVoky-ywr7-XQ85bq2cMZ7yIpL9CE</t>
  </si>
  <si>
    <t>https://docs.google.com/uc?export=download&amp;id=1G-guPcRLtGonUJbM4CMgtQpzx2i3pxo2</t>
  </si>
  <si>
    <t>https://docs.google.com/uc?export=download&amp;id=1NAbMe754qOWwzo0R16YgTRr_0ZaB2-Vr</t>
  </si>
  <si>
    <t>https://docs.google.com/uc?export=download&amp;id=1gUOegph6FiOhQv4asKm4Y0dQTeiK-AJz</t>
  </si>
  <si>
    <t>https://docs.google.com/uc?export=download&amp;id=1OxTE3Zx8Tg_X6Yj5nGrHy8S4Ft-uqs5w</t>
  </si>
  <si>
    <t>https://docs.google.com/uc?export=download&amp;id=11gdhAkIOxXPO3BrZB2BL4MSn9dBQiS4d</t>
  </si>
  <si>
    <t>https://docs.google.com/uc?export=download&amp;id=13uu6IiCNvEoE9-4a4641ghQcPGHEnjey</t>
  </si>
  <si>
    <t>https://docs.google.com/uc?export=download&amp;id=1Une_sG9l4kDs_8JPh_zCy5PfpFGFmuRg</t>
  </si>
  <si>
    <t>https://docs.google.com/uc?export=download&amp;id=1LZMGmSovt2yQHHgh9JLa2KBCckJIxpok</t>
  </si>
  <si>
    <t>https://docs.google.com/uc?export=download&amp;id=16Ek-QI8bxo1th3q6gtrp3hm7HB13tQJ4</t>
  </si>
  <si>
    <t>https://docs.google.com/uc?export=download&amp;id=1BQq8NZtnyjXGi8vxvNNhiQ4wqqZ16UyR</t>
  </si>
  <si>
    <t>https://docs.google.com/uc?export=download&amp;id=12CrJwHAdc6W3zx8J98l-MQCqPfDFwibx</t>
  </si>
  <si>
    <t>01-09</t>
  </si>
  <si>
    <t>https://drive.google.com/file/d/1vZkcKg7dYr3kJFlQuAhRDvjM3ZfFfqaf/view?usp=sharing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</si>
</sst>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96"/>
  <sheetViews>
    <sheetView showGridLines="0" zoomScale="81" zoomScaleNormal="81" workbookViewId="0">
      <selection activeCell="G16" sqref="G16"/>
    </sheetView>
  </sheetViews>
  <sheetFormatPr defaultRowHeight="13.8" x14ac:dyDescent="0.25"/>
  <cols>
    <col min="1" max="1" width="5.296875" style="15" customWidth="1"/>
    <col min="2" max="2" width="7.3984375" style="15" customWidth="1"/>
    <col min="3" max="3" width="8.8984375" style="15" customWidth="1"/>
    <col min="4" max="4" width="64.3984375" style="11" customWidth="1"/>
    <col min="5" max="5" width="8.8984375" style="15" customWidth="1"/>
    <col min="6" max="6" width="27.59765625" style="11" customWidth="1"/>
    <col min="7" max="7" width="18.59765625" style="21" customWidth="1"/>
    <col min="8" max="8" width="16.19921875" style="21" customWidth="1"/>
    <col min="9" max="16384" width="8.796875" style="21"/>
  </cols>
  <sheetData>
    <row r="2" spans="1:8" x14ac:dyDescent="0.25">
      <c r="B2" s="11" t="s">
        <v>140</v>
      </c>
      <c r="E2" s="11"/>
    </row>
    <row r="3" spans="1:8" x14ac:dyDescent="0.25">
      <c r="A3" s="15" t="s">
        <v>1</v>
      </c>
      <c r="B3" s="12" t="s">
        <v>1</v>
      </c>
      <c r="C3" s="12" t="s">
        <v>8</v>
      </c>
      <c r="D3" s="19" t="s">
        <v>0</v>
      </c>
      <c r="E3" s="12" t="s">
        <v>2</v>
      </c>
      <c r="F3" s="19" t="s">
        <v>9</v>
      </c>
      <c r="G3" s="15" t="s">
        <v>8</v>
      </c>
      <c r="H3" s="22" t="s">
        <v>10</v>
      </c>
    </row>
    <row r="4" spans="1:8" s="10" customFormat="1" x14ac:dyDescent="0.25">
      <c r="A4" s="9"/>
      <c r="B4" s="13">
        <v>1</v>
      </c>
      <c r="C4" s="14" t="s">
        <v>43</v>
      </c>
      <c r="D4" s="20" t="s">
        <v>197</v>
      </c>
      <c r="E4" s="14" t="s">
        <v>11</v>
      </c>
      <c r="F4" s="20"/>
      <c r="G4" s="9"/>
      <c r="H4" s="21"/>
    </row>
    <row r="5" spans="1:8" x14ac:dyDescent="0.25">
      <c r="B5" s="24" t="s">
        <v>13</v>
      </c>
      <c r="C5" s="24" t="s">
        <v>44</v>
      </c>
      <c r="D5" s="25" t="s">
        <v>238</v>
      </c>
      <c r="E5" s="24" t="s">
        <v>3</v>
      </c>
      <c r="F5" s="25"/>
      <c r="G5" s="23" t="str">
        <f>IFERROR(LEFT(RIGHT(H5,LEN(H5)-32),LEN(RIGHT(H5,LEN(H5)-32))-17),"")</f>
        <v/>
      </c>
    </row>
    <row r="6" spans="1:8" x14ac:dyDescent="0.25">
      <c r="A6" s="15">
        <v>1</v>
      </c>
      <c r="B6" s="24" t="s">
        <v>13</v>
      </c>
      <c r="C6" s="24" t="s">
        <v>45</v>
      </c>
      <c r="D6" s="25" t="s">
        <v>141</v>
      </c>
      <c r="E6" s="24" t="s">
        <v>4</v>
      </c>
      <c r="F6" s="25" t="s">
        <v>239</v>
      </c>
      <c r="G6" s="23" t="str">
        <f t="shared" ref="G6:G69" si="0">IFERROR(LEFT(RIGHT(H6,LEN(H6)-32),LEN(RIGHT(H6,LEN(H6)-32))-17),"")</f>
        <v/>
      </c>
    </row>
    <row r="7" spans="1:8" x14ac:dyDescent="0.25">
      <c r="B7" s="24" t="s">
        <v>13</v>
      </c>
      <c r="C7" s="24" t="s">
        <v>108</v>
      </c>
      <c r="D7" s="25" t="s">
        <v>142</v>
      </c>
      <c r="E7" s="24" t="s">
        <v>5</v>
      </c>
      <c r="F7" s="25"/>
      <c r="G7" s="23" t="str">
        <f t="shared" si="0"/>
        <v/>
      </c>
    </row>
    <row r="8" spans="1:8" x14ac:dyDescent="0.25">
      <c r="B8" s="24" t="s">
        <v>14</v>
      </c>
      <c r="C8" s="24" t="s">
        <v>46</v>
      </c>
      <c r="D8" s="25" t="s">
        <v>198</v>
      </c>
      <c r="E8" s="24" t="s">
        <v>3</v>
      </c>
      <c r="F8" s="25"/>
      <c r="G8" s="23" t="str">
        <f t="shared" si="0"/>
        <v/>
      </c>
    </row>
    <row r="9" spans="1:8" x14ac:dyDescent="0.25">
      <c r="A9" s="15">
        <v>2</v>
      </c>
      <c r="B9" s="24" t="s">
        <v>14</v>
      </c>
      <c r="C9" s="24" t="s">
        <v>47</v>
      </c>
      <c r="D9" s="25" t="s">
        <v>143</v>
      </c>
      <c r="E9" s="24" t="s">
        <v>4</v>
      </c>
      <c r="F9" s="25" t="s">
        <v>240</v>
      </c>
      <c r="G9" s="23" t="str">
        <f t="shared" si="0"/>
        <v/>
      </c>
    </row>
    <row r="10" spans="1:8" x14ac:dyDescent="0.25">
      <c r="B10" s="24" t="s">
        <v>14</v>
      </c>
      <c r="C10" s="24" t="s">
        <v>109</v>
      </c>
      <c r="D10" s="25" t="s">
        <v>144</v>
      </c>
      <c r="E10" s="24" t="s">
        <v>5</v>
      </c>
      <c r="F10" s="25"/>
      <c r="G10" s="23" t="str">
        <f t="shared" si="0"/>
        <v/>
      </c>
    </row>
    <row r="11" spans="1:8" x14ac:dyDescent="0.25">
      <c r="B11" s="24" t="s">
        <v>12</v>
      </c>
      <c r="C11" s="24" t="s">
        <v>48</v>
      </c>
      <c r="D11" s="25" t="s">
        <v>199</v>
      </c>
      <c r="E11" s="24" t="s">
        <v>3</v>
      </c>
      <c r="F11" s="25"/>
      <c r="G11" s="23" t="str">
        <f t="shared" si="0"/>
        <v/>
      </c>
    </row>
    <row r="12" spans="1:8" x14ac:dyDescent="0.25">
      <c r="A12" s="15">
        <v>3</v>
      </c>
      <c r="B12" s="24" t="s">
        <v>12</v>
      </c>
      <c r="C12" s="24" t="s">
        <v>49</v>
      </c>
      <c r="D12" s="25" t="s">
        <v>145</v>
      </c>
      <c r="E12" s="24" t="s">
        <v>4</v>
      </c>
      <c r="F12" s="25" t="s">
        <v>241</v>
      </c>
      <c r="G12" s="23" t="str">
        <f t="shared" si="0"/>
        <v/>
      </c>
    </row>
    <row r="13" spans="1:8" x14ac:dyDescent="0.25">
      <c r="B13" s="24" t="s">
        <v>12</v>
      </c>
      <c r="C13" s="24" t="s">
        <v>110</v>
      </c>
      <c r="D13" s="25" t="s">
        <v>146</v>
      </c>
      <c r="E13" s="24" t="s">
        <v>5</v>
      </c>
      <c r="F13" s="25"/>
      <c r="G13" s="23" t="str">
        <f t="shared" si="0"/>
        <v/>
      </c>
    </row>
    <row r="14" spans="1:8" x14ac:dyDescent="0.25">
      <c r="B14" s="24" t="s">
        <v>15</v>
      </c>
      <c r="C14" s="24" t="s">
        <v>50</v>
      </c>
      <c r="D14" s="25" t="s">
        <v>200</v>
      </c>
      <c r="E14" s="24" t="s">
        <v>3</v>
      </c>
      <c r="F14" s="25"/>
      <c r="G14" s="23" t="str">
        <f t="shared" si="0"/>
        <v/>
      </c>
    </row>
    <row r="15" spans="1:8" x14ac:dyDescent="0.25">
      <c r="A15" s="15">
        <v>4</v>
      </c>
      <c r="B15" s="24" t="s">
        <v>15</v>
      </c>
      <c r="C15" s="24" t="s">
        <v>51</v>
      </c>
      <c r="D15" s="25" t="s">
        <v>147</v>
      </c>
      <c r="E15" s="24" t="s">
        <v>4</v>
      </c>
      <c r="F15" s="25" t="s">
        <v>242</v>
      </c>
      <c r="G15" s="23" t="str">
        <f t="shared" si="0"/>
        <v/>
      </c>
    </row>
    <row r="16" spans="1:8" x14ac:dyDescent="0.25">
      <c r="B16" s="24" t="s">
        <v>15</v>
      </c>
      <c r="C16" s="24" t="s">
        <v>111</v>
      </c>
      <c r="D16" s="25" t="s">
        <v>148</v>
      </c>
      <c r="E16" s="24" t="s">
        <v>5</v>
      </c>
      <c r="F16" s="25"/>
      <c r="G16" s="23" t="str">
        <f t="shared" si="0"/>
        <v/>
      </c>
    </row>
    <row r="17" spans="1:8" s="10" customFormat="1" x14ac:dyDescent="0.25">
      <c r="A17" s="9"/>
      <c r="B17" s="24">
        <v>2</v>
      </c>
      <c r="C17" s="24" t="s">
        <v>52</v>
      </c>
      <c r="D17" s="25" t="s">
        <v>201</v>
      </c>
      <c r="E17" s="24" t="s">
        <v>11</v>
      </c>
      <c r="F17" s="25"/>
      <c r="G17" s="23" t="str">
        <f t="shared" si="0"/>
        <v/>
      </c>
      <c r="H17" s="21"/>
    </row>
    <row r="18" spans="1:8" x14ac:dyDescent="0.25">
      <c r="B18" s="24" t="s">
        <v>16</v>
      </c>
      <c r="C18" s="24" t="s">
        <v>53</v>
      </c>
      <c r="D18" s="25" t="s">
        <v>202</v>
      </c>
      <c r="E18" s="24" t="s">
        <v>3</v>
      </c>
      <c r="F18" s="25"/>
      <c r="G18" s="23" t="str">
        <f t="shared" si="0"/>
        <v/>
      </c>
    </row>
    <row r="19" spans="1:8" x14ac:dyDescent="0.25">
      <c r="A19" s="15">
        <v>5</v>
      </c>
      <c r="B19" s="24" t="s">
        <v>16</v>
      </c>
      <c r="C19" s="24" t="s">
        <v>54</v>
      </c>
      <c r="D19" s="25" t="s">
        <v>149</v>
      </c>
      <c r="E19" s="24" t="s">
        <v>4</v>
      </c>
      <c r="F19" s="25" t="s">
        <v>243</v>
      </c>
      <c r="G19" s="23" t="str">
        <f t="shared" si="0"/>
        <v/>
      </c>
    </row>
    <row r="20" spans="1:8" x14ac:dyDescent="0.25">
      <c r="B20" s="24" t="s">
        <v>16</v>
      </c>
      <c r="C20" s="24" t="s">
        <v>112</v>
      </c>
      <c r="D20" s="25" t="s">
        <v>150</v>
      </c>
      <c r="E20" s="24" t="s">
        <v>5</v>
      </c>
      <c r="F20" s="25"/>
      <c r="G20" s="23" t="str">
        <f t="shared" si="0"/>
        <v/>
      </c>
    </row>
    <row r="21" spans="1:8" x14ac:dyDescent="0.25">
      <c r="B21" s="24" t="s">
        <v>18</v>
      </c>
      <c r="C21" s="24" t="s">
        <v>55</v>
      </c>
      <c r="D21" s="25" t="s">
        <v>203</v>
      </c>
      <c r="E21" s="24" t="s">
        <v>3</v>
      </c>
      <c r="F21" s="25"/>
      <c r="G21" s="23" t="str">
        <f t="shared" si="0"/>
        <v/>
      </c>
    </row>
    <row r="22" spans="1:8" x14ac:dyDescent="0.25">
      <c r="A22" s="15">
        <v>6</v>
      </c>
      <c r="B22" s="24" t="s">
        <v>18</v>
      </c>
      <c r="C22" s="24" t="s">
        <v>56</v>
      </c>
      <c r="D22" s="25" t="s">
        <v>151</v>
      </c>
      <c r="E22" s="24" t="s">
        <v>4</v>
      </c>
      <c r="F22" s="25" t="s">
        <v>244</v>
      </c>
      <c r="G22" s="23" t="str">
        <f t="shared" si="0"/>
        <v/>
      </c>
    </row>
    <row r="23" spans="1:8" x14ac:dyDescent="0.25">
      <c r="B23" s="24" t="s">
        <v>18</v>
      </c>
      <c r="C23" s="24" t="s">
        <v>113</v>
      </c>
      <c r="D23" s="25" t="s">
        <v>152</v>
      </c>
      <c r="E23" s="24" t="s">
        <v>5</v>
      </c>
      <c r="F23" s="25"/>
      <c r="G23" s="23" t="str">
        <f t="shared" si="0"/>
        <v/>
      </c>
    </row>
    <row r="24" spans="1:8" x14ac:dyDescent="0.25">
      <c r="B24" s="24" t="s">
        <v>17</v>
      </c>
      <c r="C24" s="24" t="s">
        <v>57</v>
      </c>
      <c r="D24" s="25" t="s">
        <v>204</v>
      </c>
      <c r="E24" s="24" t="s">
        <v>3</v>
      </c>
      <c r="F24" s="25"/>
      <c r="G24" s="23" t="str">
        <f t="shared" si="0"/>
        <v/>
      </c>
    </row>
    <row r="25" spans="1:8" x14ac:dyDescent="0.25">
      <c r="A25" s="15">
        <v>7</v>
      </c>
      <c r="B25" s="24" t="s">
        <v>17</v>
      </c>
      <c r="C25" s="24" t="s">
        <v>58</v>
      </c>
      <c r="D25" s="25" t="s">
        <v>153</v>
      </c>
      <c r="E25" s="24" t="s">
        <v>4</v>
      </c>
      <c r="F25" s="25" t="s">
        <v>245</v>
      </c>
      <c r="G25" s="23" t="str">
        <f t="shared" si="0"/>
        <v/>
      </c>
    </row>
    <row r="26" spans="1:8" x14ac:dyDescent="0.25">
      <c r="B26" s="24" t="s">
        <v>17</v>
      </c>
      <c r="C26" s="24" t="s">
        <v>114</v>
      </c>
      <c r="D26" s="25" t="s">
        <v>154</v>
      </c>
      <c r="E26" s="24" t="s">
        <v>5</v>
      </c>
      <c r="F26" s="25"/>
      <c r="G26" s="23" t="str">
        <f t="shared" si="0"/>
        <v/>
      </c>
    </row>
    <row r="27" spans="1:8" x14ac:dyDescent="0.25">
      <c r="B27" s="24">
        <v>3</v>
      </c>
      <c r="C27" s="24" t="s">
        <v>59</v>
      </c>
      <c r="D27" s="25" t="s">
        <v>205</v>
      </c>
      <c r="E27" s="24" t="s">
        <v>11</v>
      </c>
      <c r="F27" s="25"/>
      <c r="G27" s="23" t="str">
        <f t="shared" si="0"/>
        <v/>
      </c>
    </row>
    <row r="28" spans="1:8" x14ac:dyDescent="0.25">
      <c r="B28" s="24" t="s">
        <v>19</v>
      </c>
      <c r="C28" s="24" t="s">
        <v>61</v>
      </c>
      <c r="D28" s="25" t="s">
        <v>206</v>
      </c>
      <c r="E28" s="24" t="s">
        <v>3</v>
      </c>
      <c r="F28" s="25"/>
      <c r="G28" s="23" t="str">
        <f t="shared" si="0"/>
        <v/>
      </c>
    </row>
    <row r="29" spans="1:8" x14ac:dyDescent="0.25">
      <c r="A29" s="15">
        <v>8</v>
      </c>
      <c r="B29" s="24" t="s">
        <v>19</v>
      </c>
      <c r="C29" s="24" t="s">
        <v>62</v>
      </c>
      <c r="D29" s="25" t="s">
        <v>155</v>
      </c>
      <c r="E29" s="24" t="s">
        <v>4</v>
      </c>
      <c r="F29" s="25" t="s">
        <v>246</v>
      </c>
      <c r="G29" s="23" t="str">
        <f t="shared" si="0"/>
        <v/>
      </c>
    </row>
    <row r="30" spans="1:8" s="10" customFormat="1" x14ac:dyDescent="0.25">
      <c r="A30" s="9"/>
      <c r="B30" s="24" t="s">
        <v>19</v>
      </c>
      <c r="C30" s="24" t="s">
        <v>115</v>
      </c>
      <c r="D30" s="25" t="s">
        <v>156</v>
      </c>
      <c r="E30" s="24" t="s">
        <v>5</v>
      </c>
      <c r="F30" s="25"/>
      <c r="G30" s="23" t="str">
        <f t="shared" si="0"/>
        <v/>
      </c>
      <c r="H30" s="21"/>
    </row>
    <row r="31" spans="1:8" x14ac:dyDescent="0.25">
      <c r="B31" s="24" t="s">
        <v>20</v>
      </c>
      <c r="C31" s="24" t="s">
        <v>63</v>
      </c>
      <c r="D31" s="25" t="s">
        <v>207</v>
      </c>
      <c r="E31" s="24" t="s">
        <v>3</v>
      </c>
      <c r="F31" s="25"/>
      <c r="G31" s="23" t="str">
        <f t="shared" si="0"/>
        <v/>
      </c>
    </row>
    <row r="32" spans="1:8" x14ac:dyDescent="0.25">
      <c r="A32" s="15">
        <v>9</v>
      </c>
      <c r="B32" s="24" t="s">
        <v>20</v>
      </c>
      <c r="C32" s="24" t="s">
        <v>64</v>
      </c>
      <c r="D32" s="25" t="s">
        <v>157</v>
      </c>
      <c r="E32" s="24" t="s">
        <v>4</v>
      </c>
      <c r="F32" s="25" t="s">
        <v>247</v>
      </c>
      <c r="G32" s="23" t="str">
        <f t="shared" si="0"/>
        <v/>
      </c>
    </row>
    <row r="33" spans="1:7" x14ac:dyDescent="0.25">
      <c r="B33" s="24" t="s">
        <v>20</v>
      </c>
      <c r="C33" s="24" t="s">
        <v>116</v>
      </c>
      <c r="D33" s="25" t="s">
        <v>158</v>
      </c>
      <c r="E33" s="24" t="s">
        <v>5</v>
      </c>
      <c r="F33" s="25"/>
      <c r="G33" s="23" t="str">
        <f t="shared" si="0"/>
        <v/>
      </c>
    </row>
    <row r="34" spans="1:7" x14ac:dyDescent="0.25">
      <c r="B34" s="24" t="s">
        <v>21</v>
      </c>
      <c r="C34" s="24" t="s">
        <v>65</v>
      </c>
      <c r="D34" s="25" t="s">
        <v>208</v>
      </c>
      <c r="E34" s="24" t="s">
        <v>3</v>
      </c>
      <c r="F34" s="25"/>
      <c r="G34" s="23" t="str">
        <f t="shared" si="0"/>
        <v/>
      </c>
    </row>
    <row r="35" spans="1:7" x14ac:dyDescent="0.25">
      <c r="A35" s="15">
        <v>10</v>
      </c>
      <c r="B35" s="24" t="s">
        <v>21</v>
      </c>
      <c r="C35" s="24" t="s">
        <v>60</v>
      </c>
      <c r="D35" s="25" t="s">
        <v>159</v>
      </c>
      <c r="E35" s="24" t="s">
        <v>4</v>
      </c>
      <c r="F35" s="25" t="s">
        <v>248</v>
      </c>
      <c r="G35" s="23" t="str">
        <f t="shared" si="0"/>
        <v/>
      </c>
    </row>
    <row r="36" spans="1:7" x14ac:dyDescent="0.25">
      <c r="B36" s="24" t="s">
        <v>21</v>
      </c>
      <c r="C36" s="24" t="s">
        <v>117</v>
      </c>
      <c r="D36" s="25" t="s">
        <v>160</v>
      </c>
      <c r="E36" s="24" t="s">
        <v>5</v>
      </c>
      <c r="F36" s="25"/>
      <c r="G36" s="23" t="str">
        <f t="shared" si="0"/>
        <v/>
      </c>
    </row>
    <row r="37" spans="1:7" x14ac:dyDescent="0.25">
      <c r="B37" s="24">
        <v>4</v>
      </c>
      <c r="C37" s="24" t="s">
        <v>66</v>
      </c>
      <c r="D37" s="25" t="s">
        <v>209</v>
      </c>
      <c r="E37" s="24" t="s">
        <v>11</v>
      </c>
      <c r="F37" s="25"/>
      <c r="G37" s="23" t="str">
        <f t="shared" si="0"/>
        <v/>
      </c>
    </row>
    <row r="38" spans="1:7" x14ac:dyDescent="0.25">
      <c r="B38" s="24" t="s">
        <v>22</v>
      </c>
      <c r="C38" s="24" t="s">
        <v>67</v>
      </c>
      <c r="D38" s="25" t="s">
        <v>210</v>
      </c>
      <c r="E38" s="24" t="s">
        <v>3</v>
      </c>
      <c r="F38" s="25"/>
      <c r="G38" s="23" t="str">
        <f t="shared" si="0"/>
        <v/>
      </c>
    </row>
    <row r="39" spans="1:7" x14ac:dyDescent="0.25">
      <c r="A39" s="15">
        <v>11</v>
      </c>
      <c r="B39" s="24" t="s">
        <v>22</v>
      </c>
      <c r="C39" s="24" t="s">
        <v>68</v>
      </c>
      <c r="D39" s="25" t="s">
        <v>161</v>
      </c>
      <c r="E39" s="24" t="s">
        <v>4</v>
      </c>
      <c r="F39" s="25" t="s">
        <v>249</v>
      </c>
      <c r="G39" s="23" t="str">
        <f t="shared" si="0"/>
        <v/>
      </c>
    </row>
    <row r="40" spans="1:7" x14ac:dyDescent="0.25">
      <c r="B40" s="24" t="s">
        <v>22</v>
      </c>
      <c r="C40" s="24" t="s">
        <v>118</v>
      </c>
      <c r="D40" s="25" t="s">
        <v>162</v>
      </c>
      <c r="E40" s="24" t="s">
        <v>5</v>
      </c>
      <c r="F40" s="25"/>
      <c r="G40" s="23" t="str">
        <f t="shared" si="0"/>
        <v/>
      </c>
    </row>
    <row r="41" spans="1:7" x14ac:dyDescent="0.25">
      <c r="B41" s="24" t="s">
        <v>23</v>
      </c>
      <c r="C41" s="24" t="s">
        <v>69</v>
      </c>
      <c r="D41" s="25" t="s">
        <v>211</v>
      </c>
      <c r="E41" s="24" t="s">
        <v>3</v>
      </c>
      <c r="F41" s="25"/>
      <c r="G41" s="23" t="str">
        <f t="shared" si="0"/>
        <v/>
      </c>
    </row>
    <row r="42" spans="1:7" x14ac:dyDescent="0.25">
      <c r="A42" s="15">
        <v>12</v>
      </c>
      <c r="B42" s="24" t="s">
        <v>23</v>
      </c>
      <c r="C42" s="24" t="s">
        <v>70</v>
      </c>
      <c r="D42" s="25" t="s">
        <v>163</v>
      </c>
      <c r="E42" s="24" t="s">
        <v>4</v>
      </c>
      <c r="F42" s="25" t="s">
        <v>250</v>
      </c>
      <c r="G42" s="23" t="str">
        <f t="shared" si="0"/>
        <v/>
      </c>
    </row>
    <row r="43" spans="1:7" x14ac:dyDescent="0.25">
      <c r="B43" s="24" t="s">
        <v>23</v>
      </c>
      <c r="C43" s="24" t="s">
        <v>119</v>
      </c>
      <c r="D43" s="25" t="s">
        <v>164</v>
      </c>
      <c r="E43" s="24" t="s">
        <v>5</v>
      </c>
      <c r="F43" s="25"/>
      <c r="G43" s="23" t="str">
        <f t="shared" si="0"/>
        <v/>
      </c>
    </row>
    <row r="44" spans="1:7" x14ac:dyDescent="0.25">
      <c r="B44" s="24" t="s">
        <v>24</v>
      </c>
      <c r="C44" s="24" t="s">
        <v>71</v>
      </c>
      <c r="D44" s="25" t="s">
        <v>212</v>
      </c>
      <c r="E44" s="24" t="s">
        <v>3</v>
      </c>
      <c r="F44" s="25"/>
      <c r="G44" s="23" t="str">
        <f t="shared" si="0"/>
        <v/>
      </c>
    </row>
    <row r="45" spans="1:7" x14ac:dyDescent="0.25">
      <c r="A45" s="15">
        <v>13</v>
      </c>
      <c r="B45" s="24" t="s">
        <v>24</v>
      </c>
      <c r="C45" s="24" t="s">
        <v>72</v>
      </c>
      <c r="D45" s="25" t="s">
        <v>165</v>
      </c>
      <c r="E45" s="24" t="s">
        <v>4</v>
      </c>
      <c r="F45" s="25" t="s">
        <v>251</v>
      </c>
      <c r="G45" s="23" t="str">
        <f t="shared" si="0"/>
        <v/>
      </c>
    </row>
    <row r="46" spans="1:7" x14ac:dyDescent="0.25">
      <c r="B46" s="24" t="s">
        <v>24</v>
      </c>
      <c r="C46" s="24" t="s">
        <v>120</v>
      </c>
      <c r="D46" s="25" t="s">
        <v>166</v>
      </c>
      <c r="E46" s="24" t="s">
        <v>5</v>
      </c>
      <c r="F46" s="25"/>
      <c r="G46" s="23" t="str">
        <f t="shared" si="0"/>
        <v/>
      </c>
    </row>
    <row r="47" spans="1:7" x14ac:dyDescent="0.25">
      <c r="B47" s="24">
        <v>5</v>
      </c>
      <c r="C47" s="24" t="s">
        <v>73</v>
      </c>
      <c r="D47" s="25" t="s">
        <v>213</v>
      </c>
      <c r="E47" s="24" t="s">
        <v>11</v>
      </c>
      <c r="F47" s="25"/>
      <c r="G47" s="23" t="str">
        <f t="shared" si="0"/>
        <v/>
      </c>
    </row>
    <row r="48" spans="1:7" x14ac:dyDescent="0.25">
      <c r="B48" s="24" t="s">
        <v>25</v>
      </c>
      <c r="C48" s="24" t="s">
        <v>74</v>
      </c>
      <c r="D48" s="25" t="s">
        <v>214</v>
      </c>
      <c r="E48" s="24" t="s">
        <v>3</v>
      </c>
      <c r="F48" s="25"/>
      <c r="G48" s="23" t="str">
        <f t="shared" si="0"/>
        <v/>
      </c>
    </row>
    <row r="49" spans="1:8" x14ac:dyDescent="0.25">
      <c r="A49" s="15">
        <v>14</v>
      </c>
      <c r="B49" s="24" t="s">
        <v>25</v>
      </c>
      <c r="C49" s="24" t="s">
        <v>75</v>
      </c>
      <c r="D49" s="25" t="s">
        <v>167</v>
      </c>
      <c r="E49" s="24" t="s">
        <v>4</v>
      </c>
      <c r="F49" s="25" t="s">
        <v>252</v>
      </c>
      <c r="G49" s="23" t="str">
        <f t="shared" si="0"/>
        <v/>
      </c>
    </row>
    <row r="50" spans="1:8" x14ac:dyDescent="0.25">
      <c r="B50" s="24" t="s">
        <v>25</v>
      </c>
      <c r="C50" s="24" t="s">
        <v>121</v>
      </c>
      <c r="D50" s="25" t="s">
        <v>168</v>
      </c>
      <c r="E50" s="24" t="s">
        <v>5</v>
      </c>
      <c r="F50" s="25"/>
      <c r="G50" s="23" t="str">
        <f t="shared" si="0"/>
        <v/>
      </c>
    </row>
    <row r="51" spans="1:8" x14ac:dyDescent="0.25">
      <c r="B51" s="24" t="s">
        <v>26</v>
      </c>
      <c r="C51" s="24" t="s">
        <v>76</v>
      </c>
      <c r="D51" s="25" t="s">
        <v>215</v>
      </c>
      <c r="E51" s="24" t="s">
        <v>3</v>
      </c>
      <c r="F51" s="25"/>
      <c r="G51" s="23" t="str">
        <f t="shared" si="0"/>
        <v/>
      </c>
    </row>
    <row r="52" spans="1:8" x14ac:dyDescent="0.25">
      <c r="A52" s="15">
        <v>15</v>
      </c>
      <c r="B52" s="24" t="s">
        <v>26</v>
      </c>
      <c r="C52" s="24" t="s">
        <v>77</v>
      </c>
      <c r="D52" s="25" t="s">
        <v>169</v>
      </c>
      <c r="E52" s="24" t="s">
        <v>4</v>
      </c>
      <c r="F52" s="25" t="s">
        <v>253</v>
      </c>
      <c r="G52" s="23" t="str">
        <f t="shared" si="0"/>
        <v/>
      </c>
    </row>
    <row r="53" spans="1:8" x14ac:dyDescent="0.25">
      <c r="B53" s="24" t="s">
        <v>26</v>
      </c>
      <c r="C53" s="24" t="s">
        <v>122</v>
      </c>
      <c r="D53" s="25" t="s">
        <v>170</v>
      </c>
      <c r="E53" s="24" t="s">
        <v>5</v>
      </c>
      <c r="F53" s="25"/>
      <c r="G53" s="23" t="str">
        <f t="shared" si="0"/>
        <v/>
      </c>
    </row>
    <row r="54" spans="1:8" x14ac:dyDescent="0.25">
      <c r="B54" s="24" t="s">
        <v>27</v>
      </c>
      <c r="C54" s="24" t="s">
        <v>78</v>
      </c>
      <c r="D54" s="25" t="s">
        <v>216</v>
      </c>
      <c r="E54" s="24" t="s">
        <v>3</v>
      </c>
      <c r="F54" s="25"/>
      <c r="G54" s="23" t="str">
        <f t="shared" si="0"/>
        <v/>
      </c>
    </row>
    <row r="55" spans="1:8" x14ac:dyDescent="0.25">
      <c r="A55" s="15">
        <v>16</v>
      </c>
      <c r="B55" s="24" t="s">
        <v>27</v>
      </c>
      <c r="C55" s="24" t="s">
        <v>79</v>
      </c>
      <c r="D55" s="25" t="s">
        <v>171</v>
      </c>
      <c r="E55" s="24" t="s">
        <v>4</v>
      </c>
      <c r="F55" s="25" t="s">
        <v>254</v>
      </c>
      <c r="G55" s="23" t="str">
        <f t="shared" si="0"/>
        <v/>
      </c>
    </row>
    <row r="56" spans="1:8" x14ac:dyDescent="0.25">
      <c r="B56" s="24" t="s">
        <v>27</v>
      </c>
      <c r="C56" s="24" t="s">
        <v>123</v>
      </c>
      <c r="D56" s="25" t="s">
        <v>172</v>
      </c>
      <c r="E56" s="24" t="s">
        <v>5</v>
      </c>
      <c r="F56" s="25"/>
      <c r="G56" s="23" t="str">
        <f t="shared" si="0"/>
        <v/>
      </c>
    </row>
    <row r="57" spans="1:8" x14ac:dyDescent="0.25">
      <c r="B57" s="24">
        <v>6</v>
      </c>
      <c r="C57" s="24" t="s">
        <v>80</v>
      </c>
      <c r="D57" s="25" t="s">
        <v>217</v>
      </c>
      <c r="E57" s="24" t="s">
        <v>11</v>
      </c>
      <c r="F57" s="25"/>
      <c r="G57" s="23" t="str">
        <f t="shared" si="0"/>
        <v/>
      </c>
    </row>
    <row r="58" spans="1:8" x14ac:dyDescent="0.25">
      <c r="B58" s="24" t="s">
        <v>28</v>
      </c>
      <c r="C58" s="24" t="s">
        <v>81</v>
      </c>
      <c r="D58" s="25" t="s">
        <v>218</v>
      </c>
      <c r="E58" s="24" t="s">
        <v>3</v>
      </c>
      <c r="F58" s="25"/>
      <c r="G58" s="23" t="str">
        <f t="shared" si="0"/>
        <v/>
      </c>
    </row>
    <row r="59" spans="1:8" s="10" customFormat="1" x14ac:dyDescent="0.25">
      <c r="A59" s="15">
        <v>17</v>
      </c>
      <c r="B59" s="24" t="s">
        <v>28</v>
      </c>
      <c r="C59" s="24" t="s">
        <v>82</v>
      </c>
      <c r="D59" s="25" t="s">
        <v>173</v>
      </c>
      <c r="E59" s="24" t="s">
        <v>4</v>
      </c>
      <c r="F59" s="25" t="s">
        <v>255</v>
      </c>
      <c r="G59" s="23" t="str">
        <f t="shared" si="0"/>
        <v/>
      </c>
      <c r="H59" s="21"/>
    </row>
    <row r="60" spans="1:8" x14ac:dyDescent="0.25">
      <c r="B60" s="24" t="s">
        <v>28</v>
      </c>
      <c r="C60" s="24" t="s">
        <v>124</v>
      </c>
      <c r="D60" s="25" t="s">
        <v>174</v>
      </c>
      <c r="E60" s="24" t="s">
        <v>5</v>
      </c>
      <c r="F60" s="25"/>
      <c r="G60" s="23" t="str">
        <f t="shared" si="0"/>
        <v/>
      </c>
    </row>
    <row r="61" spans="1:8" x14ac:dyDescent="0.25">
      <c r="B61" s="24" t="s">
        <v>29</v>
      </c>
      <c r="C61" s="24" t="s">
        <v>83</v>
      </c>
      <c r="D61" s="25" t="s">
        <v>219</v>
      </c>
      <c r="E61" s="24" t="s">
        <v>3</v>
      </c>
      <c r="F61" s="25"/>
      <c r="G61" s="23" t="str">
        <f t="shared" si="0"/>
        <v/>
      </c>
    </row>
    <row r="62" spans="1:8" x14ac:dyDescent="0.25">
      <c r="A62" s="15">
        <v>18</v>
      </c>
      <c r="B62" s="24" t="s">
        <v>29</v>
      </c>
      <c r="C62" s="24" t="s">
        <v>84</v>
      </c>
      <c r="D62" s="25" t="s">
        <v>175</v>
      </c>
      <c r="E62" s="24" t="s">
        <v>4</v>
      </c>
      <c r="F62" s="25" t="s">
        <v>256</v>
      </c>
      <c r="G62" s="23" t="str">
        <f t="shared" si="0"/>
        <v/>
      </c>
    </row>
    <row r="63" spans="1:8" x14ac:dyDescent="0.25">
      <c r="B63" s="24" t="s">
        <v>29</v>
      </c>
      <c r="C63" s="24" t="s">
        <v>125</v>
      </c>
      <c r="D63" s="25" t="s">
        <v>176</v>
      </c>
      <c r="E63" s="24" t="s">
        <v>5</v>
      </c>
      <c r="F63" s="25"/>
      <c r="G63" s="23" t="str">
        <f t="shared" si="0"/>
        <v/>
      </c>
    </row>
    <row r="64" spans="1:8" x14ac:dyDescent="0.25">
      <c r="B64" s="24" t="s">
        <v>30</v>
      </c>
      <c r="C64" s="24" t="s">
        <v>85</v>
      </c>
      <c r="D64" s="25" t="s">
        <v>220</v>
      </c>
      <c r="E64" s="24" t="s">
        <v>3</v>
      </c>
      <c r="F64" s="25"/>
      <c r="G64" s="23" t="str">
        <f t="shared" si="0"/>
        <v/>
      </c>
    </row>
    <row r="65" spans="1:8" x14ac:dyDescent="0.25">
      <c r="A65" s="15">
        <v>19</v>
      </c>
      <c r="B65" s="24" t="s">
        <v>30</v>
      </c>
      <c r="C65" s="24" t="s">
        <v>86</v>
      </c>
      <c r="D65" s="25" t="s">
        <v>177</v>
      </c>
      <c r="E65" s="24" t="s">
        <v>4</v>
      </c>
      <c r="F65" s="25" t="s">
        <v>257</v>
      </c>
      <c r="G65" s="23" t="str">
        <f t="shared" si="0"/>
        <v/>
      </c>
    </row>
    <row r="66" spans="1:8" x14ac:dyDescent="0.25">
      <c r="B66" s="24" t="s">
        <v>30</v>
      </c>
      <c r="C66" s="24" t="s">
        <v>126</v>
      </c>
      <c r="D66" s="25" t="s">
        <v>178</v>
      </c>
      <c r="E66" s="24" t="s">
        <v>5</v>
      </c>
      <c r="F66" s="25"/>
      <c r="G66" s="23" t="str">
        <f t="shared" si="0"/>
        <v/>
      </c>
    </row>
    <row r="67" spans="1:8" x14ac:dyDescent="0.25">
      <c r="B67" s="24">
        <v>7</v>
      </c>
      <c r="C67" s="24" t="s">
        <v>87</v>
      </c>
      <c r="D67" s="25" t="s">
        <v>221</v>
      </c>
      <c r="E67" s="24" t="s">
        <v>11</v>
      </c>
      <c r="F67" s="25"/>
      <c r="G67" s="23" t="str">
        <f t="shared" si="0"/>
        <v/>
      </c>
    </row>
    <row r="68" spans="1:8" x14ac:dyDescent="0.25">
      <c r="B68" s="24" t="s">
        <v>31</v>
      </c>
      <c r="C68" s="24" t="s">
        <v>88</v>
      </c>
      <c r="D68" s="25" t="s">
        <v>222</v>
      </c>
      <c r="E68" s="24" t="s">
        <v>3</v>
      </c>
      <c r="F68" s="25"/>
      <c r="G68" s="23" t="str">
        <f t="shared" si="0"/>
        <v/>
      </c>
    </row>
    <row r="69" spans="1:8" x14ac:dyDescent="0.25">
      <c r="A69" s="15">
        <v>20</v>
      </c>
      <c r="B69" s="24" t="s">
        <v>31</v>
      </c>
      <c r="C69" s="24" t="s">
        <v>89</v>
      </c>
      <c r="D69" s="25" t="s">
        <v>179</v>
      </c>
      <c r="E69" s="24" t="s">
        <v>4</v>
      </c>
      <c r="F69" s="25" t="s">
        <v>258</v>
      </c>
      <c r="G69" s="23" t="str">
        <f t="shared" si="0"/>
        <v/>
      </c>
    </row>
    <row r="70" spans="1:8" x14ac:dyDescent="0.25">
      <c r="B70" s="24" t="s">
        <v>31</v>
      </c>
      <c r="C70" s="24" t="s">
        <v>127</v>
      </c>
      <c r="D70" s="25" t="s">
        <v>180</v>
      </c>
      <c r="E70" s="24" t="s">
        <v>5</v>
      </c>
      <c r="F70" s="25"/>
      <c r="G70" s="23" t="str">
        <f t="shared" ref="G70:G96" si="1">IFERROR(LEFT(RIGHT(H70,LEN(H70)-32),LEN(RIGHT(H70,LEN(H70)-32))-17),"")</f>
        <v/>
      </c>
    </row>
    <row r="71" spans="1:8" x14ac:dyDescent="0.25">
      <c r="B71" s="24" t="s">
        <v>32</v>
      </c>
      <c r="C71" s="24" t="s">
        <v>90</v>
      </c>
      <c r="D71" s="25" t="s">
        <v>223</v>
      </c>
      <c r="E71" s="24" t="s">
        <v>3</v>
      </c>
      <c r="F71" s="25"/>
      <c r="G71" s="23" t="str">
        <f t="shared" si="1"/>
        <v/>
      </c>
    </row>
    <row r="72" spans="1:8" s="10" customFormat="1" x14ac:dyDescent="0.25">
      <c r="A72" s="15">
        <v>21</v>
      </c>
      <c r="B72" s="24" t="s">
        <v>32</v>
      </c>
      <c r="C72" s="24" t="s">
        <v>91</v>
      </c>
      <c r="D72" s="25" t="s">
        <v>181</v>
      </c>
      <c r="E72" s="24" t="s">
        <v>4</v>
      </c>
      <c r="F72" s="25" t="s">
        <v>259</v>
      </c>
      <c r="G72" s="23" t="str">
        <f t="shared" si="1"/>
        <v/>
      </c>
      <c r="H72" s="21"/>
    </row>
    <row r="73" spans="1:8" x14ac:dyDescent="0.25">
      <c r="B73" s="24" t="s">
        <v>32</v>
      </c>
      <c r="C73" s="24" t="s">
        <v>128</v>
      </c>
      <c r="D73" s="25" t="s">
        <v>182</v>
      </c>
      <c r="E73" s="24" t="s">
        <v>5</v>
      </c>
      <c r="F73" s="25"/>
      <c r="G73" s="23" t="str">
        <f t="shared" si="1"/>
        <v/>
      </c>
    </row>
    <row r="74" spans="1:8" x14ac:dyDescent="0.25">
      <c r="B74" s="24" t="s">
        <v>33</v>
      </c>
      <c r="C74" s="24" t="s">
        <v>92</v>
      </c>
      <c r="D74" s="25" t="s">
        <v>224</v>
      </c>
      <c r="E74" s="24" t="s">
        <v>3</v>
      </c>
      <c r="F74" s="25"/>
      <c r="G74" s="23" t="str">
        <f t="shared" si="1"/>
        <v/>
      </c>
    </row>
    <row r="75" spans="1:8" x14ac:dyDescent="0.25">
      <c r="A75" s="15">
        <v>22</v>
      </c>
      <c r="B75" s="24" t="s">
        <v>33</v>
      </c>
      <c r="C75" s="24" t="s">
        <v>93</v>
      </c>
      <c r="D75" s="25" t="s">
        <v>183</v>
      </c>
      <c r="E75" s="24" t="s">
        <v>4</v>
      </c>
      <c r="F75" s="25" t="s">
        <v>260</v>
      </c>
      <c r="G75" s="23" t="str">
        <f t="shared" si="1"/>
        <v/>
      </c>
    </row>
    <row r="76" spans="1:8" x14ac:dyDescent="0.25">
      <c r="B76" s="24" t="s">
        <v>33</v>
      </c>
      <c r="C76" s="24" t="s">
        <v>129</v>
      </c>
      <c r="D76" s="25" t="s">
        <v>184</v>
      </c>
      <c r="E76" s="24" t="s">
        <v>5</v>
      </c>
      <c r="F76" s="25"/>
      <c r="G76" s="23" t="str">
        <f t="shared" si="1"/>
        <v/>
      </c>
    </row>
    <row r="77" spans="1:8" x14ac:dyDescent="0.25">
      <c r="B77" s="24">
        <v>8</v>
      </c>
      <c r="C77" s="24" t="s">
        <v>94</v>
      </c>
      <c r="D77" s="25" t="s">
        <v>225</v>
      </c>
      <c r="E77" s="24" t="s">
        <v>11</v>
      </c>
      <c r="F77" s="25"/>
      <c r="G77" s="23" t="str">
        <f t="shared" si="1"/>
        <v/>
      </c>
    </row>
    <row r="78" spans="1:8" x14ac:dyDescent="0.25">
      <c r="B78" s="24" t="s">
        <v>34</v>
      </c>
      <c r="C78" s="24" t="s">
        <v>95</v>
      </c>
      <c r="D78" s="25" t="s">
        <v>226</v>
      </c>
      <c r="E78" s="24" t="s">
        <v>3</v>
      </c>
      <c r="F78" s="25"/>
      <c r="G78" s="23" t="str">
        <f t="shared" si="1"/>
        <v/>
      </c>
    </row>
    <row r="79" spans="1:8" x14ac:dyDescent="0.25">
      <c r="A79" s="15">
        <v>23</v>
      </c>
      <c r="B79" s="24" t="s">
        <v>34</v>
      </c>
      <c r="C79" s="24" t="s">
        <v>96</v>
      </c>
      <c r="D79" s="25" t="s">
        <v>185</v>
      </c>
      <c r="E79" s="24" t="s">
        <v>4</v>
      </c>
      <c r="F79" s="25" t="s">
        <v>261</v>
      </c>
      <c r="G79" s="23" t="str">
        <f t="shared" si="1"/>
        <v/>
      </c>
    </row>
    <row r="80" spans="1:8" x14ac:dyDescent="0.25">
      <c r="B80" s="24" t="s">
        <v>34</v>
      </c>
      <c r="C80" s="24" t="s">
        <v>130</v>
      </c>
      <c r="D80" s="25" t="s">
        <v>186</v>
      </c>
      <c r="E80" s="24" t="s">
        <v>5</v>
      </c>
      <c r="F80" s="25"/>
      <c r="G80" s="23" t="str">
        <f t="shared" si="1"/>
        <v/>
      </c>
    </row>
    <row r="81" spans="1:8" x14ac:dyDescent="0.25">
      <c r="B81" s="24" t="s">
        <v>35</v>
      </c>
      <c r="C81" s="24" t="s">
        <v>97</v>
      </c>
      <c r="D81" s="25" t="s">
        <v>227</v>
      </c>
      <c r="E81" s="24" t="s">
        <v>3</v>
      </c>
      <c r="F81" s="25"/>
      <c r="G81" s="23" t="str">
        <f t="shared" si="1"/>
        <v/>
      </c>
    </row>
    <row r="82" spans="1:8" x14ac:dyDescent="0.25">
      <c r="A82" s="15">
        <v>24</v>
      </c>
      <c r="B82" s="24" t="s">
        <v>35</v>
      </c>
      <c r="C82" s="24" t="s">
        <v>98</v>
      </c>
      <c r="D82" s="25" t="s">
        <v>195</v>
      </c>
      <c r="E82" s="24" t="s">
        <v>4</v>
      </c>
      <c r="F82" s="25" t="s">
        <v>262</v>
      </c>
      <c r="G82" s="23" t="str">
        <f t="shared" si="1"/>
        <v/>
      </c>
    </row>
    <row r="83" spans="1:8" x14ac:dyDescent="0.25">
      <c r="B83" s="24" t="s">
        <v>35</v>
      </c>
      <c r="C83" s="24" t="s">
        <v>131</v>
      </c>
      <c r="D83" s="25" t="s">
        <v>196</v>
      </c>
      <c r="E83" s="24" t="s">
        <v>5</v>
      </c>
      <c r="F83" s="25"/>
      <c r="G83" s="23" t="str">
        <f t="shared" si="1"/>
        <v/>
      </c>
    </row>
    <row r="84" spans="1:8" x14ac:dyDescent="0.25">
      <c r="B84" s="24" t="s">
        <v>36</v>
      </c>
      <c r="C84" s="24" t="s">
        <v>99</v>
      </c>
      <c r="D84" s="25" t="s">
        <v>228</v>
      </c>
      <c r="E84" s="24" t="s">
        <v>3</v>
      </c>
      <c r="F84" s="25"/>
      <c r="G84" s="23" t="str">
        <f t="shared" si="1"/>
        <v/>
      </c>
    </row>
    <row r="85" spans="1:8" s="10" customFormat="1" x14ac:dyDescent="0.25">
      <c r="A85" s="15">
        <v>25</v>
      </c>
      <c r="B85" s="24" t="s">
        <v>36</v>
      </c>
      <c r="C85" s="24" t="s">
        <v>100</v>
      </c>
      <c r="D85" s="25" t="s">
        <v>193</v>
      </c>
      <c r="E85" s="24" t="s">
        <v>4</v>
      </c>
      <c r="F85" s="25" t="s">
        <v>263</v>
      </c>
      <c r="G85" s="23" t="str">
        <f t="shared" si="1"/>
        <v/>
      </c>
      <c r="H85" s="21"/>
    </row>
    <row r="86" spans="1:8" x14ac:dyDescent="0.25">
      <c r="B86" s="24" t="s">
        <v>36</v>
      </c>
      <c r="C86" s="24" t="s">
        <v>132</v>
      </c>
      <c r="D86" s="25" t="s">
        <v>194</v>
      </c>
      <c r="E86" s="24" t="s">
        <v>5</v>
      </c>
      <c r="F86" s="25"/>
      <c r="G86" s="23" t="str">
        <f t="shared" si="1"/>
        <v/>
      </c>
    </row>
    <row r="87" spans="1:8" x14ac:dyDescent="0.25">
      <c r="B87" s="24">
        <v>9</v>
      </c>
      <c r="C87" s="24" t="s">
        <v>101</v>
      </c>
      <c r="D87" s="25" t="s">
        <v>229</v>
      </c>
      <c r="E87" s="24" t="s">
        <v>11</v>
      </c>
      <c r="F87" s="25"/>
      <c r="G87" s="23" t="str">
        <f t="shared" si="1"/>
        <v/>
      </c>
    </row>
    <row r="88" spans="1:8" x14ac:dyDescent="0.25">
      <c r="B88" s="24" t="s">
        <v>37</v>
      </c>
      <c r="C88" s="24" t="s">
        <v>102</v>
      </c>
      <c r="D88" s="25" t="s">
        <v>230</v>
      </c>
      <c r="E88" s="24" t="s">
        <v>3</v>
      </c>
      <c r="F88" s="25"/>
      <c r="G88" s="23" t="str">
        <f t="shared" si="1"/>
        <v/>
      </c>
    </row>
    <row r="89" spans="1:8" x14ac:dyDescent="0.25">
      <c r="A89" s="15">
        <v>26</v>
      </c>
      <c r="B89" s="24" t="s">
        <v>37</v>
      </c>
      <c r="C89" s="24" t="s">
        <v>103</v>
      </c>
      <c r="D89" s="25" t="s">
        <v>187</v>
      </c>
      <c r="E89" s="24" t="s">
        <v>4</v>
      </c>
      <c r="F89" s="25" t="s">
        <v>264</v>
      </c>
      <c r="G89" s="23" t="str">
        <f t="shared" si="1"/>
        <v/>
      </c>
    </row>
    <row r="90" spans="1:8" x14ac:dyDescent="0.25">
      <c r="B90" s="24" t="s">
        <v>37</v>
      </c>
      <c r="C90" s="24" t="s">
        <v>133</v>
      </c>
      <c r="D90" s="25" t="s">
        <v>188</v>
      </c>
      <c r="E90" s="24" t="s">
        <v>5</v>
      </c>
      <c r="F90" s="25"/>
      <c r="G90" s="23" t="str">
        <f t="shared" si="1"/>
        <v/>
      </c>
    </row>
    <row r="91" spans="1:8" x14ac:dyDescent="0.25">
      <c r="B91" s="24" t="s">
        <v>38</v>
      </c>
      <c r="C91" s="24" t="s">
        <v>104</v>
      </c>
      <c r="D91" s="25" t="s">
        <v>231</v>
      </c>
      <c r="E91" s="24" t="s">
        <v>3</v>
      </c>
      <c r="F91" s="25"/>
      <c r="G91" s="23" t="str">
        <f t="shared" si="1"/>
        <v/>
      </c>
    </row>
    <row r="92" spans="1:8" x14ac:dyDescent="0.25">
      <c r="A92" s="15">
        <v>27</v>
      </c>
      <c r="B92" s="24" t="s">
        <v>38</v>
      </c>
      <c r="C92" s="24" t="s">
        <v>105</v>
      </c>
      <c r="D92" s="25" t="s">
        <v>189</v>
      </c>
      <c r="E92" s="24" t="s">
        <v>4</v>
      </c>
      <c r="F92" s="25" t="s">
        <v>265</v>
      </c>
      <c r="G92" s="23" t="str">
        <f t="shared" si="1"/>
        <v/>
      </c>
    </row>
    <row r="93" spans="1:8" x14ac:dyDescent="0.25">
      <c r="B93" s="24" t="s">
        <v>38</v>
      </c>
      <c r="C93" s="24" t="s">
        <v>134</v>
      </c>
      <c r="D93" s="25" t="s">
        <v>190</v>
      </c>
      <c r="E93" s="24" t="s">
        <v>5</v>
      </c>
      <c r="F93" s="25"/>
      <c r="G93" s="23" t="str">
        <f t="shared" si="1"/>
        <v/>
      </c>
    </row>
    <row r="94" spans="1:8" x14ac:dyDescent="0.25">
      <c r="A94" s="28"/>
      <c r="B94" s="24" t="s">
        <v>39</v>
      </c>
      <c r="C94" s="24" t="s">
        <v>106</v>
      </c>
      <c r="D94" s="25" t="s">
        <v>232</v>
      </c>
      <c r="E94" s="24" t="s">
        <v>3</v>
      </c>
      <c r="F94" s="25"/>
      <c r="G94" s="23" t="str">
        <f t="shared" si="1"/>
        <v/>
      </c>
    </row>
    <row r="95" spans="1:8" x14ac:dyDescent="0.25">
      <c r="A95" s="28">
        <v>28</v>
      </c>
      <c r="B95" s="24" t="s">
        <v>39</v>
      </c>
      <c r="C95" s="24" t="s">
        <v>107</v>
      </c>
      <c r="D95" s="25" t="s">
        <v>191</v>
      </c>
      <c r="E95" s="24" t="s">
        <v>4</v>
      </c>
      <c r="F95" s="25" t="s">
        <v>266</v>
      </c>
      <c r="G95" s="23" t="str">
        <f t="shared" si="1"/>
        <v/>
      </c>
    </row>
    <row r="96" spans="1:8" x14ac:dyDescent="0.25">
      <c r="A96" s="29"/>
      <c r="B96" s="26" t="s">
        <v>39</v>
      </c>
      <c r="C96" s="26" t="s">
        <v>135</v>
      </c>
      <c r="D96" s="27" t="s">
        <v>192</v>
      </c>
      <c r="E96" s="26" t="s">
        <v>5</v>
      </c>
      <c r="F96" s="27"/>
      <c r="G96" s="23" t="str">
        <f t="shared" si="1"/>
        <v/>
      </c>
    </row>
  </sheetData>
  <autoFilter ref="A3:H96" xr:uid="{409C9D1B-A452-401C-9733-8750E50DAAFC}"/>
  <conditionalFormatting sqref="I1:I1048576">
    <cfRule type="duplicateValues" dxfId="2" priority="2"/>
  </conditionalFormatting>
  <conditionalFormatting sqref="H1:H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5"/>
  <sheetViews>
    <sheetView tabSelected="1" topLeftCell="A2" workbookViewId="0">
      <selection activeCell="C5" sqref="C5"/>
    </sheetView>
  </sheetViews>
  <sheetFormatPr defaultRowHeight="13.8" x14ac:dyDescent="0.25"/>
  <cols>
    <col min="2" max="2" width="12.19921875" style="1" bestFit="1" customWidth="1"/>
    <col min="3" max="3" width="75.8984375" bestFit="1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40</v>
      </c>
      <c r="C3" s="6" t="str">
        <f>IF(D3="","","https://docs.google.com/uc?export=download&amp;id="&amp;D3)</f>
        <v>https://docs.google.com/uc?export=download&amp;id=1m6o0grLZpRv8NcYs-9Kyle81Amc2DeiQ</v>
      </c>
      <c r="D3" s="7" t="str">
        <f t="shared" ref="D3:D4" si="0">IFERROR(LEFT(RIGHT(E3,LEN(E3)-32),LEN(RIGHT(E3,LEN(E3)-32))-17),"")</f>
        <v>1m6o0grLZpRv8NcYs-9Kyle81Amc2DeiQ</v>
      </c>
      <c r="E3" s="7" t="s">
        <v>234</v>
      </c>
    </row>
    <row r="4" spans="2:5" x14ac:dyDescent="0.25">
      <c r="B4" s="8" t="s">
        <v>139</v>
      </c>
      <c r="C4" s="6" t="str">
        <f t="shared" ref="C4" si="1">IF(D4="","","https://docs.google.com/uc?export=download&amp;id="&amp;D4)</f>
        <v>https://docs.google.com/uc?export=download&amp;id=1vKerznEEx67IeMZZhGUSLRClr-1NUrYi</v>
      </c>
      <c r="D4" s="7" t="str">
        <f t="shared" si="0"/>
        <v>1vKerznEEx67IeMZZhGUSLRClr-1NUrYi</v>
      </c>
      <c r="E4" s="7" t="s">
        <v>235</v>
      </c>
    </row>
    <row r="5" spans="2:5" x14ac:dyDescent="0.25">
      <c r="B5" s="8" t="s">
        <v>267</v>
      </c>
      <c r="C5" s="6" t="str">
        <f t="shared" ref="C5" si="2">IF(D5="","","https://docs.google.com/uc?export=download&amp;id="&amp;D5)</f>
        <v>https://docs.google.com/uc?export=download&amp;id=1vZkcKg7dYr3kJFlQuAhRDvjM3ZfFfqaf</v>
      </c>
      <c r="D5" s="7" t="str">
        <f t="shared" ref="D5" si="3">IFERROR(LEFT(RIGHT(E5,LEN(E5)-32),LEN(RIGHT(E5,LEN(E5)-32))-17),"")</f>
        <v>1vZkcKg7dYr3kJFlQuAhRDvjM3ZfFfqaf</v>
      </c>
      <c r="E5" t="s">
        <v>268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4" sqref="C4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42</v>
      </c>
      <c r="C3" s="6" t="str">
        <f>IF(D3="","","https://docs.google.com/uc?export=download&amp;id="&amp;D3)</f>
        <v>https://docs.google.com/uc?export=download&amp;id=1oOAe_Uo5RVjuOwL7odyMUqbjcIay_4zG</v>
      </c>
      <c r="D3" s="7" t="str">
        <f t="shared" ref="D3" si="0">IFERROR(LEFT(RIGHT(E3,LEN(E3)-32),LEN(RIGHT(E3,LEN(E3)-32))-17),"")</f>
        <v>1oOAe_Uo5RVjuOwL7odyMUqbjcIay_4zG</v>
      </c>
      <c r="E3" s="7" t="s">
        <v>237</v>
      </c>
    </row>
    <row r="4" spans="2:5" x14ac:dyDescent="0.25">
      <c r="B4" s="8" t="s">
        <v>41</v>
      </c>
      <c r="C4" s="6" t="str">
        <f>IF(D4="","","https://docs.google.com/uc?export=download&amp;id="&amp;D4)</f>
        <v>https://docs.google.com/uc?export=download&amp;id=1ZOHF8mv3TaDXUIYFR-yYUxcctLB4VrG8</v>
      </c>
      <c r="D4" s="7" t="str">
        <f t="shared" ref="D4" si="1">IFERROR(LEFT(RIGHT(E4,LEN(E4)-32),LEN(RIGHT(E4,LEN(E4)-32))-17),"")</f>
        <v>1ZOHF8mv3TaDXUIYFR-yYUxcctLB4VrG8</v>
      </c>
      <c r="E4" s="7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M295"/>
  <sheetViews>
    <sheetView topLeftCell="C1" zoomScale="86" zoomScaleNormal="86" workbookViewId="0">
      <selection activeCell="E4" sqref="E4:E15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2" ht="17.399999999999999" customHeight="1" x14ac:dyDescent="0.25">
      <c r="B1" t="s">
        <v>6</v>
      </c>
      <c r="C1" s="16">
        <v>17</v>
      </c>
      <c r="D1" s="3"/>
    </row>
    <row r="2" spans="1:12" x14ac:dyDescent="0.25">
      <c r="B2" t="s">
        <v>7</v>
      </c>
      <c r="C2" s="16">
        <v>28</v>
      </c>
      <c r="D2" s="3"/>
    </row>
    <row r="3" spans="1:12" x14ac:dyDescent="0.25">
      <c r="C3" s="17" t="s">
        <v>1</v>
      </c>
      <c r="D3" s="4" t="s">
        <v>1</v>
      </c>
      <c r="E3" s="4" t="s">
        <v>3</v>
      </c>
      <c r="F3" s="4" t="s">
        <v>4</v>
      </c>
    </row>
    <row r="4" spans="1:12" x14ac:dyDescent="0.25">
      <c r="A4">
        <f>C1</f>
        <v>17</v>
      </c>
      <c r="B4">
        <f t="shared" ref="B4:B67" ca="1" si="0">IF(A4="","",RANDBETWEEN($C$1,$C$2))</f>
        <v>26</v>
      </c>
      <c r="C4" s="1">
        <f ca="1">IFERROR($C$1-1+_xlfn.RANK.EQ(B4,$B$4:$B$31)+COUNTIF(B$4:$B4,B4)-1,"")</f>
        <v>20</v>
      </c>
      <c r="D4" s="1" t="str">
        <f ca="1">IFERROR(VLOOKUP(C4,Anger!A:B,2,0),"")</f>
        <v>7.1</v>
      </c>
      <c r="E4" t="str">
        <f ca="1">IFERROR(VLOOKUP(D4&amp;"Viet",Anger!C:D,2,0),"")</f>
        <v>Tôi đã quá giận nên không kịp suy nghĩ đúng đắn.</v>
      </c>
      <c r="F4" t="str">
        <f ca="1">IFERROR(VLOOKUP(D4&amp;"Eng",Anger!C:D,2,0),"")</f>
        <v>I was simply too mad to think straight.</v>
      </c>
    </row>
    <row r="5" spans="1:12" x14ac:dyDescent="0.25">
      <c r="A5">
        <f>IFERROR(IF(A4+1&gt;$C$2,"",A4+1),"")</f>
        <v>18</v>
      </c>
      <c r="B5">
        <f t="shared" ca="1" si="0"/>
        <v>22</v>
      </c>
      <c r="C5" s="1">
        <f ca="1">IFERROR($C$1-1+_xlfn.RANK.EQ(B5,$B$4:$B$31)+COUNTIF(B$4:$B5,B5)-1,"")</f>
        <v>25</v>
      </c>
      <c r="D5" s="1" t="str">
        <f ca="1">IFERROR(VLOOKUP(C5,Anger!A:B,2,0),"")</f>
        <v>8.3</v>
      </c>
      <c r="E5" t="str">
        <f ca="1">IFERROR(VLOOKUP(D5&amp;"Viet",Anger!C:D,2,0),"")</f>
        <v>Có lẽ tôi sẽ không chấm dứt mối quan hệ bạn bè với anh, nhưng tôi vẫn phải nói hết cho nhẹ người.</v>
      </c>
      <c r="F5" t="str">
        <f ca="1">IFERROR(VLOOKUP(D5&amp;"Eng",Anger!C:D,2,0),"")</f>
        <v>Maybe I won’t stop being friend with you, but I’m still going to tell you what I think about you.</v>
      </c>
    </row>
    <row r="6" spans="1:12" x14ac:dyDescent="0.25">
      <c r="A6">
        <f t="shared" ref="A6:A69" si="1">IFERROR(IF(A5+1&gt;$C$2,"",A5+1),"")</f>
        <v>19</v>
      </c>
      <c r="B6">
        <f t="shared" ca="1" si="0"/>
        <v>21</v>
      </c>
      <c r="C6" s="1">
        <f ca="1">IFERROR($C$1-1+_xlfn.RANK.EQ(B6,$B$4:$B$31)+COUNTIF(B$4:$B6,B6)-1,"")</f>
        <v>28</v>
      </c>
      <c r="D6" s="1" t="str">
        <f ca="1">IFERROR(VLOOKUP(C6,Anger!A:B,2,0),"")</f>
        <v>9.3</v>
      </c>
      <c r="E6" t="str">
        <f ca="1">IFERROR(VLOOKUP(D6&amp;"Viet",Anger!C:D,2,0),"")</f>
        <v>Tôi không hiểu sao bạn có thể thiếu suy nghĩ vậy.</v>
      </c>
      <c r="F6" t="str">
        <f ca="1">IFERROR(VLOOKUP(D6&amp;"Eng",Anger!C:D,2,0),"")</f>
        <v>I don’t understand how you can be so thoughtless.</v>
      </c>
      <c r="K6" t="s">
        <v>136</v>
      </c>
    </row>
    <row r="7" spans="1:12" x14ac:dyDescent="0.25">
      <c r="A7">
        <f t="shared" si="1"/>
        <v>20</v>
      </c>
      <c r="B7">
        <f t="shared" ca="1" si="0"/>
        <v>27</v>
      </c>
      <c r="C7" s="1">
        <f ca="1">IFERROR($C$1-1+_xlfn.RANK.EQ(B7,$B$4:$B$31)+COUNTIF(B$4:$B7,B7)-1,"")</f>
        <v>17</v>
      </c>
      <c r="D7" s="1" t="str">
        <f ca="1">IFERROR(VLOOKUP(C7,Anger!A:B,2,0),"")</f>
        <v>6.1</v>
      </c>
      <c r="E7" t="str">
        <f ca="1">IFERROR(VLOOKUP(D7&amp;"Viet",Anger!C:D,2,0),"")</f>
        <v>Anh ta biết là tôi rất ghét bị cho leo cây.</v>
      </c>
      <c r="F7" t="str">
        <f ca="1">IFERROR(VLOOKUP(D7&amp;"Eng",Anger!C:D,2,0),"")</f>
        <v>He knows how much I hate being stood up.</v>
      </c>
    </row>
    <row r="8" spans="1:12" x14ac:dyDescent="0.25">
      <c r="A8">
        <f t="shared" si="1"/>
        <v>21</v>
      </c>
      <c r="B8">
        <f t="shared" ca="1" si="0"/>
        <v>22</v>
      </c>
      <c r="C8" s="1">
        <f ca="1">IFERROR($C$1-1+_xlfn.RANK.EQ(B8,$B$4:$B$31)+COUNTIF(B$4:$B8,B8)-1,"")</f>
        <v>26</v>
      </c>
      <c r="D8" s="1" t="str">
        <f ca="1">IFERROR(VLOOKUP(C8,Anger!A:B,2,0),"")</f>
        <v>9.1</v>
      </c>
      <c r="E8" t="str">
        <f ca="1">IFERROR(VLOOKUP(D8&amp;"Viet",Anger!C:D,2,0),"")</f>
        <v>Tôi không hiểu làm sao mà cô ấy lại có thể vô trách nhiệm đến như vậy.</v>
      </c>
      <c r="F8" t="str">
        <f ca="1">IFERROR(VLOOKUP(D8&amp;"Eng",Anger!C:D,2,0),"")</f>
        <v>I don’t understand how she can be so irresponsible.</v>
      </c>
    </row>
    <row r="9" spans="1:12" x14ac:dyDescent="0.25">
      <c r="A9">
        <f t="shared" si="1"/>
        <v>22</v>
      </c>
      <c r="B9">
        <f t="shared" ca="1" si="0"/>
        <v>24</v>
      </c>
      <c r="C9" s="1">
        <f ca="1">IFERROR($C$1-1+_xlfn.RANK.EQ(B9,$B$4:$B$31)+COUNTIF(B$4:$B9,B9)-1,"")</f>
        <v>23</v>
      </c>
      <c r="D9" s="1" t="str">
        <f ca="1">IFERROR(VLOOKUP(C9,Anger!A:B,2,0),"")</f>
        <v>8.1</v>
      </c>
      <c r="E9" t="str">
        <f ca="1">IFERROR(VLOOKUP(D9&amp;"Viet",Anger!C:D,2,0),"")</f>
        <v>Có lẽ tôi sẽ không chấm dứt mối quan hệ bạn bè với anh ấy, nhưng tôi vẫn phải mắng cho anh ta một trận.</v>
      </c>
      <c r="F9" t="str">
        <f ca="1">IFERROR(VLOOKUP(D9&amp;"Eng",Anger!C:D,2,0),"")</f>
        <v>Maybe I won’t stop being friend with him, but I’m still going to tell him off.</v>
      </c>
    </row>
    <row r="10" spans="1:12" x14ac:dyDescent="0.25">
      <c r="A10">
        <f t="shared" si="1"/>
        <v>23</v>
      </c>
      <c r="B10">
        <f t="shared" ca="1" si="0"/>
        <v>25</v>
      </c>
      <c r="C10" s="1">
        <f ca="1">IFERROR($C$1-1+_xlfn.RANK.EQ(B10,$B$4:$B$31)+COUNTIF(B$4:$B10,B10)-1,"")</f>
        <v>22</v>
      </c>
      <c r="D10" s="1" t="str">
        <f ca="1">IFERROR(VLOOKUP(C10,Anger!A:B,2,0),"")</f>
        <v>7.3</v>
      </c>
      <c r="E10" t="str">
        <f ca="1">IFERROR(VLOOKUP(D10&amp;"Viet",Anger!C:D,2,0),"")</f>
        <v>Tôi đã quá giận nên không kịp suy nghĩ hợp lý.</v>
      </c>
      <c r="F10" t="str">
        <f ca="1">IFERROR(VLOOKUP(D10&amp;"Eng",Anger!C:D,2,0),"")</f>
        <v>I was simply too mad to think sensibly.</v>
      </c>
    </row>
    <row r="11" spans="1:12" x14ac:dyDescent="0.25">
      <c r="A11">
        <f t="shared" si="1"/>
        <v>24</v>
      </c>
      <c r="B11">
        <f t="shared" ca="1" si="0"/>
        <v>24</v>
      </c>
      <c r="C11" s="1">
        <f ca="1">IFERROR($C$1-1+_xlfn.RANK.EQ(B11,$B$4:$B$31)+COUNTIF(B$4:$B11,B11)-1,"")</f>
        <v>24</v>
      </c>
      <c r="D11" s="1" t="str">
        <f ca="1">IFERROR(VLOOKUP(C11,Anger!A:B,2,0),"")</f>
        <v>8.2</v>
      </c>
      <c r="E11" t="str">
        <f ca="1">IFERROR(VLOOKUP(D11&amp;"Viet",Anger!C:D,2,0),"")</f>
        <v>Có lẽ tôi sẽ không chấm dứt mối quan hệ bạn bè với cô ấy, nhưng tôi vẫn phải nói cho cổ biết suy nghĩ của tôi về cổ.</v>
      </c>
      <c r="F11" t="str">
        <f ca="1">IFERROR(VLOOKUP(D11&amp;"Eng",Anger!C:D,2,0),"")</f>
        <v>Maybe I won’t stop being friend with her, but I’m still going to tell her what I think about her.</v>
      </c>
      <c r="H11" t="s">
        <v>136</v>
      </c>
    </row>
    <row r="12" spans="1:12" x14ac:dyDescent="0.25">
      <c r="A12">
        <f t="shared" si="1"/>
        <v>25</v>
      </c>
      <c r="B12">
        <f t="shared" ca="1" si="0"/>
        <v>22</v>
      </c>
      <c r="C12" s="1">
        <f ca="1">IFERROR($C$1-1+_xlfn.RANK.EQ(B12,$B$4:$B$31)+COUNTIF(B$4:$B12,B12)-1,"")</f>
        <v>27</v>
      </c>
      <c r="D12" s="1" t="str">
        <f ca="1">IFERROR(VLOOKUP(C12,Anger!A:B,2,0),"")</f>
        <v>9.2</v>
      </c>
      <c r="E12" t="str">
        <f ca="1">IFERROR(VLOOKUP(D12&amp;"Viet",Anger!C:D,2,0),"")</f>
        <v>Tôi không hiểu làm sao mà anh ấy lại có thể bất cẩn đến như vậy.</v>
      </c>
      <c r="F12" t="str">
        <f ca="1">IFERROR(VLOOKUP(D12&amp;"Eng",Anger!C:D,2,0),"")</f>
        <v>I don’t understand how he can be so careless.</v>
      </c>
      <c r="J12" s="18"/>
    </row>
    <row r="13" spans="1:12" x14ac:dyDescent="0.25">
      <c r="A13">
        <f t="shared" si="1"/>
        <v>26</v>
      </c>
      <c r="B13">
        <f t="shared" ca="1" si="0"/>
        <v>27</v>
      </c>
      <c r="C13" s="1">
        <f ca="1">IFERROR($C$1-1+_xlfn.RANK.EQ(B13,$B$4:$B$31)+COUNTIF(B$4:$B13,B13)-1,"")</f>
        <v>18</v>
      </c>
      <c r="D13" s="1" t="str">
        <f ca="1">IFERROR(VLOOKUP(C13,Anger!A:B,2,0),"")</f>
        <v>6.2</v>
      </c>
      <c r="E13" t="str">
        <f ca="1">IFERROR(VLOOKUP(D13&amp;"Viet",Anger!C:D,2,0),"")</f>
        <v>Bạn biết là tôi rất ghét bị chờ lâu.</v>
      </c>
      <c r="F13" t="str">
        <f ca="1">IFERROR(VLOOKUP(D13&amp;"Eng",Anger!C:D,2,0),"")</f>
        <v>You know how much I hate being kept waiting.</v>
      </c>
    </row>
    <row r="14" spans="1:12" x14ac:dyDescent="0.25">
      <c r="A14">
        <f t="shared" si="1"/>
        <v>27</v>
      </c>
      <c r="B14">
        <f t="shared" ca="1" si="0"/>
        <v>26</v>
      </c>
      <c r="C14" s="1">
        <f ca="1">IFERROR($C$1-1+_xlfn.RANK.EQ(B14,$B$4:$B$31)+COUNTIF(B$4:$B14,B14)-1,"")</f>
        <v>21</v>
      </c>
      <c r="D14" s="1" t="str">
        <f ca="1">IFERROR(VLOOKUP(C14,Anger!A:B,2,0),"")</f>
        <v>7.2</v>
      </c>
      <c r="E14" t="str">
        <f ca="1">IFERROR(VLOOKUP(D14&amp;"Viet",Anger!C:D,2,0),"")</f>
        <v>Tôi đã quá giận nên không kịp suy nghĩ rõ ràng.</v>
      </c>
      <c r="F14" t="str">
        <f ca="1">IFERROR(VLOOKUP(D14&amp;"Eng",Anger!C:D,2,0),"")</f>
        <v>I was simply too mad to think clearly.</v>
      </c>
      <c r="L14" t="s">
        <v>137</v>
      </c>
    </row>
    <row r="15" spans="1:12" x14ac:dyDescent="0.25">
      <c r="A15">
        <f t="shared" si="1"/>
        <v>28</v>
      </c>
      <c r="B15">
        <f t="shared" ca="1" si="0"/>
        <v>27</v>
      </c>
      <c r="C15" s="1">
        <f ca="1">IFERROR($C$1-1+_xlfn.RANK.EQ(B15,$B$4:$B$31)+COUNTIF(B$4:$B15,B15)-1,"")</f>
        <v>19</v>
      </c>
      <c r="D15" s="1" t="str">
        <f ca="1">IFERROR(VLOOKUP(C15,Anger!A:B,2,0),"")</f>
        <v>6.3</v>
      </c>
      <c r="E15" t="str">
        <f ca="1">IFERROR(VLOOKUP(D15&amp;"Viet",Anger!C:D,2,0),"")</f>
        <v>Tôi biết là anh rất ghét bị phí thời giờ.</v>
      </c>
      <c r="F15" t="str">
        <f ca="1">IFERROR(VLOOKUP(D15&amp;"Eng",Anger!C:D,2,0),"")</f>
        <v>I know how much you hate having your time wasted.</v>
      </c>
    </row>
    <row r="16" spans="1:12" x14ac:dyDescent="0.25">
      <c r="A16" t="str">
        <f t="shared" si="1"/>
        <v/>
      </c>
      <c r="B16" t="str">
        <f t="shared" ca="1" si="0"/>
        <v/>
      </c>
      <c r="C16" s="1" t="str">
        <f ca="1">IFERROR($C$1-1+_xlfn.RANK.EQ(B16,$B$4:$B$31)+COUNTIF(B$4:$B16,B16)-1,"")</f>
        <v/>
      </c>
      <c r="D16" s="1" t="str">
        <f ca="1">IFERROR(VLOOKUP(C16,Anger!A:B,2,0),"")</f>
        <v/>
      </c>
      <c r="E16" t="str">
        <f ca="1">IFERROR(VLOOKUP(D16&amp;"Viet",Anger!C:D,2,0),"")</f>
        <v/>
      </c>
      <c r="F16" t="str">
        <f ca="1">IFERROR(VLOOKUP(D16&amp;"Eng",Anger!C:D,2,0),"")</f>
        <v/>
      </c>
    </row>
    <row r="17" spans="1:13" x14ac:dyDescent="0.25">
      <c r="A17" t="str">
        <f t="shared" si="1"/>
        <v/>
      </c>
      <c r="B17" t="str">
        <f t="shared" ca="1" si="0"/>
        <v/>
      </c>
      <c r="C17" s="1" t="str">
        <f ca="1">IFERROR($C$1-1+_xlfn.RANK.EQ(B17,$B$4:$B$31)+COUNTIF(B$4:$B17,B17)-1,"")</f>
        <v/>
      </c>
      <c r="D17" s="1" t="str">
        <f ca="1">IFERROR(VLOOKUP(C17,Anger!A:B,2,0),"")</f>
        <v/>
      </c>
      <c r="E17" t="str">
        <f ca="1">IFERROR(VLOOKUP(D17&amp;"Viet",Anger!C:D,2,0),"")</f>
        <v/>
      </c>
      <c r="F17" t="str">
        <f ca="1">IFERROR(VLOOKUP(D17&amp;"Eng",Anger!C:D,2,0),"")</f>
        <v/>
      </c>
      <c r="I17" t="s">
        <v>137</v>
      </c>
    </row>
    <row r="18" spans="1:13" ht="12.6" customHeight="1" x14ac:dyDescent="0.25">
      <c r="A18" t="str">
        <f t="shared" si="1"/>
        <v/>
      </c>
      <c r="B18" t="str">
        <f t="shared" ca="1" si="0"/>
        <v/>
      </c>
      <c r="C18" s="1" t="str">
        <f ca="1">IFERROR($C$1-1+_xlfn.RANK.EQ(B18,$B$4:$B$31)+COUNTIF(B$4:$B18,B18)-1,"")</f>
        <v/>
      </c>
      <c r="D18" s="1" t="str">
        <f ca="1">IFERROR(VLOOKUP(C18,Anger!A:B,2,0),"")</f>
        <v/>
      </c>
      <c r="E18" t="str">
        <f ca="1">IFERROR(VLOOKUP(D18&amp;"Viet",Anger!C:D,2,0),"")</f>
        <v/>
      </c>
      <c r="F18" t="str">
        <f ca="1">IFERROR(VLOOKUP(D18&amp;"Eng",Anger!C:D,2,0),"")</f>
        <v/>
      </c>
      <c r="I18" t="s">
        <v>233</v>
      </c>
      <c r="L18" t="s">
        <v>138</v>
      </c>
    </row>
    <row r="19" spans="1:13" x14ac:dyDescent="0.25">
      <c r="A19" t="str">
        <f t="shared" si="1"/>
        <v/>
      </c>
      <c r="B19" t="str">
        <f t="shared" ca="1" si="0"/>
        <v/>
      </c>
      <c r="C19" s="1" t="str">
        <f ca="1">IFERROR($C$1-1+_xlfn.RANK.EQ(B19,$B$4:$B$31)+COUNTIF(B$4:$B19,B19)-1,"")</f>
        <v/>
      </c>
      <c r="D19" s="1" t="str">
        <f ca="1">IFERROR(VLOOKUP(C19,Anger!A:B,2,0),"")</f>
        <v/>
      </c>
      <c r="E19" t="str">
        <f ca="1">IFERROR(VLOOKUP(D19&amp;"Viet",Anger!C:D,2,0),"")</f>
        <v/>
      </c>
      <c r="F19" t="str">
        <f ca="1">IFERROR(VLOOKUP(D19&amp;"Eng",Anger!C:D,2,0),"")</f>
        <v/>
      </c>
    </row>
    <row r="20" spans="1:13" x14ac:dyDescent="0.25">
      <c r="A20" t="str">
        <f t="shared" si="1"/>
        <v/>
      </c>
      <c r="B20" t="str">
        <f t="shared" ca="1" si="0"/>
        <v/>
      </c>
      <c r="C20" s="1" t="str">
        <f ca="1">IFERROR($C$1-1+_xlfn.RANK.EQ(B20,$B$4:$B$31)+COUNTIF(B$4:$B20,B20)-1,"")</f>
        <v/>
      </c>
      <c r="D20" s="1" t="str">
        <f ca="1">IFERROR(VLOOKUP(C20,Anger!A:B,2,0),"")</f>
        <v/>
      </c>
      <c r="E20" t="str">
        <f ca="1">IFERROR(VLOOKUP(D20&amp;"Viet",Anger!C:D,2,0),"")</f>
        <v/>
      </c>
      <c r="F20" t="str">
        <f ca="1">IFERROR(VLOOKUP(D20&amp;"Eng",Anger!C:D,2,0),"")</f>
        <v/>
      </c>
    </row>
    <row r="21" spans="1:13" x14ac:dyDescent="0.25">
      <c r="A21" t="str">
        <f t="shared" si="1"/>
        <v/>
      </c>
      <c r="B21" t="str">
        <f t="shared" ca="1" si="0"/>
        <v/>
      </c>
      <c r="C21" s="1" t="str">
        <f ca="1">IFERROR($C$1-1+_xlfn.RANK.EQ(B21,$B$4:$B$31)+COUNTIF(B$4:$B21,B21)-1,"")</f>
        <v/>
      </c>
      <c r="D21" s="1" t="str">
        <f ca="1">IFERROR(VLOOKUP(C21,Anger!A:B,2,0),"")</f>
        <v/>
      </c>
      <c r="E21" t="str">
        <f ca="1">IFERROR(VLOOKUP(D21&amp;"Viet",Anger!C:D,2,0),"")</f>
        <v/>
      </c>
      <c r="F21" t="str">
        <f ca="1">IFERROR(VLOOKUP(D21&amp;"Eng",Anger!C:D,2,0),"")</f>
        <v/>
      </c>
      <c r="M21" t="s">
        <v>138</v>
      </c>
    </row>
    <row r="22" spans="1:13" x14ac:dyDescent="0.25">
      <c r="A22" t="str">
        <f t="shared" si="1"/>
        <v/>
      </c>
      <c r="B22" t="str">
        <f t="shared" ca="1" si="0"/>
        <v/>
      </c>
      <c r="C22" s="1" t="str">
        <f ca="1">IFERROR($C$1-1+_xlfn.RANK.EQ(B22,$B$4:$B$31)+COUNTIF(B$4:$B22,B22)-1,"")</f>
        <v/>
      </c>
      <c r="D22" s="1" t="str">
        <f ca="1">IFERROR(VLOOKUP(C22,Anger!A:B,2,0),"")</f>
        <v/>
      </c>
      <c r="E22" t="str">
        <f ca="1">IFERROR(VLOOKUP(D22&amp;"Viet",Anger!C:D,2,0),"")</f>
        <v/>
      </c>
      <c r="F22" t="str">
        <f ca="1">IFERROR(VLOOKUP(D22&amp;"Eng",Anger!C:D,2,0),"")</f>
        <v/>
      </c>
    </row>
    <row r="23" spans="1:13" x14ac:dyDescent="0.25">
      <c r="A23" t="str">
        <f t="shared" si="1"/>
        <v/>
      </c>
      <c r="B23" t="str">
        <f t="shared" ca="1" si="0"/>
        <v/>
      </c>
      <c r="C23" s="1" t="str">
        <f ca="1">IFERROR($C$1-1+_xlfn.RANK.EQ(B23,$B$4:$B$31)+COUNTIF(B$4:$B23,B23)-1,"")</f>
        <v/>
      </c>
      <c r="D23" s="1" t="str">
        <f ca="1">IFERROR(VLOOKUP(C23,Anger!A:B,2,0),"")</f>
        <v/>
      </c>
      <c r="E23" t="str">
        <f ca="1">IFERROR(VLOOKUP(D23&amp;"Viet",Anger!C:D,2,0),"")</f>
        <v/>
      </c>
      <c r="F23" t="str">
        <f ca="1">IFERROR(VLOOKUP(D23&amp;"Eng",Anger!C:D,2,0),"")</f>
        <v/>
      </c>
    </row>
    <row r="24" spans="1:13" x14ac:dyDescent="0.25">
      <c r="A24" t="str">
        <f t="shared" si="1"/>
        <v/>
      </c>
      <c r="B24" t="str">
        <f t="shared" ca="1" si="0"/>
        <v/>
      </c>
      <c r="C24" s="1" t="str">
        <f ca="1">IFERROR($C$1-1+_xlfn.RANK.EQ(B24,$B$4:$B$31)+COUNTIF(B$4:$B24,B24)-1,"")</f>
        <v/>
      </c>
      <c r="D24" s="1" t="str">
        <f ca="1">IFERROR(VLOOKUP(C24,Anger!A:B,2,0),"")</f>
        <v/>
      </c>
      <c r="E24" t="str">
        <f ca="1">IFERROR(VLOOKUP(D24&amp;"Viet",Anger!C:D,2,0),"")</f>
        <v/>
      </c>
      <c r="F24" t="str">
        <f ca="1">IFERROR(VLOOKUP(D24&amp;"Eng",Anger!C:D,2,0),"")</f>
        <v/>
      </c>
    </row>
    <row r="25" spans="1:13" x14ac:dyDescent="0.25">
      <c r="A25" t="str">
        <f t="shared" si="1"/>
        <v/>
      </c>
      <c r="B25" t="str">
        <f t="shared" ca="1" si="0"/>
        <v/>
      </c>
      <c r="C25" s="1" t="str">
        <f ca="1">IFERROR($C$1-1+_xlfn.RANK.EQ(B25,$B$4:$B$31)+COUNTIF(B$4:$B25,B25)-1,"")</f>
        <v/>
      </c>
      <c r="D25" s="1" t="str">
        <f ca="1">IFERROR(VLOOKUP(C25,Anger!A:B,2,0),"")</f>
        <v/>
      </c>
      <c r="E25" t="str">
        <f ca="1">IFERROR(VLOOKUP(D25&amp;"Viet",Anger!C:D,2,0),"")</f>
        <v/>
      </c>
      <c r="F25" t="str">
        <f ca="1">IFERROR(VLOOKUP(D25&amp;"Eng",Anger!C:D,2,0),"")</f>
        <v/>
      </c>
    </row>
    <row r="26" spans="1:13" x14ac:dyDescent="0.25">
      <c r="A26" t="str">
        <f t="shared" si="1"/>
        <v/>
      </c>
      <c r="B26" t="str">
        <f t="shared" ca="1" si="0"/>
        <v/>
      </c>
      <c r="C26" s="1" t="str">
        <f ca="1">IFERROR($C$1-1+_xlfn.RANK.EQ(B26,$B$4:$B$31)+COUNTIF(B$4:$B26,B26)-1,"")</f>
        <v/>
      </c>
      <c r="D26" s="1" t="str">
        <f ca="1">IFERROR(VLOOKUP(C26,Anger!A:B,2,0),"")</f>
        <v/>
      </c>
      <c r="E26" t="str">
        <f ca="1">IFERROR(VLOOKUP(D26&amp;"Viet",Anger!C:D,2,0),"")</f>
        <v/>
      </c>
      <c r="F26" t="str">
        <f ca="1">IFERROR(VLOOKUP(D26&amp;"Eng",Anger!C:D,2,0),"")</f>
        <v/>
      </c>
    </row>
    <row r="27" spans="1:13" x14ac:dyDescent="0.25">
      <c r="A27" t="str">
        <f t="shared" si="1"/>
        <v/>
      </c>
      <c r="B27" t="str">
        <f t="shared" ca="1" si="0"/>
        <v/>
      </c>
      <c r="C27" s="1" t="str">
        <f ca="1">IFERROR($C$1-1+_xlfn.RANK.EQ(B27,$B$4:$B$31)+COUNTIF(B$4:$B27,B27)-1,"")</f>
        <v/>
      </c>
      <c r="D27" s="1" t="str">
        <f ca="1">IFERROR(VLOOKUP(C27,Anger!A:B,2,0),"")</f>
        <v/>
      </c>
      <c r="E27" t="str">
        <f ca="1">IFERROR(VLOOKUP(D27&amp;"Viet",Anger!C:D,2,0),"")</f>
        <v/>
      </c>
      <c r="F27" t="str">
        <f ca="1">IFERROR(VLOOKUP(D27&amp;"Eng",Anger!C:D,2,0),"")</f>
        <v/>
      </c>
    </row>
    <row r="28" spans="1:13" x14ac:dyDescent="0.25">
      <c r="A28" t="str">
        <f t="shared" si="1"/>
        <v/>
      </c>
      <c r="B28" t="str">
        <f t="shared" ca="1" si="0"/>
        <v/>
      </c>
      <c r="C28" s="1" t="str">
        <f ca="1">IFERROR($C$1-1+_xlfn.RANK.EQ(B28,$B$4:$B$31)+COUNTIF(B$4:$B28,B28)-1,"")</f>
        <v/>
      </c>
      <c r="D28" s="1" t="str">
        <f ca="1">IFERROR(VLOOKUP(C28,Anger!A:B,2,0),"")</f>
        <v/>
      </c>
      <c r="E28" t="str">
        <f ca="1">IFERROR(VLOOKUP(D28&amp;"Viet",Anger!C:D,2,0),"")</f>
        <v/>
      </c>
      <c r="F28" t="str">
        <f ca="1">IFERROR(VLOOKUP(D28&amp;"Eng",Anger!C:D,2,0),"")</f>
        <v/>
      </c>
    </row>
    <row r="29" spans="1:13" x14ac:dyDescent="0.25">
      <c r="A29" t="str">
        <f t="shared" si="1"/>
        <v/>
      </c>
      <c r="B29" t="str">
        <f t="shared" ca="1" si="0"/>
        <v/>
      </c>
      <c r="C29" s="1" t="str">
        <f ca="1">IFERROR($C$1-1+_xlfn.RANK.EQ(B29,$B$4:$B$31)+COUNTIF(B$4:$B29,B29)-1,"")</f>
        <v/>
      </c>
      <c r="D29" s="1" t="str">
        <f ca="1">IFERROR(VLOOKUP(C29,Anger!A:B,2,0),"")</f>
        <v/>
      </c>
      <c r="E29" t="str">
        <f ca="1">IFERROR(VLOOKUP(D29&amp;"Viet",Anger!C:D,2,0),"")</f>
        <v/>
      </c>
      <c r="F29" t="str">
        <f ca="1">IFERROR(VLOOKUP(D29&amp;"Eng",Anger!C:D,2,0),"")</f>
        <v/>
      </c>
    </row>
    <row r="30" spans="1:13" x14ac:dyDescent="0.25">
      <c r="A30" t="str">
        <f t="shared" si="1"/>
        <v/>
      </c>
      <c r="B30" t="str">
        <f t="shared" ca="1" si="0"/>
        <v/>
      </c>
      <c r="C30" s="1" t="str">
        <f ca="1">IFERROR($C$1-1+_xlfn.RANK.EQ(B30,$B$4:$B$31)+COUNTIF(B$4:$B30,B30)-1,"")</f>
        <v/>
      </c>
      <c r="D30" s="1" t="str">
        <f ca="1">IFERROR(VLOOKUP(C30,Anger!A:B,2,0),"")</f>
        <v/>
      </c>
      <c r="E30" t="str">
        <f ca="1">IFERROR(VLOOKUP(D30&amp;"Viet",Anger!C:D,2,0),"")</f>
        <v/>
      </c>
      <c r="F30" t="str">
        <f ca="1">IFERROR(VLOOKUP(D30&amp;"Eng",Anger!C:D,2,0),"")</f>
        <v/>
      </c>
    </row>
    <row r="31" spans="1:13" x14ac:dyDescent="0.25">
      <c r="A31" t="str">
        <f t="shared" si="1"/>
        <v/>
      </c>
      <c r="B31" t="str">
        <f t="shared" ca="1" si="0"/>
        <v/>
      </c>
      <c r="C31" s="1" t="str">
        <f ca="1">IFERROR($C$1-1+_xlfn.RANK.EQ(B31,$B$4:$B$31)+COUNTIF(B$4:$B31,B31)-1,"")</f>
        <v/>
      </c>
      <c r="D31" s="1" t="str">
        <f ca="1">IFERROR(VLOOKUP(C31,Anger!A:B,2,0),"")</f>
        <v/>
      </c>
      <c r="E31" t="str">
        <f ca="1">IFERROR(VLOOKUP(D31&amp;"Viet",Anger!C:D,2,0),"")</f>
        <v/>
      </c>
      <c r="F31" t="str">
        <f ca="1">IFERROR(VLOOKUP(D31&amp;"Eng",Anger!C:D,2,0),"")</f>
        <v/>
      </c>
    </row>
    <row r="32" spans="1:13" x14ac:dyDescent="0.25">
      <c r="A32" t="str">
        <f t="shared" si="1"/>
        <v/>
      </c>
      <c r="B32" t="str">
        <f t="shared" ca="1" si="0"/>
        <v/>
      </c>
      <c r="C32" s="1" t="str">
        <f ca="1">IFERROR($C$1-1+_xlfn.RANK.EQ(B32,$B$4:$B$101)+COUNTIF(B$4:$B32,B32)-1,"")</f>
        <v/>
      </c>
      <c r="D32" s="1" t="str">
        <f ca="1">IFERROR(VLOOKUP(C32,Anger!A:B,2,0),"")</f>
        <v/>
      </c>
      <c r="E32" t="str">
        <f ca="1">IFERROR(VLOOKUP(D32&amp;"Viet",Anger!C:D,2,0),"")</f>
        <v/>
      </c>
      <c r="F32" t="str">
        <f ca="1">IFERROR(VLOOKUP(D32&amp;"Eng",Anger!C:D,2,0),"")</f>
        <v/>
      </c>
    </row>
    <row r="33" spans="1:6" x14ac:dyDescent="0.25">
      <c r="A33" t="str">
        <f t="shared" si="1"/>
        <v/>
      </c>
      <c r="B33" t="str">
        <f t="shared" ca="1" si="0"/>
        <v/>
      </c>
      <c r="C33" s="1" t="str">
        <f ca="1">IFERROR($C$1-1+_xlfn.RANK.EQ(B33,$B$4:$B$101)+COUNTIF(B$4:$B33,B33)-1,"")</f>
        <v/>
      </c>
      <c r="D33" s="1" t="str">
        <f ca="1">IFERROR(VLOOKUP(C33,Anger!A:B,2,0),"")</f>
        <v/>
      </c>
      <c r="E33" t="str">
        <f ca="1">IFERROR(VLOOKUP(D33&amp;"Viet",Anger!C:D,2,0),"")</f>
        <v/>
      </c>
      <c r="F33" t="str">
        <f ca="1">IFERROR(VLOOKUP(D33&amp;"Eng",Anger!C:D,2,0),"")</f>
        <v/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IFERROR($C$1-1+_xlfn.RANK.EQ(B34,$B$4:$B$101)+COUNTIF(B$4:$B34,B34)-1,"")</f>
        <v/>
      </c>
      <c r="D34" s="1" t="str">
        <f ca="1">IFERROR(VLOOKUP(C34,Anger!A:B,2,0),"")</f>
        <v/>
      </c>
      <c r="E34" t="str">
        <f ca="1">IFERROR(VLOOKUP(D34&amp;"Viet",Anger!C:D,2,0),"")</f>
        <v/>
      </c>
      <c r="F34" t="str">
        <f ca="1">IFERROR(VLOOKUP(D34&amp;"Eng",Anger!C:D,2,0),"")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IFERROR($C$1-1+_xlfn.RANK.EQ(B35,$B$4:$B$101)+COUNTIF(B$4:$B35,B35)-1,"")</f>
        <v/>
      </c>
      <c r="D35" s="1" t="str">
        <f ca="1">IFERROR(VLOOKUP(C35,Anger!A:B,2,0),"")</f>
        <v/>
      </c>
      <c r="E35" t="str">
        <f ca="1">IFERROR(VLOOKUP(D35&amp;"Viet",Anger!C:D,2,0),"")</f>
        <v/>
      </c>
      <c r="F35" t="str">
        <f ca="1">IFERROR(VLOOKUP(D35&amp;"Eng",Anger!C:D,2,0),"")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IFERROR($C$1-1+_xlfn.RANK.EQ(B36,$B$4:$B$101)+COUNTIF(B$4:$B36,B36)-1,"")</f>
        <v/>
      </c>
      <c r="D36" s="1" t="str">
        <f ca="1">IFERROR(VLOOKUP(C36,Anger!A:B,2,0),"")</f>
        <v/>
      </c>
      <c r="E36" t="str">
        <f ca="1">IFERROR(VLOOKUP(D36&amp;"Viet",Anger!C:D,2,0),"")</f>
        <v/>
      </c>
      <c r="F36" t="str">
        <f ca="1">IFERROR(VLOOKUP(D36&amp;"Eng",Anger!C:D,2,0),"")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IFERROR($C$1-1+_xlfn.RANK.EQ(B37,$B$4:$B$101)+COUNTIF(B$4:$B37,B37)-1,"")</f>
        <v/>
      </c>
      <c r="D37" s="1" t="str">
        <f ca="1">IFERROR(VLOOKUP(C37,Anger!A:B,2,0),"")</f>
        <v/>
      </c>
      <c r="E37" t="str">
        <f ca="1">IFERROR(VLOOKUP(D37&amp;"Viet",Anger!C:D,2,0),"")</f>
        <v/>
      </c>
      <c r="F37" t="str">
        <f ca="1">IFERROR(VLOOKUP(D37&amp;"Eng",Anger!C:D,2,0),"")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IFERROR($C$1-1+_xlfn.RANK.EQ(B38,$B$4:$B$101)+COUNTIF(B$4:$B38,B38)-1,"")</f>
        <v/>
      </c>
      <c r="D38" s="1" t="str">
        <f ca="1">IFERROR(VLOOKUP(C38,Anger!A:B,2,0),"")</f>
        <v/>
      </c>
      <c r="E38" t="str">
        <f ca="1">IFERROR(VLOOKUP(D38&amp;"Viet",Anger!C:D,2,0),"")</f>
        <v/>
      </c>
      <c r="F38" t="str">
        <f ca="1">IFERROR(VLOOKUP(D38&amp;"Eng",Anger!C:D,2,0),"")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IFERROR($C$1-1+_xlfn.RANK.EQ(B39,$B$4:$B$101)+COUNTIF(B$4:$B39,B39)-1,"")</f>
        <v/>
      </c>
      <c r="D39" s="1" t="str">
        <f ca="1">IFERROR(VLOOKUP(C39,Anger!A:B,2,0),"")</f>
        <v/>
      </c>
      <c r="E39" t="str">
        <f ca="1">IFERROR(VLOOKUP(D39&amp;"Viet",Anger!C:D,2,0),"")</f>
        <v/>
      </c>
      <c r="F39" t="str">
        <f ca="1">IFERROR(VLOOKUP(D39&amp;"Eng",Anger!C:D,2,0),"")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IFERROR($C$1-1+_xlfn.RANK.EQ(B40,$B$4:$B$101)+COUNTIF(B$4:$B40,B40)-1,"")</f>
        <v/>
      </c>
      <c r="D40" s="1" t="str">
        <f ca="1">IFERROR(VLOOKUP(C40,Anger!A:B,2,0),"")</f>
        <v/>
      </c>
      <c r="E40" t="str">
        <f ca="1">IFERROR(VLOOKUP(D40&amp;"Viet",Anger!C:D,2,0),"")</f>
        <v/>
      </c>
      <c r="F40" t="str">
        <f ca="1">IFERROR(VLOOKUP(D40&amp;"Eng",Anger!C:D,2,0),"")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IFERROR($C$1-1+_xlfn.RANK.EQ(B41,$B$4:$B$101)+COUNTIF(B$4:$B41,B41)-1,"")</f>
        <v/>
      </c>
      <c r="D41" s="1" t="str">
        <f ca="1">IFERROR(VLOOKUP(C41,Anger!A:B,2,0),"")</f>
        <v/>
      </c>
      <c r="E41" t="str">
        <f ca="1">IFERROR(VLOOKUP(D41&amp;"Viet",Anger!C:D,2,0),"")</f>
        <v/>
      </c>
      <c r="F41" t="str">
        <f ca="1">IFERROR(VLOOKUP(D41&amp;"Eng",Anger!C:D,2,0),"")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IFERROR($C$1-1+_xlfn.RANK.EQ(B42,$B$4:$B$101)+COUNTIF(B$4:$B42,B42)-1,"")</f>
        <v/>
      </c>
      <c r="D42" s="1" t="str">
        <f ca="1">IFERROR(VLOOKUP(C42,Anger!A:B,2,0),"")</f>
        <v/>
      </c>
      <c r="E42" t="str">
        <f ca="1">IFERROR(VLOOKUP(D42&amp;"Viet",Anger!C:D,2,0),"")</f>
        <v/>
      </c>
      <c r="F42" t="str">
        <f ca="1">IFERROR(VLOOKUP(D42&amp;"Eng",Anger!C:D,2,0),"")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IFERROR($C$1-1+_xlfn.RANK.EQ(B43,$B$4:$B$101)+COUNTIF(B$4:$B43,B43)-1,"")</f>
        <v/>
      </c>
      <c r="D43" s="1" t="str">
        <f ca="1">IFERROR(VLOOKUP(C43,Anger!A:B,2,0),"")</f>
        <v/>
      </c>
      <c r="E43" t="str">
        <f ca="1">IFERROR(VLOOKUP(D43&amp;"Viet",Anger!C:D,2,0),"")</f>
        <v/>
      </c>
      <c r="F43" t="str">
        <f ca="1">IFERROR(VLOOKUP(D43&amp;"Eng",Anger!C:D,2,0),"")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IFERROR($C$1-1+_xlfn.RANK.EQ(B44,$B$4:$B$101)+COUNTIF(B$4:$B44,B44)-1,"")</f>
        <v/>
      </c>
      <c r="D44" s="1" t="str">
        <f ca="1">IFERROR(VLOOKUP(C44,Anger!A:B,2,0),"")</f>
        <v/>
      </c>
      <c r="E44" t="str">
        <f ca="1">IFERROR(VLOOKUP(D44&amp;"Viet",Anger!C:D,2,0),"")</f>
        <v/>
      </c>
      <c r="F44" t="str">
        <f ca="1">IFERROR(VLOOKUP(D44&amp;"Eng",Anger!C:D,2,0),"")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IFERROR($C$1-1+_xlfn.RANK.EQ(B45,$B$4:$B$101)+COUNTIF(B$4:$B45,B45)-1,"")</f>
        <v/>
      </c>
      <c r="D45" s="1" t="str">
        <f ca="1">IFERROR(VLOOKUP(C45,Anger!A:B,2,0),"")</f>
        <v/>
      </c>
      <c r="E45" t="str">
        <f ca="1">IFERROR(VLOOKUP(D45&amp;"Viet",Anger!C:D,2,0),"")</f>
        <v/>
      </c>
      <c r="F45" t="str">
        <f ca="1">IFERROR(VLOOKUP(D45&amp;"Eng",Anger!C:D,2,0),"")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IFERROR($C$1-1+_xlfn.RANK.EQ(B46,$B$4:$B$101)+COUNTIF(B$4:$B46,B46)-1,"")</f>
        <v/>
      </c>
      <c r="D46" s="1" t="str">
        <f ca="1">IFERROR(VLOOKUP(C46,Anger!A:B,2,0),"")</f>
        <v/>
      </c>
      <c r="E46" t="str">
        <f ca="1">IFERROR(VLOOKUP(D46&amp;"Viet",Anger!C:D,2,0),"")</f>
        <v/>
      </c>
      <c r="F46" t="str">
        <f ca="1">IFERROR(VLOOKUP(D46&amp;"Eng",Anger!C:D,2,0),"")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IFERROR($C$1-1+_xlfn.RANK.EQ(B47,$B$4:$B$101)+COUNTIF(B$4:$B47,B47)-1,"")</f>
        <v/>
      </c>
      <c r="D47" s="1" t="str">
        <f ca="1">IFERROR(VLOOKUP(C47,Anger!A:B,2,0),"")</f>
        <v/>
      </c>
      <c r="E47" t="str">
        <f ca="1">IFERROR(VLOOKUP(D47&amp;"Viet",Anger!C:D,2,0),"")</f>
        <v/>
      </c>
      <c r="F47" t="str">
        <f ca="1">IFERROR(VLOOKUP(D47&amp;"Eng",Anger!C:D,2,0),"")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IFERROR($C$1-1+_xlfn.RANK.EQ(B48,$B$4:$B$101)+COUNTIF(B$4:$B48,B48)-1,"")</f>
        <v/>
      </c>
      <c r="D48" s="1" t="str">
        <f ca="1">IFERROR(VLOOKUP(C48,Anger!A:B,2,0),"")</f>
        <v/>
      </c>
      <c r="E48" t="str">
        <f ca="1">IFERROR(VLOOKUP(D48&amp;"Viet",Anger!C:D,2,0),"")</f>
        <v/>
      </c>
      <c r="F48" t="str">
        <f ca="1">IFERROR(VLOOKUP(D48&amp;"Eng",Anger!C:D,2,0),"")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IFERROR($C$1-1+_xlfn.RANK.EQ(B49,$B$4:$B$101)+COUNTIF(B$4:$B49,B49)-1,"")</f>
        <v/>
      </c>
      <c r="D49" s="1" t="str">
        <f ca="1">IFERROR(VLOOKUP(C49,Anger!A:B,2,0),"")</f>
        <v/>
      </c>
      <c r="E49" t="str">
        <f ca="1">IFERROR(VLOOKUP(D49&amp;"Viet",Anger!C:D,2,0),"")</f>
        <v/>
      </c>
      <c r="F49" t="str">
        <f ca="1">IFERROR(VLOOKUP(D49&amp;"Eng",Anger!C:D,2,0),"")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IFERROR($C$1-1+_xlfn.RANK.EQ(B50,$B$4:$B$101)+COUNTIF(B$4:$B50,B50)-1,"")</f>
        <v/>
      </c>
      <c r="D50" s="1" t="str">
        <f ca="1">IFERROR(VLOOKUP(C50,Anger!A:B,2,0),"")</f>
        <v/>
      </c>
      <c r="E50" t="str">
        <f ca="1">IFERROR(VLOOKUP(D50&amp;"Viet",Anger!C:D,2,0),"")</f>
        <v/>
      </c>
      <c r="F50" t="str">
        <f ca="1">IFERROR(VLOOKUP(D50&amp;"Eng",Anger!C:D,2,0),"")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IFERROR($C$1-1+_xlfn.RANK.EQ(B51,$B$4:$B$101)+COUNTIF(B$4:$B51,B51)-1,"")</f>
        <v/>
      </c>
      <c r="D51" s="1" t="str">
        <f ca="1">IFERROR(VLOOKUP(C51,Anger!A:B,2,0),"")</f>
        <v/>
      </c>
      <c r="E51" t="str">
        <f ca="1">IFERROR(VLOOKUP(D51&amp;"Viet",Anger!C:D,2,0),"")</f>
        <v/>
      </c>
      <c r="F51" t="str">
        <f ca="1">IFERROR(VLOOKUP(D51&amp;"Eng",Anger!C:D,2,0),"")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IFERROR($C$1-1+_xlfn.RANK.EQ(B52,$B$4:$B$101)+COUNTIF(B$4:$B52,B52)-1,"")</f>
        <v/>
      </c>
      <c r="D52" s="1" t="str">
        <f ca="1">IFERROR(VLOOKUP(C52,Anger!A:B,2,0),"")</f>
        <v/>
      </c>
      <c r="E52" t="str">
        <f ca="1">IFERROR(VLOOKUP(D52&amp;"Viet",Anger!C:D,2,0),"")</f>
        <v/>
      </c>
      <c r="F52" t="str">
        <f ca="1">IFERROR(VLOOKUP(D52&amp;"Eng",Anger!C:D,2,0),"")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IFERROR($C$1-1+_xlfn.RANK.EQ(B53,$B$4:$B$101)+COUNTIF(B$4:$B53,B53)-1,"")</f>
        <v/>
      </c>
      <c r="D53" s="1" t="str">
        <f ca="1">IFERROR(VLOOKUP(C53,Anger!A:B,2,0),"")</f>
        <v/>
      </c>
      <c r="E53" t="str">
        <f ca="1">IFERROR(VLOOKUP(D53&amp;"Viet",Anger!C:D,2,0),"")</f>
        <v/>
      </c>
      <c r="F53" t="str">
        <f ca="1">IFERROR(VLOOKUP(D53&amp;"Eng",Anger!C:D,2,0),"")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IFERROR($C$1-1+_xlfn.RANK.EQ(B54,$B$4:$B$101)+COUNTIF(B$4:$B54,B54)-1,"")</f>
        <v/>
      </c>
      <c r="D54" s="1" t="str">
        <f ca="1">IFERROR(VLOOKUP(C54,Anger!A:B,2,0),"")</f>
        <v/>
      </c>
      <c r="E54" t="str">
        <f ca="1">IFERROR(VLOOKUP(D54&amp;"Viet",Anger!C:D,2,0),"")</f>
        <v/>
      </c>
      <c r="F54" t="str">
        <f ca="1">IFERROR(VLOOKUP(D54&amp;"Eng",Anger!C:D,2,0),"")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IFERROR($C$1-1+_xlfn.RANK.EQ(B55,$B$4:$B$101)+COUNTIF(B$4:$B55,B55)-1,"")</f>
        <v/>
      </c>
      <c r="D55" s="1" t="str">
        <f ca="1">IFERROR(VLOOKUP(C55,Anger!A:B,2,0),"")</f>
        <v/>
      </c>
      <c r="E55" t="str">
        <f ca="1">IFERROR(VLOOKUP(D55&amp;"Viet",Anger!C:D,2,0),"")</f>
        <v/>
      </c>
      <c r="F55" t="str">
        <f ca="1">IFERROR(VLOOKUP(D55&amp;"Eng",Anger!C:D,2,0),"")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IFERROR($C$1-1+_xlfn.RANK.EQ(B56,$B$4:$B$101)+COUNTIF(B$4:$B56,B56)-1,"")</f>
        <v/>
      </c>
      <c r="D56" s="1" t="str">
        <f ca="1">IFERROR(VLOOKUP(C56,Anger!A:B,2,0),"")</f>
        <v/>
      </c>
      <c r="E56" t="str">
        <f ca="1">IFERROR(VLOOKUP(D56&amp;"Viet",Anger!C:D,2,0),"")</f>
        <v/>
      </c>
      <c r="F56" t="str">
        <f ca="1">IFERROR(VLOOKUP(D56&amp;"Eng",Anger!C:D,2,0),"")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IFERROR($C$1-1+_xlfn.RANK.EQ(B57,$B$4:$B$101)+COUNTIF(B$4:$B57,B57)-1,"")</f>
        <v/>
      </c>
      <c r="D57" s="1" t="str">
        <f ca="1">IFERROR(VLOOKUP(C57,Anger!A:B,2,0),"")</f>
        <v/>
      </c>
      <c r="E57" t="str">
        <f ca="1">IFERROR(VLOOKUP(D57&amp;"Viet",Anger!C:D,2,0),"")</f>
        <v/>
      </c>
      <c r="F57" t="str">
        <f ca="1">IFERROR(VLOOKUP(D57&amp;"Eng",Anger!C:D,2,0),"")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IFERROR($C$1-1+_xlfn.RANK.EQ(B58,$B$4:$B$101)+COUNTIF(B$4:$B58,B58)-1,"")</f>
        <v/>
      </c>
      <c r="D58" s="1" t="str">
        <f ca="1">IFERROR(VLOOKUP(C58,Anger!A:B,2,0),"")</f>
        <v/>
      </c>
      <c r="E58" t="str">
        <f ca="1">IFERROR(VLOOKUP(D58&amp;"Viet",Anger!C:D,2,0),"")</f>
        <v/>
      </c>
      <c r="F58" t="str">
        <f ca="1">IFERROR(VLOOKUP(D58&amp;"Eng",Anger!C:D,2,0),"")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IFERROR($C$1-1+_xlfn.RANK.EQ(B59,$B$4:$B$101)+COUNTIF(B$4:$B59,B59)-1,"")</f>
        <v/>
      </c>
      <c r="D59" s="1" t="str">
        <f ca="1">IFERROR(VLOOKUP(C59,Anger!A:B,2,0),"")</f>
        <v/>
      </c>
      <c r="E59" t="str">
        <f ca="1">IFERROR(VLOOKUP(D59&amp;"Viet",Anger!C:D,2,0),"")</f>
        <v/>
      </c>
      <c r="F59" t="str">
        <f ca="1">IFERROR(VLOOKUP(D59&amp;"Eng",Anger!C:D,2,0),"")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IFERROR($C$1-1+_xlfn.RANK.EQ(B60,$B$4:$B$101)+COUNTIF(B$4:$B60,B60)-1,"")</f>
        <v/>
      </c>
      <c r="D60" s="1" t="str">
        <f ca="1">IFERROR(VLOOKUP(C60,Anger!A:B,2,0),"")</f>
        <v/>
      </c>
      <c r="E60" t="str">
        <f ca="1">IFERROR(VLOOKUP(D60&amp;"Viet",Anger!C:D,2,0),"")</f>
        <v/>
      </c>
      <c r="F60" t="str">
        <f ca="1">IFERROR(VLOOKUP(D60&amp;"Eng",Anger!C:D,2,0),"")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IFERROR($C$1-1+_xlfn.RANK.EQ(B61,$B$4:$B$101)+COUNTIF(B$4:$B61,B61)-1,"")</f>
        <v/>
      </c>
      <c r="D61" s="1" t="str">
        <f ca="1">IFERROR(VLOOKUP(C61,Anger!A:B,2,0),"")</f>
        <v/>
      </c>
      <c r="E61" t="str">
        <f ca="1">IFERROR(VLOOKUP(D61&amp;"Viet",Anger!C:D,2,0),"")</f>
        <v/>
      </c>
      <c r="F61" t="str">
        <f ca="1">IFERROR(VLOOKUP(D61&amp;"Eng",Anger!C:D,2,0),"")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IFERROR($C$1-1+_xlfn.RANK.EQ(B62,$B$4:$B$101)+COUNTIF(B$4:$B62,B62)-1,"")</f>
        <v/>
      </c>
      <c r="D62" s="1" t="str">
        <f ca="1">IFERROR(VLOOKUP(C62,Anger!A:B,2,0),"")</f>
        <v/>
      </c>
      <c r="E62" t="str">
        <f ca="1">IFERROR(VLOOKUP(D62&amp;"Viet",Anger!C:D,2,0),"")</f>
        <v/>
      </c>
      <c r="F62" t="str">
        <f ca="1">IFERROR(VLOOKUP(D62&amp;"Eng",Anger!C:D,2,0),"")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IFERROR($C$1-1+_xlfn.RANK.EQ(B63,$B$4:$B$101)+COUNTIF(B$4:$B63,B63)-1,"")</f>
        <v/>
      </c>
      <c r="D63" s="1" t="str">
        <f ca="1">IFERROR(VLOOKUP(C63,Anger!A:B,2,0),"")</f>
        <v/>
      </c>
      <c r="E63" t="str">
        <f ca="1">IFERROR(VLOOKUP(D63&amp;"Viet",Anger!C:D,2,0),"")</f>
        <v/>
      </c>
      <c r="F63" t="str">
        <f ca="1">IFERROR(VLOOKUP(D63&amp;"Eng",Anger!C:D,2,0),"")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IFERROR($C$1-1+_xlfn.RANK.EQ(B64,$B$4:$B$101)+COUNTIF(B$4:$B64,B64)-1,"")</f>
        <v/>
      </c>
      <c r="D64" s="1" t="str">
        <f ca="1">IFERROR(VLOOKUP(C64,Anger!A:B,2,0),"")</f>
        <v/>
      </c>
      <c r="E64" t="str">
        <f ca="1">IFERROR(VLOOKUP(D64&amp;"Viet",Anger!C:D,2,0),"")</f>
        <v/>
      </c>
      <c r="F64" t="str">
        <f ca="1">IFERROR(VLOOKUP(D64&amp;"Eng",Anger!C:D,2,0),"")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IFERROR($C$1-1+_xlfn.RANK.EQ(B65,$B$4:$B$101)+COUNTIF(B$4:$B65,B65)-1,"")</f>
        <v/>
      </c>
      <c r="D65" s="1" t="str">
        <f ca="1">IFERROR(VLOOKUP(C65,Anger!A:B,2,0),"")</f>
        <v/>
      </c>
      <c r="E65" t="str">
        <f ca="1">IFERROR(VLOOKUP(D65&amp;"Viet",Anger!C:D,2,0),"")</f>
        <v/>
      </c>
      <c r="F65" t="str">
        <f ca="1">IFERROR(VLOOKUP(D65&amp;"Eng",Anger!C:D,2,0),"")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IFERROR($C$1-1+_xlfn.RANK.EQ(B66,$B$4:$B$101)+COUNTIF(B$4:$B66,B66)-1,"")</f>
        <v/>
      </c>
      <c r="D66" s="1" t="str">
        <f ca="1">IFERROR(VLOOKUP(C66,Anger!A:B,2,0),"")</f>
        <v/>
      </c>
      <c r="E66" t="str">
        <f ca="1">IFERROR(VLOOKUP(D66&amp;"Viet",Anger!C:D,2,0),"")</f>
        <v/>
      </c>
      <c r="F66" t="str">
        <f ca="1">IFERROR(VLOOKUP(D66&amp;"Eng",Anger!C:D,2,0),"")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IFERROR($C$1-1+_xlfn.RANK.EQ(B67,$B$4:$B$101)+COUNTIF(B$4:$B67,B67)-1,"")</f>
        <v/>
      </c>
      <c r="D67" s="1" t="str">
        <f ca="1">IFERROR(VLOOKUP(C67,Anger!A:B,2,0),"")</f>
        <v/>
      </c>
      <c r="E67" t="str">
        <f ca="1">IFERROR(VLOOKUP(D67&amp;"Viet",Anger!C:D,2,0),"")</f>
        <v/>
      </c>
      <c r="F67" t="str">
        <f ca="1">IFERROR(VLOOKUP(D67&amp;"Eng",Anger!C:D,2,0),"")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IFERROR($C$1-1+_xlfn.RANK.EQ(B68,$B$4:$B$101)+COUNTIF(B$4:$B68,B68)-1,"")</f>
        <v/>
      </c>
      <c r="D68" s="1" t="str">
        <f ca="1">IFERROR(VLOOKUP(C68,Anger!A:B,2,0),"")</f>
        <v/>
      </c>
      <c r="E68" t="str">
        <f ca="1">IFERROR(VLOOKUP(D68&amp;"Viet",Anger!C:D,2,0),"")</f>
        <v/>
      </c>
      <c r="F68" t="str">
        <f ca="1">IFERROR(VLOOKUP(D68&amp;"Eng",Anger!C:D,2,0),"")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IFERROR($C$1-1+_xlfn.RANK.EQ(B69,$B$4:$B$101)+COUNTIF(B$4:$B69,B69)-1,"")</f>
        <v/>
      </c>
      <c r="D69" s="1" t="str">
        <f ca="1">IFERROR(VLOOKUP(C69,Anger!A:B,2,0),"")</f>
        <v/>
      </c>
      <c r="E69" t="str">
        <f ca="1">IFERROR(VLOOKUP(D69&amp;"Viet",Anger!C:D,2,0),"")</f>
        <v/>
      </c>
      <c r="F69" t="str">
        <f ca="1">IFERROR(VLOOKUP(D69&amp;"Eng",Anger!C:D,2,0),"")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IFERROR($C$1-1+_xlfn.RANK.EQ(B70,$B$4:$B$101)+COUNTIF(B$4:$B70,B70)-1,"")</f>
        <v/>
      </c>
      <c r="D70" s="1" t="str">
        <f ca="1">IFERROR(VLOOKUP(C70,Anger!A:B,2,0),"")</f>
        <v/>
      </c>
      <c r="E70" t="str">
        <f ca="1">IFERROR(VLOOKUP(D70&amp;"Viet",Anger!C:D,2,0),"")</f>
        <v/>
      </c>
      <c r="F70" t="str">
        <f ca="1">IFERROR(VLOOKUP(D70&amp;"Eng",Anger!C:D,2,0),"")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IFERROR($C$1-1+_xlfn.RANK.EQ(B71,$B$4:$B$101)+COUNTIF(B$4:$B71,B71)-1,"")</f>
        <v/>
      </c>
      <c r="D71" s="1" t="str">
        <f ca="1">IFERROR(VLOOKUP(C71,Anger!A:B,2,0),"")</f>
        <v/>
      </c>
      <c r="E71" t="str">
        <f ca="1">IFERROR(VLOOKUP(D71&amp;"Viet",Anger!C:D,2,0),"")</f>
        <v/>
      </c>
      <c r="F71" t="str">
        <f ca="1">IFERROR(VLOOKUP(D71&amp;"Eng",Anger!C:D,2,0),"")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IFERROR($C$1-1+_xlfn.RANK.EQ(B72,$B$4:$B$101)+COUNTIF(B$4:$B72,B72)-1,"")</f>
        <v/>
      </c>
      <c r="D72" s="1" t="str">
        <f ca="1">IFERROR(VLOOKUP(C72,Anger!A:B,2,0),"")</f>
        <v/>
      </c>
      <c r="E72" t="str">
        <f ca="1">IFERROR(VLOOKUP(D72&amp;"Viet",Anger!C:D,2,0),"")</f>
        <v/>
      </c>
      <c r="F72" t="str">
        <f ca="1">IFERROR(VLOOKUP(D72&amp;"Eng",Anger!C:D,2,0),"")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IFERROR($C$1-1+_xlfn.RANK.EQ(B73,$B$4:$B$101)+COUNTIF(B$4:$B73,B73)-1,"")</f>
        <v/>
      </c>
      <c r="D73" s="1" t="str">
        <f ca="1">IFERROR(VLOOKUP(C73,Anger!A:B,2,0),"")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IFERROR($C$1-1+_xlfn.RANK.EQ(B74,$B$4:$B$101)+COUNTIF(B$4:$B74,B74)-1,"")</f>
        <v/>
      </c>
      <c r="D74" s="1" t="str">
        <f ca="1">IFERROR(VLOOKUP(C74,Anger!A:B,2,0),"")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IFERROR($C$1-1+_xlfn.RANK.EQ(B75,$B$4:$B$101)+COUNTIF(B$4:$B75,B75)-1,"")</f>
        <v/>
      </c>
      <c r="D75" s="1" t="str">
        <f ca="1">IFERROR(VLOOKUP(C75,Anger!A:B,2,0),"")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IFERROR($C$1-1+_xlfn.RANK.EQ(B76,$B$4:$B$101)+COUNTIF(B$4:$B76,B76)-1,"")</f>
        <v/>
      </c>
      <c r="D76" s="1" t="str">
        <f ca="1">IFERROR(VLOOKUP(C76,Anger!A:B,2,0),"")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IFERROR($C$1-1+_xlfn.RANK.EQ(B77,$B$4:$B$101)+COUNTIF(B$4:$B77,B77)-1,"")</f>
        <v/>
      </c>
      <c r="D77" s="1" t="str">
        <f ca="1">IFERROR(VLOOKUP(C77,Anger!A:B,2,0),"")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IFERROR($C$1-1+_xlfn.RANK.EQ(B78,$B$4:$B$101)+COUNTIF(B$4:$B78,B78)-1,"")</f>
        <v/>
      </c>
      <c r="D78" s="1" t="str">
        <f ca="1">IFERROR(VLOOKUP(C78,Anger!A:B,2,0),"")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IFERROR($C$1-1+_xlfn.RANK.EQ(B79,$B$4:$B$101)+COUNTIF(B$4:$B79,B79)-1,"")</f>
        <v/>
      </c>
      <c r="D79" s="1" t="str">
        <f ca="1">IFERROR(VLOOKUP(C79,Anger!A:B,2,0),"")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IFERROR($C$1-1+_xlfn.RANK.EQ(B80,$B$4:$B$101)+COUNTIF(B$4:$B80,B80)-1,"")</f>
        <v/>
      </c>
      <c r="D80" s="1" t="str">
        <f ca="1">IFERROR(VLOOKUP(C80,Anger!A:B,2,0),"")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IFERROR($C$1-1+_xlfn.RANK.EQ(B81,$B$4:$B$101)+COUNTIF(B$4:$B81,B81)-1,"")</f>
        <v/>
      </c>
      <c r="D81" s="1" t="str">
        <f ca="1">IFERROR(VLOOKUP(C81,Anger!A:B,2,0),"")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IFERROR($C$1-1+_xlfn.RANK.EQ(B82,$B$4:$B$101)+COUNTIF(B$4:$B82,B82)-1,"")</f>
        <v/>
      </c>
      <c r="D82" s="1" t="str">
        <f ca="1">IFERROR(VLOOKUP(C82,Anger!A:B,2,0),"")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IFERROR($C$1-1+_xlfn.RANK.EQ(B83,$B$4:$B$101)+COUNTIF(B$4:$B83,B83)-1,"")</f>
        <v/>
      </c>
      <c r="D83" s="1" t="str">
        <f ca="1">IFERROR(VLOOKUP(C83,Anger!A:B,2,0),"")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IFERROR($C$1-1+_xlfn.RANK.EQ(B84,$B$4:$B$101)+COUNTIF(B$4:$B84,B84)-1,"")</f>
        <v/>
      </c>
      <c r="D84" s="1" t="str">
        <f ca="1">IFERROR(VLOOKUP(C84,Anger!A:B,2,0),"")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IFERROR($C$1-1+_xlfn.RANK.EQ(B85,$B$4:$B$101)+COUNTIF(B$4:$B85,B85)-1,"")</f>
        <v/>
      </c>
      <c r="D85" s="1" t="str">
        <f ca="1">IFERROR(VLOOKUP(C85,Anger!A:B,2,0),"")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IFERROR($C$1-1+_xlfn.RANK.EQ(B86,$B$4:$B$101)+COUNTIF(B$4:$B86,B86)-1,"")</f>
        <v/>
      </c>
      <c r="D86" s="1" t="str">
        <f ca="1">IFERROR(VLOOKUP(C86,Anger!A:B,2,0),"")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IFERROR($C$1-1+_xlfn.RANK.EQ(B87,$B$4:$B$101)+COUNTIF(B$4:$B87,B87)-1,"")</f>
        <v/>
      </c>
      <c r="D87" s="1" t="str">
        <f ca="1">IFERROR(VLOOKUP(C87,Anger!A:B,2,0),"")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IFERROR($C$1-1+_xlfn.RANK.EQ(B88,$B$4:$B$101)+COUNTIF(B$4:$B88,B88)-1,"")</f>
        <v/>
      </c>
      <c r="D88" s="1" t="str">
        <f ca="1">IFERROR(VLOOKUP(C88,Anger!A:B,2,0),"")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IFERROR($C$1-1+_xlfn.RANK.EQ(B89,$B$4:$B$101)+COUNTIF(B$4:$B89,B89)-1,"")</f>
        <v/>
      </c>
      <c r="D89" s="1" t="str">
        <f ca="1">IFERROR(VLOOKUP(C89,Anger!A:B,2,0),"")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IFERROR($C$1-1+_xlfn.RANK.EQ(B90,$B$4:$B$101)+COUNTIF(B$4:$B90,B90)-1,"")</f>
        <v/>
      </c>
      <c r="D90" s="1" t="str">
        <f ca="1">IFERROR(VLOOKUP(C90,Anger!A:B,2,0),"")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IFERROR($C$1-1+_xlfn.RANK.EQ(B91,$B$4:$B$101)+COUNTIF(B$4:$B91,B91)-1,"")</f>
        <v/>
      </c>
      <c r="D91" s="1" t="str">
        <f ca="1">IFERROR(VLOOKUP(C91,Anger!A:B,2,0),"")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IFERROR($C$1-1+_xlfn.RANK.EQ(B92,$B$4:$B$101)+COUNTIF(B$4:$B92,B92)-1,"")</f>
        <v/>
      </c>
      <c r="D92" s="1" t="str">
        <f ca="1">IFERROR(VLOOKUP(C92,Anger!A:B,2,0),"")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IFERROR($C$1-1+_xlfn.RANK.EQ(B93,$B$4:$B$101)+COUNTIF(B$4:$B93,B93)-1,"")</f>
        <v/>
      </c>
      <c r="D93" s="1" t="str">
        <f ca="1">IFERROR(VLOOKUP(C93,Anger!A:B,2,0),"")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IFERROR($C$1-1+_xlfn.RANK.EQ(B94,$B$4:$B$101)+COUNTIF(B$4:$B94,B94)-1,"")</f>
        <v/>
      </c>
      <c r="D94" s="1" t="str">
        <f ca="1">IFERROR(VLOOKUP(C94,Anger!A:B,2,0),"")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IFERROR($C$1-1+_xlfn.RANK.EQ(B95,$B$4:$B$101)+COUNTIF(B$4:$B95,B95)-1,"")</f>
        <v/>
      </c>
      <c r="D95" s="1" t="str">
        <f ca="1">IFERROR(VLOOKUP(C95,Anger!A:B,2,0),"")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IFERROR($C$1-1+_xlfn.RANK.EQ(B96,$B$4:$B$101)+COUNTIF(B$4:$B96,B96)-1,"")</f>
        <v/>
      </c>
      <c r="D96" s="1" t="str">
        <f ca="1">IFERROR(VLOOKUP(C96,Anger!A:B,2,0),"")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IFERROR($C$1-1+_xlfn.RANK.EQ(B97,$B$4:$B$101)+COUNTIF(B$4:$B97,B97)-1,"")</f>
        <v/>
      </c>
      <c r="D97" s="1" t="str">
        <f ca="1">IFERROR(VLOOKUP(C97,Anger!A:B,2,0),"")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IFERROR($C$1-1+_xlfn.RANK.EQ(B98,$B$4:$B$101)+COUNTIF(B$4:$B98,B98)-1,"")</f>
        <v/>
      </c>
      <c r="D98" s="1" t="str">
        <f ca="1">IFERROR(VLOOKUP(C98,Anger!A:B,2,0),"")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IFERROR($C$1-1+_xlfn.RANK.EQ(B99,$B$4:$B$101)+COUNTIF(B$4:$B99,B99)-1,"")</f>
        <v/>
      </c>
      <c r="D99" s="1" t="str">
        <f ca="1">IFERROR(VLOOKUP(C99,Anger!A:B,2,0),"")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IFERROR($C$1-1+_xlfn.RANK.EQ(B100,$B$4:$B$101)+COUNTIF(B$4:$B100,B100)-1,"")</f>
        <v/>
      </c>
      <c r="D100" s="1" t="str">
        <f ca="1">IFERROR(VLOOKUP(C100,Anger!A:B,2,0),"")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IFERROR($C$1-1+_xlfn.RANK.EQ(B101,$B$4:$B$101)+COUNTIF(B$4:$B101,B101)-1,"")</f>
        <v/>
      </c>
      <c r="D101" s="1" t="str">
        <f ca="1">IFERROR(VLOOKUP(C101,Anger!A:B,2,0),"")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IFERROR($C$1-1+_xlfn.RANK.EQ(B102,$B$4:$B$101)+COUNTIF(B$4:$B102,B102)-1,"")</f>
        <v/>
      </c>
      <c r="D102" s="1" t="str">
        <f ca="1">IFERROR(VLOOKUP(C102,Anger!A:B,2,0),"")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IFERROR($C$1-1+_xlfn.RANK.EQ(B103,$B$4:$B$101)+COUNTIF(B$4:$B103,B103)-1,"")</f>
        <v/>
      </c>
      <c r="D103" s="1" t="str">
        <f ca="1">IFERROR(VLOOKUP(C103,Anger!A:B,2,0),"")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IFERROR($C$1-1+_xlfn.RANK.EQ(B104,$B$4:$B$101)+COUNTIF(B$4:$B104,B104)-1,"")</f>
        <v/>
      </c>
      <c r="D104" s="1" t="str">
        <f ca="1">IFERROR(VLOOKUP(C104,Anger!A:B,2,0),"")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IFERROR($C$1-1+_xlfn.RANK.EQ(B105,$B$4:$B$101)+COUNTIF(B$4:$B105,B105)-1,"")</f>
        <v/>
      </c>
      <c r="D105" s="1" t="str">
        <f ca="1">IFERROR(VLOOKUP(C105,Anger!A:B,2,0),"")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IFERROR($C$1-1+_xlfn.RANK.EQ(B106,$B$4:$B$101)+COUNTIF(B$4:$B106,B106)-1,"")</f>
        <v/>
      </c>
      <c r="D106" s="1" t="str">
        <f ca="1">IFERROR(VLOOKUP(C106,Anger!A:B,2,0),"")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IFERROR($C$1-1+_xlfn.RANK.EQ(B107,$B$4:$B$101)+COUNTIF(B$4:$B107,B107)-1,"")</f>
        <v/>
      </c>
      <c r="D107" s="1" t="str">
        <f ca="1">IFERROR(VLOOKUP(C107,Anger!A:B,2,0),"")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IFERROR($C$1-1+_xlfn.RANK.EQ(B108,$B$4:$B$101)+COUNTIF(B$4:$B108,B108)-1,"")</f>
        <v/>
      </c>
      <c r="D108" s="1" t="str">
        <f ca="1">IFERROR(VLOOKUP(C108,Anger!A:B,2,0),"")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IFERROR($C$1-1+_xlfn.RANK.EQ(B109,$B$4:$B$101)+COUNTIF(B$4:$B109,B109)-1,"")</f>
        <v/>
      </c>
      <c r="D109" s="1" t="str">
        <f ca="1">IFERROR(VLOOKUP(C109,Anger!A:B,2,0),"")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IFERROR($C$1-1+_xlfn.RANK.EQ(B110,$B$4:$B$101)+COUNTIF(B$4:$B110,B110)-1,"")</f>
        <v/>
      </c>
      <c r="D110" s="1" t="str">
        <f ca="1">IFERROR(VLOOKUP(C110,Anger!A:B,2,0),"")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IFERROR($C$1-1+_xlfn.RANK.EQ(B111,$B$4:$B$101)+COUNTIF(B$4:$B111,B111)-1,"")</f>
        <v/>
      </c>
      <c r="D111" s="1" t="str">
        <f ca="1">IFERROR(VLOOKUP(C111,Anger!A:B,2,0),"")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IFERROR($C$1-1+_xlfn.RANK.EQ(B112,$B$4:$B$101)+COUNTIF(B$4:$B112,B112)-1,"")</f>
        <v/>
      </c>
      <c r="D112" s="1" t="str">
        <f ca="1">IFERROR(VLOOKUP(C112,Anger!A:B,2,0),"")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IFERROR($C$1-1+_xlfn.RANK.EQ(B113,$B$4:$B$101)+COUNTIF(B$4:$B113,B113)-1,"")</f>
        <v/>
      </c>
      <c r="D113" s="1" t="str">
        <f ca="1">IFERROR(VLOOKUP(C113,Anger!A:B,2,0),"")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IFERROR($C$1-1+_xlfn.RANK.EQ(B114,$B$4:$B$101)+COUNTIF(B$4:$B114,B114)-1,"")</f>
        <v/>
      </c>
      <c r="D114" s="1" t="str">
        <f ca="1">IFERROR(VLOOKUP(C114,Anger!A:B,2,0),"")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IFERROR($C$1-1+_xlfn.RANK.EQ(B115,$B$4:$B$101)+COUNTIF(B$4:$B115,B115)-1,"")</f>
        <v/>
      </c>
      <c r="D115" s="1" t="str">
        <f ca="1">IFERROR(VLOOKUP(C115,Anger!A:B,2,0),"")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IFERROR($C$1-1+_xlfn.RANK.EQ(B116,$B$4:$B$101)+COUNTIF(B$4:$B116,B116)-1,"")</f>
        <v/>
      </c>
      <c r="D116" s="1" t="str">
        <f ca="1">IFERROR(VLOOKUP(C116,Anger!A:B,2,0),"")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IFERROR($C$1-1+_xlfn.RANK.EQ(B117,$B$4:$B$101)+COUNTIF(B$4:$B117,B117)-1,"")</f>
        <v/>
      </c>
      <c r="D117" s="1" t="str">
        <f ca="1">IFERROR(VLOOKUP(C117,Anger!A:B,2,0),"")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IFERROR($C$1-1+_xlfn.RANK.EQ(B118,$B$4:$B$101)+COUNTIF(B$4:$B118,B118)-1,"")</f>
        <v/>
      </c>
      <c r="D118" s="1" t="str">
        <f ca="1">IFERROR(VLOOKUP(C118,Anger!A:B,2,0),"")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IFERROR($C$1-1+_xlfn.RANK.EQ(B119,$B$4:$B$101)+COUNTIF(B$4:$B119,B119)-1,"")</f>
        <v/>
      </c>
      <c r="D119" s="1" t="str">
        <f ca="1">IFERROR(VLOOKUP(C119,Anger!A:B,2,0),"")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IFERROR($C$1-1+_xlfn.RANK.EQ(B120,$B$4:$B$101)+COUNTIF(B$4:$B120,B120)-1,"")</f>
        <v/>
      </c>
      <c r="D120" s="1" t="str">
        <f ca="1">IFERROR(VLOOKUP(C120,Anger!A:B,2,0),"")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IFERROR($C$1-1+_xlfn.RANK.EQ(B121,$B$4:$B$101)+COUNTIF(B$4:$B121,B121)-1,"")</f>
        <v/>
      </c>
      <c r="D121" s="1" t="str">
        <f ca="1">IFERROR(VLOOKUP(C121,Anger!A:B,2,0),"")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IFERROR($C$1-1+_xlfn.RANK.EQ(B122,$B$4:$B$101)+COUNTIF(B$4:$B122,B122)-1,"")</f>
        <v/>
      </c>
      <c r="D122" s="1" t="str">
        <f ca="1">IFERROR(VLOOKUP(C122,Anger!A:B,2,0),"")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IFERROR($C$1-1+_xlfn.RANK.EQ(B123,$B$4:$B$101)+COUNTIF(B$4:$B123,B123)-1,"")</f>
        <v/>
      </c>
      <c r="D123" s="1" t="str">
        <f ca="1">IFERROR(VLOOKUP(C123,Anger!A:B,2,0),"")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IFERROR($C$1-1+_xlfn.RANK.EQ(B124,$B$4:$B$101)+COUNTIF(B$4:$B124,B124)-1,"")</f>
        <v/>
      </c>
      <c r="D124" s="1" t="str">
        <f ca="1">IFERROR(VLOOKUP(C124,Anger!A:B,2,0),"")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IFERROR($C$1-1+_xlfn.RANK.EQ(B125,$B$4:$B$101)+COUNTIF(B$4:$B125,B125)-1,"")</f>
        <v/>
      </c>
      <c r="D125" s="1" t="str">
        <f ca="1">IFERROR(VLOOKUP(C125,Anger!A:B,2,0),"")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IFERROR($C$1-1+_xlfn.RANK.EQ(B126,$B$4:$B$101)+COUNTIF(B$4:$B126,B126)-1,"")</f>
        <v/>
      </c>
      <c r="D126" s="1" t="str">
        <f ca="1">IFERROR(VLOOKUP(C126,Anger!A:B,2,0),"")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IFERROR($C$1-1+_xlfn.RANK.EQ(B127,$B$4:$B$101)+COUNTIF(B$4:$B127,B127)-1,"")</f>
        <v/>
      </c>
      <c r="D127" s="1" t="str">
        <f ca="1">IFERROR(VLOOKUP(C127,Anger!A:B,2,0),"")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IFERROR($C$1-1+_xlfn.RANK.EQ(B128,$B$4:$B$101)+COUNTIF(B$4:$B128,B128)-1,"")</f>
        <v/>
      </c>
      <c r="D128" s="1" t="str">
        <f ca="1">IFERROR(VLOOKUP(C128,Anger!A:B,2,0),"")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IFERROR($C$1-1+_xlfn.RANK.EQ(B129,$B$4:$B$101)+COUNTIF(B$4:$B129,B129)-1,"")</f>
        <v/>
      </c>
      <c r="D129" s="1" t="str">
        <f ca="1">IFERROR(VLOOKUP(C129,Anger!A:B,2,0),"")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IFERROR($C$1-1+_xlfn.RANK.EQ(B130,$B$4:$B$101)+COUNTIF(B$4:$B130,B130)-1,"")</f>
        <v/>
      </c>
      <c r="D130" s="1" t="str">
        <f ca="1">IFERROR(VLOOKUP(C130,Anger!A:B,2,0),"")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IFERROR($C$1-1+_xlfn.RANK.EQ(B131,$B$4:$B$101)+COUNTIF(B$4:$B131,B131)-1,"")</f>
        <v/>
      </c>
      <c r="D131" s="1" t="str">
        <f ca="1">IFERROR(VLOOKUP(C131,Anger!A:B,2,0),"")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IFERROR($C$1-1+_xlfn.RANK.EQ(B132,$B$4:$B$101)+COUNTIF(B$4:$B132,B132)-1,"")</f>
        <v/>
      </c>
      <c r="D132" s="1" t="str">
        <f ca="1">IFERROR(VLOOKUP(C132,Anger!A:B,2,0),"")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IFERROR($C$1-1+_xlfn.RANK.EQ(B133,$B$4:$B$101)+COUNTIF(B$4:$B133,B133)-1,"")</f>
        <v/>
      </c>
      <c r="D133" s="1" t="str">
        <f ca="1">IFERROR(VLOOKUP(C133,Anger!A:B,2,0),"")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IFERROR($C$1-1+_xlfn.RANK.EQ(B134,$B$4:$B$101)+COUNTIF(B$4:$B134,B134)-1,"")</f>
        <v/>
      </c>
      <c r="D134" s="1" t="str">
        <f ca="1">IFERROR(VLOOKUP(C134,Anger!A:B,2,0),"")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IFERROR($C$1-1+_xlfn.RANK.EQ(B135,$B$4:$B$101)+COUNTIF(B$4:$B135,B135)-1,"")</f>
        <v/>
      </c>
      <c r="D135" s="1" t="str">
        <f ca="1">IFERROR(VLOOKUP(C135,Anger!A:B,2,0),"")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IFERROR($C$1-1+_xlfn.RANK.EQ(B136,$B$4:$B$101)+COUNTIF(B$4:$B136,B136)-1,"")</f>
        <v/>
      </c>
      <c r="D136" s="1" t="str">
        <f ca="1">IFERROR(VLOOKUP(C136,Anger!A:B,2,0),"")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IFERROR($C$1-1+_xlfn.RANK.EQ(B137,$B$4:$B$101)+COUNTIF(B$4:$B137,B137)-1,"")</f>
        <v/>
      </c>
      <c r="D137" s="1" t="str">
        <f ca="1">IFERROR(VLOOKUP(C137,Anger!A:B,2,0),"")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IFERROR($C$1-1+_xlfn.RANK.EQ(B138,$B$4:$B$101)+COUNTIF(B$4:$B138,B138)-1,"")</f>
        <v/>
      </c>
      <c r="D138" s="1" t="str">
        <f ca="1">IFERROR(VLOOKUP(C138,Anger!A:B,2,0),"")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IFERROR($C$1-1+_xlfn.RANK.EQ(B139,$B$4:$B$101)+COUNTIF(B$4:$B139,B139)-1,"")</f>
        <v/>
      </c>
      <c r="D139" s="1" t="str">
        <f ca="1">IFERROR(VLOOKUP(C139,Anger!A:B,2,0),"")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IFERROR($C$1-1+_xlfn.RANK.EQ(B140,$B$4:$B$101)+COUNTIF(B$4:$B140,B140)-1,"")</f>
        <v/>
      </c>
      <c r="D140" s="1" t="str">
        <f ca="1">IFERROR(VLOOKUP(C140,Anger!A:B,2,0),"")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IFERROR($C$1-1+_xlfn.RANK.EQ(B141,$B$4:$B$101)+COUNTIF(B$4:$B141,B141)-1,"")</f>
        <v/>
      </c>
      <c r="D141" s="1" t="str">
        <f ca="1">IFERROR(VLOOKUP(C141,Anger!A:B,2,0),"")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IFERROR($C$1-1+_xlfn.RANK.EQ(B142,$B$4:$B$101)+COUNTIF(B$4:$B142,B142)-1,"")</f>
        <v/>
      </c>
      <c r="D142" s="1" t="str">
        <f ca="1">IFERROR(VLOOKUP(C142,Anger!A:B,2,0),"")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A1"/>
  <sheetViews>
    <sheetView topLeftCell="A72" zoomScale="96" zoomScaleNormal="96" workbookViewId="0">
      <selection activeCell="E72" sqref="A1:E1048576"/>
    </sheetView>
  </sheetViews>
  <sheetFormatPr defaultRowHeight="13.8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Anger</vt:lpstr>
      <vt:lpstr>Viet</vt:lpstr>
      <vt:lpstr>Sum</vt:lpstr>
      <vt:lpstr>Ramdom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2023-07-08T13:12:18Z</dcterms:modified>
</cp:coreProperties>
</file>