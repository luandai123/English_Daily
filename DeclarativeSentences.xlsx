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glish\DECO13\Declarative sentences\"/>
    </mc:Choice>
  </mc:AlternateContent>
  <xr:revisionPtr revIDLastSave="0" documentId="13_ncr:1_{8D0BB240-11AF-4F12-839D-5ECA364E6B6C}" xr6:coauthVersionLast="47" xr6:coauthVersionMax="47" xr10:uidLastSave="{00000000-0000-0000-0000-000000000000}"/>
  <bookViews>
    <workbookView xWindow="-108" yWindow="-108" windowWidth="23256" windowHeight="12456" tabRatio="634" xr2:uid="{719E5D2F-C632-4960-9266-638D7C9B24E2}"/>
  </bookViews>
  <sheets>
    <sheet name="Declarative sentences" sheetId="1" r:id="rId1"/>
    <sheet name="Viet" sheetId="5" r:id="rId2"/>
    <sheet name="Sum" sheetId="6" r:id="rId3"/>
    <sheet name="Ramdom" sheetId="2" r:id="rId4"/>
    <sheet name="Sheet1" sheetId="7" r:id="rId5"/>
    <sheet name="Sheet2" sheetId="10" r:id="rId6"/>
  </sheets>
  <definedNames>
    <definedName name="_xlnm._FilterDatabase" localSheetId="0" hidden="1">'Declarative sentences'!$A$3:$H$415</definedName>
    <definedName name="_xlnm._FilterDatabase" localSheetId="3" hidden="1">Ramdom!$B$3:$F$295</definedName>
    <definedName name="_xlnm._FilterDatabase" localSheetId="4" hidden="1">Sheet1!$A$1:$E$413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3" i="7" l="1"/>
  <c r="E412" i="7"/>
  <c r="E410" i="7"/>
  <c r="E409" i="7"/>
  <c r="E407" i="7"/>
  <c r="E406" i="7"/>
  <c r="E404" i="7"/>
  <c r="E403" i="7"/>
  <c r="E402" i="7"/>
  <c r="E400" i="7"/>
  <c r="E399" i="7"/>
  <c r="E397" i="7"/>
  <c r="E396" i="7"/>
  <c r="E394" i="7"/>
  <c r="E393" i="7"/>
  <c r="E391" i="7"/>
  <c r="E390" i="7"/>
  <c r="E388" i="7"/>
  <c r="E387" i="7"/>
  <c r="E385" i="7"/>
  <c r="E384" i="7"/>
  <c r="E382" i="7"/>
  <c r="E381" i="7"/>
  <c r="E380" i="7"/>
  <c r="E378" i="7"/>
  <c r="E377" i="7"/>
  <c r="E375" i="7"/>
  <c r="E374" i="7"/>
  <c r="E372" i="7"/>
  <c r="E371" i="7"/>
  <c r="E369" i="7"/>
  <c r="E368" i="7"/>
  <c r="E366" i="7"/>
  <c r="E365" i="7"/>
  <c r="E363" i="7"/>
  <c r="E362" i="7"/>
  <c r="E360" i="7"/>
  <c r="E359" i="7"/>
  <c r="E358" i="7"/>
  <c r="E356" i="7"/>
  <c r="E355" i="7"/>
  <c r="E353" i="7"/>
  <c r="E352" i="7"/>
  <c r="E350" i="7"/>
  <c r="E349" i="7"/>
  <c r="E347" i="7"/>
  <c r="E346" i="7"/>
  <c r="E344" i="7"/>
  <c r="E343" i="7"/>
  <c r="E341" i="7"/>
  <c r="E340" i="7"/>
  <c r="E338" i="7"/>
  <c r="E337" i="7"/>
  <c r="E335" i="7"/>
  <c r="E334" i="7"/>
  <c r="E332" i="7"/>
  <c r="E331" i="7"/>
  <c r="E330" i="7"/>
  <c r="E328" i="7"/>
  <c r="E327" i="7"/>
  <c r="E325" i="7"/>
  <c r="E324" i="7"/>
  <c r="E322" i="7"/>
  <c r="E321" i="7"/>
  <c r="E319" i="7"/>
  <c r="E318" i="7"/>
  <c r="E317" i="7"/>
  <c r="E315" i="7"/>
  <c r="E314" i="7"/>
  <c r="E312" i="7"/>
  <c r="E311" i="7"/>
  <c r="E309" i="7"/>
  <c r="E308" i="7"/>
  <c r="E306" i="7"/>
  <c r="E305" i="7"/>
  <c r="E303" i="7"/>
  <c r="E302" i="7"/>
  <c r="E301" i="7"/>
  <c r="E299" i="7"/>
  <c r="E298" i="7"/>
  <c r="E296" i="7"/>
  <c r="E295" i="7"/>
  <c r="E293" i="7"/>
  <c r="E292" i="7"/>
  <c r="E290" i="7"/>
  <c r="E289" i="7"/>
  <c r="E287" i="7"/>
  <c r="E286" i="7"/>
  <c r="E284" i="7"/>
  <c r="E283" i="7"/>
  <c r="E282" i="7"/>
  <c r="E280" i="7"/>
  <c r="E279" i="7"/>
  <c r="E277" i="7"/>
  <c r="E276" i="7"/>
  <c r="E274" i="7"/>
  <c r="E273" i="7"/>
  <c r="E271" i="7"/>
  <c r="E270" i="7"/>
  <c r="E268" i="7"/>
  <c r="E267" i="7"/>
  <c r="E265" i="7"/>
  <c r="E264" i="7"/>
  <c r="E262" i="7"/>
  <c r="E261" i="7"/>
  <c r="E259" i="7"/>
  <c r="E258" i="7"/>
  <c r="E257" i="7"/>
  <c r="E255" i="7"/>
  <c r="E254" i="7"/>
  <c r="E252" i="7"/>
  <c r="E251" i="7"/>
  <c r="E249" i="7"/>
  <c r="E248" i="7"/>
  <c r="E246" i="7"/>
  <c r="E245" i="7"/>
  <c r="E243" i="7"/>
  <c r="E242" i="7"/>
  <c r="E240" i="7"/>
  <c r="E239" i="7"/>
  <c r="E237" i="7"/>
  <c r="E236" i="7"/>
  <c r="E234" i="7"/>
  <c r="E233" i="7"/>
  <c r="E232" i="7"/>
  <c r="E230" i="7"/>
  <c r="E229" i="7"/>
  <c r="E227" i="7"/>
  <c r="E226" i="7"/>
  <c r="E224" i="7"/>
  <c r="E223" i="7"/>
  <c r="E221" i="7"/>
  <c r="E220" i="7"/>
  <c r="E218" i="7"/>
  <c r="E217" i="7"/>
  <c r="E215" i="7"/>
  <c r="E214" i="7"/>
  <c r="E212" i="7"/>
  <c r="E211" i="7"/>
  <c r="E209" i="7"/>
  <c r="E208" i="7"/>
  <c r="E207" i="7"/>
  <c r="E205" i="7"/>
  <c r="E204" i="7"/>
  <c r="E202" i="7"/>
  <c r="E201" i="7"/>
  <c r="E199" i="7"/>
  <c r="E198" i="7"/>
  <c r="E196" i="7"/>
  <c r="E195" i="7"/>
  <c r="E194" i="7"/>
  <c r="E192" i="7"/>
  <c r="E191" i="7"/>
  <c r="E189" i="7"/>
  <c r="E188" i="7"/>
  <c r="E186" i="7"/>
  <c r="E185" i="7"/>
  <c r="E183" i="7"/>
  <c r="E182" i="7"/>
  <c r="E180" i="7"/>
  <c r="E179" i="7"/>
  <c r="E177" i="7"/>
  <c r="E176" i="7"/>
  <c r="E174" i="7"/>
  <c r="E173" i="7"/>
  <c r="E171" i="7"/>
  <c r="E170" i="7"/>
  <c r="E169" i="7"/>
  <c r="E167" i="7"/>
  <c r="E166" i="7"/>
  <c r="E164" i="7"/>
  <c r="E163" i="7"/>
  <c r="E161" i="7"/>
  <c r="E160" i="7"/>
  <c r="E158" i="7"/>
  <c r="E157" i="7"/>
  <c r="E155" i="7"/>
  <c r="E154" i="7"/>
  <c r="E152" i="7"/>
  <c r="E151" i="7"/>
  <c r="E149" i="7"/>
  <c r="E148" i="7"/>
  <c r="E146" i="7"/>
  <c r="E145" i="7"/>
  <c r="E144" i="7"/>
  <c r="E142" i="7"/>
  <c r="E141" i="7"/>
  <c r="E139" i="7"/>
  <c r="E138" i="7"/>
  <c r="E136" i="7"/>
  <c r="E135" i="7"/>
  <c r="E133" i="7"/>
  <c r="E132" i="7"/>
  <c r="E130" i="7"/>
  <c r="E129" i="7"/>
  <c r="E127" i="7"/>
  <c r="E126" i="7"/>
  <c r="E124" i="7"/>
  <c r="E123" i="7"/>
  <c r="E121" i="7"/>
  <c r="E120" i="7"/>
  <c r="E118" i="7"/>
  <c r="E117" i="7"/>
  <c r="E116" i="7"/>
  <c r="E114" i="7"/>
  <c r="E113" i="7"/>
  <c r="E111" i="7"/>
  <c r="E110" i="7"/>
  <c r="E108" i="7"/>
  <c r="E107" i="7"/>
  <c r="E105" i="7"/>
  <c r="E104" i="7"/>
  <c r="E103" i="7"/>
  <c r="E101" i="7"/>
  <c r="E100" i="7"/>
  <c r="E98" i="7"/>
  <c r="E97" i="7"/>
  <c r="E95" i="7"/>
  <c r="E94" i="7"/>
  <c r="E92" i="7"/>
  <c r="E91" i="7"/>
  <c r="E89" i="7"/>
  <c r="E88" i="7"/>
  <c r="E86" i="7"/>
  <c r="E85" i="7"/>
  <c r="E83" i="7"/>
  <c r="E82" i="7"/>
  <c r="E81" i="7"/>
  <c r="E79" i="7"/>
  <c r="E78" i="7"/>
  <c r="E76" i="7"/>
  <c r="E75" i="7"/>
  <c r="E73" i="7"/>
  <c r="E72" i="7"/>
  <c r="E70" i="7"/>
  <c r="E69" i="7"/>
  <c r="E67" i="7"/>
  <c r="E66" i="7"/>
  <c r="E64" i="7"/>
  <c r="E63" i="7"/>
  <c r="E61" i="7"/>
  <c r="E60" i="7"/>
  <c r="E58" i="7"/>
  <c r="E57" i="7"/>
  <c r="E56" i="7"/>
  <c r="E54" i="7"/>
  <c r="E53" i="7"/>
  <c r="E51" i="7"/>
  <c r="E50" i="7"/>
  <c r="E48" i="7"/>
  <c r="E47" i="7"/>
  <c r="E45" i="7"/>
  <c r="E44" i="7"/>
  <c r="E42" i="7"/>
  <c r="E41" i="7"/>
  <c r="E39" i="7"/>
  <c r="E38" i="7"/>
  <c r="E36" i="7"/>
  <c r="E35" i="7"/>
  <c r="E33" i="7"/>
  <c r="E32" i="7"/>
  <c r="E30" i="7"/>
  <c r="E29" i="7"/>
  <c r="E28" i="7"/>
  <c r="E26" i="7"/>
  <c r="E25" i="7"/>
  <c r="E23" i="7"/>
  <c r="E22" i="7"/>
  <c r="E20" i="7"/>
  <c r="E19" i="7"/>
  <c r="E17" i="7"/>
  <c r="E16" i="7"/>
  <c r="E14" i="7"/>
  <c r="E13" i="7"/>
  <c r="E11" i="7"/>
  <c r="E10" i="7"/>
  <c r="E8" i="7"/>
  <c r="E7" i="7"/>
  <c r="E5" i="7"/>
  <c r="E4" i="7"/>
  <c r="E2" i="7"/>
  <c r="E411" i="7"/>
  <c r="E408" i="7"/>
  <c r="E405" i="7"/>
  <c r="E401" i="7"/>
  <c r="E398" i="7"/>
  <c r="E395" i="7"/>
  <c r="E392" i="7"/>
  <c r="E389" i="7"/>
  <c r="E386" i="7"/>
  <c r="E383" i="7"/>
  <c r="E379" i="7"/>
  <c r="E376" i="7"/>
  <c r="E373" i="7"/>
  <c r="E370" i="7"/>
  <c r="E367" i="7"/>
  <c r="E364" i="7"/>
  <c r="E361" i="7"/>
  <c r="E357" i="7"/>
  <c r="E354" i="7"/>
  <c r="E351" i="7"/>
  <c r="E348" i="7"/>
  <c r="E345" i="7"/>
  <c r="E342" i="7"/>
  <c r="E339" i="7"/>
  <c r="E336" i="7"/>
  <c r="E333" i="7"/>
  <c r="E329" i="7"/>
  <c r="E326" i="7"/>
  <c r="E323" i="7"/>
  <c r="E320" i="7"/>
  <c r="E316" i="7"/>
  <c r="E313" i="7"/>
  <c r="E310" i="7"/>
  <c r="E307" i="7"/>
  <c r="E304" i="7"/>
  <c r="E300" i="7"/>
  <c r="E297" i="7"/>
  <c r="E294" i="7"/>
  <c r="E291" i="7"/>
  <c r="E288" i="7"/>
  <c r="E285" i="7"/>
  <c r="E281" i="7"/>
  <c r="E278" i="7"/>
  <c r="E275" i="7"/>
  <c r="E272" i="7"/>
  <c r="E269" i="7"/>
  <c r="E266" i="7"/>
  <c r="E263" i="7"/>
  <c r="E260" i="7"/>
  <c r="E256" i="7"/>
  <c r="E253" i="7"/>
  <c r="E250" i="7"/>
  <c r="E247" i="7"/>
  <c r="E244" i="7"/>
  <c r="E241" i="7"/>
  <c r="E238" i="7"/>
  <c r="E235" i="7"/>
  <c r="E231" i="7"/>
  <c r="E228" i="7"/>
  <c r="E225" i="7"/>
  <c r="E222" i="7"/>
  <c r="E219" i="7"/>
  <c r="E216" i="7"/>
  <c r="E213" i="7"/>
  <c r="E210" i="7"/>
  <c r="E206" i="7"/>
  <c r="E203" i="7"/>
  <c r="E200" i="7"/>
  <c r="E197" i="7"/>
  <c r="E193" i="7"/>
  <c r="E190" i="7"/>
  <c r="E187" i="7"/>
  <c r="E184" i="7"/>
  <c r="E181" i="7"/>
  <c r="E178" i="7"/>
  <c r="E175" i="7"/>
  <c r="E172" i="7"/>
  <c r="E168" i="7"/>
  <c r="E165" i="7"/>
  <c r="E162" i="7"/>
  <c r="E159" i="7"/>
  <c r="E156" i="7"/>
  <c r="E153" i="7"/>
  <c r="E150" i="7"/>
  <c r="E147" i="7"/>
  <c r="E143" i="7"/>
  <c r="E140" i="7"/>
  <c r="E137" i="7"/>
  <c r="E134" i="7"/>
  <c r="E131" i="7"/>
  <c r="E128" i="7"/>
  <c r="E125" i="7"/>
  <c r="E122" i="7"/>
  <c r="E119" i="7"/>
  <c r="E115" i="7"/>
  <c r="E112" i="7"/>
  <c r="E109" i="7"/>
  <c r="E106" i="7"/>
  <c r="E102" i="7"/>
  <c r="E99" i="7"/>
  <c r="E96" i="7"/>
  <c r="E93" i="7"/>
  <c r="E90" i="7"/>
  <c r="E87" i="7"/>
  <c r="E84" i="7"/>
  <c r="E80" i="7"/>
  <c r="E77" i="7"/>
  <c r="E74" i="7"/>
  <c r="E71" i="7"/>
  <c r="E68" i="7"/>
  <c r="E65" i="7"/>
  <c r="E62" i="7"/>
  <c r="E59" i="7"/>
  <c r="E55" i="7"/>
  <c r="E52" i="7"/>
  <c r="E49" i="7"/>
  <c r="E46" i="7"/>
  <c r="E43" i="7"/>
  <c r="E40" i="7"/>
  <c r="E37" i="7"/>
  <c r="E34" i="7"/>
  <c r="E31" i="7"/>
  <c r="E27" i="7"/>
  <c r="E24" i="7"/>
  <c r="E21" i="7"/>
  <c r="E18" i="7"/>
  <c r="E15" i="7"/>
  <c r="E12" i="7"/>
  <c r="E9" i="7"/>
  <c r="E6" i="7"/>
  <c r="E3" i="7"/>
  <c r="G123" i="1" l="1"/>
  <c r="F123" i="1" s="1"/>
  <c r="G124" i="1"/>
  <c r="F124" i="1" s="1"/>
  <c r="G125" i="1"/>
  <c r="F125" i="1" s="1"/>
  <c r="G126" i="1"/>
  <c r="F126" i="1" s="1"/>
  <c r="G127" i="1"/>
  <c r="F127" i="1" s="1"/>
  <c r="G128" i="1"/>
  <c r="F128" i="1" s="1"/>
  <c r="G129" i="1"/>
  <c r="F129" i="1" s="1"/>
  <c r="G130" i="1"/>
  <c r="F130" i="1" s="1"/>
  <c r="G131" i="1"/>
  <c r="F131" i="1" s="1"/>
  <c r="G132" i="1"/>
  <c r="F132" i="1" s="1"/>
  <c r="G133" i="1"/>
  <c r="F133" i="1" s="1"/>
  <c r="G134" i="1"/>
  <c r="F134" i="1" s="1"/>
  <c r="G135" i="1"/>
  <c r="F135" i="1" s="1"/>
  <c r="G136" i="1"/>
  <c r="F136" i="1" s="1"/>
  <c r="G137" i="1"/>
  <c r="F137" i="1" s="1"/>
  <c r="G138" i="1"/>
  <c r="F138" i="1" s="1"/>
  <c r="G139" i="1"/>
  <c r="F139" i="1" s="1"/>
  <c r="G140" i="1"/>
  <c r="F140" i="1" s="1"/>
  <c r="G141" i="1"/>
  <c r="F141" i="1" s="1"/>
  <c r="G142" i="1"/>
  <c r="F142" i="1" s="1"/>
  <c r="G143" i="1"/>
  <c r="F143" i="1" s="1"/>
  <c r="G144" i="1"/>
  <c r="F144" i="1" s="1"/>
  <c r="G145" i="1"/>
  <c r="F145" i="1" s="1"/>
  <c r="G146" i="1"/>
  <c r="F146" i="1" s="1"/>
  <c r="G147" i="1"/>
  <c r="F147" i="1" s="1"/>
  <c r="G148" i="1"/>
  <c r="F148" i="1" s="1"/>
  <c r="G149" i="1"/>
  <c r="F149" i="1" s="1"/>
  <c r="G150" i="1"/>
  <c r="F150" i="1" s="1"/>
  <c r="G151" i="1"/>
  <c r="F151" i="1" s="1"/>
  <c r="G152" i="1"/>
  <c r="F152" i="1" s="1"/>
  <c r="G153" i="1"/>
  <c r="F153" i="1" s="1"/>
  <c r="G154" i="1"/>
  <c r="F154" i="1" s="1"/>
  <c r="G155" i="1"/>
  <c r="F155" i="1" s="1"/>
  <c r="G156" i="1"/>
  <c r="F156" i="1" s="1"/>
  <c r="G157" i="1"/>
  <c r="F157" i="1" s="1"/>
  <c r="G158" i="1"/>
  <c r="F158" i="1" s="1"/>
  <c r="G159" i="1"/>
  <c r="F159" i="1" s="1"/>
  <c r="G160" i="1"/>
  <c r="F160" i="1" s="1"/>
  <c r="G161" i="1"/>
  <c r="F161" i="1" s="1"/>
  <c r="G162" i="1"/>
  <c r="F162" i="1" s="1"/>
  <c r="G163" i="1"/>
  <c r="F163" i="1" s="1"/>
  <c r="G164" i="1"/>
  <c r="F164" i="1" s="1"/>
  <c r="G165" i="1"/>
  <c r="F165" i="1" s="1"/>
  <c r="G166" i="1"/>
  <c r="F166" i="1" s="1"/>
  <c r="G167" i="1"/>
  <c r="F167" i="1" s="1"/>
  <c r="G168" i="1"/>
  <c r="F168" i="1" s="1"/>
  <c r="G169" i="1"/>
  <c r="F169" i="1" s="1"/>
  <c r="G170" i="1"/>
  <c r="F170" i="1" s="1"/>
  <c r="G171" i="1"/>
  <c r="F171" i="1" s="1"/>
  <c r="G172" i="1"/>
  <c r="F172" i="1" s="1"/>
  <c r="G173" i="1"/>
  <c r="F173" i="1" s="1"/>
  <c r="G174" i="1"/>
  <c r="F174" i="1" s="1"/>
  <c r="G175" i="1"/>
  <c r="F175" i="1" s="1"/>
  <c r="G176" i="1"/>
  <c r="F176" i="1" s="1"/>
  <c r="G177" i="1"/>
  <c r="F177" i="1" s="1"/>
  <c r="G178" i="1"/>
  <c r="F178" i="1" s="1"/>
  <c r="G179" i="1"/>
  <c r="F179" i="1" s="1"/>
  <c r="G180" i="1"/>
  <c r="F180" i="1" s="1"/>
  <c r="G181" i="1"/>
  <c r="F181" i="1" s="1"/>
  <c r="G182" i="1"/>
  <c r="F182" i="1" s="1"/>
  <c r="G183" i="1"/>
  <c r="F183" i="1" s="1"/>
  <c r="G184" i="1"/>
  <c r="F184" i="1" s="1"/>
  <c r="G185" i="1"/>
  <c r="F185" i="1" s="1"/>
  <c r="G186" i="1"/>
  <c r="F186" i="1" s="1"/>
  <c r="G187" i="1"/>
  <c r="F187" i="1" s="1"/>
  <c r="G188" i="1"/>
  <c r="F188" i="1" s="1"/>
  <c r="G189" i="1"/>
  <c r="F189" i="1" s="1"/>
  <c r="G190" i="1"/>
  <c r="F190" i="1" s="1"/>
  <c r="G191" i="1"/>
  <c r="F191" i="1" s="1"/>
  <c r="G192" i="1"/>
  <c r="F192" i="1" s="1"/>
  <c r="G193" i="1"/>
  <c r="F193" i="1" s="1"/>
  <c r="G194" i="1"/>
  <c r="F194" i="1" s="1"/>
  <c r="G195" i="1"/>
  <c r="F195" i="1" s="1"/>
  <c r="G196" i="1"/>
  <c r="F196" i="1" s="1"/>
  <c r="G197" i="1"/>
  <c r="F197" i="1" s="1"/>
  <c r="G198" i="1"/>
  <c r="F198" i="1" s="1"/>
  <c r="G199" i="1"/>
  <c r="F199" i="1" s="1"/>
  <c r="G200" i="1"/>
  <c r="F200" i="1" s="1"/>
  <c r="G201" i="1"/>
  <c r="F201" i="1" s="1"/>
  <c r="G202" i="1"/>
  <c r="F202" i="1" s="1"/>
  <c r="G203" i="1"/>
  <c r="F203" i="1" s="1"/>
  <c r="G204" i="1"/>
  <c r="F204" i="1" s="1"/>
  <c r="G205" i="1"/>
  <c r="F205" i="1" s="1"/>
  <c r="G206" i="1"/>
  <c r="F206" i="1" s="1"/>
  <c r="G207" i="1"/>
  <c r="F207" i="1" s="1"/>
  <c r="G208" i="1"/>
  <c r="F208" i="1" s="1"/>
  <c r="G209" i="1"/>
  <c r="F209" i="1" s="1"/>
  <c r="G210" i="1"/>
  <c r="F210" i="1" s="1"/>
  <c r="G211" i="1"/>
  <c r="F211" i="1" s="1"/>
  <c r="G212" i="1"/>
  <c r="F212" i="1" s="1"/>
  <c r="G213" i="1"/>
  <c r="F213" i="1" s="1"/>
  <c r="G214" i="1"/>
  <c r="F214" i="1" s="1"/>
  <c r="G215" i="1"/>
  <c r="F215" i="1" s="1"/>
  <c r="G216" i="1"/>
  <c r="F216" i="1" s="1"/>
  <c r="G217" i="1"/>
  <c r="F217" i="1" s="1"/>
  <c r="G218" i="1"/>
  <c r="F218" i="1" s="1"/>
  <c r="G219" i="1"/>
  <c r="F219" i="1" s="1"/>
  <c r="G220" i="1"/>
  <c r="F220" i="1" s="1"/>
  <c r="G221" i="1"/>
  <c r="F221" i="1" s="1"/>
  <c r="G222" i="1"/>
  <c r="F222" i="1" s="1"/>
  <c r="G223" i="1"/>
  <c r="F223" i="1" s="1"/>
  <c r="G224" i="1"/>
  <c r="F224" i="1" s="1"/>
  <c r="G225" i="1"/>
  <c r="F225" i="1" s="1"/>
  <c r="G226" i="1"/>
  <c r="F226" i="1" s="1"/>
  <c r="G227" i="1"/>
  <c r="F227" i="1" s="1"/>
  <c r="G228" i="1"/>
  <c r="F228" i="1" s="1"/>
  <c r="G229" i="1"/>
  <c r="F229" i="1" s="1"/>
  <c r="G230" i="1"/>
  <c r="F230" i="1" s="1"/>
  <c r="G231" i="1"/>
  <c r="F231" i="1" s="1"/>
  <c r="G232" i="1"/>
  <c r="F232" i="1" s="1"/>
  <c r="G233" i="1"/>
  <c r="F233" i="1" s="1"/>
  <c r="G234" i="1"/>
  <c r="F234" i="1" s="1"/>
  <c r="G235" i="1"/>
  <c r="F235" i="1" s="1"/>
  <c r="G236" i="1"/>
  <c r="F236" i="1" s="1"/>
  <c r="G237" i="1"/>
  <c r="F237" i="1" s="1"/>
  <c r="G238" i="1"/>
  <c r="F238" i="1" s="1"/>
  <c r="G239" i="1"/>
  <c r="F239" i="1" s="1"/>
  <c r="G240" i="1"/>
  <c r="F240" i="1" s="1"/>
  <c r="G241" i="1"/>
  <c r="F241" i="1" s="1"/>
  <c r="G242" i="1"/>
  <c r="F242" i="1" s="1"/>
  <c r="G243" i="1"/>
  <c r="F243" i="1" s="1"/>
  <c r="G244" i="1"/>
  <c r="F244" i="1" s="1"/>
  <c r="G245" i="1"/>
  <c r="F245" i="1" s="1"/>
  <c r="G246" i="1"/>
  <c r="F246" i="1" s="1"/>
  <c r="G247" i="1"/>
  <c r="F247" i="1" s="1"/>
  <c r="G248" i="1"/>
  <c r="F248" i="1" s="1"/>
  <c r="G249" i="1"/>
  <c r="F249" i="1" s="1"/>
  <c r="G250" i="1"/>
  <c r="F250" i="1" s="1"/>
  <c r="G251" i="1"/>
  <c r="F251" i="1" s="1"/>
  <c r="G252" i="1"/>
  <c r="F252" i="1" s="1"/>
  <c r="G253" i="1"/>
  <c r="F253" i="1" s="1"/>
  <c r="G254" i="1"/>
  <c r="F254" i="1" s="1"/>
  <c r="G255" i="1"/>
  <c r="F255" i="1" s="1"/>
  <c r="G256" i="1"/>
  <c r="F256" i="1" s="1"/>
  <c r="G257" i="1"/>
  <c r="F257" i="1" s="1"/>
  <c r="G258" i="1"/>
  <c r="F258" i="1" s="1"/>
  <c r="G259" i="1"/>
  <c r="F259" i="1" s="1"/>
  <c r="G260" i="1"/>
  <c r="F260" i="1" s="1"/>
  <c r="G261" i="1"/>
  <c r="F261" i="1" s="1"/>
  <c r="G262" i="1"/>
  <c r="F262" i="1" s="1"/>
  <c r="G263" i="1"/>
  <c r="F263" i="1" s="1"/>
  <c r="G264" i="1"/>
  <c r="F264" i="1" s="1"/>
  <c r="G265" i="1"/>
  <c r="F265" i="1" s="1"/>
  <c r="G266" i="1"/>
  <c r="F266" i="1" s="1"/>
  <c r="G267" i="1"/>
  <c r="F267" i="1" s="1"/>
  <c r="G268" i="1"/>
  <c r="F268" i="1" s="1"/>
  <c r="G269" i="1"/>
  <c r="F269" i="1" s="1"/>
  <c r="G270" i="1"/>
  <c r="F270" i="1" s="1"/>
  <c r="G271" i="1"/>
  <c r="F271" i="1" s="1"/>
  <c r="G272" i="1"/>
  <c r="F272" i="1" s="1"/>
  <c r="G273" i="1"/>
  <c r="F273" i="1" s="1"/>
  <c r="G274" i="1"/>
  <c r="F274" i="1" s="1"/>
  <c r="G275" i="1"/>
  <c r="F275" i="1" s="1"/>
  <c r="G276" i="1"/>
  <c r="F276" i="1" s="1"/>
  <c r="G277" i="1"/>
  <c r="F277" i="1" s="1"/>
  <c r="G278" i="1"/>
  <c r="F278" i="1" s="1"/>
  <c r="G279" i="1"/>
  <c r="F279" i="1" s="1"/>
  <c r="G280" i="1"/>
  <c r="F280" i="1" s="1"/>
  <c r="G281" i="1"/>
  <c r="F281" i="1" s="1"/>
  <c r="G282" i="1"/>
  <c r="F282" i="1" s="1"/>
  <c r="G283" i="1"/>
  <c r="F283" i="1" s="1"/>
  <c r="G284" i="1"/>
  <c r="F284" i="1" s="1"/>
  <c r="G285" i="1"/>
  <c r="F285" i="1" s="1"/>
  <c r="G286" i="1"/>
  <c r="F286" i="1" s="1"/>
  <c r="G287" i="1"/>
  <c r="F287" i="1" s="1"/>
  <c r="G288" i="1"/>
  <c r="F288" i="1" s="1"/>
  <c r="G289" i="1"/>
  <c r="F289" i="1" s="1"/>
  <c r="G290" i="1"/>
  <c r="F290" i="1" s="1"/>
  <c r="G291" i="1"/>
  <c r="F291" i="1" s="1"/>
  <c r="G292" i="1"/>
  <c r="F292" i="1" s="1"/>
  <c r="G293" i="1"/>
  <c r="F293" i="1" s="1"/>
  <c r="G294" i="1"/>
  <c r="F294" i="1" s="1"/>
  <c r="G295" i="1"/>
  <c r="F295" i="1" s="1"/>
  <c r="G296" i="1"/>
  <c r="F296" i="1" s="1"/>
  <c r="G297" i="1"/>
  <c r="F297" i="1" s="1"/>
  <c r="G298" i="1"/>
  <c r="F298" i="1" s="1"/>
  <c r="G299" i="1"/>
  <c r="F299" i="1" s="1"/>
  <c r="G300" i="1"/>
  <c r="F300" i="1" s="1"/>
  <c r="G301" i="1"/>
  <c r="F301" i="1" s="1"/>
  <c r="G302" i="1"/>
  <c r="F302" i="1" s="1"/>
  <c r="G303" i="1"/>
  <c r="F303" i="1" s="1"/>
  <c r="G304" i="1"/>
  <c r="F304" i="1" s="1"/>
  <c r="G305" i="1"/>
  <c r="F305" i="1" s="1"/>
  <c r="G306" i="1"/>
  <c r="F306" i="1" s="1"/>
  <c r="G307" i="1"/>
  <c r="F307" i="1" s="1"/>
  <c r="G308" i="1"/>
  <c r="F308" i="1" s="1"/>
  <c r="G309" i="1"/>
  <c r="F309" i="1" s="1"/>
  <c r="G310" i="1"/>
  <c r="F310" i="1" s="1"/>
  <c r="G311" i="1"/>
  <c r="F311" i="1" s="1"/>
  <c r="G312" i="1"/>
  <c r="F312" i="1" s="1"/>
  <c r="G313" i="1"/>
  <c r="F313" i="1" s="1"/>
  <c r="G314" i="1"/>
  <c r="F314" i="1" s="1"/>
  <c r="G315" i="1"/>
  <c r="F315" i="1" s="1"/>
  <c r="G316" i="1"/>
  <c r="F316" i="1" s="1"/>
  <c r="G317" i="1"/>
  <c r="F317" i="1" s="1"/>
  <c r="G318" i="1"/>
  <c r="F318" i="1" s="1"/>
  <c r="G319" i="1"/>
  <c r="F319" i="1" s="1"/>
  <c r="G320" i="1"/>
  <c r="F320" i="1" s="1"/>
  <c r="G321" i="1"/>
  <c r="F321" i="1" s="1"/>
  <c r="G322" i="1"/>
  <c r="F322" i="1" s="1"/>
  <c r="G323" i="1"/>
  <c r="F323" i="1" s="1"/>
  <c r="G324" i="1"/>
  <c r="F324" i="1" s="1"/>
  <c r="G325" i="1"/>
  <c r="F325" i="1" s="1"/>
  <c r="G326" i="1"/>
  <c r="F326" i="1" s="1"/>
  <c r="G327" i="1"/>
  <c r="F327" i="1" s="1"/>
  <c r="G328" i="1"/>
  <c r="F328" i="1" s="1"/>
  <c r="G329" i="1"/>
  <c r="F329" i="1" s="1"/>
  <c r="G330" i="1"/>
  <c r="F330" i="1" s="1"/>
  <c r="G331" i="1"/>
  <c r="F331" i="1" s="1"/>
  <c r="G332" i="1"/>
  <c r="F332" i="1" s="1"/>
  <c r="G333" i="1"/>
  <c r="F333" i="1" s="1"/>
  <c r="G334" i="1"/>
  <c r="F334" i="1" s="1"/>
  <c r="G335" i="1"/>
  <c r="F335" i="1" s="1"/>
  <c r="G336" i="1"/>
  <c r="F336" i="1" s="1"/>
  <c r="G337" i="1"/>
  <c r="F337" i="1" s="1"/>
  <c r="G338" i="1"/>
  <c r="F338" i="1" s="1"/>
  <c r="G339" i="1"/>
  <c r="F339" i="1" s="1"/>
  <c r="G340" i="1"/>
  <c r="F340" i="1" s="1"/>
  <c r="G341" i="1"/>
  <c r="F341" i="1" s="1"/>
  <c r="G342" i="1"/>
  <c r="F342" i="1" s="1"/>
  <c r="G343" i="1"/>
  <c r="F343" i="1" s="1"/>
  <c r="G344" i="1"/>
  <c r="F344" i="1" s="1"/>
  <c r="G345" i="1"/>
  <c r="F345" i="1" s="1"/>
  <c r="G346" i="1"/>
  <c r="F346" i="1" s="1"/>
  <c r="G347" i="1"/>
  <c r="F347" i="1" s="1"/>
  <c r="G348" i="1"/>
  <c r="F348" i="1" s="1"/>
  <c r="G349" i="1"/>
  <c r="F349" i="1" s="1"/>
  <c r="G350" i="1"/>
  <c r="F350" i="1" s="1"/>
  <c r="G351" i="1"/>
  <c r="F351" i="1" s="1"/>
  <c r="G352" i="1"/>
  <c r="F352" i="1" s="1"/>
  <c r="G353" i="1"/>
  <c r="F353" i="1" s="1"/>
  <c r="G354" i="1"/>
  <c r="F354" i="1" s="1"/>
  <c r="G355" i="1"/>
  <c r="F355" i="1" s="1"/>
  <c r="G356" i="1"/>
  <c r="F356" i="1" s="1"/>
  <c r="G357" i="1"/>
  <c r="F357" i="1" s="1"/>
  <c r="G358" i="1"/>
  <c r="F358" i="1" s="1"/>
  <c r="G359" i="1"/>
  <c r="F359" i="1" s="1"/>
  <c r="G360" i="1"/>
  <c r="F360" i="1" s="1"/>
  <c r="G361" i="1"/>
  <c r="F361" i="1" s="1"/>
  <c r="G362" i="1"/>
  <c r="F362" i="1" s="1"/>
  <c r="G363" i="1"/>
  <c r="F363" i="1" s="1"/>
  <c r="G364" i="1"/>
  <c r="F364" i="1" s="1"/>
  <c r="G365" i="1"/>
  <c r="F365" i="1" s="1"/>
  <c r="G366" i="1"/>
  <c r="F366" i="1" s="1"/>
  <c r="G367" i="1"/>
  <c r="F367" i="1" s="1"/>
  <c r="G368" i="1"/>
  <c r="F368" i="1" s="1"/>
  <c r="G369" i="1"/>
  <c r="F369" i="1" s="1"/>
  <c r="G370" i="1"/>
  <c r="F370" i="1" s="1"/>
  <c r="G371" i="1"/>
  <c r="F371" i="1" s="1"/>
  <c r="G372" i="1"/>
  <c r="F372" i="1" s="1"/>
  <c r="G373" i="1"/>
  <c r="F373" i="1" s="1"/>
  <c r="G374" i="1"/>
  <c r="F374" i="1" s="1"/>
  <c r="G375" i="1"/>
  <c r="F375" i="1" s="1"/>
  <c r="G376" i="1"/>
  <c r="F376" i="1" s="1"/>
  <c r="G377" i="1"/>
  <c r="F377" i="1" s="1"/>
  <c r="G378" i="1"/>
  <c r="F378" i="1" s="1"/>
  <c r="G379" i="1"/>
  <c r="F379" i="1" s="1"/>
  <c r="G380" i="1"/>
  <c r="F380" i="1" s="1"/>
  <c r="G381" i="1"/>
  <c r="F381" i="1" s="1"/>
  <c r="G382" i="1"/>
  <c r="F382" i="1" s="1"/>
  <c r="G383" i="1"/>
  <c r="F383" i="1" s="1"/>
  <c r="G384" i="1"/>
  <c r="F384" i="1" s="1"/>
  <c r="G385" i="1"/>
  <c r="F385" i="1" s="1"/>
  <c r="G386" i="1"/>
  <c r="F386" i="1" s="1"/>
  <c r="G387" i="1"/>
  <c r="F387" i="1" s="1"/>
  <c r="G388" i="1"/>
  <c r="F388" i="1" s="1"/>
  <c r="G389" i="1"/>
  <c r="F389" i="1" s="1"/>
  <c r="G390" i="1"/>
  <c r="F390" i="1" s="1"/>
  <c r="G391" i="1"/>
  <c r="F391" i="1" s="1"/>
  <c r="G392" i="1"/>
  <c r="F392" i="1" s="1"/>
  <c r="G393" i="1"/>
  <c r="F393" i="1" s="1"/>
  <c r="G394" i="1"/>
  <c r="F394" i="1" s="1"/>
  <c r="G395" i="1"/>
  <c r="F395" i="1" s="1"/>
  <c r="G396" i="1"/>
  <c r="F396" i="1" s="1"/>
  <c r="G397" i="1"/>
  <c r="F397" i="1" s="1"/>
  <c r="G398" i="1"/>
  <c r="F398" i="1" s="1"/>
  <c r="G399" i="1"/>
  <c r="F399" i="1" s="1"/>
  <c r="G400" i="1"/>
  <c r="F400" i="1" s="1"/>
  <c r="G401" i="1"/>
  <c r="F401" i="1" s="1"/>
  <c r="G402" i="1"/>
  <c r="F402" i="1" s="1"/>
  <c r="G403" i="1"/>
  <c r="F403" i="1" s="1"/>
  <c r="G404" i="1"/>
  <c r="F404" i="1" s="1"/>
  <c r="G405" i="1"/>
  <c r="F405" i="1" s="1"/>
  <c r="G406" i="1"/>
  <c r="F406" i="1" s="1"/>
  <c r="G407" i="1"/>
  <c r="F407" i="1" s="1"/>
  <c r="G408" i="1"/>
  <c r="F408" i="1" s="1"/>
  <c r="G409" i="1"/>
  <c r="F409" i="1" s="1"/>
  <c r="G410" i="1"/>
  <c r="F410" i="1" s="1"/>
  <c r="G411" i="1"/>
  <c r="F411" i="1" s="1"/>
  <c r="G412" i="1"/>
  <c r="F412" i="1" s="1"/>
  <c r="G413" i="1"/>
  <c r="F413" i="1" s="1"/>
  <c r="G414" i="1"/>
  <c r="F414" i="1" s="1"/>
  <c r="G415" i="1"/>
  <c r="F415" i="1" s="1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2" i="7"/>
  <c r="D5" i="5"/>
  <c r="C5" i="5" s="1"/>
  <c r="D6" i="5"/>
  <c r="C6" i="5" s="1"/>
  <c r="D7" i="5"/>
  <c r="C7" i="5" s="1"/>
  <c r="F4" i="1"/>
  <c r="G6" i="1"/>
  <c r="F6" i="1" s="1"/>
  <c r="G7" i="1"/>
  <c r="F7" i="1" s="1"/>
  <c r="G8" i="1"/>
  <c r="F8" i="1" s="1"/>
  <c r="G9" i="1"/>
  <c r="F9" i="1" s="1"/>
  <c r="G10" i="1"/>
  <c r="F10" i="1" s="1"/>
  <c r="G11" i="1"/>
  <c r="F11" i="1" s="1"/>
  <c r="G12" i="1"/>
  <c r="F12" i="1" s="1"/>
  <c r="G13" i="1"/>
  <c r="F13" i="1" s="1"/>
  <c r="G14" i="1"/>
  <c r="F14" i="1" s="1"/>
  <c r="G15" i="1"/>
  <c r="F15" i="1" s="1"/>
  <c r="G16" i="1"/>
  <c r="F16" i="1" s="1"/>
  <c r="G17" i="1"/>
  <c r="F17" i="1" s="1"/>
  <c r="G18" i="1"/>
  <c r="F18" i="1" s="1"/>
  <c r="G19" i="1"/>
  <c r="F19" i="1" s="1"/>
  <c r="G20" i="1"/>
  <c r="F20" i="1" s="1"/>
  <c r="G21" i="1"/>
  <c r="F21" i="1" s="1"/>
  <c r="G22" i="1"/>
  <c r="F22" i="1" s="1"/>
  <c r="G23" i="1"/>
  <c r="F23" i="1" s="1"/>
  <c r="G24" i="1"/>
  <c r="F24" i="1" s="1"/>
  <c r="G25" i="1"/>
  <c r="F25" i="1" s="1"/>
  <c r="G26" i="1"/>
  <c r="F26" i="1" s="1"/>
  <c r="G27" i="1"/>
  <c r="F27" i="1" s="1"/>
  <c r="G28" i="1"/>
  <c r="F28" i="1" s="1"/>
  <c r="G29" i="1"/>
  <c r="F29" i="1" s="1"/>
  <c r="G30" i="1"/>
  <c r="F30" i="1" s="1"/>
  <c r="G31" i="1"/>
  <c r="F31" i="1" s="1"/>
  <c r="G32" i="1"/>
  <c r="F32" i="1" s="1"/>
  <c r="G33" i="1"/>
  <c r="F33" i="1" s="1"/>
  <c r="G34" i="1"/>
  <c r="F34" i="1" s="1"/>
  <c r="G35" i="1"/>
  <c r="F35" i="1" s="1"/>
  <c r="G36" i="1"/>
  <c r="F36" i="1" s="1"/>
  <c r="G37" i="1"/>
  <c r="F37" i="1" s="1"/>
  <c r="G38" i="1"/>
  <c r="F38" i="1" s="1"/>
  <c r="G39" i="1"/>
  <c r="F39" i="1" s="1"/>
  <c r="G40" i="1"/>
  <c r="F40" i="1" s="1"/>
  <c r="G41" i="1"/>
  <c r="F41" i="1" s="1"/>
  <c r="G42" i="1"/>
  <c r="F42" i="1" s="1"/>
  <c r="G43" i="1"/>
  <c r="F43" i="1" s="1"/>
  <c r="G44" i="1"/>
  <c r="F44" i="1" s="1"/>
  <c r="G45" i="1"/>
  <c r="F45" i="1" s="1"/>
  <c r="G46" i="1"/>
  <c r="F46" i="1" s="1"/>
  <c r="G47" i="1"/>
  <c r="F47" i="1" s="1"/>
  <c r="G48" i="1"/>
  <c r="F48" i="1" s="1"/>
  <c r="G49" i="1"/>
  <c r="F49" i="1" s="1"/>
  <c r="G50" i="1"/>
  <c r="F50" i="1" s="1"/>
  <c r="G51" i="1"/>
  <c r="F51" i="1" s="1"/>
  <c r="G52" i="1"/>
  <c r="F52" i="1" s="1"/>
  <c r="G53" i="1"/>
  <c r="F53" i="1" s="1"/>
  <c r="G54" i="1"/>
  <c r="F54" i="1" s="1"/>
  <c r="G55" i="1"/>
  <c r="F55" i="1" s="1"/>
  <c r="G56" i="1"/>
  <c r="F56" i="1" s="1"/>
  <c r="G57" i="1"/>
  <c r="F57" i="1" s="1"/>
  <c r="G58" i="1"/>
  <c r="F58" i="1" s="1"/>
  <c r="G59" i="1"/>
  <c r="F59" i="1" s="1"/>
  <c r="G60" i="1"/>
  <c r="F60" i="1" s="1"/>
  <c r="G61" i="1"/>
  <c r="F61" i="1" s="1"/>
  <c r="G62" i="1"/>
  <c r="F62" i="1" s="1"/>
  <c r="G63" i="1"/>
  <c r="F63" i="1" s="1"/>
  <c r="G64" i="1"/>
  <c r="F64" i="1" s="1"/>
  <c r="G65" i="1"/>
  <c r="F65" i="1" s="1"/>
  <c r="G66" i="1"/>
  <c r="F66" i="1" s="1"/>
  <c r="G67" i="1"/>
  <c r="F67" i="1" s="1"/>
  <c r="G68" i="1"/>
  <c r="F68" i="1" s="1"/>
  <c r="G69" i="1"/>
  <c r="F69" i="1" s="1"/>
  <c r="G70" i="1"/>
  <c r="F70" i="1" s="1"/>
  <c r="G71" i="1"/>
  <c r="F71" i="1" s="1"/>
  <c r="G72" i="1"/>
  <c r="F72" i="1" s="1"/>
  <c r="G73" i="1"/>
  <c r="F73" i="1" s="1"/>
  <c r="G74" i="1"/>
  <c r="F74" i="1" s="1"/>
  <c r="G75" i="1"/>
  <c r="F75" i="1" s="1"/>
  <c r="G76" i="1"/>
  <c r="F76" i="1" s="1"/>
  <c r="G77" i="1"/>
  <c r="F77" i="1" s="1"/>
  <c r="G78" i="1"/>
  <c r="F78" i="1" s="1"/>
  <c r="G79" i="1"/>
  <c r="F79" i="1" s="1"/>
  <c r="G80" i="1"/>
  <c r="F80" i="1" s="1"/>
  <c r="G81" i="1"/>
  <c r="F81" i="1" s="1"/>
  <c r="G82" i="1"/>
  <c r="F82" i="1" s="1"/>
  <c r="G83" i="1"/>
  <c r="F83" i="1" s="1"/>
  <c r="G84" i="1"/>
  <c r="F84" i="1" s="1"/>
  <c r="G85" i="1"/>
  <c r="F85" i="1" s="1"/>
  <c r="G86" i="1"/>
  <c r="F86" i="1" s="1"/>
  <c r="G87" i="1"/>
  <c r="F87" i="1" s="1"/>
  <c r="G88" i="1"/>
  <c r="F88" i="1" s="1"/>
  <c r="G89" i="1"/>
  <c r="F89" i="1" s="1"/>
  <c r="G90" i="1"/>
  <c r="F90" i="1" s="1"/>
  <c r="G91" i="1"/>
  <c r="F91" i="1" s="1"/>
  <c r="G92" i="1"/>
  <c r="F92" i="1" s="1"/>
  <c r="G93" i="1"/>
  <c r="F93" i="1" s="1"/>
  <c r="G94" i="1"/>
  <c r="F94" i="1" s="1"/>
  <c r="G95" i="1"/>
  <c r="F95" i="1" s="1"/>
  <c r="G96" i="1"/>
  <c r="F96" i="1" s="1"/>
  <c r="G97" i="1"/>
  <c r="F97" i="1" s="1"/>
  <c r="G98" i="1"/>
  <c r="F98" i="1" s="1"/>
  <c r="G99" i="1"/>
  <c r="F99" i="1" s="1"/>
  <c r="G100" i="1"/>
  <c r="F100" i="1" s="1"/>
  <c r="G101" i="1"/>
  <c r="F101" i="1" s="1"/>
  <c r="G102" i="1"/>
  <c r="F102" i="1" s="1"/>
  <c r="G103" i="1"/>
  <c r="F103" i="1" s="1"/>
  <c r="G104" i="1"/>
  <c r="F104" i="1" s="1"/>
  <c r="G105" i="1"/>
  <c r="F105" i="1" s="1"/>
  <c r="G106" i="1"/>
  <c r="F106" i="1" s="1"/>
  <c r="G107" i="1"/>
  <c r="F107" i="1" s="1"/>
  <c r="G108" i="1"/>
  <c r="F108" i="1" s="1"/>
  <c r="G109" i="1"/>
  <c r="F109" i="1" s="1"/>
  <c r="G110" i="1"/>
  <c r="F110" i="1" s="1"/>
  <c r="G111" i="1"/>
  <c r="F111" i="1" s="1"/>
  <c r="G112" i="1"/>
  <c r="F112" i="1" s="1"/>
  <c r="G113" i="1"/>
  <c r="F113" i="1" s="1"/>
  <c r="G114" i="1"/>
  <c r="F114" i="1" s="1"/>
  <c r="G115" i="1"/>
  <c r="F115" i="1" s="1"/>
  <c r="G116" i="1"/>
  <c r="F116" i="1" s="1"/>
  <c r="G117" i="1"/>
  <c r="F117" i="1" s="1"/>
  <c r="G118" i="1"/>
  <c r="F118" i="1" s="1"/>
  <c r="G119" i="1"/>
  <c r="F119" i="1" s="1"/>
  <c r="G120" i="1"/>
  <c r="F120" i="1" s="1"/>
  <c r="G121" i="1"/>
  <c r="F121" i="1" s="1"/>
  <c r="G122" i="1"/>
  <c r="F122" i="1" s="1"/>
  <c r="D4" i="6" l="1"/>
  <c r="C4" i="6" s="1"/>
  <c r="D3" i="6" l="1"/>
  <c r="C3" i="6" s="1"/>
  <c r="D4" i="5"/>
  <c r="C4" i="5" s="1"/>
  <c r="D3" i="5"/>
  <c r="C3" i="5" s="1"/>
  <c r="G5" i="1"/>
  <c r="F5" i="1" s="1"/>
  <c r="A4" i="2"/>
  <c r="A5" i="2" s="1"/>
  <c r="B4" i="2" s="1"/>
  <c r="A6" i="2" l="1"/>
  <c r="B6" i="2" l="1"/>
  <c r="A7" i="2"/>
  <c r="A8" i="2" l="1"/>
  <c r="B7" i="2"/>
  <c r="A9" i="2" l="1"/>
  <c r="B8" i="2"/>
  <c r="A10" i="2" l="1"/>
  <c r="B10" i="2" s="1"/>
  <c r="B9" i="2"/>
  <c r="A11" i="2" l="1"/>
  <c r="B5" i="2"/>
  <c r="A12" i="2" l="1"/>
  <c r="B11" i="2"/>
  <c r="A13" i="2" l="1"/>
  <c r="B12" i="2"/>
  <c r="A14" i="2" l="1"/>
  <c r="B13" i="2"/>
  <c r="A15" i="2" l="1"/>
  <c r="B14" i="2"/>
  <c r="A16" i="2" l="1"/>
  <c r="B15" i="2"/>
  <c r="A17" i="2" l="1"/>
  <c r="B16" i="2"/>
  <c r="A18" i="2" l="1"/>
  <c r="B17" i="2"/>
  <c r="A19" i="2" l="1"/>
  <c r="B18" i="2"/>
  <c r="A20" i="2" l="1"/>
  <c r="B19" i="2"/>
  <c r="A21" i="2" l="1"/>
  <c r="B20" i="2"/>
  <c r="A22" i="2" l="1"/>
  <c r="B21" i="2"/>
  <c r="A23" i="2" l="1"/>
  <c r="B22" i="2"/>
  <c r="A24" i="2" l="1"/>
  <c r="B23" i="2"/>
  <c r="A25" i="2" l="1"/>
  <c r="B24" i="2"/>
  <c r="A26" i="2" l="1"/>
  <c r="B25" i="2"/>
  <c r="A27" i="2" l="1"/>
  <c r="B26" i="2"/>
  <c r="A28" i="2" l="1"/>
  <c r="B27" i="2"/>
  <c r="A29" i="2" l="1"/>
  <c r="B28" i="2"/>
  <c r="A30" i="2" l="1"/>
  <c r="B29" i="2"/>
  <c r="A31" i="2" l="1"/>
  <c r="B30" i="2"/>
  <c r="A32" i="2" l="1"/>
  <c r="B31" i="2"/>
  <c r="A33" i="2" l="1"/>
  <c r="B32" i="2"/>
  <c r="A34" i="2" l="1"/>
  <c r="B33" i="2"/>
  <c r="A35" i="2" l="1"/>
  <c r="B34" i="2"/>
  <c r="A36" i="2" l="1"/>
  <c r="B35" i="2"/>
  <c r="A37" i="2" l="1"/>
  <c r="B36" i="2"/>
  <c r="A38" i="2" l="1"/>
  <c r="B37" i="2"/>
  <c r="A39" i="2" l="1"/>
  <c r="B38" i="2"/>
  <c r="A40" i="2" l="1"/>
  <c r="B39" i="2"/>
  <c r="A41" i="2" l="1"/>
  <c r="B40" i="2"/>
  <c r="C34" i="2" s="1"/>
  <c r="C36" i="2" l="1"/>
  <c r="C35" i="2"/>
  <c r="C38" i="2"/>
  <c r="C39" i="2"/>
  <c r="C37" i="2"/>
  <c r="C40" i="2"/>
  <c r="C7" i="2"/>
  <c r="C10" i="2"/>
  <c r="C8" i="2"/>
  <c r="C6" i="2"/>
  <c r="C9" i="2"/>
  <c r="C11" i="2"/>
  <c r="C5" i="2"/>
  <c r="C13" i="2"/>
  <c r="C14" i="2"/>
  <c r="C12" i="2"/>
  <c r="C15" i="2"/>
  <c r="C16" i="2"/>
  <c r="C17" i="2"/>
  <c r="C18" i="2"/>
  <c r="C19" i="2"/>
  <c r="C20" i="2"/>
  <c r="C21" i="2"/>
  <c r="C22" i="2"/>
  <c r="C23" i="2"/>
  <c r="C25" i="2"/>
  <c r="C24" i="2"/>
  <c r="C26" i="2"/>
  <c r="C27" i="2"/>
  <c r="C28" i="2"/>
  <c r="C29" i="2"/>
  <c r="C30" i="2"/>
  <c r="C32" i="2"/>
  <c r="C31" i="2"/>
  <c r="C33" i="2"/>
  <c r="A42" i="2"/>
  <c r="B41" i="2"/>
  <c r="C41" i="2" s="1"/>
  <c r="A43" i="2" l="1"/>
  <c r="B42" i="2"/>
  <c r="C42" i="2" s="1"/>
  <c r="A44" i="2" l="1"/>
  <c r="B43" i="2"/>
  <c r="C43" i="2" s="1"/>
  <c r="A45" i="2" l="1"/>
  <c r="B44" i="2"/>
  <c r="C44" i="2" s="1"/>
  <c r="A46" i="2" l="1"/>
  <c r="B45" i="2"/>
  <c r="C45" i="2" s="1"/>
  <c r="A47" i="2" l="1"/>
  <c r="B46" i="2"/>
  <c r="C46" i="2" s="1"/>
  <c r="A48" i="2" l="1"/>
  <c r="B47" i="2"/>
  <c r="C47" i="2" s="1"/>
  <c r="A49" i="2" l="1"/>
  <c r="B48" i="2"/>
  <c r="C48" i="2" s="1"/>
  <c r="A50" i="2" l="1"/>
  <c r="B49" i="2"/>
  <c r="C49" i="2" s="1"/>
  <c r="A51" i="2" l="1"/>
  <c r="B50" i="2"/>
  <c r="C50" i="2" s="1"/>
  <c r="A52" i="2" l="1"/>
  <c r="B51" i="2"/>
  <c r="C51" i="2" s="1"/>
  <c r="A53" i="2" l="1"/>
  <c r="B52" i="2"/>
  <c r="C52" i="2" s="1"/>
  <c r="A54" i="2" l="1"/>
  <c r="B53" i="2"/>
  <c r="C53" i="2" s="1"/>
  <c r="A55" i="2" l="1"/>
  <c r="B54" i="2"/>
  <c r="C54" i="2" s="1"/>
  <c r="A56" i="2" l="1"/>
  <c r="B55" i="2"/>
  <c r="C55" i="2" s="1"/>
  <c r="A57" i="2" l="1"/>
  <c r="B56" i="2"/>
  <c r="C56" i="2" s="1"/>
  <c r="A58" i="2" l="1"/>
  <c r="B57" i="2"/>
  <c r="C57" i="2" s="1"/>
  <c r="A59" i="2" l="1"/>
  <c r="B58" i="2"/>
  <c r="C58" i="2" s="1"/>
  <c r="A60" i="2" l="1"/>
  <c r="B59" i="2"/>
  <c r="C59" i="2" s="1"/>
  <c r="A61" i="2" l="1"/>
  <c r="B60" i="2"/>
  <c r="C60" i="2" s="1"/>
  <c r="A62" i="2" l="1"/>
  <c r="B61" i="2"/>
  <c r="C61" i="2" s="1"/>
  <c r="A63" i="2" l="1"/>
  <c r="B62" i="2"/>
  <c r="C62" i="2" s="1"/>
  <c r="A64" i="2" l="1"/>
  <c r="B63" i="2"/>
  <c r="C63" i="2" s="1"/>
  <c r="A65" i="2" l="1"/>
  <c r="B64" i="2"/>
  <c r="C64" i="2" s="1"/>
  <c r="A66" i="2" l="1"/>
  <c r="B65" i="2"/>
  <c r="C65" i="2" s="1"/>
  <c r="A67" i="2" l="1"/>
  <c r="B66" i="2"/>
  <c r="C66" i="2" s="1"/>
  <c r="A68" i="2" l="1"/>
  <c r="B67" i="2"/>
  <c r="C67" i="2" s="1"/>
  <c r="A69" i="2" l="1"/>
  <c r="B68" i="2"/>
  <c r="C68" i="2" s="1"/>
  <c r="A70" i="2" l="1"/>
  <c r="B69" i="2"/>
  <c r="C69" i="2" s="1"/>
  <c r="A71" i="2" l="1"/>
  <c r="B70" i="2"/>
  <c r="C70" i="2" s="1"/>
  <c r="A72" i="2" l="1"/>
  <c r="B71" i="2"/>
  <c r="C71" i="2" s="1"/>
  <c r="A73" i="2" l="1"/>
  <c r="B72" i="2"/>
  <c r="C72" i="2" s="1"/>
  <c r="A74" i="2" l="1"/>
  <c r="B73" i="2"/>
  <c r="C73" i="2" s="1"/>
  <c r="A75" i="2" l="1"/>
  <c r="B74" i="2"/>
  <c r="C74" i="2" s="1"/>
  <c r="A76" i="2" l="1"/>
  <c r="B75" i="2"/>
  <c r="C75" i="2" s="1"/>
  <c r="A77" i="2" l="1"/>
  <c r="B76" i="2"/>
  <c r="C76" i="2" s="1"/>
  <c r="A78" i="2" l="1"/>
  <c r="B77" i="2"/>
  <c r="C77" i="2" s="1"/>
  <c r="A79" i="2" l="1"/>
  <c r="B78" i="2"/>
  <c r="C78" i="2" s="1"/>
  <c r="A80" i="2" l="1"/>
  <c r="B79" i="2"/>
  <c r="C79" i="2" s="1"/>
  <c r="A81" i="2" l="1"/>
  <c r="B80" i="2"/>
  <c r="C80" i="2" s="1"/>
  <c r="A82" i="2" l="1"/>
  <c r="B81" i="2"/>
  <c r="C81" i="2" s="1"/>
  <c r="A83" i="2" l="1"/>
  <c r="B82" i="2"/>
  <c r="C82" i="2" s="1"/>
  <c r="A84" i="2" l="1"/>
  <c r="B83" i="2"/>
  <c r="C83" i="2" s="1"/>
  <c r="A85" i="2" l="1"/>
  <c r="B84" i="2"/>
  <c r="C84" i="2" s="1"/>
  <c r="A86" i="2" l="1"/>
  <c r="B85" i="2"/>
  <c r="C85" i="2" s="1"/>
  <c r="A87" i="2" l="1"/>
  <c r="B86" i="2"/>
  <c r="C86" i="2" s="1"/>
  <c r="A88" i="2" l="1"/>
  <c r="B87" i="2"/>
  <c r="C87" i="2" s="1"/>
  <c r="A89" i="2" l="1"/>
  <c r="B88" i="2"/>
  <c r="C88" i="2" s="1"/>
  <c r="A90" i="2" l="1"/>
  <c r="B89" i="2"/>
  <c r="C89" i="2" s="1"/>
  <c r="A91" i="2" l="1"/>
  <c r="B90" i="2"/>
  <c r="C90" i="2" s="1"/>
  <c r="A92" i="2" l="1"/>
  <c r="B91" i="2"/>
  <c r="C91" i="2" s="1"/>
  <c r="A93" i="2" l="1"/>
  <c r="B92" i="2"/>
  <c r="C92" i="2" s="1"/>
  <c r="A94" i="2" l="1"/>
  <c r="B93" i="2"/>
  <c r="C93" i="2" s="1"/>
  <c r="A95" i="2" l="1"/>
  <c r="B94" i="2"/>
  <c r="C94" i="2" s="1"/>
  <c r="A96" i="2" l="1"/>
  <c r="B95" i="2"/>
  <c r="C95" i="2" s="1"/>
  <c r="A97" i="2" l="1"/>
  <c r="B96" i="2"/>
  <c r="C96" i="2" s="1"/>
  <c r="A98" i="2" l="1"/>
  <c r="B97" i="2"/>
  <c r="C97" i="2" s="1"/>
  <c r="A99" i="2" l="1"/>
  <c r="B98" i="2"/>
  <c r="C98" i="2" s="1"/>
  <c r="A100" i="2" l="1"/>
  <c r="B99" i="2"/>
  <c r="C99" i="2" s="1"/>
  <c r="A101" i="2" l="1"/>
  <c r="B100" i="2"/>
  <c r="C100" i="2" s="1"/>
  <c r="A102" i="2" l="1"/>
  <c r="B101" i="2"/>
  <c r="C101" i="2" s="1"/>
  <c r="A103" i="2" l="1"/>
  <c r="B102" i="2"/>
  <c r="C102" i="2" s="1"/>
  <c r="A104" i="2" l="1"/>
  <c r="B103" i="2"/>
  <c r="C103" i="2" s="1"/>
  <c r="A105" i="2" l="1"/>
  <c r="B104" i="2"/>
  <c r="C104" i="2" s="1"/>
  <c r="A106" i="2" l="1"/>
  <c r="B105" i="2"/>
  <c r="C105" i="2" s="1"/>
  <c r="A107" i="2" l="1"/>
  <c r="B106" i="2"/>
  <c r="C106" i="2" s="1"/>
  <c r="A108" i="2" l="1"/>
  <c r="B107" i="2"/>
  <c r="C107" i="2" s="1"/>
  <c r="A109" i="2" l="1"/>
  <c r="B108" i="2"/>
  <c r="C108" i="2" s="1"/>
  <c r="A110" i="2" l="1"/>
  <c r="B109" i="2"/>
  <c r="C109" i="2" s="1"/>
  <c r="A111" i="2" l="1"/>
  <c r="B110" i="2"/>
  <c r="C110" i="2" s="1"/>
  <c r="A112" i="2" l="1"/>
  <c r="B111" i="2"/>
  <c r="C111" i="2" s="1"/>
  <c r="A113" i="2" l="1"/>
  <c r="B112" i="2"/>
  <c r="C112" i="2" s="1"/>
  <c r="A114" i="2" l="1"/>
  <c r="B113" i="2"/>
  <c r="C113" i="2" s="1"/>
  <c r="A115" i="2" l="1"/>
  <c r="B114" i="2"/>
  <c r="C114" i="2" s="1"/>
  <c r="A116" i="2" l="1"/>
  <c r="B115" i="2"/>
  <c r="C115" i="2" s="1"/>
  <c r="A117" i="2" l="1"/>
  <c r="B116" i="2"/>
  <c r="C116" i="2" s="1"/>
  <c r="A118" i="2" l="1"/>
  <c r="B117" i="2"/>
  <c r="C117" i="2" s="1"/>
  <c r="A119" i="2" l="1"/>
  <c r="B118" i="2"/>
  <c r="C118" i="2" s="1"/>
  <c r="A120" i="2" l="1"/>
  <c r="B119" i="2"/>
  <c r="C119" i="2" s="1"/>
  <c r="A121" i="2" l="1"/>
  <c r="B120" i="2"/>
  <c r="C120" i="2" s="1"/>
  <c r="A122" i="2" l="1"/>
  <c r="B121" i="2"/>
  <c r="C121" i="2" s="1"/>
  <c r="A123" i="2" l="1"/>
  <c r="B122" i="2"/>
  <c r="C122" i="2" s="1"/>
  <c r="A124" i="2" l="1"/>
  <c r="B123" i="2"/>
  <c r="C123" i="2" s="1"/>
  <c r="A125" i="2" l="1"/>
  <c r="B124" i="2"/>
  <c r="C124" i="2" s="1"/>
  <c r="A126" i="2" l="1"/>
  <c r="B125" i="2"/>
  <c r="C125" i="2" s="1"/>
  <c r="A127" i="2" l="1"/>
  <c r="B126" i="2"/>
  <c r="C126" i="2" s="1"/>
  <c r="A128" i="2" l="1"/>
  <c r="B127" i="2"/>
  <c r="C127" i="2" s="1"/>
  <c r="A129" i="2" l="1"/>
  <c r="B128" i="2"/>
  <c r="C128" i="2" s="1"/>
  <c r="A130" i="2" l="1"/>
  <c r="B129" i="2"/>
  <c r="C129" i="2" s="1"/>
  <c r="A131" i="2" l="1"/>
  <c r="B130" i="2"/>
  <c r="C130" i="2" s="1"/>
  <c r="A132" i="2" l="1"/>
  <c r="B131" i="2"/>
  <c r="C131" i="2" s="1"/>
  <c r="A133" i="2" l="1"/>
  <c r="B132" i="2"/>
  <c r="C132" i="2" s="1"/>
  <c r="A134" i="2" l="1"/>
  <c r="B133" i="2"/>
  <c r="C133" i="2" s="1"/>
  <c r="A135" i="2" l="1"/>
  <c r="B134" i="2"/>
  <c r="C134" i="2" l="1"/>
  <c r="C4" i="2"/>
  <c r="A136" i="2"/>
  <c r="B135" i="2"/>
  <c r="C135" i="2" s="1"/>
  <c r="A137" i="2" l="1"/>
  <c r="B136" i="2"/>
  <c r="C136" i="2" s="1"/>
  <c r="A138" i="2" l="1"/>
  <c r="B137" i="2"/>
  <c r="C137" i="2" s="1"/>
  <c r="A139" i="2" l="1"/>
  <c r="B138" i="2"/>
  <c r="C138" i="2" s="1"/>
  <c r="A140" i="2" l="1"/>
  <c r="B139" i="2"/>
  <c r="C139" i="2" s="1"/>
  <c r="A141" i="2" l="1"/>
  <c r="B140" i="2"/>
  <c r="C140" i="2" s="1"/>
  <c r="A142" i="2" l="1"/>
  <c r="B141" i="2"/>
  <c r="C141" i="2" s="1"/>
  <c r="A143" i="2" l="1"/>
  <c r="B142" i="2"/>
  <c r="C142" i="2" s="1"/>
  <c r="A144" i="2" l="1"/>
  <c r="B143" i="2"/>
  <c r="A145" i="2" l="1"/>
  <c r="B144" i="2"/>
  <c r="A146" i="2" l="1"/>
  <c r="B145" i="2"/>
  <c r="A147" i="2" l="1"/>
  <c r="B146" i="2"/>
  <c r="A148" i="2" l="1"/>
  <c r="B147" i="2"/>
  <c r="A149" i="2" l="1"/>
  <c r="B148" i="2"/>
  <c r="A150" i="2" l="1"/>
  <c r="B149" i="2"/>
  <c r="A151" i="2" l="1"/>
  <c r="B150" i="2"/>
  <c r="A152" i="2" l="1"/>
  <c r="B151" i="2"/>
  <c r="A153" i="2" l="1"/>
  <c r="B152" i="2"/>
  <c r="A154" i="2" l="1"/>
  <c r="B153" i="2"/>
  <c r="A155" i="2" l="1"/>
  <c r="B154" i="2"/>
  <c r="A156" i="2" l="1"/>
  <c r="B155" i="2"/>
  <c r="A157" i="2" l="1"/>
  <c r="B156" i="2"/>
  <c r="A158" i="2" l="1"/>
  <c r="B157" i="2"/>
  <c r="A159" i="2" l="1"/>
  <c r="B158" i="2"/>
  <c r="A160" i="2" l="1"/>
  <c r="B159" i="2"/>
  <c r="A161" i="2" l="1"/>
  <c r="B160" i="2"/>
  <c r="A162" i="2" l="1"/>
  <c r="B161" i="2"/>
  <c r="A163" i="2" l="1"/>
  <c r="B162" i="2"/>
  <c r="A164" i="2" l="1"/>
  <c r="B163" i="2"/>
  <c r="A165" i="2" l="1"/>
  <c r="B164" i="2"/>
  <c r="A166" i="2" l="1"/>
  <c r="B165" i="2"/>
  <c r="A167" i="2" l="1"/>
  <c r="B166" i="2"/>
  <c r="A168" i="2" l="1"/>
  <c r="B167" i="2"/>
  <c r="A169" i="2" l="1"/>
  <c r="B168" i="2"/>
  <c r="A170" i="2" l="1"/>
  <c r="B169" i="2"/>
  <c r="A171" i="2" l="1"/>
  <c r="B170" i="2"/>
  <c r="A172" i="2" l="1"/>
  <c r="B171" i="2"/>
  <c r="A173" i="2" l="1"/>
  <c r="B172" i="2"/>
  <c r="A174" i="2" l="1"/>
  <c r="B173" i="2"/>
  <c r="A175" i="2" l="1"/>
  <c r="B174" i="2"/>
  <c r="A176" i="2" l="1"/>
  <c r="B175" i="2"/>
  <c r="A177" i="2" l="1"/>
  <c r="B176" i="2"/>
  <c r="A178" i="2" l="1"/>
  <c r="B177" i="2"/>
  <c r="A179" i="2" l="1"/>
  <c r="B178" i="2"/>
  <c r="A180" i="2" l="1"/>
  <c r="B179" i="2"/>
  <c r="A181" i="2" l="1"/>
  <c r="B180" i="2"/>
  <c r="A182" i="2" l="1"/>
  <c r="B181" i="2"/>
  <c r="A183" i="2" l="1"/>
  <c r="B182" i="2"/>
  <c r="A184" i="2" l="1"/>
  <c r="B183" i="2"/>
  <c r="A185" i="2" l="1"/>
  <c r="B184" i="2"/>
  <c r="A186" i="2" l="1"/>
  <c r="B185" i="2"/>
  <c r="A187" i="2" l="1"/>
  <c r="B186" i="2"/>
  <c r="A188" i="2" l="1"/>
  <c r="B187" i="2"/>
  <c r="A189" i="2" l="1"/>
  <c r="B188" i="2"/>
  <c r="A190" i="2" l="1"/>
  <c r="B189" i="2"/>
  <c r="A191" i="2" l="1"/>
  <c r="B190" i="2"/>
  <c r="A192" i="2" l="1"/>
  <c r="B191" i="2"/>
  <c r="A193" i="2" l="1"/>
  <c r="B192" i="2"/>
  <c r="A194" i="2" l="1"/>
  <c r="B193" i="2"/>
  <c r="A195" i="2" l="1"/>
  <c r="B194" i="2"/>
  <c r="A196" i="2" l="1"/>
  <c r="B195" i="2"/>
  <c r="A197" i="2" l="1"/>
  <c r="B196" i="2"/>
  <c r="A198" i="2" l="1"/>
  <c r="B197" i="2"/>
  <c r="A199" i="2" l="1"/>
  <c r="B198" i="2"/>
  <c r="A200" i="2" l="1"/>
  <c r="B199" i="2"/>
  <c r="A201" i="2" l="1"/>
  <c r="B200" i="2"/>
  <c r="A202" i="2" l="1"/>
  <c r="B201" i="2"/>
  <c r="A203" i="2" l="1"/>
  <c r="B202" i="2"/>
  <c r="A204" i="2" l="1"/>
  <c r="B203" i="2"/>
  <c r="A205" i="2" l="1"/>
  <c r="B204" i="2"/>
  <c r="A206" i="2" l="1"/>
  <c r="B205" i="2"/>
  <c r="A207" i="2" l="1"/>
  <c r="B206" i="2"/>
  <c r="A208" i="2" l="1"/>
  <c r="B207" i="2"/>
  <c r="A209" i="2" l="1"/>
  <c r="B208" i="2"/>
  <c r="A210" i="2" l="1"/>
  <c r="B209" i="2"/>
  <c r="A211" i="2" l="1"/>
  <c r="B210" i="2"/>
  <c r="A212" i="2" l="1"/>
  <c r="B211" i="2"/>
  <c r="A213" i="2" l="1"/>
  <c r="B212" i="2"/>
  <c r="A214" i="2" l="1"/>
  <c r="B213" i="2"/>
  <c r="A215" i="2" l="1"/>
  <c r="B214" i="2"/>
  <c r="A216" i="2" l="1"/>
  <c r="B215" i="2"/>
  <c r="A217" i="2" l="1"/>
  <c r="B216" i="2"/>
  <c r="A218" i="2" l="1"/>
  <c r="B217" i="2"/>
  <c r="A219" i="2" l="1"/>
  <c r="B218" i="2"/>
  <c r="A220" i="2" l="1"/>
  <c r="B219" i="2"/>
  <c r="A221" i="2" l="1"/>
  <c r="B220" i="2"/>
  <c r="A222" i="2" l="1"/>
  <c r="B221" i="2"/>
  <c r="A223" i="2" l="1"/>
  <c r="B222" i="2"/>
  <c r="A224" i="2" l="1"/>
  <c r="B223" i="2"/>
  <c r="A225" i="2" l="1"/>
  <c r="B224" i="2"/>
  <c r="A226" i="2" l="1"/>
  <c r="B225" i="2"/>
  <c r="A227" i="2" l="1"/>
  <c r="B226" i="2"/>
  <c r="A228" i="2" l="1"/>
  <c r="B227" i="2"/>
  <c r="A229" i="2" l="1"/>
  <c r="B228" i="2"/>
  <c r="A230" i="2" l="1"/>
  <c r="B229" i="2"/>
  <c r="A231" i="2" l="1"/>
  <c r="B230" i="2"/>
  <c r="A232" i="2" l="1"/>
  <c r="B231" i="2"/>
  <c r="A233" i="2" l="1"/>
  <c r="B232" i="2"/>
  <c r="A234" i="2" l="1"/>
  <c r="B233" i="2"/>
  <c r="A235" i="2" l="1"/>
  <c r="B234" i="2"/>
  <c r="A236" i="2" l="1"/>
  <c r="B235" i="2"/>
  <c r="A237" i="2" l="1"/>
  <c r="B236" i="2"/>
  <c r="A238" i="2" l="1"/>
  <c r="B237" i="2"/>
  <c r="A239" i="2" l="1"/>
  <c r="B238" i="2"/>
  <c r="A240" i="2" l="1"/>
  <c r="B239" i="2"/>
  <c r="A241" i="2" l="1"/>
  <c r="B240" i="2"/>
  <c r="A242" i="2" l="1"/>
  <c r="B241" i="2"/>
  <c r="A243" i="2" l="1"/>
  <c r="B242" i="2"/>
  <c r="D9" i="2" l="1"/>
  <c r="D7" i="2"/>
  <c r="D10" i="2"/>
  <c r="D8" i="2"/>
  <c r="D6" i="2"/>
  <c r="D12" i="2"/>
  <c r="D11" i="2"/>
  <c r="D5" i="2"/>
  <c r="D13" i="2"/>
  <c r="D14" i="2"/>
  <c r="D16" i="2"/>
  <c r="D15" i="2"/>
  <c r="D17" i="2"/>
  <c r="D18" i="2"/>
  <c r="D20" i="2"/>
  <c r="D19" i="2"/>
  <c r="D22" i="2"/>
  <c r="D21" i="2"/>
  <c r="D23" i="2"/>
  <c r="D24" i="2"/>
  <c r="D25" i="2"/>
  <c r="D26" i="2"/>
  <c r="D27" i="2"/>
  <c r="D29" i="2"/>
  <c r="D28" i="2"/>
  <c r="D31" i="2"/>
  <c r="D30" i="2"/>
  <c r="D32" i="2"/>
  <c r="D33" i="2"/>
  <c r="D34" i="2"/>
  <c r="D35" i="2"/>
  <c r="D36" i="2"/>
  <c r="D37" i="2"/>
  <c r="D39" i="2"/>
  <c r="D38" i="2"/>
  <c r="D40" i="2"/>
  <c r="D42" i="2"/>
  <c r="D41" i="2"/>
  <c r="D43" i="2"/>
  <c r="D45" i="2"/>
  <c r="D44" i="2"/>
  <c r="D46" i="2"/>
  <c r="D47" i="2"/>
  <c r="D48" i="2"/>
  <c r="D49" i="2"/>
  <c r="D50" i="2"/>
  <c r="D53" i="2"/>
  <c r="D51" i="2"/>
  <c r="D54" i="2"/>
  <c r="D52" i="2"/>
  <c r="D56" i="2"/>
  <c r="D55" i="2"/>
  <c r="D59" i="2"/>
  <c r="D57" i="2"/>
  <c r="D58" i="2"/>
  <c r="D60" i="2"/>
  <c r="D61" i="2"/>
  <c r="D62" i="2"/>
  <c r="D63" i="2"/>
  <c r="D64" i="2"/>
  <c r="D65" i="2"/>
  <c r="D66" i="2"/>
  <c r="D68" i="2"/>
  <c r="D67" i="2"/>
  <c r="D69" i="2"/>
  <c r="D70" i="2"/>
  <c r="D71" i="2"/>
  <c r="D72" i="2"/>
  <c r="D73" i="2"/>
  <c r="D74" i="2"/>
  <c r="D76" i="2"/>
  <c r="D77" i="2"/>
  <c r="D75" i="2"/>
  <c r="D78" i="2"/>
  <c r="D79" i="2"/>
  <c r="D82" i="2"/>
  <c r="D80" i="2"/>
  <c r="D81" i="2"/>
  <c r="D83" i="2"/>
  <c r="D84" i="2"/>
  <c r="D85" i="2"/>
  <c r="D86" i="2"/>
  <c r="D87" i="2"/>
  <c r="D91" i="2"/>
  <c r="D89" i="2"/>
  <c r="D92" i="2"/>
  <c r="D88" i="2"/>
  <c r="D90" i="2"/>
  <c r="D93" i="2"/>
  <c r="D94" i="2"/>
  <c r="D95" i="2"/>
  <c r="D97" i="2"/>
  <c r="D96" i="2"/>
  <c r="D98" i="2"/>
  <c r="D99" i="2"/>
  <c r="D101" i="2"/>
  <c r="D103" i="2"/>
  <c r="D102" i="2"/>
  <c r="D100" i="2"/>
  <c r="D104" i="2"/>
  <c r="D106" i="2"/>
  <c r="D107" i="2"/>
  <c r="D105" i="2"/>
  <c r="D108" i="2"/>
  <c r="D109" i="2"/>
  <c r="D111" i="2"/>
  <c r="D110" i="2"/>
  <c r="D113" i="2"/>
  <c r="D112" i="2"/>
  <c r="D115" i="2"/>
  <c r="D114" i="2"/>
  <c r="D118" i="2"/>
  <c r="D116" i="2"/>
  <c r="D117" i="2"/>
  <c r="D119" i="2"/>
  <c r="D120" i="2"/>
  <c r="D121" i="2"/>
  <c r="D125" i="2"/>
  <c r="D122" i="2"/>
  <c r="D123" i="2"/>
  <c r="D126" i="2"/>
  <c r="D124" i="2"/>
  <c r="D127" i="2"/>
  <c r="D128" i="2"/>
  <c r="D129" i="2"/>
  <c r="D130" i="2"/>
  <c r="D131" i="2"/>
  <c r="D132" i="2"/>
  <c r="D133" i="2"/>
  <c r="D134" i="2"/>
  <c r="D135" i="2"/>
  <c r="D137" i="2"/>
  <c r="D136" i="2"/>
  <c r="D139" i="2"/>
  <c r="D138" i="2"/>
  <c r="D142" i="2"/>
  <c r="D140" i="2"/>
  <c r="D141" i="2"/>
  <c r="D4" i="2"/>
  <c r="A244" i="2"/>
  <c r="B243" i="2"/>
  <c r="F68" i="2" l="1"/>
  <c r="E68" i="2"/>
  <c r="F58" i="2"/>
  <c r="E58" i="2"/>
  <c r="F53" i="2"/>
  <c r="E53" i="2"/>
  <c r="E43" i="2"/>
  <c r="F43" i="2"/>
  <c r="E35" i="2"/>
  <c r="F35" i="2"/>
  <c r="F27" i="2"/>
  <c r="E27" i="2"/>
  <c r="F20" i="2"/>
  <c r="E20" i="2"/>
  <c r="F11" i="2"/>
  <c r="E11" i="2"/>
  <c r="E66" i="2"/>
  <c r="F66" i="2"/>
  <c r="F57" i="2"/>
  <c r="E57" i="2"/>
  <c r="E50" i="2"/>
  <c r="F50" i="2"/>
  <c r="F41" i="2"/>
  <c r="E41" i="2"/>
  <c r="E34" i="2"/>
  <c r="F34" i="2"/>
  <c r="E26" i="2"/>
  <c r="F26" i="2"/>
  <c r="F18" i="2"/>
  <c r="E18" i="2"/>
  <c r="E12" i="2"/>
  <c r="F12" i="2"/>
  <c r="F65" i="2"/>
  <c r="E65" i="2"/>
  <c r="E59" i="2"/>
  <c r="F59" i="2"/>
  <c r="F49" i="2"/>
  <c r="E49" i="2"/>
  <c r="E42" i="2"/>
  <c r="F42" i="2"/>
  <c r="F33" i="2"/>
  <c r="E33" i="2"/>
  <c r="E25" i="2"/>
  <c r="F25" i="2"/>
  <c r="F17" i="2"/>
  <c r="E17" i="2"/>
  <c r="F6" i="2"/>
  <c r="E6" i="2"/>
  <c r="F72" i="2"/>
  <c r="E72" i="2"/>
  <c r="E64" i="2"/>
  <c r="F64" i="2"/>
  <c r="E55" i="2"/>
  <c r="F55" i="2"/>
  <c r="E48" i="2"/>
  <c r="F48" i="2"/>
  <c r="F40" i="2"/>
  <c r="E40" i="2"/>
  <c r="E32" i="2"/>
  <c r="F32" i="2"/>
  <c r="F24" i="2"/>
  <c r="E24" i="2"/>
  <c r="F15" i="2"/>
  <c r="E15" i="2"/>
  <c r="E8" i="2"/>
  <c r="F8" i="2"/>
  <c r="E71" i="2"/>
  <c r="F71" i="2"/>
  <c r="F63" i="2"/>
  <c r="E63" i="2"/>
  <c r="F56" i="2"/>
  <c r="E56" i="2"/>
  <c r="E47" i="2"/>
  <c r="F47" i="2"/>
  <c r="E38" i="2"/>
  <c r="F38" i="2"/>
  <c r="E30" i="2"/>
  <c r="F30" i="2"/>
  <c r="F23" i="2"/>
  <c r="E23" i="2"/>
  <c r="F16" i="2"/>
  <c r="E16" i="2"/>
  <c r="E10" i="2"/>
  <c r="F10" i="2"/>
  <c r="E70" i="2"/>
  <c r="F70" i="2"/>
  <c r="F62" i="2"/>
  <c r="E62" i="2"/>
  <c r="E52" i="2"/>
  <c r="F52" i="2"/>
  <c r="F46" i="2"/>
  <c r="E46" i="2"/>
  <c r="E39" i="2"/>
  <c r="F39" i="2"/>
  <c r="E31" i="2"/>
  <c r="F31" i="2"/>
  <c r="E21" i="2"/>
  <c r="F21" i="2"/>
  <c r="F14" i="2"/>
  <c r="E14" i="2"/>
  <c r="F7" i="2"/>
  <c r="E7" i="2"/>
  <c r="E69" i="2"/>
  <c r="F69" i="2"/>
  <c r="F61" i="2"/>
  <c r="E61" i="2"/>
  <c r="E54" i="2"/>
  <c r="F54" i="2"/>
  <c r="F44" i="2"/>
  <c r="E44" i="2"/>
  <c r="E37" i="2"/>
  <c r="F37" i="2"/>
  <c r="E28" i="2"/>
  <c r="F28" i="2"/>
  <c r="F22" i="2"/>
  <c r="E22" i="2"/>
  <c r="E13" i="2"/>
  <c r="F13" i="2"/>
  <c r="F9" i="2"/>
  <c r="E9" i="2"/>
  <c r="F67" i="2"/>
  <c r="E67" i="2"/>
  <c r="E60" i="2"/>
  <c r="F60" i="2"/>
  <c r="F51" i="2"/>
  <c r="E51" i="2"/>
  <c r="F45" i="2"/>
  <c r="E45" i="2"/>
  <c r="F36" i="2"/>
  <c r="E36" i="2"/>
  <c r="E29" i="2"/>
  <c r="F29" i="2"/>
  <c r="E19" i="2"/>
  <c r="F19" i="2"/>
  <c r="F5" i="2"/>
  <c r="E5" i="2"/>
  <c r="E4" i="2"/>
  <c r="F4" i="2"/>
  <c r="A245" i="2"/>
  <c r="B244" i="2"/>
  <c r="A246" i="2" l="1"/>
  <c r="B245" i="2"/>
  <c r="A247" i="2" l="1"/>
  <c r="B246" i="2"/>
  <c r="A248" i="2" l="1"/>
  <c r="B247" i="2"/>
  <c r="A249" i="2" l="1"/>
  <c r="B248" i="2"/>
  <c r="A250" i="2" l="1"/>
  <c r="B249" i="2"/>
  <c r="A251" i="2" l="1"/>
  <c r="B250" i="2"/>
  <c r="A252" i="2" l="1"/>
  <c r="B251" i="2"/>
  <c r="A253" i="2" l="1"/>
  <c r="B252" i="2"/>
  <c r="A254" i="2" l="1"/>
  <c r="B253" i="2"/>
  <c r="A255" i="2" l="1"/>
  <c r="B254" i="2"/>
  <c r="A256" i="2" l="1"/>
  <c r="B255" i="2"/>
  <c r="A257" i="2" l="1"/>
  <c r="B256" i="2"/>
  <c r="A258" i="2" l="1"/>
  <c r="B257" i="2"/>
  <c r="A259" i="2" l="1"/>
  <c r="B258" i="2"/>
  <c r="A260" i="2" l="1"/>
  <c r="B259" i="2"/>
  <c r="A261" i="2" l="1"/>
  <c r="B260" i="2"/>
  <c r="A262" i="2" l="1"/>
  <c r="B261" i="2"/>
  <c r="A263" i="2" l="1"/>
  <c r="B262" i="2"/>
  <c r="A264" i="2" l="1"/>
  <c r="B263" i="2"/>
  <c r="A265" i="2" l="1"/>
  <c r="B264" i="2"/>
  <c r="A266" i="2" l="1"/>
  <c r="B265" i="2"/>
  <c r="A267" i="2" l="1"/>
  <c r="B266" i="2"/>
  <c r="A268" i="2" l="1"/>
  <c r="B267" i="2"/>
  <c r="A269" i="2" l="1"/>
  <c r="B268" i="2"/>
  <c r="A270" i="2" l="1"/>
  <c r="B269" i="2"/>
  <c r="A271" i="2" l="1"/>
  <c r="B270" i="2"/>
  <c r="A272" i="2" l="1"/>
  <c r="B271" i="2"/>
  <c r="A273" i="2" l="1"/>
  <c r="B272" i="2"/>
  <c r="A274" i="2" l="1"/>
  <c r="B273" i="2"/>
  <c r="A275" i="2" l="1"/>
  <c r="B274" i="2"/>
  <c r="A276" i="2" l="1"/>
  <c r="B275" i="2"/>
  <c r="A277" i="2" l="1"/>
  <c r="B276" i="2"/>
  <c r="A278" i="2" l="1"/>
  <c r="B277" i="2"/>
  <c r="A279" i="2" l="1"/>
  <c r="B278" i="2"/>
  <c r="A280" i="2" l="1"/>
  <c r="B279" i="2"/>
  <c r="A281" i="2" l="1"/>
  <c r="B280" i="2"/>
  <c r="A282" i="2" l="1"/>
  <c r="B281" i="2"/>
  <c r="A283" i="2" l="1"/>
  <c r="B282" i="2"/>
  <c r="A284" i="2" l="1"/>
  <c r="B283" i="2"/>
  <c r="A285" i="2" l="1"/>
  <c r="B284" i="2"/>
  <c r="A286" i="2" l="1"/>
  <c r="B285" i="2"/>
  <c r="A287" i="2" l="1"/>
  <c r="B286" i="2"/>
  <c r="A288" i="2" l="1"/>
  <c r="B287" i="2"/>
  <c r="A289" i="2" l="1"/>
  <c r="B288" i="2"/>
  <c r="A290" i="2" l="1"/>
  <c r="B289" i="2"/>
  <c r="A291" i="2" l="1"/>
  <c r="B290" i="2"/>
  <c r="A292" i="2" l="1"/>
  <c r="B291" i="2"/>
  <c r="A293" i="2" l="1"/>
  <c r="B292" i="2"/>
  <c r="A294" i="2" l="1"/>
  <c r="B293" i="2"/>
  <c r="A295" i="2" l="1"/>
  <c r="B295" i="2" s="1"/>
  <c r="B294" i="2"/>
</calcChain>
</file>

<file path=xl/sharedStrings.xml><?xml version="1.0" encoding="utf-8"?>
<sst xmlns="http://schemas.openxmlformats.org/spreadsheetml/2006/main" count="2914" uniqueCount="1016">
  <si>
    <t>Sentence</t>
  </si>
  <si>
    <t>No</t>
  </si>
  <si>
    <t>Type</t>
  </si>
  <si>
    <t>Viet</t>
  </si>
  <si>
    <t>Eng</t>
  </si>
  <si>
    <t>Phon</t>
  </si>
  <si>
    <t>From</t>
  </si>
  <si>
    <t>To</t>
  </si>
  <si>
    <t>ID</t>
  </si>
  <si>
    <t>Link</t>
  </si>
  <si>
    <t>Copy Google drive to …</t>
  </si>
  <si>
    <t>Struc</t>
  </si>
  <si>
    <t>1.3</t>
  </si>
  <si>
    <t>1.1</t>
  </si>
  <si>
    <t>1.2</t>
  </si>
  <si>
    <t>2.1</t>
  </si>
  <si>
    <t>2.3</t>
  </si>
  <si>
    <t>2.2</t>
  </si>
  <si>
    <t>3.1</t>
  </si>
  <si>
    <t>3.2</t>
  </si>
  <si>
    <t>3.3</t>
  </si>
  <si>
    <t>4.1</t>
  </si>
  <si>
    <t>4.2</t>
  </si>
  <si>
    <t>4.3</t>
  </si>
  <si>
    <t>5.1</t>
  </si>
  <si>
    <t>5.2</t>
  </si>
  <si>
    <t>5.3</t>
  </si>
  <si>
    <t>6.1</t>
  </si>
  <si>
    <t>6.2</t>
  </si>
  <si>
    <t>6.3</t>
  </si>
  <si>
    <t>7.1</t>
  </si>
  <si>
    <t>7.2</t>
  </si>
  <si>
    <t>7.3</t>
  </si>
  <si>
    <t>8.1</t>
  </si>
  <si>
    <t>8.2</t>
  </si>
  <si>
    <t>8.3</t>
  </si>
  <si>
    <t>9.1</t>
  </si>
  <si>
    <t>9.2</t>
  </si>
  <si>
    <t>9.3</t>
  </si>
  <si>
    <t>01-05</t>
  </si>
  <si>
    <t>Man</t>
  </si>
  <si>
    <t>Woman</t>
  </si>
  <si>
    <t>4.4</t>
  </si>
  <si>
    <t>5.4</t>
  </si>
  <si>
    <t>7.4</t>
  </si>
  <si>
    <t>8.4</t>
  </si>
  <si>
    <t>p</t>
  </si>
  <si>
    <t>1.4</t>
  </si>
  <si>
    <t>1.5</t>
  </si>
  <si>
    <t>2.4</t>
  </si>
  <si>
    <t>2.5</t>
  </si>
  <si>
    <t>4.5</t>
  </si>
  <si>
    <t>6.4</t>
  </si>
  <si>
    <t>06-09</t>
  </si>
  <si>
    <t>TOPIC: DECLARATIVE SENTENCES</t>
  </si>
  <si>
    <t>1. I’M GOING TO... /Tôi sẽ... /</t>
  </si>
  <si>
    <t>I’m going to take a shower.</t>
  </si>
  <si>
    <t>aɪm ˈgoʊɪŋ tu: teɪk ə ˈʃaʊər</t>
  </si>
  <si>
    <t>I’m going to take a quick nap.</t>
  </si>
  <si>
    <t>aɪm ˈgoʊɪŋ tu: teɪk ə kwɪk næp</t>
  </si>
  <si>
    <t>I’m going to find some evidence.</t>
  </si>
  <si>
    <t>aɪm ˈgoʊɪŋ tu: faɪnd sʌm ˈɛvədəns</t>
  </si>
  <si>
    <t>I’m not going to argue with you.</t>
  </si>
  <si>
    <t>aɪm na:t ˈgoʊɪŋ tu: ˈa:rgju: wɪð ju:</t>
  </si>
  <si>
    <t>I’m not going to be polite to him.</t>
  </si>
  <si>
    <t>aɪm na:t ˈgoʊɪŋ tu: bi: pəˈlaɪt tu: hɪm</t>
  </si>
  <si>
    <t>I’m not going to betray you.</t>
  </si>
  <si>
    <t>aɪm na:t ˈgoʊɪŋ tu: bɪˈtreɪ ju:</t>
  </si>
  <si>
    <t>Are you going to be ok without her?</t>
  </si>
  <si>
    <t>a:r ju: ˈgoʊɪŋ tu: bi: oʊˈkeɪ wɪˈðaʊt hɜ:r</t>
  </si>
  <si>
    <t>Are you going to go out with her?</t>
  </si>
  <si>
    <t>a:r ju: ˈgoʊɪŋ tu: goʊ aʊt wɪð hɜ:r</t>
  </si>
  <si>
    <t>Are you going to be back in the office later?</t>
  </si>
  <si>
    <t>a:r ju: ˈgoʊɪŋ tu: bi: bæk ɪn ði: ˈa:fɪs ˈleɪtər</t>
  </si>
  <si>
    <t>2. I WILL... /Tôi sẽ.../</t>
  </si>
  <si>
    <t>I will tell you this.</t>
  </si>
  <si>
    <t>aɪ wɪl tɛl ju: ðɪs</t>
  </si>
  <si>
    <t>I will change my hairstyle.</t>
  </si>
  <si>
    <t>aɪ wɪl ʧeɪnʤ maɪ ˈhɛrstaɪl</t>
  </si>
  <si>
    <t>I will keep it secret.</t>
  </si>
  <si>
    <t>aɪ wɪl ki:p ɪt ˈsi:krət</t>
  </si>
  <si>
    <t>I won’t do that again.</t>
  </si>
  <si>
    <t>aɪ woʊnt du: ðæt əˈgɛn</t>
  </si>
  <si>
    <t>I won’t let it happen again.</t>
  </si>
  <si>
    <t>aɪ woʊnt lɛt ɪt ˈhæpən əˈgɛn</t>
  </si>
  <si>
    <t>I won’t give up.</t>
  </si>
  <si>
    <t>aɪ woʊnt gɪv ʌp</t>
  </si>
  <si>
    <t>It will be fun.</t>
  </si>
  <si>
    <t>ɪt wɪl bi: fʌn</t>
  </si>
  <si>
    <t>It will take longer than expected.</t>
  </si>
  <si>
    <t>ɪt wɪl teɪk ˈlɔ:ŋgər ðæn ɪkˈspektɪd</t>
  </si>
  <si>
    <t>It will not bore you.</t>
  </si>
  <si>
    <t>ɪt wɪl na:t bɔ:r ju:</t>
  </si>
  <si>
    <t>3. I AM + V-ING... /Tôi sẽ... /</t>
  </si>
  <si>
    <t>I’m leaving in a moment.</t>
  </si>
  <si>
    <t>aɪm ˈli:vɪŋ ɪn ə ˈmoʊmənt</t>
  </si>
  <si>
    <t>I’m getting off the phone.</t>
  </si>
  <si>
    <t>aɪm ˈgɛtɪŋ a:f ðə foʊn</t>
  </si>
  <si>
    <t>I’m getting back to work in an hour.</t>
  </si>
  <si>
    <t>aɪm ˈgɛtɪŋ bæk tu: wɜ:rk ɪn ən ˈaʊər</t>
  </si>
  <si>
    <t>I’m not doing this.</t>
  </si>
  <si>
    <t>aɪm na:t ˈdu:ɪŋ ðɪs</t>
  </si>
  <si>
    <t>I’m not asking you to do this.</t>
  </si>
  <si>
    <t>aɪm na:t ˈæskɪŋ ju: tu: du: ðɪs</t>
  </si>
  <si>
    <t>I’m not losing sleep over it.</t>
  </si>
  <si>
    <t>aɪm na:t ˈlu:zɪŋ sli:p ˈoʊvər ɪt</t>
  </si>
  <si>
    <t>Are you staying for dinner?</t>
  </si>
  <si>
    <t>a:r ju: ˈsteɪɪŋ fɔ:r ˈdɪnər</t>
  </si>
  <si>
    <t>Are you going or not?</t>
  </si>
  <si>
    <t>a:r ju: ˈgoʊɪŋ ɔ:r na:t</t>
  </si>
  <si>
    <t>4. IT IS NOT... /Đấy không phải là.../</t>
  </si>
  <si>
    <t>It’s not about you.</t>
  </si>
  <si>
    <t>ɪts na:t əˈbaʊt ju:</t>
  </si>
  <si>
    <t>It’s not worth it.</t>
  </si>
  <si>
    <t>ɪts na:t wɜ:rθ ɪt</t>
  </si>
  <si>
    <t>It’s not that important.</t>
  </si>
  <si>
    <t>ɪts na:t ðæt ɪmˈpɔ:rtənt</t>
  </si>
  <si>
    <t>It’s not always that simple.</t>
  </si>
  <si>
    <t>ɪts na:t ˈa:lweɪz ðæt ˈsɪmpəl</t>
  </si>
  <si>
    <t>It’s not me he wants to see.</t>
  </si>
  <si>
    <t>ɪts na:t mi: hi: wa:nts tu: si:</t>
  </si>
  <si>
    <t>It’s not me she wants to talk to.</t>
  </si>
  <si>
    <t>ɪts na:t mi: ʃi: wa:nts tu: ta:k tu:</t>
  </si>
  <si>
    <t>It’s not you who should apologize.</t>
  </si>
  <si>
    <t>ɪts na:t ju: hu: ʃʊd əˈpa:ləʤaɪz</t>
  </si>
  <si>
    <t>5. HE/SHE IS NOT THAT... /Anh ấy/cô ấy không đến mức  … vậy/</t>
  </si>
  <si>
    <t>She is not that interesting.</t>
  </si>
  <si>
    <t>ʃi: ɪz na:t ðæt ˈɪntrəstɪŋ</t>
  </si>
  <si>
    <t>He is not that clever.</t>
  </si>
  <si>
    <t>hi: ɪz na:t ðæt ˈklɛvər</t>
  </si>
  <si>
    <t>He is not that bad.</t>
  </si>
  <si>
    <t>hi: ɪz na:t ðæt bæd</t>
  </si>
  <si>
    <t>She is not that beautiful.</t>
  </si>
  <si>
    <t>ʃi: ɪz na:t ðæt ˈbjuːtəfəl</t>
  </si>
  <si>
    <t>6. ACTUALLY/IN FACT/AS A MATTER OF FACT... /Thật ra là/thực tế là.../</t>
  </si>
  <si>
    <t>Actually, he was a nice person.</t>
  </si>
  <si>
    <t>ˈækʧuəli hi: wʌz ə naɪs ˈpɜ:rsən</t>
  </si>
  <si>
    <t>Actually, she stood me up.</t>
  </si>
  <si>
    <t>ˈækʧuəli ʃi: stʊd mi: ʌp</t>
  </si>
  <si>
    <t>I have never actually had the chance.</t>
  </si>
  <si>
    <t>aɪ hæv ˈnɛvər ˈækʧuəli hæd ðə ʧæns</t>
  </si>
  <si>
    <t>I am actually serious about this.</t>
  </si>
  <si>
    <t>aɪ æm ˈækʧuəli ˈsɪriəs əˈbaʊt ðɪs</t>
  </si>
  <si>
    <t>It’s actually exciting.</t>
  </si>
  <si>
    <t>ɪts ˈækʧuəli ɪkˈsaɪtɪŋ</t>
  </si>
  <si>
    <t>In fact, we didn’t discuss the problem.</t>
  </si>
  <si>
    <t>ɪn fækt wi: ˈdɪdənt dɪˈskʌs ðə ˈpra:bləm</t>
  </si>
  <si>
    <t>In fact, they forced me to do it.</t>
  </si>
  <si>
    <t>ɪn fækt ðeɪ fɔ:rst mi: tu: du: ɪt</t>
  </si>
  <si>
    <t>As a matter of fact, I went to college with him.</t>
  </si>
  <si>
    <t>æz ə ˈmætər ʌv fækt aɪ wɛnt tu: ˈka:lɪʤ wɪð hɪm</t>
  </si>
  <si>
    <t>As a matter of fact, he is a complete stranger to me.</t>
  </si>
  <si>
    <t>æz ə ˈmætər ʌv fækt hi: ɪz ə kəmˈpli:t ˈstreɪnʤər tu: mi:</t>
  </si>
  <si>
    <t>7. THERE IS/THERE ARE... /Có.../</t>
  </si>
  <si>
    <t>There is no plan B.</t>
  </si>
  <si>
    <t>ðɛr ɪz noʊ plæn bi:</t>
  </si>
  <si>
    <t>There is no way to control that.</t>
  </si>
  <si>
    <t>ðɛr ɪz noʊ weɪ tu: kənˈtroʊl ðæt</t>
  </si>
  <si>
    <t>There is nothing I can do about it.</t>
  </si>
  <si>
    <t>ðɛr ɪz ˈnʌθɪŋ aɪ kæn du: əˈbaʊt ɪt</t>
  </si>
  <si>
    <t>There is a book on the desk.</t>
  </si>
  <si>
    <t>ðɛr ɪz ə bʊk a:n ðə dɛsk</t>
  </si>
  <si>
    <t>There are other options.</t>
  </si>
  <si>
    <t>ðɛr a:r ˈʌðər ˈa:pʃənz</t>
  </si>
  <si>
    <t>There are 2 ways to find out.</t>
  </si>
  <si>
    <t>ðɛr a:r tu: weɪz tu: faɪnd aʊt</t>
  </si>
  <si>
    <t>There are some stores open at night.</t>
  </si>
  <si>
    <t>ðɛr a:r sʌm stɔ:rz ˈoʊpən æt naɪt</t>
  </si>
  <si>
    <t>There are a lot of interesting things to see here.</t>
  </si>
  <si>
    <t>ðɛr a:r ə la:t ʌv ˈɪntrəstɪŋ θɪŋz tu: si: hɪr</t>
  </si>
  <si>
    <t>8. I HAVE TO... /Tôi phải.../</t>
  </si>
  <si>
    <t>I have to wait.</t>
  </si>
  <si>
    <t>aɪ hæv tu: weɪt</t>
  </si>
  <si>
    <t>I have to be truthful.</t>
  </si>
  <si>
    <t>aɪ hæv tu: bi: ˈtru:θfəl</t>
  </si>
  <si>
    <t>I have to tell him something confidential.</t>
  </si>
  <si>
    <t>aɪ hæv tu: tɛl hɪm ˈsʌmθɪŋ ˌka:nfəˈdɛnʃəl</t>
  </si>
  <si>
    <t>You have to move in a rush.</t>
  </si>
  <si>
    <t>ju: hæv tu: mu:v ɪn ə rʌʃ</t>
  </si>
  <si>
    <t>You have to make up your mind.</t>
  </si>
  <si>
    <t>ju: hæv tu: meɪk ʌp jʊr maɪnd</t>
  </si>
  <si>
    <t>You have to admit that.</t>
  </si>
  <si>
    <t>ju: hæv tu: ədˈmɪt ðæt</t>
  </si>
  <si>
    <t>You don’t have to worry.</t>
  </si>
  <si>
    <t>ju: doʊnt hæv tu: ˈwɜ:ri</t>
  </si>
  <si>
    <t>You don’t have to explain it to him.</t>
  </si>
  <si>
    <t>ju: doʊnt hæv tu: ɪkˈspleɪn ɪt tu: hɪm</t>
  </si>
  <si>
    <t>9. I GOTTA... /Tôi phải.../</t>
  </si>
  <si>
    <t>I gotta go.</t>
  </si>
  <si>
    <t>aɪ ˈga:tə goʊ</t>
  </si>
  <si>
    <t>I gotta think about it.</t>
  </si>
  <si>
    <t>aɪ ˈga:tə θɪŋk əˈbaʊt ɪt</t>
  </si>
  <si>
    <t>I gotta walk more for my health.</t>
  </si>
  <si>
    <t>aɪ ˈga:tə wa:k mɔ:r fɔ:r maɪ hɛlθ</t>
  </si>
  <si>
    <t>I gotta get permission from them.</t>
  </si>
  <si>
    <t>aɪ ˈga:tə gɛt pərˈmɪʃən frʌm ðɛm</t>
  </si>
  <si>
    <t>10. I SHOULD... /Tôi nên.../</t>
  </si>
  <si>
    <t>I should study more.</t>
  </si>
  <si>
    <t>aɪ ʃʊd ˈstʌdi mɔ:r</t>
  </si>
  <si>
    <t>I should get back by three.</t>
  </si>
  <si>
    <t>aɪ ʃʊd gɛt bæk baɪ θri:</t>
  </si>
  <si>
    <t>I should start getting ready.</t>
  </si>
  <si>
    <t>aɪ ʃʊd sta:rt ˈgɛtɪŋ ˈrɛdi</t>
  </si>
  <si>
    <t>You should learn to cope with this.</t>
  </si>
  <si>
    <t>ju: ʃʊd lɜ:rn tu: koʊp wɪð ðɪs</t>
  </si>
  <si>
    <t>You should start working on it right now.</t>
  </si>
  <si>
    <t>ju: ʃʊd sta:rt ˈwɜ:rkɪŋ a:n ɪt raɪt naʊ</t>
  </si>
  <si>
    <t>You should not behave that way.</t>
  </si>
  <si>
    <t>ju: ʃʊd na:t bɪˈheɪv ðæt weɪ</t>
  </si>
  <si>
    <t>You should not take it for granted.</t>
  </si>
  <si>
    <t>ju: ʃʊd na:t teɪk ɪt fɔ:r ˈgræntɪd</t>
  </si>
  <si>
    <t>You should not jump to conclusions.</t>
  </si>
  <si>
    <t>ju: ʃʊd na:t ʤʌmp tu: kənˈklu:ʒənz</t>
  </si>
  <si>
    <t>11. I AM SUPPOSED TO... /Việc phải làm đã được dự định từ trước/</t>
  </si>
  <si>
    <t>I’m supposed to meet him at three.</t>
  </si>
  <si>
    <t>aɪm səˈpoʊzd tu: mi:t hɪm æt θri:</t>
  </si>
  <si>
    <t>You are supposed to meet him for lunch.</t>
  </si>
  <si>
    <t>ju: a:r səˈpoʊzd tu: mi:t hɪm fɔ:r lʌnʧ</t>
  </si>
  <si>
    <t>I am not supposed to call him.</t>
  </si>
  <si>
    <t>aɪ æm na:t səˈpoʊzd tu: ka:l hɪm</t>
  </si>
  <si>
    <t>You are not supposed to touch it.</t>
  </si>
  <si>
    <t>ju: a:r na:t səˈpoʊzd tu: tʌʧ ɪt</t>
  </si>
  <si>
    <t>It is supposed to be fixed that way.</t>
  </si>
  <si>
    <t>ɪt ɪz səˈpoʊzd tu: bi: fɪkst ðæt weɪ</t>
  </si>
  <si>
    <t>It is supposed to be blue.</t>
  </si>
  <si>
    <t>ɪt ɪz səˈpoʊzd tu: bi: blu:</t>
  </si>
  <si>
    <t>What’s supposed to mean?</t>
  </si>
  <si>
    <t>wʌts səˈpoʊzd tu: mi:n</t>
  </si>
  <si>
    <t>It is not supposed to be put in the freezer.</t>
  </si>
  <si>
    <t>ɪt ɪz na:t səˈpoʊzd tu: bi: pʊt ɪn ðə ˈfri:zər</t>
  </si>
  <si>
    <t>12. BETTER THAN... /Tốt hơn.../</t>
  </si>
  <si>
    <t>I deserve better than this.</t>
  </si>
  <si>
    <t>aɪ dɪˈzɜ:rv ˈbɛtər ðæn ðɪs</t>
  </si>
  <si>
    <t>I should know better than that.</t>
  </si>
  <si>
    <t>aɪ ʃʊd noʊ ˈbɛtər ðæn ðæt</t>
  </si>
  <si>
    <t>I understand him better than you.</t>
  </si>
  <si>
    <t>aɪ ˌʌndərˈstænd hɪm ˈbɛtər ðæn ju:</t>
  </si>
  <si>
    <t>You look better than me.</t>
  </si>
  <si>
    <t>ju: lʊk ˈbɛtər ðæn mi:</t>
  </si>
  <si>
    <t>You know this better than anybody.</t>
  </si>
  <si>
    <t>ju: noʊ ðɪs ˈbɛtər ðæn ˈenibaːdi</t>
  </si>
  <si>
    <t>Your English is better than you admit.</t>
  </si>
  <si>
    <t>jʊr ˈɪŋglɪʃ ɪz ˈbɛtər ðæn ju: ədˈmɪt</t>
  </si>
  <si>
    <t>Your idea is better than his.</t>
  </si>
  <si>
    <t>jʊr aɪˈdi:ə ɪz ˈbɛtər ðæn hɪz</t>
  </si>
  <si>
    <t>There is nothing better than a cold beer on a hot day.</t>
  </si>
  <si>
    <t>ðɛr ɪz ˈnʌθɪŋ ˈbɛtər ðæn ə koʊld bɪr a:n ə ha:t deɪ</t>
  </si>
  <si>
    <t>13. AT/AROUND... /Vào lúc, vào khoảng.../</t>
  </si>
  <si>
    <t>Call me at one.</t>
  </si>
  <si>
    <t>ka:l mi: æt wʌn</t>
  </si>
  <si>
    <t>Remind me at four.</t>
  </si>
  <si>
    <t>rɪˈmaɪnd mi: æt fɔ:r</t>
  </si>
  <si>
    <t>See you around two.</t>
  </si>
  <si>
    <t>si: ju: əˈraʊnd tu:</t>
  </si>
  <si>
    <t>Leave around ten.</t>
  </si>
  <si>
    <t>li:v əˈraʊnd tɛn</t>
  </si>
  <si>
    <t>I fall asleep at eleven.</t>
  </si>
  <si>
    <t>aɪ fa:l əˈsli:p æt ɪˈlɛvən</t>
  </si>
  <si>
    <t>He left around lunchtime.</t>
  </si>
  <si>
    <t>hi: lɛft əˈraʊnd ˈlʌnʧtaɪm</t>
  </si>
  <si>
    <t xml:space="preserve">14. IN + TỪ CHỈ THỜI GIAN </t>
  </si>
  <si>
    <t>He will be better in the future.</t>
  </si>
  <si>
    <t>hi: wɪl bi: ˈbɛtər ɪn ðə ˈfju:ʧər</t>
  </si>
  <si>
    <t>Things are coming up in the near future.</t>
  </si>
  <si>
    <t>θɪŋz a:r ˈkʌmɪŋ ʌp ɪn ðə nɪr ˈfju:ʧər</t>
  </si>
  <si>
    <t>I have never experienced it in my life.</t>
  </si>
  <si>
    <t>aɪ hæv ˈnɛvər ɪkˈspɪriənst ɪt ɪn maɪ laɪf</t>
  </si>
  <si>
    <t>I will be back in 30 minutes.</t>
  </si>
  <si>
    <t>aɪ wɪl bi: bæk ɪn ˈθɜːrti ˈmɪnɪts</t>
  </si>
  <si>
    <t>They will arrive in 10 minutes.</t>
  </si>
  <si>
    <t>ðeɪ wɪl əˈraɪv ɪn tɛn ˈmɪnɪts</t>
  </si>
  <si>
    <t>15. ON + THỨ/NGÀY/DỊP ĐẶC BIỆT</t>
  </si>
  <si>
    <t>I will be there on Wednesday.</t>
  </si>
  <si>
    <t>aɪ wɪl bi: ðɛr a:n ˈwɛnzdeɪ</t>
  </si>
  <si>
    <t>Can you come on Tuesday?</t>
  </si>
  <si>
    <t>kæn ju: kʌm a:n ˈtuːzdeɪ</t>
  </si>
  <si>
    <t>I met him on Christmas Eve.</t>
  </si>
  <si>
    <t>aɪ mɛt hɪm a:n ˈkrɪsməs i:v</t>
  </si>
  <si>
    <t>I will be twenty-one on my next birthday.</t>
  </si>
  <si>
    <t>aɪ wɪl bi: ˈtwɛnti-wʌn a:n maɪ nɛkst ˈbɜ:rθdeɪ</t>
  </si>
  <si>
    <t>16. IN... /Ở trong.../</t>
  </si>
  <si>
    <t>I met him in the lobby.</t>
  </si>
  <si>
    <t>aɪ mɛt hɪm ɪn ðə ˈla:bi</t>
  </si>
  <si>
    <t>I don’t eat in my car.</t>
  </si>
  <si>
    <t>aɪ doʊnt it ɪn maɪ ka:r</t>
  </si>
  <si>
    <t>I have something in my eye.</t>
  </si>
  <si>
    <t>aɪ hæv ˈsʌmθɪŋ ɪn maɪ aɪ</t>
  </si>
  <si>
    <t>I saw him standing in line.</t>
  </si>
  <si>
    <t>aɪ sɔ: hɪm ˈstændɪŋ ɪn laɪn</t>
  </si>
  <si>
    <t>I am in bad shape economically.</t>
  </si>
  <si>
    <t>aɪ æm ɪn bæd ʃeɪp ekəˈnaːmɪkəli</t>
  </si>
  <si>
    <t>I was in a panic.</t>
  </si>
  <si>
    <t>aɪ wʌz ɪn ə ˈpænɪk</t>
  </si>
  <si>
    <t>We had a good time in Florida.</t>
  </si>
  <si>
    <t>wi: hæd ə gʊd taɪm ɪn ˈflɔːrɪdə</t>
  </si>
  <si>
    <t>He is in the hospital.</t>
  </si>
  <si>
    <t>hi: ɪz ɪn ðə ˈhaːspɪtəl</t>
  </si>
  <si>
    <t>She is in a bad mood.</t>
  </si>
  <si>
    <t>ʃi: ɪz ɪn ə bæd mu:d</t>
  </si>
  <si>
    <t>17. AT... /Ở/tại... /</t>
  </si>
  <si>
    <t>I got a headache at the concert.</t>
  </si>
  <si>
    <t>aɪ ga:t ə ˈhɛdeɪk æt ðə ˈkaːnsərt</t>
  </si>
  <si>
    <t>I don’t dress like that at the office.</t>
  </si>
  <si>
    <t>aɪ doʊnt drɛs laɪk ðæt æt ði: ˈa:fɪs</t>
  </si>
  <si>
    <t>I had a productive day at work today.</t>
  </si>
  <si>
    <t>aɪ hæd ə prəˈdʌktɪv deɪ æt wɜ:rk təˈdeɪ</t>
  </si>
  <si>
    <t>You called me at work last week.</t>
  </si>
  <si>
    <t>ju: ka:ld mi: æt wɜ:rk læst wi:k</t>
  </si>
  <si>
    <t>You used to have dinner at the restaurant.</t>
  </si>
  <si>
    <t>ju: ju:zd tu: hæv ˈdɪnər æt ðə ˈrɛstra:nt</t>
  </si>
  <si>
    <t>You can meet me at the front entrance.</t>
  </si>
  <si>
    <t>ju: kæn mi:t mi: æt ðə frʌnt ˈɛntrəns</t>
  </si>
  <si>
    <t>He sat down at a corner table.</t>
  </si>
  <si>
    <t>hi: sæt daʊn æt ə ˈkɔ:rnər ˈteɪbəl</t>
  </si>
  <si>
    <t>18. ON... /Ở trên... /</t>
  </si>
  <si>
    <t>I was sitting on the sofa.</t>
  </si>
  <si>
    <t>aɪ wʌz ˈsɪtɪŋ a:n ðə ˈsoʊfə</t>
  </si>
  <si>
    <t>I left it on the table.</t>
  </si>
  <si>
    <t>aɪ lɛft ɪt a:n ðə ˈteɪbəl</t>
  </si>
  <si>
    <t>Put it on the wall.</t>
  </si>
  <si>
    <t>pʊt ɪt a:n ðə wa:l</t>
  </si>
  <si>
    <t>What is it on the desk?</t>
  </si>
  <si>
    <t>wʌt ɪz ɪt a:n ðə dɛsk</t>
  </si>
  <si>
    <t>She lays on her side.</t>
  </si>
  <si>
    <t>ʃi: leɪz a:n hɜ:r saɪd</t>
  </si>
  <si>
    <t>He was down on his knees.</t>
  </si>
  <si>
    <t>hi: wʌz daʊn a:n hɪz ni:z</t>
  </si>
  <si>
    <t>Can you stand on your head?</t>
  </si>
  <si>
    <t>kæn ju: stænd a:n jʊr hɛd</t>
  </si>
  <si>
    <t>19. ON + NOUN... /Đang trong trạng thái... /</t>
  </si>
  <si>
    <t>The house is on fire.</t>
  </si>
  <si>
    <t>ðə haʊs ɪz a:n ˈfaɪər</t>
  </si>
  <si>
    <t>I am going on a diet.</t>
  </si>
  <si>
    <t>aɪ æm ˈgoʊɪŋ a:n ə ˈdaɪət</t>
  </si>
  <si>
    <t>He is setting the world on fire.</t>
  </si>
  <si>
    <t>hi: ɪz ˈsɛtɪŋ ðə wɜr:ld a:n ˈfaɪər</t>
  </si>
  <si>
    <t>Anh</t>
  </si>
  <si>
    <t>dxasdas</t>
  </si>
  <si>
    <t>1</t>
  </si>
  <si>
    <t>1.6</t>
  </si>
  <si>
    <t>1.7</t>
  </si>
  <si>
    <t>1.8</t>
  </si>
  <si>
    <t>1.9</t>
  </si>
  <si>
    <t>2</t>
  </si>
  <si>
    <t>2.6</t>
  </si>
  <si>
    <t>2.7</t>
  </si>
  <si>
    <t>2.8</t>
  </si>
  <si>
    <t>2.9</t>
  </si>
  <si>
    <t>3</t>
  </si>
  <si>
    <t>3.4</t>
  </si>
  <si>
    <t>3.5</t>
  </si>
  <si>
    <t>3.6</t>
  </si>
  <si>
    <t>3.7</t>
  </si>
  <si>
    <t>3.8</t>
  </si>
  <si>
    <t>4</t>
  </si>
  <si>
    <t>4.6</t>
  </si>
  <si>
    <t>4.7</t>
  </si>
  <si>
    <t>5</t>
  </si>
  <si>
    <t>6</t>
  </si>
  <si>
    <t>6.5</t>
  </si>
  <si>
    <t>6.6</t>
  </si>
  <si>
    <t>6.7</t>
  </si>
  <si>
    <t>6.8</t>
  </si>
  <si>
    <t>6.9</t>
  </si>
  <si>
    <t>7</t>
  </si>
  <si>
    <t>7.5</t>
  </si>
  <si>
    <t>7.6</t>
  </si>
  <si>
    <t>7.7</t>
  </si>
  <si>
    <t>7.8</t>
  </si>
  <si>
    <t>8</t>
  </si>
  <si>
    <t>8.5</t>
  </si>
  <si>
    <t>8.6</t>
  </si>
  <si>
    <t>8.7</t>
  </si>
  <si>
    <t>8.8</t>
  </si>
  <si>
    <t>9</t>
  </si>
  <si>
    <t>9.4</t>
  </si>
  <si>
    <t>10</t>
  </si>
  <si>
    <t>10.1</t>
  </si>
  <si>
    <t>10.2</t>
  </si>
  <si>
    <t>10.3</t>
  </si>
  <si>
    <t>10.4</t>
  </si>
  <si>
    <t>10.5</t>
  </si>
  <si>
    <t>10.6</t>
  </si>
  <si>
    <t>10.7</t>
  </si>
  <si>
    <t>10.8</t>
  </si>
  <si>
    <t>11</t>
  </si>
  <si>
    <t>11.1</t>
  </si>
  <si>
    <t>11.2</t>
  </si>
  <si>
    <t>11.3</t>
  </si>
  <si>
    <t>11.4</t>
  </si>
  <si>
    <t>11.5</t>
  </si>
  <si>
    <t>11.6</t>
  </si>
  <si>
    <t>11.7</t>
  </si>
  <si>
    <t>11.8</t>
  </si>
  <si>
    <t>12</t>
  </si>
  <si>
    <t>12.1</t>
  </si>
  <si>
    <t>12.2</t>
  </si>
  <si>
    <t>12.3</t>
  </si>
  <si>
    <t>12.4</t>
  </si>
  <si>
    <t>12.5</t>
  </si>
  <si>
    <t>12.6</t>
  </si>
  <si>
    <t>12.7</t>
  </si>
  <si>
    <t>12.8</t>
  </si>
  <si>
    <t>13</t>
  </si>
  <si>
    <t>13.1</t>
  </si>
  <si>
    <t>13.2</t>
  </si>
  <si>
    <t>13.3</t>
  </si>
  <si>
    <t>13.4</t>
  </si>
  <si>
    <t>13.5</t>
  </si>
  <si>
    <t>13.6</t>
  </si>
  <si>
    <t>14</t>
  </si>
  <si>
    <t>14.6</t>
  </si>
  <si>
    <t>14.h</t>
  </si>
  <si>
    <t>14.θ</t>
  </si>
  <si>
    <t>14.a</t>
  </si>
  <si>
    <t>14.ð</t>
  </si>
  <si>
    <t>15</t>
  </si>
  <si>
    <t>15.1</t>
  </si>
  <si>
    <t>15.2</t>
  </si>
  <si>
    <t>15.3</t>
  </si>
  <si>
    <t>15.4</t>
  </si>
  <si>
    <t>16</t>
  </si>
  <si>
    <t>16.1</t>
  </si>
  <si>
    <t>16.2</t>
  </si>
  <si>
    <t>16.3</t>
  </si>
  <si>
    <t>16.4</t>
  </si>
  <si>
    <t>16.5</t>
  </si>
  <si>
    <t>16.6</t>
  </si>
  <si>
    <t>16.7</t>
  </si>
  <si>
    <t>16.8</t>
  </si>
  <si>
    <t>16.9</t>
  </si>
  <si>
    <t>17</t>
  </si>
  <si>
    <t>17.1</t>
  </si>
  <si>
    <t>17.2</t>
  </si>
  <si>
    <t>17.3</t>
  </si>
  <si>
    <t>17.4</t>
  </si>
  <si>
    <t>17.5</t>
  </si>
  <si>
    <t>17.6</t>
  </si>
  <si>
    <t>17.7</t>
  </si>
  <si>
    <t>18</t>
  </si>
  <si>
    <t>18.1</t>
  </si>
  <si>
    <t>18.2</t>
  </si>
  <si>
    <t>18.3</t>
  </si>
  <si>
    <t>18.4</t>
  </si>
  <si>
    <t>18.5</t>
  </si>
  <si>
    <t>18.6</t>
  </si>
  <si>
    <t>18.7</t>
  </si>
  <si>
    <t>19</t>
  </si>
  <si>
    <t>19.1</t>
  </si>
  <si>
    <t>19.2</t>
  </si>
  <si>
    <t>19.3</t>
  </si>
  <si>
    <t>Tôi sẽ đi tắm.</t>
  </si>
  <si>
    <t>Tôi sẽ chợp mắt một chút.</t>
  </si>
  <si>
    <t>Tôi sẽ đi tìm chứng cứ.</t>
  </si>
  <si>
    <t>Tôi sẽ không tranh cãi với cậu.</t>
  </si>
  <si>
    <t>Tôi sẽ không tỏ ra lịch sự với anh ấy.</t>
  </si>
  <si>
    <t>Tôi sẽ không phản bội cậu.</t>
  </si>
  <si>
    <t>Cậu sẽ ổn khi không có cô ấy chứ?</t>
  </si>
  <si>
    <t>Cậu có định đi chơi với cô ấy không?</t>
  </si>
  <si>
    <t>Cậu có định lát nữa quay lại văn phòng không?</t>
  </si>
  <si>
    <t>Tôi sẽ kể cho cậu chuyện này.</t>
  </si>
  <si>
    <t>Tôi sẽ thay đổi kiểu tóc.</t>
  </si>
  <si>
    <t>Tôi sẽ giữ bí mật.</t>
  </si>
  <si>
    <t>Tôi sẽ không lặp lại chuyện đó.</t>
  </si>
  <si>
    <t>Tôi sẽ không để chuyện đó xảy ra nữa.</t>
  </si>
  <si>
    <t>Tôi sẽ không từ bỏ.</t>
  </si>
  <si>
    <t>Chắc sẽ vui.</t>
  </si>
  <si>
    <t>Chắc là sẽ lâu hơn dự tính.</t>
  </si>
  <si>
    <t>Chắc không làm cậu chán đâu.</t>
  </si>
  <si>
    <t>Tôi sẽ đi ngay đây.</t>
  </si>
  <si>
    <t>Tôi sẽ tắt điện thoại ngay đây.</t>
  </si>
  <si>
    <t>Tôi sẽ quay lại làm việc sau 1 giờ nữa.</t>
  </si>
  <si>
    <t>Tôi sẽ không làm chuyện này.</t>
  </si>
  <si>
    <t>Tôi sẽ không yêu cầu cậu làm chuyện này.</t>
  </si>
  <si>
    <t>Tôi sẽ không bị mất ngủ vì chuyện này đâu.</t>
  </si>
  <si>
    <t>Cậu có ở lại ăn tối không?</t>
  </si>
  <si>
    <t>Cậu có đi hay không?</t>
  </si>
  <si>
    <t>Không phải về cậu.</t>
  </si>
  <si>
    <t>Nó không đáng.</t>
  </si>
  <si>
    <t>Nó không quan trọng đến thế.</t>
  </si>
  <si>
    <t>Chuyện không phải lúc nào cũng đơn giản như thế.</t>
  </si>
  <si>
    <t>Người anh ấy muốn gặp không phải là tôi.</t>
  </si>
  <si>
    <t>Người cô ấy muốn nói chuyện không phải là tôi.</t>
  </si>
  <si>
    <t>Người phải nói lời xin lỗi không phải là cậu.</t>
  </si>
  <si>
    <t>Cô ấy không thú vị đến mức đấy.</t>
  </si>
  <si>
    <t>Anh ấy không thông minh đến thế.</t>
  </si>
  <si>
    <t>Anh ấy không tệ đến thế.</t>
  </si>
  <si>
    <t>Cô ấy không đẹp đến thế.</t>
  </si>
  <si>
    <t>Thật ra anh ta là người tốt.</t>
  </si>
  <si>
    <t>Thật ra cô ấy đã cho tôi leo cây.</t>
  </si>
  <si>
    <t>Tôi chưa bao giờ thật sự có cơ hội.</t>
  </si>
  <si>
    <t>Tôi thật sự nghiêm túc về chuyện này.</t>
  </si>
  <si>
    <t>Nó thật sự thú vị.</t>
  </si>
  <si>
    <t>Thật ra chúng tôi đã không thảo luận về vấn đề đó.</t>
  </si>
  <si>
    <t>Thật ra họ ép tôi làm.</t>
  </si>
  <si>
    <t>Thực tế là tôi đã học đại học với anh ta.</t>
  </si>
  <si>
    <t>Trên thực tế, anh ta hoàn toàn xa lạ đối với tôi.</t>
  </si>
  <si>
    <t>Không có kế hoạch dự bị.</t>
  </si>
  <si>
    <t>Không có cách nào kiểm soát được chuyện đó.</t>
  </si>
  <si>
    <t>Tôi không thể làm được gì cho chuyện đó.</t>
  </si>
  <si>
    <t>Có một quyển sách ở trên bàn.</t>
  </si>
  <si>
    <t>Có những sự lựa chọn khác.</t>
  </si>
  <si>
    <t>Có 2 cách để tìm ra.</t>
  </si>
  <si>
    <t>Có một số cửa hàng mở ban đêm.</t>
  </si>
  <si>
    <t>Ở đây có nhiều thứ hay ho để xem.</t>
  </si>
  <si>
    <t>Tôi phải đợi.</t>
  </si>
  <si>
    <t>Tôi phải thành thật.</t>
  </si>
  <si>
    <t>Tôi phải nói cho anh ta biết một bí mật.</t>
  </si>
  <si>
    <t>Bạn phải nhanh lên.</t>
  </si>
  <si>
    <t>Cậu phải quyết tâm vào.</t>
  </si>
  <si>
    <t>Cậu phải thừa nhận điều đó thôi.</t>
  </si>
  <si>
    <t>Cậu không phải lo đâu.</t>
  </si>
  <si>
    <t>Cậu không phải giải thích cho anh ta.</t>
  </si>
  <si>
    <t>Tôi phải đi đây.</t>
  </si>
  <si>
    <t>Tôi phải suy nghĩ về chuyện đó.</t>
  </si>
  <si>
    <t>Tôi phải đi bộ nhiều hơn để tăng cường sức khoẻ.</t>
  </si>
  <si>
    <t>Tôi phải xin phép họ.</t>
  </si>
  <si>
    <t>Tôi nên học nhiều hơn.</t>
  </si>
  <si>
    <t>Tôi nên quay lại trước 3 giờ.</t>
  </si>
  <si>
    <t>Tôi nên bắt đầu chuẩn bị.</t>
  </si>
  <si>
    <t>Cậu nên học cách đối mặt với nó.</t>
  </si>
  <si>
    <t>Cậu nên bắt đầu làm ngay từ bây giờ.</t>
  </si>
  <si>
    <t>Cậu không nên hành xử như thế.</t>
  </si>
  <si>
    <t>Cậu không nên coi việc đó là hiển nhiên.</t>
  </si>
  <si>
    <t>Cậu không nên vội đưa ra kết luận.</t>
  </si>
  <si>
    <t>Tôi phải gặp anh ấy lúc 3 giờ.</t>
  </si>
  <si>
    <t>Cậu phải gặp anh ấy để ăn trưa.</t>
  </si>
  <si>
    <t>Tôi không được gọi cho anh ấy.</t>
  </si>
  <si>
    <t>Cậu không được chạm vào nó.</t>
  </si>
  <si>
    <t>Nó vốn dĩ được cố định như vậy.</t>
  </si>
  <si>
    <t>Nó vốn dĩ là màu xanh.</t>
  </si>
  <si>
    <t>Điều đó vốn mang ý nghĩa gì?</t>
  </si>
  <si>
    <t>Đúng lẽ là không được cho vào ngăn đá.</t>
  </si>
  <si>
    <t>Tôi xứng đáng được hơn thế này.</t>
  </si>
  <si>
    <t>Tôi nên khôn ngoan hơn.</t>
  </si>
  <si>
    <t>Tôi hiểu anh ấy rõ hơn cậu.</t>
  </si>
  <si>
    <t>Cậu trông khá hơn tôi đó.</t>
  </si>
  <si>
    <t>Cậu biết rõ điều này hơn bất kì ai.</t>
  </si>
  <si>
    <t>Tiếng Anh của cậu khá hơn cậu nghĩ đấy.</t>
  </si>
  <si>
    <t>Ý tưởng của cậu hay hơn của anh ta.</t>
  </si>
  <si>
    <t>Không gì hơn một cốc bia lạnh trong một ngày nóng nực.</t>
  </si>
  <si>
    <t>Gọi cho tôi lúc 1 giờ.</t>
  </si>
  <si>
    <t>Đến 4 giờ nhắc tôi nhé.</t>
  </si>
  <si>
    <t>Hẹn gặp cậu vào khoảng 2 giờ nhé.</t>
  </si>
  <si>
    <t>Khoảng 10 giờ thì về.</t>
  </si>
  <si>
    <t>Tôi đã thấy buồn ngủ lúc 11 giờ.</t>
  </si>
  <si>
    <t>Anh ấy rời đi vào khoảng thời gian ăn trưa.</t>
  </si>
  <si>
    <t>Anh ấy sẽ khoẻ hơn trong tương lai.</t>
  </si>
  <si>
    <t>Sắp tới sẽ có chuyện xảy ra.</t>
  </si>
  <si>
    <t>Tôi chưa từng trải qua chuyện đó trong đời.</t>
  </si>
  <si>
    <t>Tôi sẽ quay lại sau 30 phút.</t>
  </si>
  <si>
    <t>10 phút nữa họ sẽ đến nơi.</t>
  </si>
  <si>
    <t>Tôi sẽ ở đó vào thứ 4.</t>
  </si>
  <si>
    <t>Cậu có thể đến vào thứ 3 không?</t>
  </si>
  <si>
    <t>Tôi đã gặp anh ấy vào đêm giáng sinh.</t>
  </si>
  <si>
    <t>Tôi sẽ 21 tuổi vào sinh nhật tới.</t>
  </si>
  <si>
    <t>Tôi đã gặp anh ấy ở trong sảnh.</t>
  </si>
  <si>
    <t>Tôi không ăn ở trong xe.</t>
  </si>
  <si>
    <t>Có gì đó trong mắt tôi.</t>
  </si>
  <si>
    <t>Tôi đã thấy anh ấy đứng xếp hàng.</t>
  </si>
  <si>
    <t>Tôi đang khó khăn về kinh tế.</t>
  </si>
  <si>
    <t>Tôi đã rất hoang mang.</t>
  </si>
  <si>
    <t>Chúng tôi đã có khoảng thời gian rất vui ở Florida.</t>
  </si>
  <si>
    <t>Anh ấy đang ở trong bệnh viện.</t>
  </si>
  <si>
    <t>Tâm trạng cô ấy đang không tốt.</t>
  </si>
  <si>
    <t>Tôi bị đau đầu lúc ở buổi biểu diễn.</t>
  </si>
  <si>
    <t>Tôi không ăn mặc như thế trong văn phòng.</t>
  </si>
  <si>
    <t>Hôm nay tôi đã có một ngày làm việc năng suất ở công ty.</t>
  </si>
  <si>
    <t>Cậu đã gọi điện đến chỗ làm của tôi vào tuần trước.</t>
  </si>
  <si>
    <t>Cậu từng ăn tối ở nhà hàng đó rồi.</t>
  </si>
  <si>
    <t>Cậu có thể gặp tôi ở cửa chính.</t>
  </si>
  <si>
    <t>Anh ta ngồi ở chiếc bàn trong góc.</t>
  </si>
  <si>
    <t>Lúc đấy tôi đang ngồi trên ghế sofa.</t>
  </si>
  <si>
    <t>Tôi bỏ nó trên bàn.</t>
  </si>
  <si>
    <t>Treo nó lên trên tường.</t>
  </si>
  <si>
    <t>Cái gì ở trên bàn vậy?</t>
  </si>
  <si>
    <t>Cô ấy nằm nghiêng.</t>
  </si>
  <si>
    <t>Anh ấy đã quỳ xuống.</t>
  </si>
  <si>
    <t>Cậu có thể đứng bằng đầu không?</t>
  </si>
  <si>
    <t>Nhà đang bị cháy.</t>
  </si>
  <si>
    <t>Tôi đang giảm cân.</t>
  </si>
  <si>
    <t>Anh ấy đang gặt hái được những thành công vang dội.</t>
  </si>
  <si>
    <t>dfdfsd</t>
  </si>
  <si>
    <t>1Struc</t>
  </si>
  <si>
    <t>1.1Viet</t>
  </si>
  <si>
    <t>1.1Anh</t>
  </si>
  <si>
    <t>1.1Phon</t>
  </si>
  <si>
    <t>1.2Viet</t>
  </si>
  <si>
    <t>1.2Anh</t>
  </si>
  <si>
    <t>1.2Phon</t>
  </si>
  <si>
    <t>1.3Viet</t>
  </si>
  <si>
    <t>1.3Anh</t>
  </si>
  <si>
    <t>1.3Phon</t>
  </si>
  <si>
    <t>1.4Viet</t>
  </si>
  <si>
    <t>1.4Anh</t>
  </si>
  <si>
    <t>1.4Phon</t>
  </si>
  <si>
    <t>1.5Viet</t>
  </si>
  <si>
    <t>1.5Anh</t>
  </si>
  <si>
    <t>1.5Phon</t>
  </si>
  <si>
    <t>1.6Viet</t>
  </si>
  <si>
    <t>1.6Anh</t>
  </si>
  <si>
    <t>1.6Phon</t>
  </si>
  <si>
    <t>1.7Viet</t>
  </si>
  <si>
    <t>1.7Anh</t>
  </si>
  <si>
    <t>1.7Phon</t>
  </si>
  <si>
    <t>1.8Viet</t>
  </si>
  <si>
    <t>1.8Anh</t>
  </si>
  <si>
    <t>1.8Phon</t>
  </si>
  <si>
    <t>1.9Viet</t>
  </si>
  <si>
    <t>1.9Anh</t>
  </si>
  <si>
    <t>1.9Phon</t>
  </si>
  <si>
    <t>2Struc</t>
  </si>
  <si>
    <t>2.1Viet</t>
  </si>
  <si>
    <t>2.1Anh</t>
  </si>
  <si>
    <t>2.1Phon</t>
  </si>
  <si>
    <t>2.2Viet</t>
  </si>
  <si>
    <t>2.2Anh</t>
  </si>
  <si>
    <t>2.2Phon</t>
  </si>
  <si>
    <t>2.3Viet</t>
  </si>
  <si>
    <t>2.3Anh</t>
  </si>
  <si>
    <t>2.3Phon</t>
  </si>
  <si>
    <t>2.4Viet</t>
  </si>
  <si>
    <t>2.4Anh</t>
  </si>
  <si>
    <t>2.4Phon</t>
  </si>
  <si>
    <t>2.5Viet</t>
  </si>
  <si>
    <t>2.5Anh</t>
  </si>
  <si>
    <t>2.5Phon</t>
  </si>
  <si>
    <t>2.6Viet</t>
  </si>
  <si>
    <t>2.6Anh</t>
  </si>
  <si>
    <t>2.6Phon</t>
  </si>
  <si>
    <t>2.7Viet</t>
  </si>
  <si>
    <t>2.7Anh</t>
  </si>
  <si>
    <t>2.7Phon</t>
  </si>
  <si>
    <t>2.8Viet</t>
  </si>
  <si>
    <t>2.8Anh</t>
  </si>
  <si>
    <t>2.8Phon</t>
  </si>
  <si>
    <t>2.9Viet</t>
  </si>
  <si>
    <t>2.9Anh</t>
  </si>
  <si>
    <t>2.9Phon</t>
  </si>
  <si>
    <t>3Struc</t>
  </si>
  <si>
    <t>3.1Viet</t>
  </si>
  <si>
    <t>3.1Anh</t>
  </si>
  <si>
    <t>3.1Phon</t>
  </si>
  <si>
    <t>3.2Viet</t>
  </si>
  <si>
    <t>3.2Anh</t>
  </si>
  <si>
    <t>3.2Phon</t>
  </si>
  <si>
    <t>3.3Viet</t>
  </si>
  <si>
    <t>3.3Anh</t>
  </si>
  <si>
    <t>3.3Phon</t>
  </si>
  <si>
    <t>3.4Viet</t>
  </si>
  <si>
    <t>3.4Anh</t>
  </si>
  <si>
    <t>3.4Phon</t>
  </si>
  <si>
    <t>3.5Viet</t>
  </si>
  <si>
    <t>3.5Anh</t>
  </si>
  <si>
    <t>3.5Phon</t>
  </si>
  <si>
    <t>3.6Viet</t>
  </si>
  <si>
    <t>3.6Anh</t>
  </si>
  <si>
    <t>3.6Phon</t>
  </si>
  <si>
    <t>3.7Viet</t>
  </si>
  <si>
    <t>3.7Anh</t>
  </si>
  <si>
    <t>3.7Phon</t>
  </si>
  <si>
    <t>3.8Viet</t>
  </si>
  <si>
    <t>3.8Anh</t>
  </si>
  <si>
    <t>3.8Phon</t>
  </si>
  <si>
    <t>4Struc</t>
  </si>
  <si>
    <t>4.1Viet</t>
  </si>
  <si>
    <t>4.1Anh</t>
  </si>
  <si>
    <t>4.1Phon</t>
  </si>
  <si>
    <t>4.2Viet</t>
  </si>
  <si>
    <t>4.2Anh</t>
  </si>
  <si>
    <t>4.2Phon</t>
  </si>
  <si>
    <t>4.3Viet</t>
  </si>
  <si>
    <t>4.3Anh</t>
  </si>
  <si>
    <t>4.3Phon</t>
  </si>
  <si>
    <t>4.4Viet</t>
  </si>
  <si>
    <t>4.4Anh</t>
  </si>
  <si>
    <t>4.4Phon</t>
  </si>
  <si>
    <t>4.5Viet</t>
  </si>
  <si>
    <t>4.5Anh</t>
  </si>
  <si>
    <t>4.5Phon</t>
  </si>
  <si>
    <t>4.6Viet</t>
  </si>
  <si>
    <t>4.6Anh</t>
  </si>
  <si>
    <t>4.6Phon</t>
  </si>
  <si>
    <t>4.7Viet</t>
  </si>
  <si>
    <t>4.7Anh</t>
  </si>
  <si>
    <t>4.7Phon</t>
  </si>
  <si>
    <t>5Struc</t>
  </si>
  <si>
    <t>5.1Viet</t>
  </si>
  <si>
    <t>5.1Anh</t>
  </si>
  <si>
    <t>5.1Phon</t>
  </si>
  <si>
    <t>5.2Viet</t>
  </si>
  <si>
    <t>5.2Anh</t>
  </si>
  <si>
    <t>5.2Phon</t>
  </si>
  <si>
    <t>5.3Viet</t>
  </si>
  <si>
    <t>5.3Anh</t>
  </si>
  <si>
    <t>5.3Phon</t>
  </si>
  <si>
    <t>5.4Viet</t>
  </si>
  <si>
    <t>5.4Anh</t>
  </si>
  <si>
    <t>5.4Phon</t>
  </si>
  <si>
    <t>6Struc</t>
  </si>
  <si>
    <t>6.1Viet</t>
  </si>
  <si>
    <t>6.1Anh</t>
  </si>
  <si>
    <t>6.1Phon</t>
  </si>
  <si>
    <t>6.2Viet</t>
  </si>
  <si>
    <t>6.2Anh</t>
  </si>
  <si>
    <t>6.2Phon</t>
  </si>
  <si>
    <t>6.3Viet</t>
  </si>
  <si>
    <t>6.3Anh</t>
  </si>
  <si>
    <t>6.3Phon</t>
  </si>
  <si>
    <t>6.4Viet</t>
  </si>
  <si>
    <t>6.4Anh</t>
  </si>
  <si>
    <t>6.4Phon</t>
  </si>
  <si>
    <t>6.5Viet</t>
  </si>
  <si>
    <t>6.5Anh</t>
  </si>
  <si>
    <t>6.5Phon</t>
  </si>
  <si>
    <t>6.6Viet</t>
  </si>
  <si>
    <t>6.6Anh</t>
  </si>
  <si>
    <t>6.6Phon</t>
  </si>
  <si>
    <t>6.7Viet</t>
  </si>
  <si>
    <t>6.7Anh</t>
  </si>
  <si>
    <t>6.7Phon</t>
  </si>
  <si>
    <t>6.8Viet</t>
  </si>
  <si>
    <t>6.8Anh</t>
  </si>
  <si>
    <t>6.8Phon</t>
  </si>
  <si>
    <t>6.9Viet</t>
  </si>
  <si>
    <t>6.9Anh</t>
  </si>
  <si>
    <t>6.9Phon</t>
  </si>
  <si>
    <t>7Struc</t>
  </si>
  <si>
    <t>7.1Viet</t>
  </si>
  <si>
    <t>7.1Anh</t>
  </si>
  <si>
    <t>7.1Phon</t>
  </si>
  <si>
    <t>7.2Viet</t>
  </si>
  <si>
    <t>7.2Anh</t>
  </si>
  <si>
    <t>7.2Phon</t>
  </si>
  <si>
    <t>7.3Viet</t>
  </si>
  <si>
    <t>7.3Anh</t>
  </si>
  <si>
    <t>7.3Phon</t>
  </si>
  <si>
    <t>7.4Viet</t>
  </si>
  <si>
    <t>7.4Anh</t>
  </si>
  <si>
    <t>7.4Phon</t>
  </si>
  <si>
    <t>7.5Viet</t>
  </si>
  <si>
    <t>7.5Anh</t>
  </si>
  <si>
    <t>7.5Phon</t>
  </si>
  <si>
    <t>7.6Viet</t>
  </si>
  <si>
    <t>7.6Anh</t>
  </si>
  <si>
    <t>7.6Phon</t>
  </si>
  <si>
    <t>7.7Viet</t>
  </si>
  <si>
    <t>7.7Anh</t>
  </si>
  <si>
    <t>7.7Phon</t>
  </si>
  <si>
    <t>7.8Viet</t>
  </si>
  <si>
    <t>7.8Anh</t>
  </si>
  <si>
    <t>7.8Phon</t>
  </si>
  <si>
    <t>8Struc</t>
  </si>
  <si>
    <t>8.1Viet</t>
  </si>
  <si>
    <t>8.1Anh</t>
  </si>
  <si>
    <t>8.1Phon</t>
  </si>
  <si>
    <t>8.2Viet</t>
  </si>
  <si>
    <t>8.2Anh</t>
  </si>
  <si>
    <t>8.2Phon</t>
  </si>
  <si>
    <t>8.3Viet</t>
  </si>
  <si>
    <t>8.3Anh</t>
  </si>
  <si>
    <t>8.3Phon</t>
  </si>
  <si>
    <t>8.4Viet</t>
  </si>
  <si>
    <t>8.4Anh</t>
  </si>
  <si>
    <t>8.4Phon</t>
  </si>
  <si>
    <t>8.5Viet</t>
  </si>
  <si>
    <t>8.5Anh</t>
  </si>
  <si>
    <t>8.5Phon</t>
  </si>
  <si>
    <t>8.6Viet</t>
  </si>
  <si>
    <t>8.6Anh</t>
  </si>
  <si>
    <t>8.6Phon</t>
  </si>
  <si>
    <t>8.7Viet</t>
  </si>
  <si>
    <t>8.7Anh</t>
  </si>
  <si>
    <t>8.7Phon</t>
  </si>
  <si>
    <t>8.8Viet</t>
  </si>
  <si>
    <t>8.8Anh</t>
  </si>
  <si>
    <t>8.8Phon</t>
  </si>
  <si>
    <t>9Struc</t>
  </si>
  <si>
    <t>9.1Viet</t>
  </si>
  <si>
    <t>9.1Anh</t>
  </si>
  <si>
    <t>9.1Phon</t>
  </si>
  <si>
    <t>9.2Viet</t>
  </si>
  <si>
    <t>9.2Anh</t>
  </si>
  <si>
    <t>9.2Phon</t>
  </si>
  <si>
    <t>9.3Viet</t>
  </si>
  <si>
    <t>9.3Anh</t>
  </si>
  <si>
    <t>9.3Phon</t>
  </si>
  <si>
    <t>9.4Viet</t>
  </si>
  <si>
    <t>9.4Anh</t>
  </si>
  <si>
    <t>9.4Phon</t>
  </si>
  <si>
    <t>10Struc</t>
  </si>
  <si>
    <t>10.1Viet</t>
  </si>
  <si>
    <t>10.1Anh</t>
  </si>
  <si>
    <t>10.1Phon</t>
  </si>
  <si>
    <t>10.2Viet</t>
  </si>
  <si>
    <t>10.2Anh</t>
  </si>
  <si>
    <t>10.2Phon</t>
  </si>
  <si>
    <t>10.3Viet</t>
  </si>
  <si>
    <t>10.3Anh</t>
  </si>
  <si>
    <t>10.3Phon</t>
  </si>
  <si>
    <t>10.4Viet</t>
  </si>
  <si>
    <t>10.4Anh</t>
  </si>
  <si>
    <t>10.4Phon</t>
  </si>
  <si>
    <t>10.5Viet</t>
  </si>
  <si>
    <t>10.5Anh</t>
  </si>
  <si>
    <t>10.5Phon</t>
  </si>
  <si>
    <t>10.6Viet</t>
  </si>
  <si>
    <t>10.6Anh</t>
  </si>
  <si>
    <t>10.6Phon</t>
  </si>
  <si>
    <t>10.7Viet</t>
  </si>
  <si>
    <t>10.7Anh</t>
  </si>
  <si>
    <t>10.7Phon</t>
  </si>
  <si>
    <t>10.8Viet</t>
  </si>
  <si>
    <t>10.8Anh</t>
  </si>
  <si>
    <t>10.8Phon</t>
  </si>
  <si>
    <t>11Struc</t>
  </si>
  <si>
    <t>11.1Viet</t>
  </si>
  <si>
    <t>11.1Anh</t>
  </si>
  <si>
    <t>11.1Phon</t>
  </si>
  <si>
    <t>11.2Viet</t>
  </si>
  <si>
    <t>11.2Anh</t>
  </si>
  <si>
    <t>11.2Phon</t>
  </si>
  <si>
    <t>11.3Viet</t>
  </si>
  <si>
    <t>11.3Anh</t>
  </si>
  <si>
    <t>11.3Phon</t>
  </si>
  <si>
    <t>11.4Viet</t>
  </si>
  <si>
    <t>11.4Anh</t>
  </si>
  <si>
    <t>11.4Phon</t>
  </si>
  <si>
    <t>11.5Viet</t>
  </si>
  <si>
    <t>11.5Anh</t>
  </si>
  <si>
    <t>11.5Phon</t>
  </si>
  <si>
    <t>11.6Viet</t>
  </si>
  <si>
    <t>11.6Anh</t>
  </si>
  <si>
    <t>11.6Phon</t>
  </si>
  <si>
    <t>11.7Viet</t>
  </si>
  <si>
    <t>11.7Anh</t>
  </si>
  <si>
    <t>11.7Phon</t>
  </si>
  <si>
    <t>11.8Viet</t>
  </si>
  <si>
    <t>11.8Anh</t>
  </si>
  <si>
    <t>11.8Phon</t>
  </si>
  <si>
    <t>12Struc</t>
  </si>
  <si>
    <t>12.1Viet</t>
  </si>
  <si>
    <t>12.1Anh</t>
  </si>
  <si>
    <t>12.1Phon</t>
  </si>
  <si>
    <t>12.2Viet</t>
  </si>
  <si>
    <t>12.2Anh</t>
  </si>
  <si>
    <t>12.2Phon</t>
  </si>
  <si>
    <t>12.3Viet</t>
  </si>
  <si>
    <t>12.3Anh</t>
  </si>
  <si>
    <t>12.3Phon</t>
  </si>
  <si>
    <t>12.4Viet</t>
  </si>
  <si>
    <t>12.4Anh</t>
  </si>
  <si>
    <t>12.4Phon</t>
  </si>
  <si>
    <t>12.5Viet</t>
  </si>
  <si>
    <t>12.5Anh</t>
  </si>
  <si>
    <t>12.5Phon</t>
  </si>
  <si>
    <t>12.6Viet</t>
  </si>
  <si>
    <t>12.6Anh</t>
  </si>
  <si>
    <t>12.6Phon</t>
  </si>
  <si>
    <t>12.7Viet</t>
  </si>
  <si>
    <t>12.7Anh</t>
  </si>
  <si>
    <t>12.7Phon</t>
  </si>
  <si>
    <t>12.8Viet</t>
  </si>
  <si>
    <t>12.8Anh</t>
  </si>
  <si>
    <t>12.8Phon</t>
  </si>
  <si>
    <t>13Struc</t>
  </si>
  <si>
    <t>13.1Viet</t>
  </si>
  <si>
    <t>13.1Anh</t>
  </si>
  <si>
    <t>13.1Phon</t>
  </si>
  <si>
    <t>13.2Viet</t>
  </si>
  <si>
    <t>13.2Anh</t>
  </si>
  <si>
    <t>13.2Phon</t>
  </si>
  <si>
    <t>13.3Viet</t>
  </si>
  <si>
    <t>13.3Anh</t>
  </si>
  <si>
    <t>13.3Phon</t>
  </si>
  <si>
    <t>13.4Viet</t>
  </si>
  <si>
    <t>13.4Anh</t>
  </si>
  <si>
    <t>13.4Phon</t>
  </si>
  <si>
    <t>13.5Viet</t>
  </si>
  <si>
    <t>13.5Anh</t>
  </si>
  <si>
    <t>13.5Phon</t>
  </si>
  <si>
    <t>13.6Viet</t>
  </si>
  <si>
    <t>13.6Anh</t>
  </si>
  <si>
    <t>13.6Phon</t>
  </si>
  <si>
    <t>14Struc</t>
  </si>
  <si>
    <t>14.6Viet</t>
  </si>
  <si>
    <t>14.6Anh</t>
  </si>
  <si>
    <t>14.hPhon</t>
  </si>
  <si>
    <t>14.hViet</t>
  </si>
  <si>
    <t>14.hAnh</t>
  </si>
  <si>
    <t>14.θPhon</t>
  </si>
  <si>
    <t>14.θViet</t>
  </si>
  <si>
    <t>14.θAnh</t>
  </si>
  <si>
    <t>14.aPhon</t>
  </si>
  <si>
    <t>14.aViet</t>
  </si>
  <si>
    <t>14.aAnh</t>
  </si>
  <si>
    <t>14.ðPhon</t>
  </si>
  <si>
    <t>15Struc</t>
  </si>
  <si>
    <t>15.1Viet</t>
  </si>
  <si>
    <t>15.1Anh</t>
  </si>
  <si>
    <t>15.1Phon</t>
  </si>
  <si>
    <t>15.2Viet</t>
  </si>
  <si>
    <t>15.2Anh</t>
  </si>
  <si>
    <t>15.2Phon</t>
  </si>
  <si>
    <t>15.3Viet</t>
  </si>
  <si>
    <t>15.3Anh</t>
  </si>
  <si>
    <t>15.3Phon</t>
  </si>
  <si>
    <t>15.4Viet</t>
  </si>
  <si>
    <t>15.4Anh</t>
  </si>
  <si>
    <t>15.4Phon</t>
  </si>
  <si>
    <t>16Struc</t>
  </si>
  <si>
    <t>16.1Viet</t>
  </si>
  <si>
    <t>16.1Anh</t>
  </si>
  <si>
    <t>16.1Phon</t>
  </si>
  <si>
    <t>16.2Viet</t>
  </si>
  <si>
    <t>16.2Anh</t>
  </si>
  <si>
    <t>16.2Phon</t>
  </si>
  <si>
    <t>16.3Viet</t>
  </si>
  <si>
    <t>16.3Anh</t>
  </si>
  <si>
    <t>16.3Phon</t>
  </si>
  <si>
    <t>16.4Viet</t>
  </si>
  <si>
    <t>16.4Anh</t>
  </si>
  <si>
    <t>16.4Phon</t>
  </si>
  <si>
    <t>16.5Viet</t>
  </si>
  <si>
    <t>16.5Anh</t>
  </si>
  <si>
    <t>16.5Phon</t>
  </si>
  <si>
    <t>16.6Viet</t>
  </si>
  <si>
    <t>16.6Anh</t>
  </si>
  <si>
    <t>16.6Phon</t>
  </si>
  <si>
    <t>16.7Viet</t>
  </si>
  <si>
    <t>16.7Anh</t>
  </si>
  <si>
    <t>16.7Phon</t>
  </si>
  <si>
    <t>16.8Viet</t>
  </si>
  <si>
    <t>16.8Anh</t>
  </si>
  <si>
    <t>16.8Phon</t>
  </si>
  <si>
    <t>16.9Viet</t>
  </si>
  <si>
    <t>16.9Anh</t>
  </si>
  <si>
    <t>16.9Phon</t>
  </si>
  <si>
    <t>17Struc</t>
  </si>
  <si>
    <t>17.1Viet</t>
  </si>
  <si>
    <t>17.1Anh</t>
  </si>
  <si>
    <t>17.1Phon</t>
  </si>
  <si>
    <t>17.2Viet</t>
  </si>
  <si>
    <t>17.2Anh</t>
  </si>
  <si>
    <t>17.2Phon</t>
  </si>
  <si>
    <t>17.3Viet</t>
  </si>
  <si>
    <t>17.3Anh</t>
  </si>
  <si>
    <t>17.3Phon</t>
  </si>
  <si>
    <t>17.4Viet</t>
  </si>
  <si>
    <t>17.4Anh</t>
  </si>
  <si>
    <t>17.4Phon</t>
  </si>
  <si>
    <t>17.5Viet</t>
  </si>
  <si>
    <t>17.5Anh</t>
  </si>
  <si>
    <t>17.5Phon</t>
  </si>
  <si>
    <t>17.6Viet</t>
  </si>
  <si>
    <t>17.6Anh</t>
  </si>
  <si>
    <t>17.6Phon</t>
  </si>
  <si>
    <t>17.7Viet</t>
  </si>
  <si>
    <t>17.7Anh</t>
  </si>
  <si>
    <t>17.7Phon</t>
  </si>
  <si>
    <t>18Struc</t>
  </si>
  <si>
    <t>18.1Viet</t>
  </si>
  <si>
    <t>18.1Anh</t>
  </si>
  <si>
    <t>18.1Phon</t>
  </si>
  <si>
    <t>18.2Viet</t>
  </si>
  <si>
    <t>18.2Anh</t>
  </si>
  <si>
    <t>18.2Phon</t>
  </si>
  <si>
    <t>18.3Viet</t>
  </si>
  <si>
    <t>18.3Anh</t>
  </si>
  <si>
    <t>18.3Phon</t>
  </si>
  <si>
    <t>18.4Viet</t>
  </si>
  <si>
    <t>18.4Anh</t>
  </si>
  <si>
    <t>18.4Phon</t>
  </si>
  <si>
    <t>18.5Viet</t>
  </si>
  <si>
    <t>18.5Anh</t>
  </si>
  <si>
    <t>18.5Phon</t>
  </si>
  <si>
    <t>18.6Viet</t>
  </si>
  <si>
    <t>18.6Anh</t>
  </si>
  <si>
    <t>18.6Phon</t>
  </si>
  <si>
    <t>18.7Viet</t>
  </si>
  <si>
    <t>18.7Anh</t>
  </si>
  <si>
    <t>18.7Phon</t>
  </si>
  <si>
    <t>19Struc</t>
  </si>
  <si>
    <t>19.1Viet</t>
  </si>
  <si>
    <t>19.1Anh</t>
  </si>
  <si>
    <t>19.1Phon</t>
  </si>
  <si>
    <t>19.2Viet</t>
  </si>
  <si>
    <t>19.2Anh</t>
  </si>
  <si>
    <t>19.2Phon</t>
  </si>
  <si>
    <t>19.3Viet</t>
  </si>
  <si>
    <t>19.3Anh</t>
  </si>
  <si>
    <t>19.3Phon</t>
  </si>
  <si>
    <t>I’M GOING TO... /Tôi sẽ... /</t>
  </si>
  <si>
    <t>I WILL... /Tôi sẽ.../</t>
  </si>
  <si>
    <t>I AM + V-ING... /Tôi sẽ... /</t>
  </si>
  <si>
    <t>IT IS NOT... /Đấy không phải là.../</t>
  </si>
  <si>
    <t>HE/SHE IS NOT THAT... /Anh ấy/cô ấy không đến mức  … vậy/</t>
  </si>
  <si>
    <t>ACTUALLY/IN FACT/AS A MATTER OF FACT... /Thật ra là/thực tế là.../</t>
  </si>
  <si>
    <t>THERE IS/THERE ARE... /Có.../</t>
  </si>
  <si>
    <t>I HAVE TO... /Tôi phải.../</t>
  </si>
  <si>
    <t>I GOTTA... /Tôi phải.../</t>
  </si>
  <si>
    <t>I SHOULD... /Tôi nên.../</t>
  </si>
  <si>
    <t>I AM SUPPOSED TO... /Việc phải làm đã được dự định từ trước/</t>
  </si>
  <si>
    <t>BETTER THAN... /Tốt hơn.../</t>
  </si>
  <si>
    <t>AT/AROUND... /Vào lúc, vào khoảng.../</t>
  </si>
  <si>
    <t xml:space="preserve">IN + TỪ CHỈ THỜI GIAN </t>
  </si>
  <si>
    <t>ON + THỨ/NGÀY/DỊP ĐẶC BIỆT</t>
  </si>
  <si>
    <t>IN... /Ở trong.../</t>
  </si>
  <si>
    <t>AT... /Ở/tại... /</t>
  </si>
  <si>
    <t>ON... /Ở trên... /</t>
  </si>
  <si>
    <t>ON + NOUN... /Đang trong trạng thái... /</t>
  </si>
  <si>
    <t>14.1</t>
  </si>
  <si>
    <t>14.2</t>
  </si>
  <si>
    <t>14.3</t>
  </si>
  <si>
    <t>14.4</t>
  </si>
  <si>
    <t>14.5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</si>
</sst>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charset val="163"/>
      <scheme val="minor"/>
    </font>
    <font>
      <sz val="8"/>
      <name val="Arial"/>
      <family val="2"/>
      <charset val="163"/>
      <scheme val="minor"/>
    </font>
    <font>
      <sz val="11"/>
      <color theme="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0" xfId="0" applyFill="1"/>
    <xf numFmtId="0" fontId="0" fillId="2" borderId="0" xfId="0" applyFill="1"/>
    <xf numFmtId="0" fontId="0" fillId="2" borderId="1" xfId="0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2" fillId="0" borderId="0" xfId="1" applyFill="1"/>
    <xf numFmtId="49" fontId="0" fillId="0" borderId="1" xfId="0" applyNumberForma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4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quotePrefix="1"/>
    <xf numFmtId="0" fontId="4" fillId="2" borderId="1" xfId="0" applyFont="1" applyFill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0" xfId="0" applyFont="1"/>
    <xf numFmtId="0" fontId="4" fillId="3" borderId="0" xfId="0" applyFont="1" applyFill="1"/>
    <xf numFmtId="0" fontId="5" fillId="0" borderId="0" xfId="1" applyFont="1"/>
    <xf numFmtId="0" fontId="4" fillId="0" borderId="3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left"/>
    </xf>
    <xf numFmtId="0" fontId="2" fillId="0" borderId="0" xfId="1"/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C9D1B-A452-401C-9733-8750E50DAAFC}">
  <dimension ref="A2:H415"/>
  <sheetViews>
    <sheetView showGridLines="0" tabSelected="1" topLeftCell="A383" zoomScale="81" zoomScaleNormal="81" workbookViewId="0">
      <selection activeCell="B3" sqref="B3:F415"/>
    </sheetView>
  </sheetViews>
  <sheetFormatPr defaultRowHeight="13.8" x14ac:dyDescent="0.25"/>
  <cols>
    <col min="1" max="1" width="5.296875" style="15" customWidth="1"/>
    <col min="2" max="2" width="7.3984375" style="15" customWidth="1"/>
    <col min="3" max="3" width="9.5" style="15" customWidth="1"/>
    <col min="4" max="4" width="64.3984375" style="11" customWidth="1"/>
    <col min="5" max="5" width="8.8984375" style="15" customWidth="1"/>
    <col min="6" max="6" width="49.19921875" style="11" customWidth="1"/>
    <col min="7" max="7" width="7.296875" style="21" customWidth="1"/>
    <col min="8" max="8" width="79.5" style="21" customWidth="1"/>
    <col min="9" max="16384" width="8.796875" style="21"/>
  </cols>
  <sheetData>
    <row r="2" spans="1:8" x14ac:dyDescent="0.25">
      <c r="B2" s="11" t="s">
        <v>54</v>
      </c>
      <c r="E2" s="11"/>
    </row>
    <row r="3" spans="1:8" x14ac:dyDescent="0.25">
      <c r="A3" s="15" t="s">
        <v>1</v>
      </c>
      <c r="B3" s="12" t="s">
        <v>1</v>
      </c>
      <c r="C3" s="12" t="s">
        <v>8</v>
      </c>
      <c r="D3" s="19" t="s">
        <v>0</v>
      </c>
      <c r="E3" s="12" t="s">
        <v>2</v>
      </c>
      <c r="F3" s="19" t="s">
        <v>9</v>
      </c>
      <c r="G3" s="15" t="s">
        <v>8</v>
      </c>
      <c r="H3" s="22" t="s">
        <v>10</v>
      </c>
    </row>
    <row r="4" spans="1:8" s="10" customFormat="1" x14ac:dyDescent="0.25">
      <c r="A4" s="15"/>
      <c r="B4" s="13" t="s">
        <v>338</v>
      </c>
      <c r="C4" s="14" t="s">
        <v>583</v>
      </c>
      <c r="D4" s="20" t="s">
        <v>992</v>
      </c>
      <c r="E4" s="14" t="s">
        <v>11</v>
      </c>
      <c r="F4" s="20" t="str">
        <f>IF(G4="","","https://docs.google.com/uc?export=download&amp;id="&amp;G4)</f>
        <v/>
      </c>
      <c r="G4" s="9"/>
      <c r="H4" s="21"/>
    </row>
    <row r="5" spans="1:8" x14ac:dyDescent="0.25">
      <c r="B5" s="24" t="s">
        <v>13</v>
      </c>
      <c r="C5" s="24" t="s">
        <v>584</v>
      </c>
      <c r="D5" s="25" t="s">
        <v>451</v>
      </c>
      <c r="E5" s="24" t="s">
        <v>3</v>
      </c>
      <c r="F5" s="20" t="str">
        <f t="shared" ref="F5:F68" si="0">IF(G5="","","https://docs.google.com/uc?export=download&amp;id="&amp;G5)</f>
        <v/>
      </c>
      <c r="G5" s="23" t="str">
        <f>IFERROR(LEFT(RIGHT(H5,LEN(H5)-32),LEN(RIGHT(H5,LEN(H5)-32))-17),"")</f>
        <v/>
      </c>
    </row>
    <row r="6" spans="1:8" x14ac:dyDescent="0.25">
      <c r="A6" s="15">
        <v>1</v>
      </c>
      <c r="B6" s="24" t="s">
        <v>13</v>
      </c>
      <c r="C6" s="24" t="s">
        <v>585</v>
      </c>
      <c r="D6" s="25" t="s">
        <v>56</v>
      </c>
      <c r="E6" s="24" t="s">
        <v>4</v>
      </c>
      <c r="F6" s="20" t="str">
        <f t="shared" si="0"/>
        <v/>
      </c>
      <c r="G6" s="23" t="str">
        <f t="shared" ref="G6:G69" si="1">IFERROR(LEFT(RIGHT(H6,LEN(H6)-32),LEN(RIGHT(H6,LEN(H6)-32))-17),"")</f>
        <v/>
      </c>
    </row>
    <row r="7" spans="1:8" x14ac:dyDescent="0.25">
      <c r="B7" s="24" t="s">
        <v>13</v>
      </c>
      <c r="C7" s="24" t="s">
        <v>586</v>
      </c>
      <c r="D7" s="25" t="s">
        <v>57</v>
      </c>
      <c r="E7" s="24" t="s">
        <v>5</v>
      </c>
      <c r="F7" s="20" t="str">
        <f t="shared" si="0"/>
        <v/>
      </c>
      <c r="G7" s="23" t="str">
        <f t="shared" si="1"/>
        <v/>
      </c>
    </row>
    <row r="8" spans="1:8" x14ac:dyDescent="0.25">
      <c r="B8" s="24" t="s">
        <v>14</v>
      </c>
      <c r="C8" s="24" t="s">
        <v>587</v>
      </c>
      <c r="D8" s="25" t="s">
        <v>452</v>
      </c>
      <c r="E8" s="24" t="s">
        <v>3</v>
      </c>
      <c r="F8" s="20" t="str">
        <f t="shared" si="0"/>
        <v/>
      </c>
      <c r="G8" s="23" t="str">
        <f t="shared" si="1"/>
        <v/>
      </c>
    </row>
    <row r="9" spans="1:8" x14ac:dyDescent="0.25">
      <c r="A9" s="15">
        <v>2</v>
      </c>
      <c r="B9" s="24" t="s">
        <v>14</v>
      </c>
      <c r="C9" s="24" t="s">
        <v>588</v>
      </c>
      <c r="D9" s="25" t="s">
        <v>58</v>
      </c>
      <c r="E9" s="24" t="s">
        <v>4</v>
      </c>
      <c r="F9" s="20" t="str">
        <f t="shared" si="0"/>
        <v/>
      </c>
      <c r="G9" s="23" t="str">
        <f t="shared" si="1"/>
        <v/>
      </c>
    </row>
    <row r="10" spans="1:8" x14ac:dyDescent="0.25">
      <c r="B10" s="24" t="s">
        <v>14</v>
      </c>
      <c r="C10" s="24" t="s">
        <v>589</v>
      </c>
      <c r="D10" s="25" t="s">
        <v>59</v>
      </c>
      <c r="E10" s="24" t="s">
        <v>5</v>
      </c>
      <c r="F10" s="20" t="str">
        <f t="shared" si="0"/>
        <v/>
      </c>
      <c r="G10" s="23" t="str">
        <f t="shared" si="1"/>
        <v/>
      </c>
    </row>
    <row r="11" spans="1:8" x14ac:dyDescent="0.25">
      <c r="B11" s="24" t="s">
        <v>12</v>
      </c>
      <c r="C11" s="24" t="s">
        <v>590</v>
      </c>
      <c r="D11" s="25" t="s">
        <v>453</v>
      </c>
      <c r="E11" s="24" t="s">
        <v>3</v>
      </c>
      <c r="F11" s="20" t="str">
        <f t="shared" si="0"/>
        <v/>
      </c>
      <c r="G11" s="23" t="str">
        <f t="shared" si="1"/>
        <v/>
      </c>
    </row>
    <row r="12" spans="1:8" x14ac:dyDescent="0.25">
      <c r="A12" s="15">
        <v>3</v>
      </c>
      <c r="B12" s="24" t="s">
        <v>12</v>
      </c>
      <c r="C12" s="24" t="s">
        <v>591</v>
      </c>
      <c r="D12" s="25" t="s">
        <v>60</v>
      </c>
      <c r="E12" s="24" t="s">
        <v>4</v>
      </c>
      <c r="F12" s="20" t="str">
        <f t="shared" si="0"/>
        <v/>
      </c>
      <c r="G12" s="23" t="str">
        <f t="shared" si="1"/>
        <v/>
      </c>
    </row>
    <row r="13" spans="1:8" x14ac:dyDescent="0.25">
      <c r="B13" s="24" t="s">
        <v>12</v>
      </c>
      <c r="C13" s="24" t="s">
        <v>592</v>
      </c>
      <c r="D13" s="25" t="s">
        <v>61</v>
      </c>
      <c r="E13" s="24" t="s">
        <v>5</v>
      </c>
      <c r="F13" s="20" t="str">
        <f t="shared" si="0"/>
        <v/>
      </c>
      <c r="G13" s="23" t="str">
        <f t="shared" si="1"/>
        <v/>
      </c>
    </row>
    <row r="14" spans="1:8" x14ac:dyDescent="0.25">
      <c r="B14" s="24" t="s">
        <v>47</v>
      </c>
      <c r="C14" s="24" t="s">
        <v>593</v>
      </c>
      <c r="D14" s="25" t="s">
        <v>454</v>
      </c>
      <c r="E14" s="24" t="s">
        <v>3</v>
      </c>
      <c r="F14" s="20" t="str">
        <f t="shared" si="0"/>
        <v/>
      </c>
      <c r="G14" s="23" t="str">
        <f t="shared" si="1"/>
        <v/>
      </c>
    </row>
    <row r="15" spans="1:8" x14ac:dyDescent="0.25">
      <c r="A15" s="15">
        <v>4</v>
      </c>
      <c r="B15" s="24" t="s">
        <v>47</v>
      </c>
      <c r="C15" s="24" t="s">
        <v>594</v>
      </c>
      <c r="D15" s="25" t="s">
        <v>62</v>
      </c>
      <c r="E15" s="24" t="s">
        <v>4</v>
      </c>
      <c r="F15" s="20" t="str">
        <f t="shared" si="0"/>
        <v/>
      </c>
      <c r="G15" s="23" t="str">
        <f t="shared" si="1"/>
        <v/>
      </c>
    </row>
    <row r="16" spans="1:8" x14ac:dyDescent="0.25">
      <c r="B16" s="24" t="s">
        <v>47</v>
      </c>
      <c r="C16" s="24" t="s">
        <v>595</v>
      </c>
      <c r="D16" s="25" t="s">
        <v>63</v>
      </c>
      <c r="E16" s="24" t="s">
        <v>5</v>
      </c>
      <c r="F16" s="20" t="str">
        <f t="shared" si="0"/>
        <v/>
      </c>
      <c r="G16" s="23" t="str">
        <f t="shared" si="1"/>
        <v/>
      </c>
    </row>
    <row r="17" spans="1:8" s="10" customFormat="1" x14ac:dyDescent="0.25">
      <c r="A17" s="15"/>
      <c r="B17" s="24" t="s">
        <v>48</v>
      </c>
      <c r="C17" s="24" t="s">
        <v>596</v>
      </c>
      <c r="D17" s="25" t="s">
        <v>455</v>
      </c>
      <c r="E17" s="24" t="s">
        <v>3</v>
      </c>
      <c r="F17" s="20" t="str">
        <f t="shared" si="0"/>
        <v/>
      </c>
      <c r="G17" s="23" t="str">
        <f t="shared" si="1"/>
        <v/>
      </c>
      <c r="H17" s="21"/>
    </row>
    <row r="18" spans="1:8" x14ac:dyDescent="0.25">
      <c r="A18" s="15">
        <v>5</v>
      </c>
      <c r="B18" s="24" t="s">
        <v>48</v>
      </c>
      <c r="C18" s="24" t="s">
        <v>597</v>
      </c>
      <c r="D18" s="25" t="s">
        <v>64</v>
      </c>
      <c r="E18" s="24" t="s">
        <v>4</v>
      </c>
      <c r="F18" s="20" t="str">
        <f t="shared" si="0"/>
        <v/>
      </c>
      <c r="G18" s="23" t="str">
        <f t="shared" si="1"/>
        <v/>
      </c>
    </row>
    <row r="19" spans="1:8" x14ac:dyDescent="0.25">
      <c r="B19" s="24" t="s">
        <v>48</v>
      </c>
      <c r="C19" s="24" t="s">
        <v>598</v>
      </c>
      <c r="D19" s="25" t="s">
        <v>65</v>
      </c>
      <c r="E19" s="24" t="s">
        <v>5</v>
      </c>
      <c r="F19" s="20" t="str">
        <f t="shared" si="0"/>
        <v/>
      </c>
      <c r="G19" s="23" t="str">
        <f t="shared" si="1"/>
        <v/>
      </c>
    </row>
    <row r="20" spans="1:8" x14ac:dyDescent="0.25">
      <c r="B20" s="24" t="s">
        <v>339</v>
      </c>
      <c r="C20" s="24" t="s">
        <v>599</v>
      </c>
      <c r="D20" s="25" t="s">
        <v>456</v>
      </c>
      <c r="E20" s="24" t="s">
        <v>3</v>
      </c>
      <c r="F20" s="20" t="str">
        <f t="shared" si="0"/>
        <v/>
      </c>
      <c r="G20" s="23" t="str">
        <f t="shared" si="1"/>
        <v/>
      </c>
    </row>
    <row r="21" spans="1:8" x14ac:dyDescent="0.25">
      <c r="A21" s="15">
        <v>6</v>
      </c>
      <c r="B21" s="24" t="s">
        <v>339</v>
      </c>
      <c r="C21" s="24" t="s">
        <v>600</v>
      </c>
      <c r="D21" s="25" t="s">
        <v>66</v>
      </c>
      <c r="E21" s="24" t="s">
        <v>4</v>
      </c>
      <c r="F21" s="20" t="str">
        <f t="shared" si="0"/>
        <v/>
      </c>
      <c r="G21" s="23" t="str">
        <f t="shared" si="1"/>
        <v/>
      </c>
    </row>
    <row r="22" spans="1:8" x14ac:dyDescent="0.25">
      <c r="B22" s="24" t="s">
        <v>339</v>
      </c>
      <c r="C22" s="24" t="s">
        <v>601</v>
      </c>
      <c r="D22" s="25" t="s">
        <v>67</v>
      </c>
      <c r="E22" s="24" t="s">
        <v>5</v>
      </c>
      <c r="F22" s="20" t="str">
        <f t="shared" si="0"/>
        <v/>
      </c>
      <c r="G22" s="23" t="str">
        <f t="shared" si="1"/>
        <v/>
      </c>
    </row>
    <row r="23" spans="1:8" x14ac:dyDescent="0.25">
      <c r="B23" s="24" t="s">
        <v>340</v>
      </c>
      <c r="C23" s="24" t="s">
        <v>602</v>
      </c>
      <c r="D23" s="25" t="s">
        <v>457</v>
      </c>
      <c r="E23" s="24" t="s">
        <v>3</v>
      </c>
      <c r="F23" s="20" t="str">
        <f t="shared" si="0"/>
        <v/>
      </c>
      <c r="G23" s="23" t="str">
        <f t="shared" si="1"/>
        <v/>
      </c>
    </row>
    <row r="24" spans="1:8" x14ac:dyDescent="0.25">
      <c r="A24" s="15">
        <v>7</v>
      </c>
      <c r="B24" s="24" t="s">
        <v>340</v>
      </c>
      <c r="C24" s="24" t="s">
        <v>603</v>
      </c>
      <c r="D24" s="25" t="s">
        <v>68</v>
      </c>
      <c r="E24" s="24" t="s">
        <v>4</v>
      </c>
      <c r="F24" s="20" t="str">
        <f t="shared" si="0"/>
        <v/>
      </c>
      <c r="G24" s="23" t="str">
        <f t="shared" si="1"/>
        <v/>
      </c>
    </row>
    <row r="25" spans="1:8" x14ac:dyDescent="0.25">
      <c r="B25" s="24" t="s">
        <v>340</v>
      </c>
      <c r="C25" s="24" t="s">
        <v>604</v>
      </c>
      <c r="D25" s="25" t="s">
        <v>69</v>
      </c>
      <c r="E25" s="24" t="s">
        <v>5</v>
      </c>
      <c r="F25" s="20" t="str">
        <f t="shared" si="0"/>
        <v/>
      </c>
      <c r="G25" s="23" t="str">
        <f t="shared" si="1"/>
        <v/>
      </c>
    </row>
    <row r="26" spans="1:8" x14ac:dyDescent="0.25">
      <c r="B26" s="24" t="s">
        <v>341</v>
      </c>
      <c r="C26" s="24" t="s">
        <v>605</v>
      </c>
      <c r="D26" s="25" t="s">
        <v>458</v>
      </c>
      <c r="E26" s="24" t="s">
        <v>3</v>
      </c>
      <c r="F26" s="20" t="str">
        <f t="shared" si="0"/>
        <v/>
      </c>
      <c r="G26" s="23" t="str">
        <f t="shared" si="1"/>
        <v/>
      </c>
    </row>
    <row r="27" spans="1:8" x14ac:dyDescent="0.25">
      <c r="A27" s="15">
        <v>8</v>
      </c>
      <c r="B27" s="24" t="s">
        <v>341</v>
      </c>
      <c r="C27" s="24" t="s">
        <v>606</v>
      </c>
      <c r="D27" s="25" t="s">
        <v>70</v>
      </c>
      <c r="E27" s="24" t="s">
        <v>4</v>
      </c>
      <c r="F27" s="20" t="str">
        <f t="shared" si="0"/>
        <v/>
      </c>
      <c r="G27" s="23" t="str">
        <f t="shared" si="1"/>
        <v/>
      </c>
    </row>
    <row r="28" spans="1:8" x14ac:dyDescent="0.25">
      <c r="B28" s="24" t="s">
        <v>341</v>
      </c>
      <c r="C28" s="24" t="s">
        <v>607</v>
      </c>
      <c r="D28" s="25" t="s">
        <v>71</v>
      </c>
      <c r="E28" s="24" t="s">
        <v>5</v>
      </c>
      <c r="F28" s="20" t="str">
        <f t="shared" si="0"/>
        <v/>
      </c>
      <c r="G28" s="23" t="str">
        <f t="shared" si="1"/>
        <v/>
      </c>
    </row>
    <row r="29" spans="1:8" x14ac:dyDescent="0.25">
      <c r="B29" s="24" t="s">
        <v>342</v>
      </c>
      <c r="C29" s="24" t="s">
        <v>608</v>
      </c>
      <c r="D29" s="25" t="s">
        <v>459</v>
      </c>
      <c r="E29" s="24" t="s">
        <v>3</v>
      </c>
      <c r="F29" s="20" t="str">
        <f t="shared" si="0"/>
        <v/>
      </c>
      <c r="G29" s="23" t="str">
        <f t="shared" si="1"/>
        <v/>
      </c>
    </row>
    <row r="30" spans="1:8" s="10" customFormat="1" x14ac:dyDescent="0.25">
      <c r="A30" s="15">
        <v>9</v>
      </c>
      <c r="B30" s="24" t="s">
        <v>342</v>
      </c>
      <c r="C30" s="24" t="s">
        <v>609</v>
      </c>
      <c r="D30" s="25" t="s">
        <v>72</v>
      </c>
      <c r="E30" s="24" t="s">
        <v>4</v>
      </c>
      <c r="F30" s="20" t="str">
        <f t="shared" si="0"/>
        <v/>
      </c>
      <c r="G30" s="23" t="str">
        <f t="shared" si="1"/>
        <v/>
      </c>
      <c r="H30" s="21"/>
    </row>
    <row r="31" spans="1:8" x14ac:dyDescent="0.25">
      <c r="B31" s="24" t="s">
        <v>342</v>
      </c>
      <c r="C31" s="24" t="s">
        <v>610</v>
      </c>
      <c r="D31" s="25" t="s">
        <v>73</v>
      </c>
      <c r="E31" s="24" t="s">
        <v>5</v>
      </c>
      <c r="F31" s="20" t="str">
        <f t="shared" si="0"/>
        <v/>
      </c>
      <c r="G31" s="23" t="str">
        <f t="shared" si="1"/>
        <v/>
      </c>
    </row>
    <row r="32" spans="1:8" x14ac:dyDescent="0.25">
      <c r="B32" s="24" t="s">
        <v>343</v>
      </c>
      <c r="C32" s="24" t="s">
        <v>611</v>
      </c>
      <c r="D32" s="20" t="s">
        <v>993</v>
      </c>
      <c r="E32" s="24" t="s">
        <v>11</v>
      </c>
      <c r="F32" s="20" t="str">
        <f t="shared" si="0"/>
        <v/>
      </c>
      <c r="G32" s="23" t="str">
        <f t="shared" si="1"/>
        <v/>
      </c>
    </row>
    <row r="33" spans="1:7" x14ac:dyDescent="0.25">
      <c r="B33" s="24" t="s">
        <v>15</v>
      </c>
      <c r="C33" s="24" t="s">
        <v>612</v>
      </c>
      <c r="D33" s="25" t="s">
        <v>460</v>
      </c>
      <c r="E33" s="24" t="s">
        <v>3</v>
      </c>
      <c r="F33" s="20" t="str">
        <f t="shared" si="0"/>
        <v/>
      </c>
      <c r="G33" s="23" t="str">
        <f t="shared" si="1"/>
        <v/>
      </c>
    </row>
    <row r="34" spans="1:7" x14ac:dyDescent="0.25">
      <c r="A34" s="15">
        <v>10</v>
      </c>
      <c r="B34" s="24" t="s">
        <v>15</v>
      </c>
      <c r="C34" s="24" t="s">
        <v>613</v>
      </c>
      <c r="D34" s="25" t="s">
        <v>75</v>
      </c>
      <c r="E34" s="24" t="s">
        <v>4</v>
      </c>
      <c r="F34" s="20" t="str">
        <f t="shared" si="0"/>
        <v/>
      </c>
      <c r="G34" s="23" t="str">
        <f t="shared" si="1"/>
        <v/>
      </c>
    </row>
    <row r="35" spans="1:7" x14ac:dyDescent="0.25">
      <c r="B35" s="24" t="s">
        <v>15</v>
      </c>
      <c r="C35" s="24" t="s">
        <v>614</v>
      </c>
      <c r="D35" s="25" t="s">
        <v>76</v>
      </c>
      <c r="E35" s="24" t="s">
        <v>5</v>
      </c>
      <c r="F35" s="20" t="str">
        <f t="shared" si="0"/>
        <v/>
      </c>
      <c r="G35" s="23" t="str">
        <f t="shared" si="1"/>
        <v/>
      </c>
    </row>
    <row r="36" spans="1:7" x14ac:dyDescent="0.25">
      <c r="B36" s="24" t="s">
        <v>17</v>
      </c>
      <c r="C36" s="24" t="s">
        <v>615</v>
      </c>
      <c r="D36" s="25" t="s">
        <v>461</v>
      </c>
      <c r="E36" s="24" t="s">
        <v>3</v>
      </c>
      <c r="F36" s="20" t="str">
        <f t="shared" si="0"/>
        <v/>
      </c>
      <c r="G36" s="23" t="str">
        <f t="shared" si="1"/>
        <v/>
      </c>
    </row>
    <row r="37" spans="1:7" x14ac:dyDescent="0.25">
      <c r="A37" s="15">
        <v>11</v>
      </c>
      <c r="B37" s="24" t="s">
        <v>17</v>
      </c>
      <c r="C37" s="24" t="s">
        <v>616</v>
      </c>
      <c r="D37" s="25" t="s">
        <v>77</v>
      </c>
      <c r="E37" s="24" t="s">
        <v>4</v>
      </c>
      <c r="F37" s="20" t="str">
        <f t="shared" si="0"/>
        <v/>
      </c>
      <c r="G37" s="23" t="str">
        <f t="shared" si="1"/>
        <v/>
      </c>
    </row>
    <row r="38" spans="1:7" x14ac:dyDescent="0.25">
      <c r="B38" s="24" t="s">
        <v>17</v>
      </c>
      <c r="C38" s="24" t="s">
        <v>617</v>
      </c>
      <c r="D38" s="25" t="s">
        <v>78</v>
      </c>
      <c r="E38" s="24" t="s">
        <v>5</v>
      </c>
      <c r="F38" s="20" t="str">
        <f t="shared" si="0"/>
        <v/>
      </c>
      <c r="G38" s="23" t="str">
        <f t="shared" si="1"/>
        <v/>
      </c>
    </row>
    <row r="39" spans="1:7" x14ac:dyDescent="0.25">
      <c r="B39" s="24" t="s">
        <v>16</v>
      </c>
      <c r="C39" s="24" t="s">
        <v>618</v>
      </c>
      <c r="D39" s="25" t="s">
        <v>462</v>
      </c>
      <c r="E39" s="24" t="s">
        <v>3</v>
      </c>
      <c r="F39" s="20" t="str">
        <f t="shared" si="0"/>
        <v/>
      </c>
      <c r="G39" s="23" t="str">
        <f t="shared" si="1"/>
        <v/>
      </c>
    </row>
    <row r="40" spans="1:7" x14ac:dyDescent="0.25">
      <c r="A40" s="15">
        <v>12</v>
      </c>
      <c r="B40" s="24" t="s">
        <v>16</v>
      </c>
      <c r="C40" s="24" t="s">
        <v>619</v>
      </c>
      <c r="D40" s="25" t="s">
        <v>79</v>
      </c>
      <c r="E40" s="24" t="s">
        <v>4</v>
      </c>
      <c r="F40" s="20" t="str">
        <f t="shared" si="0"/>
        <v/>
      </c>
      <c r="G40" s="23" t="str">
        <f t="shared" si="1"/>
        <v/>
      </c>
    </row>
    <row r="41" spans="1:7" x14ac:dyDescent="0.25">
      <c r="B41" s="24" t="s">
        <v>16</v>
      </c>
      <c r="C41" s="24" t="s">
        <v>620</v>
      </c>
      <c r="D41" s="25" t="s">
        <v>80</v>
      </c>
      <c r="E41" s="24" t="s">
        <v>5</v>
      </c>
      <c r="F41" s="20" t="str">
        <f t="shared" si="0"/>
        <v/>
      </c>
      <c r="G41" s="23" t="str">
        <f t="shared" si="1"/>
        <v/>
      </c>
    </row>
    <row r="42" spans="1:7" x14ac:dyDescent="0.25">
      <c r="B42" s="24" t="s">
        <v>49</v>
      </c>
      <c r="C42" s="24" t="s">
        <v>621</v>
      </c>
      <c r="D42" s="25" t="s">
        <v>463</v>
      </c>
      <c r="E42" s="24" t="s">
        <v>3</v>
      </c>
      <c r="F42" s="20" t="str">
        <f t="shared" si="0"/>
        <v/>
      </c>
      <c r="G42" s="23" t="str">
        <f t="shared" si="1"/>
        <v/>
      </c>
    </row>
    <row r="43" spans="1:7" x14ac:dyDescent="0.25">
      <c r="A43" s="15">
        <v>13</v>
      </c>
      <c r="B43" s="24" t="s">
        <v>49</v>
      </c>
      <c r="C43" s="24" t="s">
        <v>622</v>
      </c>
      <c r="D43" s="25" t="s">
        <v>81</v>
      </c>
      <c r="E43" s="24" t="s">
        <v>4</v>
      </c>
      <c r="F43" s="20" t="str">
        <f t="shared" si="0"/>
        <v/>
      </c>
      <c r="G43" s="23" t="str">
        <f t="shared" si="1"/>
        <v/>
      </c>
    </row>
    <row r="44" spans="1:7" x14ac:dyDescent="0.25">
      <c r="B44" s="24" t="s">
        <v>49</v>
      </c>
      <c r="C44" s="24" t="s">
        <v>623</v>
      </c>
      <c r="D44" s="25" t="s">
        <v>82</v>
      </c>
      <c r="E44" s="24" t="s">
        <v>5</v>
      </c>
      <c r="F44" s="20" t="str">
        <f t="shared" si="0"/>
        <v/>
      </c>
      <c r="G44" s="23" t="str">
        <f t="shared" si="1"/>
        <v/>
      </c>
    </row>
    <row r="45" spans="1:7" x14ac:dyDescent="0.25">
      <c r="B45" s="24" t="s">
        <v>50</v>
      </c>
      <c r="C45" s="24" t="s">
        <v>624</v>
      </c>
      <c r="D45" s="25" t="s">
        <v>464</v>
      </c>
      <c r="E45" s="24" t="s">
        <v>3</v>
      </c>
      <c r="F45" s="20" t="str">
        <f t="shared" si="0"/>
        <v/>
      </c>
      <c r="G45" s="23" t="str">
        <f t="shared" si="1"/>
        <v/>
      </c>
    </row>
    <row r="46" spans="1:7" x14ac:dyDescent="0.25">
      <c r="A46" s="15">
        <v>14</v>
      </c>
      <c r="B46" s="24" t="s">
        <v>50</v>
      </c>
      <c r="C46" s="24" t="s">
        <v>625</v>
      </c>
      <c r="D46" s="25" t="s">
        <v>83</v>
      </c>
      <c r="E46" s="24" t="s">
        <v>4</v>
      </c>
      <c r="F46" s="20" t="str">
        <f t="shared" si="0"/>
        <v/>
      </c>
      <c r="G46" s="23" t="str">
        <f t="shared" si="1"/>
        <v/>
      </c>
    </row>
    <row r="47" spans="1:7" x14ac:dyDescent="0.25">
      <c r="B47" s="24" t="s">
        <v>50</v>
      </c>
      <c r="C47" s="24" t="s">
        <v>626</v>
      </c>
      <c r="D47" s="25" t="s">
        <v>84</v>
      </c>
      <c r="E47" s="24" t="s">
        <v>5</v>
      </c>
      <c r="F47" s="20" t="str">
        <f t="shared" si="0"/>
        <v/>
      </c>
      <c r="G47" s="23" t="str">
        <f t="shared" si="1"/>
        <v/>
      </c>
    </row>
    <row r="48" spans="1:7" x14ac:dyDescent="0.25">
      <c r="B48" s="24" t="s">
        <v>344</v>
      </c>
      <c r="C48" s="24" t="s">
        <v>627</v>
      </c>
      <c r="D48" s="25" t="s">
        <v>465</v>
      </c>
      <c r="E48" s="24" t="s">
        <v>3</v>
      </c>
      <c r="F48" s="20" t="str">
        <f t="shared" si="0"/>
        <v/>
      </c>
      <c r="G48" s="23" t="str">
        <f t="shared" si="1"/>
        <v/>
      </c>
    </row>
    <row r="49" spans="1:8" x14ac:dyDescent="0.25">
      <c r="A49" s="15">
        <v>15</v>
      </c>
      <c r="B49" s="24" t="s">
        <v>344</v>
      </c>
      <c r="C49" s="24" t="s">
        <v>628</v>
      </c>
      <c r="D49" s="25" t="s">
        <v>85</v>
      </c>
      <c r="E49" s="24" t="s">
        <v>4</v>
      </c>
      <c r="F49" s="20" t="str">
        <f t="shared" si="0"/>
        <v/>
      </c>
      <c r="G49" s="23" t="str">
        <f t="shared" si="1"/>
        <v/>
      </c>
    </row>
    <row r="50" spans="1:8" x14ac:dyDescent="0.25">
      <c r="B50" s="24" t="s">
        <v>344</v>
      </c>
      <c r="C50" s="24" t="s">
        <v>629</v>
      </c>
      <c r="D50" s="25" t="s">
        <v>86</v>
      </c>
      <c r="E50" s="24" t="s">
        <v>5</v>
      </c>
      <c r="F50" s="20" t="str">
        <f t="shared" si="0"/>
        <v/>
      </c>
      <c r="G50" s="23" t="str">
        <f t="shared" si="1"/>
        <v/>
      </c>
    </row>
    <row r="51" spans="1:8" x14ac:dyDescent="0.25">
      <c r="B51" s="24" t="s">
        <v>345</v>
      </c>
      <c r="C51" s="24" t="s">
        <v>630</v>
      </c>
      <c r="D51" s="25" t="s">
        <v>466</v>
      </c>
      <c r="E51" s="24" t="s">
        <v>3</v>
      </c>
      <c r="F51" s="20" t="str">
        <f t="shared" si="0"/>
        <v/>
      </c>
      <c r="G51" s="23" t="str">
        <f t="shared" si="1"/>
        <v/>
      </c>
    </row>
    <row r="52" spans="1:8" x14ac:dyDescent="0.25">
      <c r="A52" s="15">
        <v>16</v>
      </c>
      <c r="B52" s="24" t="s">
        <v>345</v>
      </c>
      <c r="C52" s="24" t="s">
        <v>631</v>
      </c>
      <c r="D52" s="25" t="s">
        <v>87</v>
      </c>
      <c r="E52" s="24" t="s">
        <v>4</v>
      </c>
      <c r="F52" s="20" t="str">
        <f t="shared" si="0"/>
        <v/>
      </c>
      <c r="G52" s="23" t="str">
        <f t="shared" si="1"/>
        <v/>
      </c>
    </row>
    <row r="53" spans="1:8" x14ac:dyDescent="0.25">
      <c r="B53" s="24" t="s">
        <v>345</v>
      </c>
      <c r="C53" s="24" t="s">
        <v>632</v>
      </c>
      <c r="D53" s="25" t="s">
        <v>88</v>
      </c>
      <c r="E53" s="24" t="s">
        <v>5</v>
      </c>
      <c r="F53" s="20" t="str">
        <f t="shared" si="0"/>
        <v/>
      </c>
      <c r="G53" s="23" t="str">
        <f t="shared" si="1"/>
        <v/>
      </c>
    </row>
    <row r="54" spans="1:8" x14ac:dyDescent="0.25">
      <c r="B54" s="24" t="s">
        <v>346</v>
      </c>
      <c r="C54" s="24" t="s">
        <v>633</v>
      </c>
      <c r="D54" s="25" t="s">
        <v>467</v>
      </c>
      <c r="E54" s="24" t="s">
        <v>3</v>
      </c>
      <c r="F54" s="20" t="str">
        <f t="shared" si="0"/>
        <v/>
      </c>
      <c r="G54" s="23" t="str">
        <f t="shared" si="1"/>
        <v/>
      </c>
    </row>
    <row r="55" spans="1:8" x14ac:dyDescent="0.25">
      <c r="A55" s="15">
        <v>17</v>
      </c>
      <c r="B55" s="24" t="s">
        <v>346</v>
      </c>
      <c r="C55" s="24" t="s">
        <v>634</v>
      </c>
      <c r="D55" s="25" t="s">
        <v>89</v>
      </c>
      <c r="E55" s="24" t="s">
        <v>4</v>
      </c>
      <c r="F55" s="20" t="str">
        <f t="shared" si="0"/>
        <v/>
      </c>
      <c r="G55" s="23" t="str">
        <f t="shared" si="1"/>
        <v/>
      </c>
    </row>
    <row r="56" spans="1:8" x14ac:dyDescent="0.25">
      <c r="B56" s="24" t="s">
        <v>346</v>
      </c>
      <c r="C56" s="24" t="s">
        <v>635</v>
      </c>
      <c r="D56" s="25" t="s">
        <v>90</v>
      </c>
      <c r="E56" s="24" t="s">
        <v>5</v>
      </c>
      <c r="F56" s="20" t="str">
        <f t="shared" si="0"/>
        <v/>
      </c>
      <c r="G56" s="23" t="str">
        <f t="shared" si="1"/>
        <v/>
      </c>
    </row>
    <row r="57" spans="1:8" x14ac:dyDescent="0.25">
      <c r="B57" s="24" t="s">
        <v>347</v>
      </c>
      <c r="C57" s="24" t="s">
        <v>636</v>
      </c>
      <c r="D57" s="25" t="s">
        <v>468</v>
      </c>
      <c r="E57" s="24" t="s">
        <v>3</v>
      </c>
      <c r="F57" s="20" t="str">
        <f t="shared" si="0"/>
        <v/>
      </c>
      <c r="G57" s="23" t="str">
        <f t="shared" si="1"/>
        <v/>
      </c>
    </row>
    <row r="58" spans="1:8" x14ac:dyDescent="0.25">
      <c r="A58" s="15">
        <v>18</v>
      </c>
      <c r="B58" s="24" t="s">
        <v>347</v>
      </c>
      <c r="C58" s="24" t="s">
        <v>637</v>
      </c>
      <c r="D58" s="25" t="s">
        <v>91</v>
      </c>
      <c r="E58" s="24" t="s">
        <v>4</v>
      </c>
      <c r="F58" s="20" t="str">
        <f t="shared" si="0"/>
        <v/>
      </c>
      <c r="G58" s="23" t="str">
        <f t="shared" si="1"/>
        <v/>
      </c>
    </row>
    <row r="59" spans="1:8" s="10" customFormat="1" x14ac:dyDescent="0.25">
      <c r="A59" s="15"/>
      <c r="B59" s="24" t="s">
        <v>347</v>
      </c>
      <c r="C59" s="24" t="s">
        <v>638</v>
      </c>
      <c r="D59" s="25" t="s">
        <v>92</v>
      </c>
      <c r="E59" s="24" t="s">
        <v>5</v>
      </c>
      <c r="F59" s="20" t="str">
        <f t="shared" si="0"/>
        <v/>
      </c>
      <c r="G59" s="23" t="str">
        <f t="shared" si="1"/>
        <v/>
      </c>
      <c r="H59" s="21"/>
    </row>
    <row r="60" spans="1:8" x14ac:dyDescent="0.25">
      <c r="B60" s="24" t="s">
        <v>348</v>
      </c>
      <c r="C60" s="24" t="s">
        <v>639</v>
      </c>
      <c r="D60" s="20" t="s">
        <v>994</v>
      </c>
      <c r="E60" s="24" t="s">
        <v>11</v>
      </c>
      <c r="F60" s="20" t="str">
        <f t="shared" si="0"/>
        <v/>
      </c>
      <c r="G60" s="23" t="str">
        <f t="shared" si="1"/>
        <v/>
      </c>
    </row>
    <row r="61" spans="1:8" x14ac:dyDescent="0.25">
      <c r="B61" s="24" t="s">
        <v>18</v>
      </c>
      <c r="C61" s="24" t="s">
        <v>640</v>
      </c>
      <c r="D61" s="25" t="s">
        <v>469</v>
      </c>
      <c r="E61" s="24" t="s">
        <v>3</v>
      </c>
      <c r="F61" s="20" t="str">
        <f t="shared" si="0"/>
        <v/>
      </c>
      <c r="G61" s="23" t="str">
        <f t="shared" si="1"/>
        <v/>
      </c>
    </row>
    <row r="62" spans="1:8" x14ac:dyDescent="0.25">
      <c r="A62" s="15">
        <v>19</v>
      </c>
      <c r="B62" s="24" t="s">
        <v>18</v>
      </c>
      <c r="C62" s="24" t="s">
        <v>641</v>
      </c>
      <c r="D62" s="25" t="s">
        <v>94</v>
      </c>
      <c r="E62" s="24" t="s">
        <v>4</v>
      </c>
      <c r="F62" s="20" t="str">
        <f t="shared" si="0"/>
        <v/>
      </c>
      <c r="G62" s="23" t="str">
        <f t="shared" si="1"/>
        <v/>
      </c>
    </row>
    <row r="63" spans="1:8" x14ac:dyDescent="0.25">
      <c r="B63" s="24" t="s">
        <v>18</v>
      </c>
      <c r="C63" s="24" t="s">
        <v>642</v>
      </c>
      <c r="D63" s="25" t="s">
        <v>95</v>
      </c>
      <c r="E63" s="24" t="s">
        <v>5</v>
      </c>
      <c r="F63" s="20" t="str">
        <f t="shared" si="0"/>
        <v/>
      </c>
      <c r="G63" s="23" t="str">
        <f t="shared" si="1"/>
        <v/>
      </c>
    </row>
    <row r="64" spans="1:8" x14ac:dyDescent="0.25">
      <c r="B64" s="24" t="s">
        <v>19</v>
      </c>
      <c r="C64" s="24" t="s">
        <v>643</v>
      </c>
      <c r="D64" s="25" t="s">
        <v>470</v>
      </c>
      <c r="E64" s="24" t="s">
        <v>3</v>
      </c>
      <c r="F64" s="20" t="str">
        <f t="shared" si="0"/>
        <v/>
      </c>
      <c r="G64" s="23" t="str">
        <f t="shared" si="1"/>
        <v/>
      </c>
    </row>
    <row r="65" spans="1:8" x14ac:dyDescent="0.25">
      <c r="A65" s="15">
        <v>20</v>
      </c>
      <c r="B65" s="24" t="s">
        <v>19</v>
      </c>
      <c r="C65" s="24" t="s">
        <v>644</v>
      </c>
      <c r="D65" s="25" t="s">
        <v>96</v>
      </c>
      <c r="E65" s="24" t="s">
        <v>4</v>
      </c>
      <c r="F65" s="20" t="str">
        <f t="shared" si="0"/>
        <v/>
      </c>
      <c r="G65" s="23" t="str">
        <f t="shared" si="1"/>
        <v/>
      </c>
    </row>
    <row r="66" spans="1:8" x14ac:dyDescent="0.25">
      <c r="B66" s="24" t="s">
        <v>19</v>
      </c>
      <c r="C66" s="24" t="s">
        <v>645</v>
      </c>
      <c r="D66" s="25" t="s">
        <v>97</v>
      </c>
      <c r="E66" s="24" t="s">
        <v>5</v>
      </c>
      <c r="F66" s="20" t="str">
        <f t="shared" si="0"/>
        <v/>
      </c>
      <c r="G66" s="23" t="str">
        <f t="shared" si="1"/>
        <v/>
      </c>
    </row>
    <row r="67" spans="1:8" x14ac:dyDescent="0.25">
      <c r="B67" s="24" t="s">
        <v>20</v>
      </c>
      <c r="C67" s="24" t="s">
        <v>646</v>
      </c>
      <c r="D67" s="25" t="s">
        <v>471</v>
      </c>
      <c r="E67" s="24" t="s">
        <v>3</v>
      </c>
      <c r="F67" s="20" t="str">
        <f t="shared" si="0"/>
        <v/>
      </c>
      <c r="G67" s="23" t="str">
        <f t="shared" si="1"/>
        <v/>
      </c>
    </row>
    <row r="68" spans="1:8" x14ac:dyDescent="0.25">
      <c r="A68" s="15">
        <v>21</v>
      </c>
      <c r="B68" s="24" t="s">
        <v>20</v>
      </c>
      <c r="C68" s="24" t="s">
        <v>647</v>
      </c>
      <c r="D68" s="25" t="s">
        <v>98</v>
      </c>
      <c r="E68" s="24" t="s">
        <v>4</v>
      </c>
      <c r="F68" s="20" t="str">
        <f t="shared" si="0"/>
        <v/>
      </c>
      <c r="G68" s="23" t="str">
        <f t="shared" si="1"/>
        <v/>
      </c>
    </row>
    <row r="69" spans="1:8" x14ac:dyDescent="0.25">
      <c r="B69" s="24" t="s">
        <v>20</v>
      </c>
      <c r="C69" s="24" t="s">
        <v>648</v>
      </c>
      <c r="D69" s="25" t="s">
        <v>99</v>
      </c>
      <c r="E69" s="24" t="s">
        <v>5</v>
      </c>
      <c r="F69" s="20" t="str">
        <f t="shared" ref="F69:F122" si="2">IF(G69="","","https://docs.google.com/uc?export=download&amp;id="&amp;G69)</f>
        <v/>
      </c>
      <c r="G69" s="23" t="str">
        <f t="shared" si="1"/>
        <v/>
      </c>
    </row>
    <row r="70" spans="1:8" x14ac:dyDescent="0.25">
      <c r="B70" s="24" t="s">
        <v>349</v>
      </c>
      <c r="C70" s="24" t="s">
        <v>649</v>
      </c>
      <c r="D70" s="25" t="s">
        <v>472</v>
      </c>
      <c r="E70" s="24" t="s">
        <v>3</v>
      </c>
      <c r="F70" s="20" t="str">
        <f t="shared" si="2"/>
        <v/>
      </c>
      <c r="G70" s="23" t="str">
        <f t="shared" ref="G70:G122" si="3">IFERROR(LEFT(RIGHT(H70,LEN(H70)-32),LEN(RIGHT(H70,LEN(H70)-32))-17),"")</f>
        <v/>
      </c>
    </row>
    <row r="71" spans="1:8" x14ac:dyDescent="0.25">
      <c r="A71" s="15">
        <v>22</v>
      </c>
      <c r="B71" s="24" t="s">
        <v>349</v>
      </c>
      <c r="C71" s="24" t="s">
        <v>650</v>
      </c>
      <c r="D71" s="25" t="s">
        <v>100</v>
      </c>
      <c r="E71" s="24" t="s">
        <v>4</v>
      </c>
      <c r="F71" s="20" t="str">
        <f t="shared" si="2"/>
        <v/>
      </c>
      <c r="G71" s="23" t="str">
        <f t="shared" si="3"/>
        <v/>
      </c>
    </row>
    <row r="72" spans="1:8" s="10" customFormat="1" x14ac:dyDescent="0.25">
      <c r="A72" s="15"/>
      <c r="B72" s="24" t="s">
        <v>349</v>
      </c>
      <c r="C72" s="24" t="s">
        <v>651</v>
      </c>
      <c r="D72" s="25" t="s">
        <v>101</v>
      </c>
      <c r="E72" s="24" t="s">
        <v>5</v>
      </c>
      <c r="F72" s="20" t="str">
        <f t="shared" si="2"/>
        <v/>
      </c>
      <c r="G72" s="23" t="str">
        <f t="shared" si="3"/>
        <v/>
      </c>
      <c r="H72" s="21"/>
    </row>
    <row r="73" spans="1:8" x14ac:dyDescent="0.25">
      <c r="B73" s="24" t="s">
        <v>350</v>
      </c>
      <c r="C73" s="24" t="s">
        <v>652</v>
      </c>
      <c r="D73" s="25" t="s">
        <v>473</v>
      </c>
      <c r="E73" s="24" t="s">
        <v>3</v>
      </c>
      <c r="F73" s="20" t="str">
        <f t="shared" si="2"/>
        <v/>
      </c>
      <c r="G73" s="23" t="str">
        <f t="shared" si="3"/>
        <v/>
      </c>
    </row>
    <row r="74" spans="1:8" x14ac:dyDescent="0.25">
      <c r="A74" s="15">
        <v>23</v>
      </c>
      <c r="B74" s="24" t="s">
        <v>350</v>
      </c>
      <c r="C74" s="24" t="s">
        <v>653</v>
      </c>
      <c r="D74" s="25" t="s">
        <v>102</v>
      </c>
      <c r="E74" s="24" t="s">
        <v>4</v>
      </c>
      <c r="F74" s="20" t="str">
        <f t="shared" si="2"/>
        <v/>
      </c>
      <c r="G74" s="23" t="str">
        <f t="shared" si="3"/>
        <v/>
      </c>
    </row>
    <row r="75" spans="1:8" x14ac:dyDescent="0.25">
      <c r="B75" s="24" t="s">
        <v>350</v>
      </c>
      <c r="C75" s="24" t="s">
        <v>654</v>
      </c>
      <c r="D75" s="25" t="s">
        <v>103</v>
      </c>
      <c r="E75" s="24" t="s">
        <v>5</v>
      </c>
      <c r="F75" s="20" t="str">
        <f t="shared" si="2"/>
        <v/>
      </c>
      <c r="G75" s="23" t="str">
        <f t="shared" si="3"/>
        <v/>
      </c>
    </row>
    <row r="76" spans="1:8" x14ac:dyDescent="0.25">
      <c r="B76" s="24" t="s">
        <v>351</v>
      </c>
      <c r="C76" s="24" t="s">
        <v>655</v>
      </c>
      <c r="D76" s="25" t="s">
        <v>474</v>
      </c>
      <c r="E76" s="24" t="s">
        <v>3</v>
      </c>
      <c r="F76" s="20" t="str">
        <f t="shared" si="2"/>
        <v/>
      </c>
      <c r="G76" s="23" t="str">
        <f t="shared" si="3"/>
        <v/>
      </c>
    </row>
    <row r="77" spans="1:8" x14ac:dyDescent="0.25">
      <c r="A77" s="15">
        <v>24</v>
      </c>
      <c r="B77" s="24" t="s">
        <v>351</v>
      </c>
      <c r="C77" s="24" t="s">
        <v>656</v>
      </c>
      <c r="D77" s="25" t="s">
        <v>104</v>
      </c>
      <c r="E77" s="24" t="s">
        <v>4</v>
      </c>
      <c r="F77" s="20" t="str">
        <f t="shared" si="2"/>
        <v/>
      </c>
      <c r="G77" s="23" t="str">
        <f t="shared" si="3"/>
        <v/>
      </c>
    </row>
    <row r="78" spans="1:8" x14ac:dyDescent="0.25">
      <c r="B78" s="24" t="s">
        <v>351</v>
      </c>
      <c r="C78" s="24" t="s">
        <v>657</v>
      </c>
      <c r="D78" s="25" t="s">
        <v>105</v>
      </c>
      <c r="E78" s="24" t="s">
        <v>5</v>
      </c>
      <c r="F78" s="20" t="str">
        <f t="shared" si="2"/>
        <v/>
      </c>
      <c r="G78" s="23" t="str">
        <f t="shared" si="3"/>
        <v/>
      </c>
    </row>
    <row r="79" spans="1:8" x14ac:dyDescent="0.25">
      <c r="B79" s="24" t="s">
        <v>352</v>
      </c>
      <c r="C79" s="24" t="s">
        <v>658</v>
      </c>
      <c r="D79" s="25" t="s">
        <v>475</v>
      </c>
      <c r="E79" s="24" t="s">
        <v>3</v>
      </c>
      <c r="F79" s="20" t="str">
        <f t="shared" si="2"/>
        <v/>
      </c>
      <c r="G79" s="23" t="str">
        <f t="shared" si="3"/>
        <v/>
      </c>
    </row>
    <row r="80" spans="1:8" x14ac:dyDescent="0.25">
      <c r="A80" s="15">
        <v>25</v>
      </c>
      <c r="B80" s="24" t="s">
        <v>352</v>
      </c>
      <c r="C80" s="24" t="s">
        <v>659</v>
      </c>
      <c r="D80" s="25" t="s">
        <v>106</v>
      </c>
      <c r="E80" s="24" t="s">
        <v>4</v>
      </c>
      <c r="F80" s="20" t="str">
        <f t="shared" si="2"/>
        <v/>
      </c>
      <c r="G80" s="23" t="str">
        <f t="shared" si="3"/>
        <v/>
      </c>
    </row>
    <row r="81" spans="1:8" x14ac:dyDescent="0.25">
      <c r="B81" s="24" t="s">
        <v>352</v>
      </c>
      <c r="C81" s="24" t="s">
        <v>660</v>
      </c>
      <c r="D81" s="25" t="s">
        <v>107</v>
      </c>
      <c r="E81" s="24" t="s">
        <v>5</v>
      </c>
      <c r="F81" s="20" t="str">
        <f t="shared" si="2"/>
        <v/>
      </c>
      <c r="G81" s="23" t="str">
        <f t="shared" si="3"/>
        <v/>
      </c>
    </row>
    <row r="82" spans="1:8" x14ac:dyDescent="0.25">
      <c r="B82" s="24" t="s">
        <v>353</v>
      </c>
      <c r="C82" s="24" t="s">
        <v>661</v>
      </c>
      <c r="D82" s="25" t="s">
        <v>476</v>
      </c>
      <c r="E82" s="24" t="s">
        <v>3</v>
      </c>
      <c r="F82" s="20" t="str">
        <f t="shared" si="2"/>
        <v/>
      </c>
      <c r="G82" s="23" t="str">
        <f t="shared" si="3"/>
        <v/>
      </c>
    </row>
    <row r="83" spans="1:8" x14ac:dyDescent="0.25">
      <c r="A83" s="15">
        <v>26</v>
      </c>
      <c r="B83" s="24" t="s">
        <v>353</v>
      </c>
      <c r="C83" s="24" t="s">
        <v>662</v>
      </c>
      <c r="D83" s="25" t="s">
        <v>108</v>
      </c>
      <c r="E83" s="24" t="s">
        <v>4</v>
      </c>
      <c r="F83" s="20" t="str">
        <f t="shared" si="2"/>
        <v/>
      </c>
      <c r="G83" s="23" t="str">
        <f t="shared" si="3"/>
        <v/>
      </c>
    </row>
    <row r="84" spans="1:8" x14ac:dyDescent="0.25">
      <c r="B84" s="24" t="s">
        <v>353</v>
      </c>
      <c r="C84" s="24" t="s">
        <v>663</v>
      </c>
      <c r="D84" s="25" t="s">
        <v>109</v>
      </c>
      <c r="E84" s="24" t="s">
        <v>5</v>
      </c>
      <c r="F84" s="20" t="str">
        <f t="shared" si="2"/>
        <v/>
      </c>
      <c r="G84" s="23" t="str">
        <f t="shared" si="3"/>
        <v/>
      </c>
    </row>
    <row r="85" spans="1:8" s="10" customFormat="1" x14ac:dyDescent="0.25">
      <c r="A85" s="15"/>
      <c r="B85" s="24" t="s">
        <v>354</v>
      </c>
      <c r="C85" s="24" t="s">
        <v>664</v>
      </c>
      <c r="D85" s="20" t="s">
        <v>995</v>
      </c>
      <c r="E85" s="24" t="s">
        <v>11</v>
      </c>
      <c r="F85" s="20" t="str">
        <f t="shared" si="2"/>
        <v/>
      </c>
      <c r="G85" s="23" t="str">
        <f t="shared" si="3"/>
        <v/>
      </c>
      <c r="H85" s="21"/>
    </row>
    <row r="86" spans="1:8" x14ac:dyDescent="0.25">
      <c r="B86" s="24" t="s">
        <v>21</v>
      </c>
      <c r="C86" s="24" t="s">
        <v>665</v>
      </c>
      <c r="D86" s="25" t="s">
        <v>477</v>
      </c>
      <c r="E86" s="24" t="s">
        <v>3</v>
      </c>
      <c r="F86" s="20" t="str">
        <f t="shared" si="2"/>
        <v/>
      </c>
      <c r="G86" s="23" t="str">
        <f t="shared" si="3"/>
        <v/>
      </c>
    </row>
    <row r="87" spans="1:8" x14ac:dyDescent="0.25">
      <c r="A87" s="15">
        <v>27</v>
      </c>
      <c r="B87" s="24" t="s">
        <v>21</v>
      </c>
      <c r="C87" s="24" t="s">
        <v>666</v>
      </c>
      <c r="D87" s="25" t="s">
        <v>111</v>
      </c>
      <c r="E87" s="24" t="s">
        <v>4</v>
      </c>
      <c r="F87" s="20" t="str">
        <f t="shared" si="2"/>
        <v/>
      </c>
      <c r="G87" s="23" t="str">
        <f t="shared" si="3"/>
        <v/>
      </c>
    </row>
    <row r="88" spans="1:8" x14ac:dyDescent="0.25">
      <c r="B88" s="24" t="s">
        <v>21</v>
      </c>
      <c r="C88" s="24" t="s">
        <v>667</v>
      </c>
      <c r="D88" s="25" t="s">
        <v>112</v>
      </c>
      <c r="E88" s="24" t="s">
        <v>5</v>
      </c>
      <c r="F88" s="20" t="str">
        <f t="shared" si="2"/>
        <v/>
      </c>
      <c r="G88" s="23" t="str">
        <f t="shared" si="3"/>
        <v/>
      </c>
    </row>
    <row r="89" spans="1:8" x14ac:dyDescent="0.25">
      <c r="B89" s="24" t="s">
        <v>22</v>
      </c>
      <c r="C89" s="24" t="s">
        <v>668</v>
      </c>
      <c r="D89" s="25" t="s">
        <v>478</v>
      </c>
      <c r="E89" s="24" t="s">
        <v>3</v>
      </c>
      <c r="F89" s="20" t="str">
        <f t="shared" si="2"/>
        <v/>
      </c>
      <c r="G89" s="23" t="str">
        <f t="shared" si="3"/>
        <v/>
      </c>
    </row>
    <row r="90" spans="1:8" x14ac:dyDescent="0.25">
      <c r="A90" s="15">
        <v>28</v>
      </c>
      <c r="B90" s="24" t="s">
        <v>22</v>
      </c>
      <c r="C90" s="24" t="s">
        <v>669</v>
      </c>
      <c r="D90" s="25" t="s">
        <v>113</v>
      </c>
      <c r="E90" s="24" t="s">
        <v>4</v>
      </c>
      <c r="F90" s="20" t="str">
        <f t="shared" si="2"/>
        <v/>
      </c>
      <c r="G90" s="23" t="str">
        <f t="shared" si="3"/>
        <v/>
      </c>
    </row>
    <row r="91" spans="1:8" x14ac:dyDescent="0.25">
      <c r="B91" s="24" t="s">
        <v>22</v>
      </c>
      <c r="C91" s="24" t="s">
        <v>670</v>
      </c>
      <c r="D91" s="25" t="s">
        <v>114</v>
      </c>
      <c r="E91" s="24" t="s">
        <v>5</v>
      </c>
      <c r="F91" s="20" t="str">
        <f t="shared" si="2"/>
        <v/>
      </c>
      <c r="G91" s="23" t="str">
        <f t="shared" si="3"/>
        <v/>
      </c>
    </row>
    <row r="92" spans="1:8" x14ac:dyDescent="0.25">
      <c r="B92" s="24" t="s">
        <v>23</v>
      </c>
      <c r="C92" s="24" t="s">
        <v>671</v>
      </c>
      <c r="D92" s="25" t="s">
        <v>479</v>
      </c>
      <c r="E92" s="24" t="s">
        <v>3</v>
      </c>
      <c r="F92" s="20" t="str">
        <f t="shared" si="2"/>
        <v/>
      </c>
      <c r="G92" s="23" t="str">
        <f t="shared" si="3"/>
        <v/>
      </c>
    </row>
    <row r="93" spans="1:8" x14ac:dyDescent="0.25">
      <c r="A93" s="15">
        <v>29</v>
      </c>
      <c r="B93" s="24" t="s">
        <v>23</v>
      </c>
      <c r="C93" s="24" t="s">
        <v>672</v>
      </c>
      <c r="D93" s="25" t="s">
        <v>115</v>
      </c>
      <c r="E93" s="24" t="s">
        <v>4</v>
      </c>
      <c r="F93" s="20" t="str">
        <f t="shared" si="2"/>
        <v/>
      </c>
      <c r="G93" s="23" t="str">
        <f t="shared" si="3"/>
        <v/>
      </c>
    </row>
    <row r="94" spans="1:8" x14ac:dyDescent="0.25">
      <c r="B94" s="24" t="s">
        <v>23</v>
      </c>
      <c r="C94" s="24" t="s">
        <v>673</v>
      </c>
      <c r="D94" s="25" t="s">
        <v>116</v>
      </c>
      <c r="E94" s="24" t="s">
        <v>5</v>
      </c>
      <c r="F94" s="20" t="str">
        <f t="shared" si="2"/>
        <v/>
      </c>
      <c r="G94" s="23" t="str">
        <f t="shared" si="3"/>
        <v/>
      </c>
    </row>
    <row r="95" spans="1:8" x14ac:dyDescent="0.25">
      <c r="B95" s="24" t="s">
        <v>42</v>
      </c>
      <c r="C95" s="24" t="s">
        <v>674</v>
      </c>
      <c r="D95" s="25" t="s">
        <v>480</v>
      </c>
      <c r="E95" s="24" t="s">
        <v>3</v>
      </c>
      <c r="F95" s="20" t="str">
        <f t="shared" si="2"/>
        <v/>
      </c>
      <c r="G95" s="23" t="str">
        <f t="shared" si="3"/>
        <v/>
      </c>
    </row>
    <row r="96" spans="1:8" x14ac:dyDescent="0.25">
      <c r="A96" s="15">
        <v>30</v>
      </c>
      <c r="B96" s="24" t="s">
        <v>42</v>
      </c>
      <c r="C96" s="24" t="s">
        <v>675</v>
      </c>
      <c r="D96" s="25" t="s">
        <v>117</v>
      </c>
      <c r="E96" s="24" t="s">
        <v>4</v>
      </c>
      <c r="F96" s="20" t="str">
        <f t="shared" si="2"/>
        <v/>
      </c>
      <c r="G96" s="23" t="str">
        <f t="shared" si="3"/>
        <v/>
      </c>
    </row>
    <row r="97" spans="1:8" x14ac:dyDescent="0.25">
      <c r="B97" s="24" t="s">
        <v>42</v>
      </c>
      <c r="C97" s="24" t="s">
        <v>676</v>
      </c>
      <c r="D97" s="25" t="s">
        <v>118</v>
      </c>
      <c r="E97" s="24" t="s">
        <v>5</v>
      </c>
      <c r="F97" s="20" t="str">
        <f t="shared" si="2"/>
        <v/>
      </c>
      <c r="G97" s="23" t="str">
        <f t="shared" si="3"/>
        <v/>
      </c>
    </row>
    <row r="98" spans="1:8" x14ac:dyDescent="0.25">
      <c r="B98" s="24" t="s">
        <v>51</v>
      </c>
      <c r="C98" s="24" t="s">
        <v>677</v>
      </c>
      <c r="D98" s="25" t="s">
        <v>481</v>
      </c>
      <c r="E98" s="24" t="s">
        <v>3</v>
      </c>
      <c r="F98" s="20" t="str">
        <f t="shared" si="2"/>
        <v/>
      </c>
      <c r="G98" s="23" t="str">
        <f t="shared" si="3"/>
        <v/>
      </c>
    </row>
    <row r="99" spans="1:8" x14ac:dyDescent="0.25">
      <c r="A99" s="15">
        <v>31</v>
      </c>
      <c r="B99" s="24" t="s">
        <v>51</v>
      </c>
      <c r="C99" s="24" t="s">
        <v>678</v>
      </c>
      <c r="D99" s="25" t="s">
        <v>119</v>
      </c>
      <c r="E99" s="24" t="s">
        <v>4</v>
      </c>
      <c r="F99" s="20" t="str">
        <f t="shared" si="2"/>
        <v/>
      </c>
      <c r="G99" s="23" t="str">
        <f t="shared" si="3"/>
        <v/>
      </c>
    </row>
    <row r="100" spans="1:8" x14ac:dyDescent="0.25">
      <c r="B100" s="24" t="s">
        <v>51</v>
      </c>
      <c r="C100" s="24" t="s">
        <v>679</v>
      </c>
      <c r="D100" s="25" t="s">
        <v>120</v>
      </c>
      <c r="E100" s="24" t="s">
        <v>5</v>
      </c>
      <c r="F100" s="20" t="str">
        <f t="shared" si="2"/>
        <v/>
      </c>
      <c r="G100" s="23" t="str">
        <f t="shared" si="3"/>
        <v/>
      </c>
    </row>
    <row r="101" spans="1:8" x14ac:dyDescent="0.25">
      <c r="B101" s="24" t="s">
        <v>355</v>
      </c>
      <c r="C101" s="24" t="s">
        <v>680</v>
      </c>
      <c r="D101" s="25" t="s">
        <v>482</v>
      </c>
      <c r="E101" s="24" t="s">
        <v>3</v>
      </c>
      <c r="F101" s="20" t="str">
        <f t="shared" si="2"/>
        <v/>
      </c>
      <c r="G101" s="23" t="str">
        <f t="shared" si="3"/>
        <v/>
      </c>
    </row>
    <row r="102" spans="1:8" x14ac:dyDescent="0.25">
      <c r="A102" s="15">
        <v>32</v>
      </c>
      <c r="B102" s="24" t="s">
        <v>355</v>
      </c>
      <c r="C102" s="24" t="s">
        <v>681</v>
      </c>
      <c r="D102" s="25" t="s">
        <v>121</v>
      </c>
      <c r="E102" s="24" t="s">
        <v>4</v>
      </c>
      <c r="F102" s="20" t="str">
        <f t="shared" si="2"/>
        <v/>
      </c>
      <c r="G102" s="23" t="str">
        <f t="shared" si="3"/>
        <v/>
      </c>
    </row>
    <row r="103" spans="1:8" x14ac:dyDescent="0.25">
      <c r="B103" s="24" t="s">
        <v>355</v>
      </c>
      <c r="C103" s="24" t="s">
        <v>682</v>
      </c>
      <c r="D103" s="25" t="s">
        <v>122</v>
      </c>
      <c r="E103" s="24" t="s">
        <v>5</v>
      </c>
      <c r="F103" s="20" t="str">
        <f t="shared" si="2"/>
        <v/>
      </c>
      <c r="G103" s="23" t="str">
        <f t="shared" si="3"/>
        <v/>
      </c>
    </row>
    <row r="104" spans="1:8" x14ac:dyDescent="0.25">
      <c r="B104" s="24" t="s">
        <v>356</v>
      </c>
      <c r="C104" s="24" t="s">
        <v>683</v>
      </c>
      <c r="D104" s="25" t="s">
        <v>483</v>
      </c>
      <c r="E104" s="24" t="s">
        <v>3</v>
      </c>
      <c r="F104" s="20" t="str">
        <f t="shared" si="2"/>
        <v/>
      </c>
      <c r="G104" s="23" t="str">
        <f t="shared" si="3"/>
        <v/>
      </c>
    </row>
    <row r="105" spans="1:8" x14ac:dyDescent="0.25">
      <c r="A105" s="15">
        <v>33</v>
      </c>
      <c r="B105" s="24" t="s">
        <v>356</v>
      </c>
      <c r="C105" s="24" t="s">
        <v>684</v>
      </c>
      <c r="D105" s="25" t="s">
        <v>123</v>
      </c>
      <c r="E105" s="24" t="s">
        <v>4</v>
      </c>
      <c r="F105" s="20" t="str">
        <f t="shared" si="2"/>
        <v/>
      </c>
      <c r="G105" s="23" t="str">
        <f t="shared" si="3"/>
        <v/>
      </c>
    </row>
    <row r="106" spans="1:8" x14ac:dyDescent="0.25">
      <c r="B106" s="24" t="s">
        <v>356</v>
      </c>
      <c r="C106" s="24" t="s">
        <v>685</v>
      </c>
      <c r="D106" s="25" t="s">
        <v>124</v>
      </c>
      <c r="E106" s="24" t="s">
        <v>5</v>
      </c>
      <c r="F106" s="20" t="str">
        <f t="shared" si="2"/>
        <v/>
      </c>
      <c r="G106" s="23" t="str">
        <f t="shared" si="3"/>
        <v/>
      </c>
    </row>
    <row r="107" spans="1:8" x14ac:dyDescent="0.25">
      <c r="B107" s="24" t="s">
        <v>357</v>
      </c>
      <c r="C107" s="24" t="s">
        <v>686</v>
      </c>
      <c r="D107" s="20" t="s">
        <v>996</v>
      </c>
      <c r="E107" s="24" t="s">
        <v>11</v>
      </c>
      <c r="F107" s="20" t="str">
        <f t="shared" si="2"/>
        <v/>
      </c>
      <c r="G107" s="23" t="str">
        <f t="shared" si="3"/>
        <v/>
      </c>
    </row>
    <row r="108" spans="1:8" x14ac:dyDescent="0.25">
      <c r="B108" s="24" t="s">
        <v>24</v>
      </c>
      <c r="C108" s="24" t="s">
        <v>687</v>
      </c>
      <c r="D108" s="25" t="s">
        <v>484</v>
      </c>
      <c r="E108" s="24" t="s">
        <v>3</v>
      </c>
      <c r="F108" s="20" t="str">
        <f t="shared" si="2"/>
        <v/>
      </c>
      <c r="G108" s="23" t="str">
        <f t="shared" si="3"/>
        <v/>
      </c>
    </row>
    <row r="109" spans="1:8" x14ac:dyDescent="0.25">
      <c r="A109" s="15">
        <v>34</v>
      </c>
      <c r="B109" s="24" t="s">
        <v>24</v>
      </c>
      <c r="C109" s="24" t="s">
        <v>688</v>
      </c>
      <c r="D109" s="25" t="s">
        <v>126</v>
      </c>
      <c r="E109" s="24" t="s">
        <v>4</v>
      </c>
      <c r="F109" s="20" t="str">
        <f t="shared" si="2"/>
        <v/>
      </c>
      <c r="G109" s="23" t="str">
        <f t="shared" si="3"/>
        <v/>
      </c>
    </row>
    <row r="110" spans="1:8" x14ac:dyDescent="0.25">
      <c r="B110" s="24" t="s">
        <v>24</v>
      </c>
      <c r="C110" s="24" t="s">
        <v>689</v>
      </c>
      <c r="D110" s="25" t="s">
        <v>127</v>
      </c>
      <c r="E110" s="24" t="s">
        <v>5</v>
      </c>
      <c r="F110" s="20" t="str">
        <f t="shared" si="2"/>
        <v/>
      </c>
      <c r="G110" s="23" t="str">
        <f t="shared" si="3"/>
        <v/>
      </c>
    </row>
    <row r="111" spans="1:8" x14ac:dyDescent="0.25">
      <c r="B111" s="24" t="s">
        <v>25</v>
      </c>
      <c r="C111" s="24" t="s">
        <v>690</v>
      </c>
      <c r="D111" s="25" t="s">
        <v>485</v>
      </c>
      <c r="E111" s="24" t="s">
        <v>3</v>
      </c>
      <c r="F111" s="20" t="str">
        <f t="shared" si="2"/>
        <v/>
      </c>
      <c r="G111" s="23" t="str">
        <f t="shared" si="3"/>
        <v/>
      </c>
    </row>
    <row r="112" spans="1:8" x14ac:dyDescent="0.25">
      <c r="A112" s="15">
        <v>35</v>
      </c>
      <c r="B112" s="24" t="s">
        <v>25</v>
      </c>
      <c r="C112" s="24" t="s">
        <v>691</v>
      </c>
      <c r="D112" s="25" t="s">
        <v>128</v>
      </c>
      <c r="E112" s="24" t="s">
        <v>4</v>
      </c>
      <c r="F112" s="20" t="str">
        <f t="shared" si="2"/>
        <v/>
      </c>
      <c r="G112" s="23" t="str">
        <f t="shared" si="3"/>
        <v/>
      </c>
      <c r="H112" s="26"/>
    </row>
    <row r="113" spans="1:8" x14ac:dyDescent="0.25">
      <c r="B113" s="24" t="s">
        <v>25</v>
      </c>
      <c r="C113" s="24" t="s">
        <v>692</v>
      </c>
      <c r="D113" s="25" t="s">
        <v>129</v>
      </c>
      <c r="E113" s="24" t="s">
        <v>5</v>
      </c>
      <c r="F113" s="20" t="str">
        <f t="shared" si="2"/>
        <v/>
      </c>
      <c r="G113" s="23" t="str">
        <f t="shared" si="3"/>
        <v/>
      </c>
    </row>
    <row r="114" spans="1:8" x14ac:dyDescent="0.25">
      <c r="B114" s="24" t="s">
        <v>26</v>
      </c>
      <c r="C114" s="24" t="s">
        <v>693</v>
      </c>
      <c r="D114" s="25" t="s">
        <v>486</v>
      </c>
      <c r="E114" s="24" t="s">
        <v>3</v>
      </c>
      <c r="F114" s="20" t="str">
        <f t="shared" si="2"/>
        <v/>
      </c>
      <c r="G114" s="23" t="str">
        <f t="shared" si="3"/>
        <v/>
      </c>
      <c r="H114" s="20"/>
    </row>
    <row r="115" spans="1:8" x14ac:dyDescent="0.25">
      <c r="A115" s="15">
        <v>36</v>
      </c>
      <c r="B115" s="24" t="s">
        <v>26</v>
      </c>
      <c r="C115" s="24" t="s">
        <v>694</v>
      </c>
      <c r="D115" s="25" t="s">
        <v>130</v>
      </c>
      <c r="E115" s="24" t="s">
        <v>4</v>
      </c>
      <c r="F115" s="20" t="str">
        <f t="shared" si="2"/>
        <v/>
      </c>
      <c r="G115" s="23" t="str">
        <f t="shared" si="3"/>
        <v/>
      </c>
    </row>
    <row r="116" spans="1:8" x14ac:dyDescent="0.25">
      <c r="B116" s="24" t="s">
        <v>26</v>
      </c>
      <c r="C116" s="24" t="s">
        <v>695</v>
      </c>
      <c r="D116" s="25" t="s">
        <v>131</v>
      </c>
      <c r="E116" s="24" t="s">
        <v>5</v>
      </c>
      <c r="F116" s="20" t="str">
        <f t="shared" si="2"/>
        <v/>
      </c>
      <c r="G116" s="23" t="str">
        <f t="shared" si="3"/>
        <v/>
      </c>
    </row>
    <row r="117" spans="1:8" x14ac:dyDescent="0.25">
      <c r="B117" s="24" t="s">
        <v>43</v>
      </c>
      <c r="C117" s="24" t="s">
        <v>696</v>
      </c>
      <c r="D117" s="25" t="s">
        <v>487</v>
      </c>
      <c r="E117" s="24" t="s">
        <v>3</v>
      </c>
      <c r="F117" s="20" t="str">
        <f t="shared" si="2"/>
        <v/>
      </c>
      <c r="G117" s="23" t="str">
        <f t="shared" si="3"/>
        <v/>
      </c>
    </row>
    <row r="118" spans="1:8" x14ac:dyDescent="0.25">
      <c r="A118" s="15">
        <v>37</v>
      </c>
      <c r="B118" s="24" t="s">
        <v>43</v>
      </c>
      <c r="C118" s="24" t="s">
        <v>697</v>
      </c>
      <c r="D118" s="25" t="s">
        <v>132</v>
      </c>
      <c r="E118" s="24" t="s">
        <v>4</v>
      </c>
      <c r="F118" s="20" t="str">
        <f t="shared" si="2"/>
        <v/>
      </c>
      <c r="G118" s="23" t="str">
        <f t="shared" si="3"/>
        <v/>
      </c>
    </row>
    <row r="119" spans="1:8" x14ac:dyDescent="0.25">
      <c r="B119" s="24" t="s">
        <v>43</v>
      </c>
      <c r="C119" s="24" t="s">
        <v>698</v>
      </c>
      <c r="D119" s="25" t="s">
        <v>133</v>
      </c>
      <c r="E119" s="24" t="s">
        <v>5</v>
      </c>
      <c r="F119" s="20" t="str">
        <f t="shared" si="2"/>
        <v/>
      </c>
      <c r="G119" s="23" t="str">
        <f t="shared" si="3"/>
        <v/>
      </c>
    </row>
    <row r="120" spans="1:8" x14ac:dyDescent="0.25">
      <c r="B120" s="24" t="s">
        <v>358</v>
      </c>
      <c r="C120" s="24" t="s">
        <v>699</v>
      </c>
      <c r="D120" s="20" t="s">
        <v>997</v>
      </c>
      <c r="E120" s="24" t="s">
        <v>11</v>
      </c>
      <c r="F120" s="20" t="str">
        <f t="shared" si="2"/>
        <v/>
      </c>
      <c r="G120" s="23" t="str">
        <f t="shared" si="3"/>
        <v/>
      </c>
    </row>
    <row r="121" spans="1:8" x14ac:dyDescent="0.25">
      <c r="B121" s="24" t="s">
        <v>27</v>
      </c>
      <c r="C121" s="24" t="s">
        <v>700</v>
      </c>
      <c r="D121" s="25" t="s">
        <v>488</v>
      </c>
      <c r="E121" s="24" t="s">
        <v>3</v>
      </c>
      <c r="F121" s="20" t="str">
        <f t="shared" si="2"/>
        <v/>
      </c>
      <c r="G121" s="23" t="str">
        <f t="shared" si="3"/>
        <v/>
      </c>
    </row>
    <row r="122" spans="1:8" x14ac:dyDescent="0.25">
      <c r="A122" s="15">
        <v>38</v>
      </c>
      <c r="B122" s="24" t="s">
        <v>27</v>
      </c>
      <c r="C122" s="24" t="s">
        <v>701</v>
      </c>
      <c r="D122" s="25" t="s">
        <v>135</v>
      </c>
      <c r="E122" s="24" t="s">
        <v>4</v>
      </c>
      <c r="F122" s="20" t="str">
        <f t="shared" si="2"/>
        <v/>
      </c>
      <c r="G122" s="23" t="str">
        <f t="shared" si="3"/>
        <v/>
      </c>
    </row>
    <row r="123" spans="1:8" x14ac:dyDescent="0.25">
      <c r="B123" s="24" t="s">
        <v>27</v>
      </c>
      <c r="C123" s="24" t="s">
        <v>702</v>
      </c>
      <c r="D123" s="25" t="s">
        <v>136</v>
      </c>
      <c r="E123" s="24" t="s">
        <v>5</v>
      </c>
      <c r="F123" s="20" t="str">
        <f t="shared" ref="F123:F186" si="4">IF(G123="","","https://docs.google.com/uc?export=download&amp;id="&amp;G123)</f>
        <v/>
      </c>
      <c r="G123" s="23" t="str">
        <f t="shared" ref="G123:G186" si="5">IFERROR(LEFT(RIGHT(H123,LEN(H123)-32),LEN(RIGHT(H123,LEN(H123)-32))-17),"")</f>
        <v/>
      </c>
    </row>
    <row r="124" spans="1:8" x14ac:dyDescent="0.25">
      <c r="B124" s="15" t="s">
        <v>28</v>
      </c>
      <c r="C124" s="15" t="s">
        <v>703</v>
      </c>
      <c r="D124" s="11" t="s">
        <v>489</v>
      </c>
      <c r="E124" s="24" t="s">
        <v>3</v>
      </c>
      <c r="F124" s="20" t="str">
        <f t="shared" si="4"/>
        <v/>
      </c>
      <c r="G124" s="23" t="str">
        <f t="shared" si="5"/>
        <v/>
      </c>
    </row>
    <row r="125" spans="1:8" x14ac:dyDescent="0.25">
      <c r="A125" s="15">
        <v>39</v>
      </c>
      <c r="B125" s="15" t="s">
        <v>28</v>
      </c>
      <c r="C125" s="15" t="s">
        <v>704</v>
      </c>
      <c r="D125" s="11" t="s">
        <v>137</v>
      </c>
      <c r="E125" s="24" t="s">
        <v>4</v>
      </c>
      <c r="F125" s="20" t="str">
        <f t="shared" si="4"/>
        <v/>
      </c>
      <c r="G125" s="23" t="str">
        <f t="shared" si="5"/>
        <v/>
      </c>
    </row>
    <row r="126" spans="1:8" x14ac:dyDescent="0.25">
      <c r="B126" s="15" t="s">
        <v>28</v>
      </c>
      <c r="C126" s="15" t="s">
        <v>705</v>
      </c>
      <c r="D126" s="11" t="s">
        <v>138</v>
      </c>
      <c r="E126" s="24" t="s">
        <v>5</v>
      </c>
      <c r="F126" s="20" t="str">
        <f t="shared" si="4"/>
        <v/>
      </c>
      <c r="G126" s="23" t="str">
        <f t="shared" si="5"/>
        <v/>
      </c>
    </row>
    <row r="127" spans="1:8" x14ac:dyDescent="0.25">
      <c r="B127" s="15" t="s">
        <v>29</v>
      </c>
      <c r="C127" s="15" t="s">
        <v>706</v>
      </c>
      <c r="D127" s="11" t="s">
        <v>490</v>
      </c>
      <c r="E127" s="24" t="s">
        <v>3</v>
      </c>
      <c r="F127" s="20" t="str">
        <f t="shared" si="4"/>
        <v/>
      </c>
      <c r="G127" s="23" t="str">
        <f t="shared" si="5"/>
        <v/>
      </c>
    </row>
    <row r="128" spans="1:8" x14ac:dyDescent="0.25">
      <c r="A128" s="15">
        <v>40</v>
      </c>
      <c r="B128" s="15" t="s">
        <v>29</v>
      </c>
      <c r="C128" s="15" t="s">
        <v>707</v>
      </c>
      <c r="D128" s="11" t="s">
        <v>139</v>
      </c>
      <c r="E128" s="24" t="s">
        <v>4</v>
      </c>
      <c r="F128" s="20" t="str">
        <f t="shared" si="4"/>
        <v/>
      </c>
      <c r="G128" s="23" t="str">
        <f t="shared" si="5"/>
        <v/>
      </c>
    </row>
    <row r="129" spans="1:7" x14ac:dyDescent="0.25">
      <c r="B129" s="15" t="s">
        <v>29</v>
      </c>
      <c r="C129" s="15" t="s">
        <v>708</v>
      </c>
      <c r="D129" s="11" t="s">
        <v>140</v>
      </c>
      <c r="E129" s="24" t="s">
        <v>5</v>
      </c>
      <c r="F129" s="20" t="str">
        <f t="shared" si="4"/>
        <v/>
      </c>
      <c r="G129" s="23" t="str">
        <f t="shared" si="5"/>
        <v/>
      </c>
    </row>
    <row r="130" spans="1:7" x14ac:dyDescent="0.25">
      <c r="B130" s="15" t="s">
        <v>52</v>
      </c>
      <c r="C130" s="15" t="s">
        <v>709</v>
      </c>
      <c r="D130" s="11" t="s">
        <v>491</v>
      </c>
      <c r="E130" s="24" t="s">
        <v>3</v>
      </c>
      <c r="F130" s="20" t="str">
        <f t="shared" si="4"/>
        <v/>
      </c>
      <c r="G130" s="23" t="str">
        <f t="shared" si="5"/>
        <v/>
      </c>
    </row>
    <row r="131" spans="1:7" x14ac:dyDescent="0.25">
      <c r="A131" s="15">
        <v>41</v>
      </c>
      <c r="B131" s="15" t="s">
        <v>52</v>
      </c>
      <c r="C131" s="15" t="s">
        <v>710</v>
      </c>
      <c r="D131" s="11" t="s">
        <v>141</v>
      </c>
      <c r="E131" s="24" t="s">
        <v>4</v>
      </c>
      <c r="F131" s="20" t="str">
        <f t="shared" si="4"/>
        <v/>
      </c>
      <c r="G131" s="23" t="str">
        <f t="shared" si="5"/>
        <v/>
      </c>
    </row>
    <row r="132" spans="1:7" x14ac:dyDescent="0.25">
      <c r="B132" s="15" t="s">
        <v>52</v>
      </c>
      <c r="C132" s="15" t="s">
        <v>711</v>
      </c>
      <c r="D132" s="11" t="s">
        <v>142</v>
      </c>
      <c r="E132" s="24" t="s">
        <v>5</v>
      </c>
      <c r="F132" s="20" t="str">
        <f t="shared" si="4"/>
        <v/>
      </c>
      <c r="G132" s="23" t="str">
        <f t="shared" si="5"/>
        <v/>
      </c>
    </row>
    <row r="133" spans="1:7" x14ac:dyDescent="0.25">
      <c r="B133" s="15" t="s">
        <v>359</v>
      </c>
      <c r="C133" s="15" t="s">
        <v>712</v>
      </c>
      <c r="D133" s="11" t="s">
        <v>492</v>
      </c>
      <c r="E133" s="24" t="s">
        <v>3</v>
      </c>
      <c r="F133" s="20" t="str">
        <f t="shared" si="4"/>
        <v/>
      </c>
      <c r="G133" s="23" t="str">
        <f t="shared" si="5"/>
        <v/>
      </c>
    </row>
    <row r="134" spans="1:7" x14ac:dyDescent="0.25">
      <c r="A134" s="15">
        <v>42</v>
      </c>
      <c r="B134" s="15" t="s">
        <v>359</v>
      </c>
      <c r="C134" s="15" t="s">
        <v>713</v>
      </c>
      <c r="D134" s="11" t="s">
        <v>143</v>
      </c>
      <c r="E134" s="24" t="s">
        <v>4</v>
      </c>
      <c r="F134" s="20" t="str">
        <f t="shared" si="4"/>
        <v/>
      </c>
      <c r="G134" s="23" t="str">
        <f t="shared" si="5"/>
        <v/>
      </c>
    </row>
    <row r="135" spans="1:7" x14ac:dyDescent="0.25">
      <c r="B135" s="15" t="s">
        <v>359</v>
      </c>
      <c r="C135" s="15" t="s">
        <v>714</v>
      </c>
      <c r="D135" s="11" t="s">
        <v>144</v>
      </c>
      <c r="E135" s="24" t="s">
        <v>5</v>
      </c>
      <c r="F135" s="20" t="str">
        <f t="shared" si="4"/>
        <v/>
      </c>
      <c r="G135" s="23" t="str">
        <f t="shared" si="5"/>
        <v/>
      </c>
    </row>
    <row r="136" spans="1:7" x14ac:dyDescent="0.25">
      <c r="B136" s="15" t="s">
        <v>360</v>
      </c>
      <c r="C136" s="15" t="s">
        <v>715</v>
      </c>
      <c r="D136" s="11" t="s">
        <v>493</v>
      </c>
      <c r="E136" s="24" t="s">
        <v>3</v>
      </c>
      <c r="F136" s="20" t="str">
        <f t="shared" si="4"/>
        <v/>
      </c>
      <c r="G136" s="23" t="str">
        <f t="shared" si="5"/>
        <v/>
      </c>
    </row>
    <row r="137" spans="1:7" x14ac:dyDescent="0.25">
      <c r="A137" s="15">
        <v>43</v>
      </c>
      <c r="B137" s="15" t="s">
        <v>360</v>
      </c>
      <c r="C137" s="15" t="s">
        <v>716</v>
      </c>
      <c r="D137" s="11" t="s">
        <v>145</v>
      </c>
      <c r="E137" s="24" t="s">
        <v>4</v>
      </c>
      <c r="F137" s="20" t="str">
        <f t="shared" si="4"/>
        <v/>
      </c>
      <c r="G137" s="23" t="str">
        <f t="shared" si="5"/>
        <v/>
      </c>
    </row>
    <row r="138" spans="1:7" x14ac:dyDescent="0.25">
      <c r="B138" s="15" t="s">
        <v>360</v>
      </c>
      <c r="C138" s="15" t="s">
        <v>717</v>
      </c>
      <c r="D138" s="11" t="s">
        <v>146</v>
      </c>
      <c r="E138" s="24" t="s">
        <v>5</v>
      </c>
      <c r="F138" s="20" t="str">
        <f t="shared" si="4"/>
        <v/>
      </c>
      <c r="G138" s="23" t="str">
        <f t="shared" si="5"/>
        <v/>
      </c>
    </row>
    <row r="139" spans="1:7" x14ac:dyDescent="0.25">
      <c r="B139" s="15" t="s">
        <v>361</v>
      </c>
      <c r="C139" s="15" t="s">
        <v>718</v>
      </c>
      <c r="D139" s="11" t="s">
        <v>494</v>
      </c>
      <c r="E139" s="24" t="s">
        <v>3</v>
      </c>
      <c r="F139" s="20" t="str">
        <f t="shared" si="4"/>
        <v/>
      </c>
      <c r="G139" s="23" t="str">
        <f t="shared" si="5"/>
        <v/>
      </c>
    </row>
    <row r="140" spans="1:7" x14ac:dyDescent="0.25">
      <c r="A140" s="15">
        <v>44</v>
      </c>
      <c r="B140" s="15" t="s">
        <v>361</v>
      </c>
      <c r="C140" s="15" t="s">
        <v>719</v>
      </c>
      <c r="D140" s="11" t="s">
        <v>147</v>
      </c>
      <c r="E140" s="24" t="s">
        <v>4</v>
      </c>
      <c r="F140" s="20" t="str">
        <f t="shared" si="4"/>
        <v/>
      </c>
      <c r="G140" s="23" t="str">
        <f t="shared" si="5"/>
        <v/>
      </c>
    </row>
    <row r="141" spans="1:7" x14ac:dyDescent="0.25">
      <c r="B141" s="15" t="s">
        <v>361</v>
      </c>
      <c r="C141" s="15" t="s">
        <v>720</v>
      </c>
      <c r="D141" s="11" t="s">
        <v>148</v>
      </c>
      <c r="E141" s="24" t="s">
        <v>5</v>
      </c>
      <c r="F141" s="20" t="str">
        <f t="shared" si="4"/>
        <v/>
      </c>
      <c r="G141" s="23" t="str">
        <f t="shared" si="5"/>
        <v/>
      </c>
    </row>
    <row r="142" spans="1:7" x14ac:dyDescent="0.25">
      <c r="B142" s="15" t="s">
        <v>362</v>
      </c>
      <c r="C142" s="15" t="s">
        <v>721</v>
      </c>
      <c r="D142" s="11" t="s">
        <v>495</v>
      </c>
      <c r="E142" s="24" t="s">
        <v>3</v>
      </c>
      <c r="F142" s="20" t="str">
        <f t="shared" si="4"/>
        <v/>
      </c>
      <c r="G142" s="23" t="str">
        <f t="shared" si="5"/>
        <v/>
      </c>
    </row>
    <row r="143" spans="1:7" x14ac:dyDescent="0.25">
      <c r="A143" s="15">
        <v>45</v>
      </c>
      <c r="B143" s="15" t="s">
        <v>362</v>
      </c>
      <c r="C143" s="15" t="s">
        <v>722</v>
      </c>
      <c r="D143" s="11" t="s">
        <v>149</v>
      </c>
      <c r="E143" s="24" t="s">
        <v>4</v>
      </c>
      <c r="F143" s="20" t="str">
        <f t="shared" si="4"/>
        <v/>
      </c>
      <c r="G143" s="23" t="str">
        <f t="shared" si="5"/>
        <v/>
      </c>
    </row>
    <row r="144" spans="1:7" x14ac:dyDescent="0.25">
      <c r="B144" s="15" t="s">
        <v>362</v>
      </c>
      <c r="C144" s="15" t="s">
        <v>723</v>
      </c>
      <c r="D144" s="11" t="s">
        <v>150</v>
      </c>
      <c r="E144" s="24" t="s">
        <v>5</v>
      </c>
      <c r="F144" s="20" t="str">
        <f t="shared" si="4"/>
        <v/>
      </c>
      <c r="G144" s="23" t="str">
        <f t="shared" si="5"/>
        <v/>
      </c>
    </row>
    <row r="145" spans="1:7" x14ac:dyDescent="0.25">
      <c r="B145" s="15" t="s">
        <v>363</v>
      </c>
      <c r="C145" s="15" t="s">
        <v>724</v>
      </c>
      <c r="D145" s="11" t="s">
        <v>496</v>
      </c>
      <c r="E145" s="24" t="s">
        <v>3</v>
      </c>
      <c r="F145" s="20" t="str">
        <f t="shared" si="4"/>
        <v/>
      </c>
      <c r="G145" s="23" t="str">
        <f t="shared" si="5"/>
        <v/>
      </c>
    </row>
    <row r="146" spans="1:7" x14ac:dyDescent="0.25">
      <c r="A146" s="15">
        <v>46</v>
      </c>
      <c r="B146" s="15" t="s">
        <v>363</v>
      </c>
      <c r="C146" s="15" t="s">
        <v>725</v>
      </c>
      <c r="D146" s="11" t="s">
        <v>151</v>
      </c>
      <c r="E146" s="24" t="s">
        <v>4</v>
      </c>
      <c r="F146" s="20" t="str">
        <f t="shared" si="4"/>
        <v/>
      </c>
      <c r="G146" s="23" t="str">
        <f t="shared" si="5"/>
        <v/>
      </c>
    </row>
    <row r="147" spans="1:7" x14ac:dyDescent="0.25">
      <c r="B147" s="15" t="s">
        <v>363</v>
      </c>
      <c r="C147" s="15" t="s">
        <v>726</v>
      </c>
      <c r="D147" s="11" t="s">
        <v>152</v>
      </c>
      <c r="E147" s="24" t="s">
        <v>5</v>
      </c>
      <c r="F147" s="20" t="str">
        <f t="shared" si="4"/>
        <v/>
      </c>
      <c r="G147" s="23" t="str">
        <f t="shared" si="5"/>
        <v/>
      </c>
    </row>
    <row r="148" spans="1:7" x14ac:dyDescent="0.25">
      <c r="B148" s="15" t="s">
        <v>364</v>
      </c>
      <c r="C148" s="15" t="s">
        <v>727</v>
      </c>
      <c r="D148" s="20" t="s">
        <v>998</v>
      </c>
      <c r="E148" s="24" t="s">
        <v>11</v>
      </c>
      <c r="F148" s="20" t="str">
        <f t="shared" si="4"/>
        <v/>
      </c>
      <c r="G148" s="23" t="str">
        <f t="shared" si="5"/>
        <v/>
      </c>
    </row>
    <row r="149" spans="1:7" x14ac:dyDescent="0.25">
      <c r="B149" s="15" t="s">
        <v>30</v>
      </c>
      <c r="C149" s="15" t="s">
        <v>728</v>
      </c>
      <c r="D149" s="11" t="s">
        <v>497</v>
      </c>
      <c r="E149" s="24" t="s">
        <v>3</v>
      </c>
      <c r="F149" s="20" t="str">
        <f t="shared" si="4"/>
        <v/>
      </c>
      <c r="G149" s="23" t="str">
        <f t="shared" si="5"/>
        <v/>
      </c>
    </row>
    <row r="150" spans="1:7" x14ac:dyDescent="0.25">
      <c r="A150" s="15">
        <v>47</v>
      </c>
      <c r="B150" s="15" t="s">
        <v>30</v>
      </c>
      <c r="C150" s="15" t="s">
        <v>729</v>
      </c>
      <c r="D150" s="11" t="s">
        <v>154</v>
      </c>
      <c r="E150" s="24" t="s">
        <v>4</v>
      </c>
      <c r="F150" s="20" t="str">
        <f t="shared" si="4"/>
        <v/>
      </c>
      <c r="G150" s="23" t="str">
        <f t="shared" si="5"/>
        <v/>
      </c>
    </row>
    <row r="151" spans="1:7" x14ac:dyDescent="0.25">
      <c r="B151" s="15" t="s">
        <v>30</v>
      </c>
      <c r="C151" s="15" t="s">
        <v>730</v>
      </c>
      <c r="D151" s="11" t="s">
        <v>155</v>
      </c>
      <c r="E151" s="24" t="s">
        <v>5</v>
      </c>
      <c r="F151" s="20" t="str">
        <f t="shared" si="4"/>
        <v/>
      </c>
      <c r="G151" s="23" t="str">
        <f t="shared" si="5"/>
        <v/>
      </c>
    </row>
    <row r="152" spans="1:7" x14ac:dyDescent="0.25">
      <c r="B152" s="15" t="s">
        <v>31</v>
      </c>
      <c r="C152" s="15" t="s">
        <v>731</v>
      </c>
      <c r="D152" s="11" t="s">
        <v>498</v>
      </c>
      <c r="E152" s="24" t="s">
        <v>3</v>
      </c>
      <c r="F152" s="20" t="str">
        <f t="shared" si="4"/>
        <v/>
      </c>
      <c r="G152" s="23" t="str">
        <f t="shared" si="5"/>
        <v/>
      </c>
    </row>
    <row r="153" spans="1:7" x14ac:dyDescent="0.25">
      <c r="A153" s="15">
        <v>48</v>
      </c>
      <c r="B153" s="15" t="s">
        <v>31</v>
      </c>
      <c r="C153" s="15" t="s">
        <v>732</v>
      </c>
      <c r="D153" s="11" t="s">
        <v>156</v>
      </c>
      <c r="E153" s="24" t="s">
        <v>4</v>
      </c>
      <c r="F153" s="20" t="str">
        <f t="shared" si="4"/>
        <v/>
      </c>
      <c r="G153" s="23" t="str">
        <f t="shared" si="5"/>
        <v/>
      </c>
    </row>
    <row r="154" spans="1:7" x14ac:dyDescent="0.25">
      <c r="B154" s="15" t="s">
        <v>31</v>
      </c>
      <c r="C154" s="15" t="s">
        <v>733</v>
      </c>
      <c r="D154" s="11" t="s">
        <v>157</v>
      </c>
      <c r="E154" s="24" t="s">
        <v>5</v>
      </c>
      <c r="F154" s="20" t="str">
        <f t="shared" si="4"/>
        <v/>
      </c>
      <c r="G154" s="23" t="str">
        <f t="shared" si="5"/>
        <v/>
      </c>
    </row>
    <row r="155" spans="1:7" x14ac:dyDescent="0.25">
      <c r="B155" s="15" t="s">
        <v>32</v>
      </c>
      <c r="C155" s="15" t="s">
        <v>734</v>
      </c>
      <c r="D155" s="11" t="s">
        <v>499</v>
      </c>
      <c r="E155" s="24" t="s">
        <v>3</v>
      </c>
      <c r="F155" s="20" t="str">
        <f t="shared" si="4"/>
        <v/>
      </c>
      <c r="G155" s="23" t="str">
        <f t="shared" si="5"/>
        <v/>
      </c>
    </row>
    <row r="156" spans="1:7" x14ac:dyDescent="0.25">
      <c r="A156" s="15">
        <v>49</v>
      </c>
      <c r="B156" s="15" t="s">
        <v>32</v>
      </c>
      <c r="C156" s="15" t="s">
        <v>735</v>
      </c>
      <c r="D156" s="11" t="s">
        <v>158</v>
      </c>
      <c r="E156" s="24" t="s">
        <v>4</v>
      </c>
      <c r="F156" s="20" t="str">
        <f t="shared" si="4"/>
        <v/>
      </c>
      <c r="G156" s="23" t="str">
        <f t="shared" si="5"/>
        <v/>
      </c>
    </row>
    <row r="157" spans="1:7" x14ac:dyDescent="0.25">
      <c r="B157" s="15" t="s">
        <v>32</v>
      </c>
      <c r="C157" s="15" t="s">
        <v>736</v>
      </c>
      <c r="D157" s="11" t="s">
        <v>159</v>
      </c>
      <c r="E157" s="24" t="s">
        <v>5</v>
      </c>
      <c r="F157" s="20" t="str">
        <f t="shared" si="4"/>
        <v/>
      </c>
      <c r="G157" s="23" t="str">
        <f t="shared" si="5"/>
        <v/>
      </c>
    </row>
    <row r="158" spans="1:7" x14ac:dyDescent="0.25">
      <c r="B158" s="15" t="s">
        <v>44</v>
      </c>
      <c r="C158" s="15" t="s">
        <v>737</v>
      </c>
      <c r="D158" s="11" t="s">
        <v>500</v>
      </c>
      <c r="E158" s="24" t="s">
        <v>3</v>
      </c>
      <c r="F158" s="20" t="str">
        <f t="shared" si="4"/>
        <v/>
      </c>
      <c r="G158" s="23" t="str">
        <f t="shared" si="5"/>
        <v/>
      </c>
    </row>
    <row r="159" spans="1:7" x14ac:dyDescent="0.25">
      <c r="A159" s="15">
        <v>50</v>
      </c>
      <c r="B159" s="15" t="s">
        <v>44</v>
      </c>
      <c r="C159" s="15" t="s">
        <v>738</v>
      </c>
      <c r="D159" s="11" t="s">
        <v>160</v>
      </c>
      <c r="E159" s="24" t="s">
        <v>4</v>
      </c>
      <c r="F159" s="20" t="str">
        <f t="shared" si="4"/>
        <v/>
      </c>
      <c r="G159" s="23" t="str">
        <f t="shared" si="5"/>
        <v/>
      </c>
    </row>
    <row r="160" spans="1:7" x14ac:dyDescent="0.25">
      <c r="B160" s="15" t="s">
        <v>44</v>
      </c>
      <c r="C160" s="15" t="s">
        <v>739</v>
      </c>
      <c r="D160" s="11" t="s">
        <v>161</v>
      </c>
      <c r="E160" s="24" t="s">
        <v>5</v>
      </c>
      <c r="F160" s="20" t="str">
        <f t="shared" si="4"/>
        <v/>
      </c>
      <c r="G160" s="23" t="str">
        <f t="shared" si="5"/>
        <v/>
      </c>
    </row>
    <row r="161" spans="1:7" x14ac:dyDescent="0.25">
      <c r="B161" s="15" t="s">
        <v>365</v>
      </c>
      <c r="C161" s="15" t="s">
        <v>740</v>
      </c>
      <c r="D161" s="11" t="s">
        <v>501</v>
      </c>
      <c r="E161" s="24" t="s">
        <v>3</v>
      </c>
      <c r="F161" s="20" t="str">
        <f t="shared" si="4"/>
        <v/>
      </c>
      <c r="G161" s="23" t="str">
        <f t="shared" si="5"/>
        <v/>
      </c>
    </row>
    <row r="162" spans="1:7" x14ac:dyDescent="0.25">
      <c r="A162" s="15">
        <v>51</v>
      </c>
      <c r="B162" s="15" t="s">
        <v>365</v>
      </c>
      <c r="C162" s="15" t="s">
        <v>741</v>
      </c>
      <c r="D162" s="11" t="s">
        <v>162</v>
      </c>
      <c r="E162" s="24" t="s">
        <v>4</v>
      </c>
      <c r="F162" s="20" t="str">
        <f t="shared" si="4"/>
        <v/>
      </c>
      <c r="G162" s="23" t="str">
        <f t="shared" si="5"/>
        <v/>
      </c>
    </row>
    <row r="163" spans="1:7" x14ac:dyDescent="0.25">
      <c r="B163" s="15" t="s">
        <v>365</v>
      </c>
      <c r="C163" s="15" t="s">
        <v>742</v>
      </c>
      <c r="D163" s="11" t="s">
        <v>163</v>
      </c>
      <c r="E163" s="24" t="s">
        <v>5</v>
      </c>
      <c r="F163" s="20" t="str">
        <f t="shared" si="4"/>
        <v/>
      </c>
      <c r="G163" s="23" t="str">
        <f t="shared" si="5"/>
        <v/>
      </c>
    </row>
    <row r="164" spans="1:7" x14ac:dyDescent="0.25">
      <c r="B164" s="15" t="s">
        <v>366</v>
      </c>
      <c r="C164" s="15" t="s">
        <v>743</v>
      </c>
      <c r="D164" s="11" t="s">
        <v>502</v>
      </c>
      <c r="E164" s="24" t="s">
        <v>3</v>
      </c>
      <c r="F164" s="20" t="str">
        <f t="shared" si="4"/>
        <v/>
      </c>
      <c r="G164" s="23" t="str">
        <f t="shared" si="5"/>
        <v/>
      </c>
    </row>
    <row r="165" spans="1:7" x14ac:dyDescent="0.25">
      <c r="A165" s="15">
        <v>52</v>
      </c>
      <c r="B165" s="15" t="s">
        <v>366</v>
      </c>
      <c r="C165" s="15" t="s">
        <v>744</v>
      </c>
      <c r="D165" s="11" t="s">
        <v>164</v>
      </c>
      <c r="E165" s="24" t="s">
        <v>4</v>
      </c>
      <c r="F165" s="20" t="str">
        <f t="shared" si="4"/>
        <v/>
      </c>
      <c r="G165" s="23" t="str">
        <f t="shared" si="5"/>
        <v/>
      </c>
    </row>
    <row r="166" spans="1:7" x14ac:dyDescent="0.25">
      <c r="B166" s="15" t="s">
        <v>366</v>
      </c>
      <c r="C166" s="15" t="s">
        <v>745</v>
      </c>
      <c r="D166" s="11" t="s">
        <v>165</v>
      </c>
      <c r="E166" s="24" t="s">
        <v>5</v>
      </c>
      <c r="F166" s="20" t="str">
        <f t="shared" si="4"/>
        <v/>
      </c>
      <c r="G166" s="23" t="str">
        <f t="shared" si="5"/>
        <v/>
      </c>
    </row>
    <row r="167" spans="1:7" x14ac:dyDescent="0.25">
      <c r="B167" s="15" t="s">
        <v>367</v>
      </c>
      <c r="C167" s="15" t="s">
        <v>746</v>
      </c>
      <c r="D167" s="11" t="s">
        <v>503</v>
      </c>
      <c r="E167" s="24" t="s">
        <v>3</v>
      </c>
      <c r="F167" s="20" t="str">
        <f t="shared" si="4"/>
        <v/>
      </c>
      <c r="G167" s="23" t="str">
        <f t="shared" si="5"/>
        <v/>
      </c>
    </row>
    <row r="168" spans="1:7" x14ac:dyDescent="0.25">
      <c r="A168" s="15">
        <v>53</v>
      </c>
      <c r="B168" s="15" t="s">
        <v>367</v>
      </c>
      <c r="C168" s="15" t="s">
        <v>747</v>
      </c>
      <c r="D168" s="11" t="s">
        <v>166</v>
      </c>
      <c r="E168" s="24" t="s">
        <v>4</v>
      </c>
      <c r="F168" s="20" t="str">
        <f t="shared" si="4"/>
        <v/>
      </c>
      <c r="G168" s="23" t="str">
        <f t="shared" si="5"/>
        <v/>
      </c>
    </row>
    <row r="169" spans="1:7" x14ac:dyDescent="0.25">
      <c r="B169" s="15" t="s">
        <v>367</v>
      </c>
      <c r="C169" s="15" t="s">
        <v>748</v>
      </c>
      <c r="D169" s="11" t="s">
        <v>167</v>
      </c>
      <c r="E169" s="24" t="s">
        <v>5</v>
      </c>
      <c r="F169" s="20" t="str">
        <f t="shared" si="4"/>
        <v/>
      </c>
      <c r="G169" s="23" t="str">
        <f t="shared" si="5"/>
        <v/>
      </c>
    </row>
    <row r="170" spans="1:7" x14ac:dyDescent="0.25">
      <c r="B170" s="15" t="s">
        <v>368</v>
      </c>
      <c r="C170" s="15" t="s">
        <v>749</v>
      </c>
      <c r="D170" s="11" t="s">
        <v>504</v>
      </c>
      <c r="E170" s="24" t="s">
        <v>3</v>
      </c>
      <c r="F170" s="20" t="str">
        <f t="shared" si="4"/>
        <v/>
      </c>
      <c r="G170" s="23" t="str">
        <f t="shared" si="5"/>
        <v/>
      </c>
    </row>
    <row r="171" spans="1:7" x14ac:dyDescent="0.25">
      <c r="A171" s="15">
        <v>54</v>
      </c>
      <c r="B171" s="15" t="s">
        <v>368</v>
      </c>
      <c r="C171" s="15" t="s">
        <v>750</v>
      </c>
      <c r="D171" s="11" t="s">
        <v>168</v>
      </c>
      <c r="E171" s="24" t="s">
        <v>4</v>
      </c>
      <c r="F171" s="20" t="str">
        <f t="shared" si="4"/>
        <v/>
      </c>
      <c r="G171" s="23" t="str">
        <f t="shared" si="5"/>
        <v/>
      </c>
    </row>
    <row r="172" spans="1:7" x14ac:dyDescent="0.25">
      <c r="B172" s="15" t="s">
        <v>368</v>
      </c>
      <c r="C172" s="15" t="s">
        <v>751</v>
      </c>
      <c r="D172" s="11" t="s">
        <v>169</v>
      </c>
      <c r="E172" s="24" t="s">
        <v>5</v>
      </c>
      <c r="F172" s="20" t="str">
        <f t="shared" si="4"/>
        <v/>
      </c>
      <c r="G172" s="23" t="str">
        <f t="shared" si="5"/>
        <v/>
      </c>
    </row>
    <row r="173" spans="1:7" x14ac:dyDescent="0.25">
      <c r="B173" s="15" t="s">
        <v>369</v>
      </c>
      <c r="C173" s="15" t="s">
        <v>752</v>
      </c>
      <c r="D173" s="20" t="s">
        <v>999</v>
      </c>
      <c r="E173" s="24" t="s">
        <v>11</v>
      </c>
      <c r="F173" s="20" t="str">
        <f t="shared" si="4"/>
        <v/>
      </c>
      <c r="G173" s="23" t="str">
        <f t="shared" si="5"/>
        <v/>
      </c>
    </row>
    <row r="174" spans="1:7" x14ac:dyDescent="0.25">
      <c r="B174" s="15" t="s">
        <v>33</v>
      </c>
      <c r="C174" s="15" t="s">
        <v>753</v>
      </c>
      <c r="D174" s="11" t="s">
        <v>505</v>
      </c>
      <c r="E174" s="24" t="s">
        <v>3</v>
      </c>
      <c r="F174" s="20" t="str">
        <f t="shared" si="4"/>
        <v/>
      </c>
      <c r="G174" s="23" t="str">
        <f t="shared" si="5"/>
        <v/>
      </c>
    </row>
    <row r="175" spans="1:7" x14ac:dyDescent="0.25">
      <c r="A175" s="15">
        <v>55</v>
      </c>
      <c r="B175" s="15" t="s">
        <v>33</v>
      </c>
      <c r="C175" s="15" t="s">
        <v>754</v>
      </c>
      <c r="D175" s="11" t="s">
        <v>171</v>
      </c>
      <c r="E175" s="24" t="s">
        <v>4</v>
      </c>
      <c r="F175" s="20" t="str">
        <f t="shared" si="4"/>
        <v/>
      </c>
      <c r="G175" s="23" t="str">
        <f t="shared" si="5"/>
        <v/>
      </c>
    </row>
    <row r="176" spans="1:7" x14ac:dyDescent="0.25">
      <c r="B176" s="15" t="s">
        <v>33</v>
      </c>
      <c r="C176" s="15" t="s">
        <v>755</v>
      </c>
      <c r="D176" s="11" t="s">
        <v>172</v>
      </c>
      <c r="E176" s="24" t="s">
        <v>5</v>
      </c>
      <c r="F176" s="20" t="str">
        <f t="shared" si="4"/>
        <v/>
      </c>
      <c r="G176" s="23" t="str">
        <f t="shared" si="5"/>
        <v/>
      </c>
    </row>
    <row r="177" spans="1:7" x14ac:dyDescent="0.25">
      <c r="B177" s="15" t="s">
        <v>34</v>
      </c>
      <c r="C177" s="15" t="s">
        <v>756</v>
      </c>
      <c r="D177" s="11" t="s">
        <v>506</v>
      </c>
      <c r="E177" s="24" t="s">
        <v>3</v>
      </c>
      <c r="F177" s="20" t="str">
        <f t="shared" si="4"/>
        <v/>
      </c>
      <c r="G177" s="23" t="str">
        <f t="shared" si="5"/>
        <v/>
      </c>
    </row>
    <row r="178" spans="1:7" x14ac:dyDescent="0.25">
      <c r="A178" s="15">
        <v>56</v>
      </c>
      <c r="B178" s="15" t="s">
        <v>34</v>
      </c>
      <c r="C178" s="15" t="s">
        <v>757</v>
      </c>
      <c r="D178" s="11" t="s">
        <v>173</v>
      </c>
      <c r="E178" s="24" t="s">
        <v>4</v>
      </c>
      <c r="F178" s="20" t="str">
        <f t="shared" si="4"/>
        <v/>
      </c>
      <c r="G178" s="23" t="str">
        <f t="shared" si="5"/>
        <v/>
      </c>
    </row>
    <row r="179" spans="1:7" x14ac:dyDescent="0.25">
      <c r="B179" s="15" t="s">
        <v>34</v>
      </c>
      <c r="C179" s="15" t="s">
        <v>758</v>
      </c>
      <c r="D179" s="11" t="s">
        <v>174</v>
      </c>
      <c r="E179" s="24" t="s">
        <v>5</v>
      </c>
      <c r="F179" s="20" t="str">
        <f t="shared" si="4"/>
        <v/>
      </c>
      <c r="G179" s="23" t="str">
        <f t="shared" si="5"/>
        <v/>
      </c>
    </row>
    <row r="180" spans="1:7" x14ac:dyDescent="0.25">
      <c r="B180" s="15" t="s">
        <v>35</v>
      </c>
      <c r="C180" s="15" t="s">
        <v>759</v>
      </c>
      <c r="D180" s="11" t="s">
        <v>507</v>
      </c>
      <c r="E180" s="24" t="s">
        <v>3</v>
      </c>
      <c r="F180" s="20" t="str">
        <f t="shared" si="4"/>
        <v/>
      </c>
      <c r="G180" s="23" t="str">
        <f t="shared" si="5"/>
        <v/>
      </c>
    </row>
    <row r="181" spans="1:7" x14ac:dyDescent="0.25">
      <c r="A181" s="15">
        <v>57</v>
      </c>
      <c r="B181" s="15" t="s">
        <v>35</v>
      </c>
      <c r="C181" s="15" t="s">
        <v>760</v>
      </c>
      <c r="D181" s="11" t="s">
        <v>175</v>
      </c>
      <c r="E181" s="24" t="s">
        <v>4</v>
      </c>
      <c r="F181" s="20" t="str">
        <f t="shared" si="4"/>
        <v/>
      </c>
      <c r="G181" s="23" t="str">
        <f t="shared" si="5"/>
        <v/>
      </c>
    </row>
    <row r="182" spans="1:7" x14ac:dyDescent="0.25">
      <c r="B182" s="15" t="s">
        <v>35</v>
      </c>
      <c r="C182" s="15" t="s">
        <v>761</v>
      </c>
      <c r="D182" s="11" t="s">
        <v>176</v>
      </c>
      <c r="E182" s="24" t="s">
        <v>5</v>
      </c>
      <c r="F182" s="20" t="str">
        <f t="shared" si="4"/>
        <v/>
      </c>
      <c r="G182" s="23" t="str">
        <f t="shared" si="5"/>
        <v/>
      </c>
    </row>
    <row r="183" spans="1:7" x14ac:dyDescent="0.25">
      <c r="B183" s="15" t="s">
        <v>45</v>
      </c>
      <c r="C183" s="15" t="s">
        <v>762</v>
      </c>
      <c r="D183" s="11" t="s">
        <v>508</v>
      </c>
      <c r="E183" s="24" t="s">
        <v>3</v>
      </c>
      <c r="F183" s="20" t="str">
        <f t="shared" si="4"/>
        <v/>
      </c>
      <c r="G183" s="23" t="str">
        <f t="shared" si="5"/>
        <v/>
      </c>
    </row>
    <row r="184" spans="1:7" x14ac:dyDescent="0.25">
      <c r="A184" s="15">
        <v>58</v>
      </c>
      <c r="B184" s="15" t="s">
        <v>45</v>
      </c>
      <c r="C184" s="15" t="s">
        <v>763</v>
      </c>
      <c r="D184" s="11" t="s">
        <v>177</v>
      </c>
      <c r="E184" s="24" t="s">
        <v>4</v>
      </c>
      <c r="F184" s="20" t="str">
        <f t="shared" si="4"/>
        <v/>
      </c>
      <c r="G184" s="23" t="str">
        <f t="shared" si="5"/>
        <v/>
      </c>
    </row>
    <row r="185" spans="1:7" x14ac:dyDescent="0.25">
      <c r="B185" s="15" t="s">
        <v>45</v>
      </c>
      <c r="C185" s="15" t="s">
        <v>764</v>
      </c>
      <c r="D185" s="11" t="s">
        <v>178</v>
      </c>
      <c r="E185" s="24" t="s">
        <v>5</v>
      </c>
      <c r="F185" s="20" t="str">
        <f t="shared" si="4"/>
        <v/>
      </c>
      <c r="G185" s="23" t="str">
        <f t="shared" si="5"/>
        <v/>
      </c>
    </row>
    <row r="186" spans="1:7" x14ac:dyDescent="0.25">
      <c r="B186" s="15" t="s">
        <v>370</v>
      </c>
      <c r="C186" s="15" t="s">
        <v>765</v>
      </c>
      <c r="D186" s="11" t="s">
        <v>509</v>
      </c>
      <c r="E186" s="24" t="s">
        <v>3</v>
      </c>
      <c r="F186" s="20" t="str">
        <f t="shared" si="4"/>
        <v/>
      </c>
      <c r="G186" s="23" t="str">
        <f t="shared" si="5"/>
        <v/>
      </c>
    </row>
    <row r="187" spans="1:7" x14ac:dyDescent="0.25">
      <c r="A187" s="15">
        <v>59</v>
      </c>
      <c r="B187" s="15" t="s">
        <v>370</v>
      </c>
      <c r="C187" s="15" t="s">
        <v>766</v>
      </c>
      <c r="D187" s="11" t="s">
        <v>179</v>
      </c>
      <c r="E187" s="24" t="s">
        <v>4</v>
      </c>
      <c r="F187" s="20" t="str">
        <f t="shared" ref="F187:F250" si="6">IF(G187="","","https://docs.google.com/uc?export=download&amp;id="&amp;G187)</f>
        <v/>
      </c>
      <c r="G187" s="23" t="str">
        <f t="shared" ref="G187:G250" si="7">IFERROR(LEFT(RIGHT(H187,LEN(H187)-32),LEN(RIGHT(H187,LEN(H187)-32))-17),"")</f>
        <v/>
      </c>
    </row>
    <row r="188" spans="1:7" x14ac:dyDescent="0.25">
      <c r="B188" s="15" t="s">
        <v>370</v>
      </c>
      <c r="C188" s="15" t="s">
        <v>767</v>
      </c>
      <c r="D188" s="11" t="s">
        <v>180</v>
      </c>
      <c r="E188" s="24" t="s">
        <v>5</v>
      </c>
      <c r="F188" s="20" t="str">
        <f t="shared" si="6"/>
        <v/>
      </c>
      <c r="G188" s="23" t="str">
        <f t="shared" si="7"/>
        <v/>
      </c>
    </row>
    <row r="189" spans="1:7" x14ac:dyDescent="0.25">
      <c r="B189" s="15" t="s">
        <v>371</v>
      </c>
      <c r="C189" s="15" t="s">
        <v>768</v>
      </c>
      <c r="D189" s="11" t="s">
        <v>510</v>
      </c>
      <c r="E189" s="24" t="s">
        <v>3</v>
      </c>
      <c r="F189" s="20" t="str">
        <f t="shared" si="6"/>
        <v/>
      </c>
      <c r="G189" s="23" t="str">
        <f t="shared" si="7"/>
        <v/>
      </c>
    </row>
    <row r="190" spans="1:7" x14ac:dyDescent="0.25">
      <c r="A190" s="15">
        <v>60</v>
      </c>
      <c r="B190" s="15" t="s">
        <v>371</v>
      </c>
      <c r="C190" s="15" t="s">
        <v>769</v>
      </c>
      <c r="D190" s="11" t="s">
        <v>181</v>
      </c>
      <c r="E190" s="24" t="s">
        <v>4</v>
      </c>
      <c r="F190" s="20" t="str">
        <f t="shared" si="6"/>
        <v/>
      </c>
      <c r="G190" s="23" t="str">
        <f t="shared" si="7"/>
        <v/>
      </c>
    </row>
    <row r="191" spans="1:7" x14ac:dyDescent="0.25">
      <c r="B191" s="15" t="s">
        <v>371</v>
      </c>
      <c r="C191" s="15" t="s">
        <v>770</v>
      </c>
      <c r="D191" s="11" t="s">
        <v>182</v>
      </c>
      <c r="E191" s="24" t="s">
        <v>5</v>
      </c>
      <c r="F191" s="20" t="str">
        <f t="shared" si="6"/>
        <v/>
      </c>
      <c r="G191" s="23" t="str">
        <f t="shared" si="7"/>
        <v/>
      </c>
    </row>
    <row r="192" spans="1:7" x14ac:dyDescent="0.25">
      <c r="B192" s="15" t="s">
        <v>372</v>
      </c>
      <c r="C192" s="15" t="s">
        <v>771</v>
      </c>
      <c r="D192" s="11" t="s">
        <v>511</v>
      </c>
      <c r="E192" s="24" t="s">
        <v>3</v>
      </c>
      <c r="F192" s="20" t="str">
        <f t="shared" si="6"/>
        <v/>
      </c>
      <c r="G192" s="23" t="str">
        <f t="shared" si="7"/>
        <v/>
      </c>
    </row>
    <row r="193" spans="1:7" x14ac:dyDescent="0.25">
      <c r="A193" s="15">
        <v>61</v>
      </c>
      <c r="B193" s="15" t="s">
        <v>372</v>
      </c>
      <c r="C193" s="15" t="s">
        <v>772</v>
      </c>
      <c r="D193" s="11" t="s">
        <v>183</v>
      </c>
      <c r="E193" s="24" t="s">
        <v>4</v>
      </c>
      <c r="F193" s="20" t="str">
        <f t="shared" si="6"/>
        <v/>
      </c>
      <c r="G193" s="23" t="str">
        <f t="shared" si="7"/>
        <v/>
      </c>
    </row>
    <row r="194" spans="1:7" x14ac:dyDescent="0.25">
      <c r="B194" s="15" t="s">
        <v>372</v>
      </c>
      <c r="C194" s="15" t="s">
        <v>773</v>
      </c>
      <c r="D194" s="11" t="s">
        <v>184</v>
      </c>
      <c r="E194" s="24" t="s">
        <v>5</v>
      </c>
      <c r="F194" s="20" t="str">
        <f t="shared" si="6"/>
        <v/>
      </c>
      <c r="G194" s="23" t="str">
        <f t="shared" si="7"/>
        <v/>
      </c>
    </row>
    <row r="195" spans="1:7" x14ac:dyDescent="0.25">
      <c r="B195" s="15" t="s">
        <v>373</v>
      </c>
      <c r="C195" s="15" t="s">
        <v>774</v>
      </c>
      <c r="D195" s="11" t="s">
        <v>512</v>
      </c>
      <c r="E195" s="24" t="s">
        <v>3</v>
      </c>
      <c r="F195" s="20" t="str">
        <f t="shared" si="6"/>
        <v/>
      </c>
      <c r="G195" s="23" t="str">
        <f t="shared" si="7"/>
        <v/>
      </c>
    </row>
    <row r="196" spans="1:7" x14ac:dyDescent="0.25">
      <c r="A196" s="15">
        <v>62</v>
      </c>
      <c r="B196" s="15" t="s">
        <v>373</v>
      </c>
      <c r="C196" s="15" t="s">
        <v>775</v>
      </c>
      <c r="D196" s="11" t="s">
        <v>185</v>
      </c>
      <c r="E196" s="24" t="s">
        <v>4</v>
      </c>
      <c r="F196" s="20" t="str">
        <f t="shared" si="6"/>
        <v/>
      </c>
      <c r="G196" s="23" t="str">
        <f t="shared" si="7"/>
        <v/>
      </c>
    </row>
    <row r="197" spans="1:7" x14ac:dyDescent="0.25">
      <c r="B197" s="15" t="s">
        <v>373</v>
      </c>
      <c r="C197" s="15" t="s">
        <v>776</v>
      </c>
      <c r="D197" s="11" t="s">
        <v>186</v>
      </c>
      <c r="E197" s="24" t="s">
        <v>5</v>
      </c>
      <c r="F197" s="20" t="str">
        <f t="shared" si="6"/>
        <v/>
      </c>
      <c r="G197" s="23" t="str">
        <f t="shared" si="7"/>
        <v/>
      </c>
    </row>
    <row r="198" spans="1:7" x14ac:dyDescent="0.25">
      <c r="B198" s="15" t="s">
        <v>374</v>
      </c>
      <c r="C198" s="15" t="s">
        <v>777</v>
      </c>
      <c r="D198" s="20" t="s">
        <v>1000</v>
      </c>
      <c r="E198" s="24" t="s">
        <v>11</v>
      </c>
      <c r="F198" s="20" t="str">
        <f t="shared" si="6"/>
        <v/>
      </c>
      <c r="G198" s="23" t="str">
        <f t="shared" si="7"/>
        <v/>
      </c>
    </row>
    <row r="199" spans="1:7" x14ac:dyDescent="0.25">
      <c r="B199" s="15" t="s">
        <v>36</v>
      </c>
      <c r="C199" s="15" t="s">
        <v>778</v>
      </c>
      <c r="D199" s="11" t="s">
        <v>513</v>
      </c>
      <c r="E199" s="24" t="s">
        <v>3</v>
      </c>
      <c r="F199" s="20" t="str">
        <f t="shared" si="6"/>
        <v/>
      </c>
      <c r="G199" s="23" t="str">
        <f t="shared" si="7"/>
        <v/>
      </c>
    </row>
    <row r="200" spans="1:7" x14ac:dyDescent="0.25">
      <c r="A200" s="15">
        <v>63</v>
      </c>
      <c r="B200" s="15" t="s">
        <v>36</v>
      </c>
      <c r="C200" s="15" t="s">
        <v>779</v>
      </c>
      <c r="D200" s="11" t="s">
        <v>188</v>
      </c>
      <c r="E200" s="24" t="s">
        <v>4</v>
      </c>
      <c r="F200" s="20" t="str">
        <f t="shared" si="6"/>
        <v/>
      </c>
      <c r="G200" s="23" t="str">
        <f t="shared" si="7"/>
        <v/>
      </c>
    </row>
    <row r="201" spans="1:7" x14ac:dyDescent="0.25">
      <c r="B201" s="15" t="s">
        <v>36</v>
      </c>
      <c r="C201" s="15" t="s">
        <v>780</v>
      </c>
      <c r="D201" s="11" t="s">
        <v>189</v>
      </c>
      <c r="E201" s="24" t="s">
        <v>5</v>
      </c>
      <c r="F201" s="20" t="str">
        <f t="shared" si="6"/>
        <v/>
      </c>
      <c r="G201" s="23" t="str">
        <f t="shared" si="7"/>
        <v/>
      </c>
    </row>
    <row r="202" spans="1:7" x14ac:dyDescent="0.25">
      <c r="B202" s="15" t="s">
        <v>37</v>
      </c>
      <c r="C202" s="15" t="s">
        <v>781</v>
      </c>
      <c r="D202" s="11" t="s">
        <v>514</v>
      </c>
      <c r="E202" s="24" t="s">
        <v>3</v>
      </c>
      <c r="F202" s="20" t="str">
        <f t="shared" si="6"/>
        <v/>
      </c>
      <c r="G202" s="23" t="str">
        <f t="shared" si="7"/>
        <v/>
      </c>
    </row>
    <row r="203" spans="1:7" x14ac:dyDescent="0.25">
      <c r="A203" s="15">
        <v>64</v>
      </c>
      <c r="B203" s="15" t="s">
        <v>37</v>
      </c>
      <c r="C203" s="15" t="s">
        <v>782</v>
      </c>
      <c r="D203" s="11" t="s">
        <v>190</v>
      </c>
      <c r="E203" s="24" t="s">
        <v>4</v>
      </c>
      <c r="F203" s="20" t="str">
        <f t="shared" si="6"/>
        <v/>
      </c>
      <c r="G203" s="23" t="str">
        <f t="shared" si="7"/>
        <v/>
      </c>
    </row>
    <row r="204" spans="1:7" x14ac:dyDescent="0.25">
      <c r="B204" s="15" t="s">
        <v>37</v>
      </c>
      <c r="C204" s="15" t="s">
        <v>783</v>
      </c>
      <c r="D204" s="11" t="s">
        <v>191</v>
      </c>
      <c r="E204" s="24" t="s">
        <v>5</v>
      </c>
      <c r="F204" s="20" t="str">
        <f t="shared" si="6"/>
        <v/>
      </c>
      <c r="G204" s="23" t="str">
        <f t="shared" si="7"/>
        <v/>
      </c>
    </row>
    <row r="205" spans="1:7" x14ac:dyDescent="0.25">
      <c r="B205" s="15" t="s">
        <v>38</v>
      </c>
      <c r="C205" s="15" t="s">
        <v>784</v>
      </c>
      <c r="D205" s="11" t="s">
        <v>515</v>
      </c>
      <c r="E205" s="24" t="s">
        <v>3</v>
      </c>
      <c r="F205" s="20" t="str">
        <f t="shared" si="6"/>
        <v/>
      </c>
      <c r="G205" s="23" t="str">
        <f t="shared" si="7"/>
        <v/>
      </c>
    </row>
    <row r="206" spans="1:7" x14ac:dyDescent="0.25">
      <c r="A206" s="15">
        <v>65</v>
      </c>
      <c r="B206" s="15" t="s">
        <v>38</v>
      </c>
      <c r="C206" s="15" t="s">
        <v>785</v>
      </c>
      <c r="D206" s="11" t="s">
        <v>192</v>
      </c>
      <c r="E206" s="24" t="s">
        <v>4</v>
      </c>
      <c r="F206" s="20" t="str">
        <f t="shared" si="6"/>
        <v/>
      </c>
      <c r="G206" s="23" t="str">
        <f t="shared" si="7"/>
        <v/>
      </c>
    </row>
    <row r="207" spans="1:7" x14ac:dyDescent="0.25">
      <c r="B207" s="15" t="s">
        <v>38</v>
      </c>
      <c r="C207" s="15" t="s">
        <v>786</v>
      </c>
      <c r="D207" s="11" t="s">
        <v>193</v>
      </c>
      <c r="E207" s="24" t="s">
        <v>5</v>
      </c>
      <c r="F207" s="20" t="str">
        <f t="shared" si="6"/>
        <v/>
      </c>
      <c r="G207" s="23" t="str">
        <f t="shared" si="7"/>
        <v/>
      </c>
    </row>
    <row r="208" spans="1:7" x14ac:dyDescent="0.25">
      <c r="B208" s="15" t="s">
        <v>375</v>
      </c>
      <c r="C208" s="15" t="s">
        <v>787</v>
      </c>
      <c r="D208" s="11" t="s">
        <v>516</v>
      </c>
      <c r="E208" s="24" t="s">
        <v>3</v>
      </c>
      <c r="F208" s="20" t="str">
        <f t="shared" si="6"/>
        <v/>
      </c>
      <c r="G208" s="23" t="str">
        <f t="shared" si="7"/>
        <v/>
      </c>
    </row>
    <row r="209" spans="1:7" x14ac:dyDescent="0.25">
      <c r="A209" s="15">
        <v>66</v>
      </c>
      <c r="B209" s="15" t="s">
        <v>375</v>
      </c>
      <c r="C209" s="15" t="s">
        <v>788</v>
      </c>
      <c r="D209" s="11" t="s">
        <v>194</v>
      </c>
      <c r="E209" s="24" t="s">
        <v>4</v>
      </c>
      <c r="F209" s="20" t="str">
        <f t="shared" si="6"/>
        <v/>
      </c>
      <c r="G209" s="23" t="str">
        <f t="shared" si="7"/>
        <v/>
      </c>
    </row>
    <row r="210" spans="1:7" x14ac:dyDescent="0.25">
      <c r="B210" s="15" t="s">
        <v>375</v>
      </c>
      <c r="C210" s="15" t="s">
        <v>789</v>
      </c>
      <c r="D210" s="11" t="s">
        <v>195</v>
      </c>
      <c r="E210" s="24" t="s">
        <v>5</v>
      </c>
      <c r="F210" s="20" t="str">
        <f t="shared" si="6"/>
        <v/>
      </c>
      <c r="G210" s="23" t="str">
        <f t="shared" si="7"/>
        <v/>
      </c>
    </row>
    <row r="211" spans="1:7" x14ac:dyDescent="0.25">
      <c r="B211" s="15" t="s">
        <v>376</v>
      </c>
      <c r="C211" s="15" t="s">
        <v>790</v>
      </c>
      <c r="D211" s="20" t="s">
        <v>1001</v>
      </c>
      <c r="E211" s="24" t="s">
        <v>11</v>
      </c>
      <c r="F211" s="20" t="str">
        <f t="shared" si="6"/>
        <v/>
      </c>
      <c r="G211" s="23" t="str">
        <f t="shared" si="7"/>
        <v/>
      </c>
    </row>
    <row r="212" spans="1:7" x14ac:dyDescent="0.25">
      <c r="B212" s="15" t="s">
        <v>377</v>
      </c>
      <c r="C212" s="15" t="s">
        <v>791</v>
      </c>
      <c r="D212" s="11" t="s">
        <v>517</v>
      </c>
      <c r="E212" s="24" t="s">
        <v>3</v>
      </c>
      <c r="F212" s="20" t="str">
        <f t="shared" si="6"/>
        <v/>
      </c>
      <c r="G212" s="23" t="str">
        <f t="shared" si="7"/>
        <v/>
      </c>
    </row>
    <row r="213" spans="1:7" x14ac:dyDescent="0.25">
      <c r="A213" s="15">
        <v>67</v>
      </c>
      <c r="B213" s="15" t="s">
        <v>377</v>
      </c>
      <c r="C213" s="15" t="s">
        <v>792</v>
      </c>
      <c r="D213" s="11" t="s">
        <v>197</v>
      </c>
      <c r="E213" s="24" t="s">
        <v>4</v>
      </c>
      <c r="F213" s="20" t="str">
        <f t="shared" si="6"/>
        <v/>
      </c>
      <c r="G213" s="23" t="str">
        <f t="shared" si="7"/>
        <v/>
      </c>
    </row>
    <row r="214" spans="1:7" x14ac:dyDescent="0.25">
      <c r="B214" s="15" t="s">
        <v>377</v>
      </c>
      <c r="C214" s="15" t="s">
        <v>793</v>
      </c>
      <c r="D214" s="11" t="s">
        <v>198</v>
      </c>
      <c r="E214" s="24" t="s">
        <v>5</v>
      </c>
      <c r="F214" s="20" t="str">
        <f t="shared" si="6"/>
        <v/>
      </c>
      <c r="G214" s="23" t="str">
        <f t="shared" si="7"/>
        <v/>
      </c>
    </row>
    <row r="215" spans="1:7" x14ac:dyDescent="0.25">
      <c r="B215" s="15" t="s">
        <v>378</v>
      </c>
      <c r="C215" s="15" t="s">
        <v>794</v>
      </c>
      <c r="D215" s="11" t="s">
        <v>518</v>
      </c>
      <c r="E215" s="24" t="s">
        <v>3</v>
      </c>
      <c r="F215" s="20" t="str">
        <f t="shared" si="6"/>
        <v/>
      </c>
      <c r="G215" s="23" t="str">
        <f t="shared" si="7"/>
        <v/>
      </c>
    </row>
    <row r="216" spans="1:7" x14ac:dyDescent="0.25">
      <c r="A216" s="15">
        <v>68</v>
      </c>
      <c r="B216" s="15" t="s">
        <v>378</v>
      </c>
      <c r="C216" s="15" t="s">
        <v>795</v>
      </c>
      <c r="D216" s="11" t="s">
        <v>199</v>
      </c>
      <c r="E216" s="24" t="s">
        <v>4</v>
      </c>
      <c r="F216" s="20" t="str">
        <f t="shared" si="6"/>
        <v/>
      </c>
      <c r="G216" s="23" t="str">
        <f t="shared" si="7"/>
        <v/>
      </c>
    </row>
    <row r="217" spans="1:7" x14ac:dyDescent="0.25">
      <c r="B217" s="15" t="s">
        <v>378</v>
      </c>
      <c r="C217" s="15" t="s">
        <v>796</v>
      </c>
      <c r="D217" s="11" t="s">
        <v>200</v>
      </c>
      <c r="E217" s="24" t="s">
        <v>5</v>
      </c>
      <c r="F217" s="20" t="str">
        <f t="shared" si="6"/>
        <v/>
      </c>
      <c r="G217" s="23" t="str">
        <f t="shared" si="7"/>
        <v/>
      </c>
    </row>
    <row r="218" spans="1:7" x14ac:dyDescent="0.25">
      <c r="B218" s="15" t="s">
        <v>379</v>
      </c>
      <c r="C218" s="15" t="s">
        <v>797</v>
      </c>
      <c r="D218" s="11" t="s">
        <v>519</v>
      </c>
      <c r="E218" s="24" t="s">
        <v>3</v>
      </c>
      <c r="F218" s="20" t="str">
        <f t="shared" si="6"/>
        <v/>
      </c>
      <c r="G218" s="23" t="str">
        <f t="shared" si="7"/>
        <v/>
      </c>
    </row>
    <row r="219" spans="1:7" x14ac:dyDescent="0.25">
      <c r="A219" s="15">
        <v>69</v>
      </c>
      <c r="B219" s="15" t="s">
        <v>379</v>
      </c>
      <c r="C219" s="15" t="s">
        <v>798</v>
      </c>
      <c r="D219" s="11" t="s">
        <v>201</v>
      </c>
      <c r="E219" s="24" t="s">
        <v>4</v>
      </c>
      <c r="F219" s="20" t="str">
        <f t="shared" si="6"/>
        <v/>
      </c>
      <c r="G219" s="23" t="str">
        <f t="shared" si="7"/>
        <v/>
      </c>
    </row>
    <row r="220" spans="1:7" x14ac:dyDescent="0.25">
      <c r="B220" s="15" t="s">
        <v>379</v>
      </c>
      <c r="C220" s="15" t="s">
        <v>799</v>
      </c>
      <c r="D220" s="11" t="s">
        <v>202</v>
      </c>
      <c r="E220" s="24" t="s">
        <v>5</v>
      </c>
      <c r="F220" s="20" t="str">
        <f t="shared" si="6"/>
        <v/>
      </c>
      <c r="G220" s="23" t="str">
        <f t="shared" si="7"/>
        <v/>
      </c>
    </row>
    <row r="221" spans="1:7" x14ac:dyDescent="0.25">
      <c r="B221" s="15" t="s">
        <v>380</v>
      </c>
      <c r="C221" s="15" t="s">
        <v>800</v>
      </c>
      <c r="D221" s="11" t="s">
        <v>520</v>
      </c>
      <c r="E221" s="24" t="s">
        <v>3</v>
      </c>
      <c r="F221" s="20" t="str">
        <f t="shared" si="6"/>
        <v/>
      </c>
      <c r="G221" s="23" t="str">
        <f t="shared" si="7"/>
        <v/>
      </c>
    </row>
    <row r="222" spans="1:7" x14ac:dyDescent="0.25">
      <c r="A222" s="15">
        <v>70</v>
      </c>
      <c r="B222" s="15" t="s">
        <v>380</v>
      </c>
      <c r="C222" s="15" t="s">
        <v>801</v>
      </c>
      <c r="D222" s="11" t="s">
        <v>203</v>
      </c>
      <c r="E222" s="24" t="s">
        <v>4</v>
      </c>
      <c r="F222" s="20" t="str">
        <f t="shared" si="6"/>
        <v/>
      </c>
      <c r="G222" s="23" t="str">
        <f t="shared" si="7"/>
        <v/>
      </c>
    </row>
    <row r="223" spans="1:7" x14ac:dyDescent="0.25">
      <c r="B223" s="15" t="s">
        <v>380</v>
      </c>
      <c r="C223" s="15" t="s">
        <v>802</v>
      </c>
      <c r="D223" s="11" t="s">
        <v>204</v>
      </c>
      <c r="E223" s="24" t="s">
        <v>5</v>
      </c>
      <c r="F223" s="20" t="str">
        <f t="shared" si="6"/>
        <v/>
      </c>
      <c r="G223" s="23" t="str">
        <f t="shared" si="7"/>
        <v/>
      </c>
    </row>
    <row r="224" spans="1:7" x14ac:dyDescent="0.25">
      <c r="B224" s="15" t="s">
        <v>381</v>
      </c>
      <c r="C224" s="15" t="s">
        <v>803</v>
      </c>
      <c r="D224" s="11" t="s">
        <v>521</v>
      </c>
      <c r="E224" s="24" t="s">
        <v>3</v>
      </c>
      <c r="F224" s="20" t="str">
        <f t="shared" si="6"/>
        <v/>
      </c>
      <c r="G224" s="23" t="str">
        <f t="shared" si="7"/>
        <v/>
      </c>
    </row>
    <row r="225" spans="1:7" x14ac:dyDescent="0.25">
      <c r="A225" s="15">
        <v>71</v>
      </c>
      <c r="B225" s="15" t="s">
        <v>381</v>
      </c>
      <c r="C225" s="15" t="s">
        <v>804</v>
      </c>
      <c r="D225" s="11" t="s">
        <v>205</v>
      </c>
      <c r="E225" s="24" t="s">
        <v>4</v>
      </c>
      <c r="F225" s="20" t="str">
        <f t="shared" si="6"/>
        <v/>
      </c>
      <c r="G225" s="23" t="str">
        <f t="shared" si="7"/>
        <v/>
      </c>
    </row>
    <row r="226" spans="1:7" x14ac:dyDescent="0.25">
      <c r="B226" s="15" t="s">
        <v>381</v>
      </c>
      <c r="C226" s="15" t="s">
        <v>805</v>
      </c>
      <c r="D226" s="11" t="s">
        <v>206</v>
      </c>
      <c r="E226" s="24" t="s">
        <v>5</v>
      </c>
      <c r="F226" s="20" t="str">
        <f t="shared" si="6"/>
        <v/>
      </c>
      <c r="G226" s="23" t="str">
        <f t="shared" si="7"/>
        <v/>
      </c>
    </row>
    <row r="227" spans="1:7" x14ac:dyDescent="0.25">
      <c r="B227" s="15" t="s">
        <v>382</v>
      </c>
      <c r="C227" s="15" t="s">
        <v>806</v>
      </c>
      <c r="D227" s="11" t="s">
        <v>522</v>
      </c>
      <c r="E227" s="24" t="s">
        <v>3</v>
      </c>
      <c r="F227" s="20" t="str">
        <f t="shared" si="6"/>
        <v/>
      </c>
      <c r="G227" s="23" t="str">
        <f t="shared" si="7"/>
        <v/>
      </c>
    </row>
    <row r="228" spans="1:7" x14ac:dyDescent="0.25">
      <c r="A228" s="15">
        <v>72</v>
      </c>
      <c r="B228" s="15" t="s">
        <v>382</v>
      </c>
      <c r="C228" s="15" t="s">
        <v>807</v>
      </c>
      <c r="D228" s="11" t="s">
        <v>207</v>
      </c>
      <c r="E228" s="24" t="s">
        <v>4</v>
      </c>
      <c r="F228" s="20" t="str">
        <f t="shared" si="6"/>
        <v/>
      </c>
      <c r="G228" s="23" t="str">
        <f t="shared" si="7"/>
        <v/>
      </c>
    </row>
    <row r="229" spans="1:7" x14ac:dyDescent="0.25">
      <c r="B229" s="15" t="s">
        <v>382</v>
      </c>
      <c r="C229" s="15" t="s">
        <v>808</v>
      </c>
      <c r="D229" s="11" t="s">
        <v>208</v>
      </c>
      <c r="E229" s="24" t="s">
        <v>5</v>
      </c>
      <c r="F229" s="20" t="str">
        <f t="shared" si="6"/>
        <v/>
      </c>
      <c r="G229" s="23" t="str">
        <f t="shared" si="7"/>
        <v/>
      </c>
    </row>
    <row r="230" spans="1:7" x14ac:dyDescent="0.25">
      <c r="B230" s="15" t="s">
        <v>383</v>
      </c>
      <c r="C230" s="15" t="s">
        <v>809</v>
      </c>
      <c r="D230" s="11" t="s">
        <v>523</v>
      </c>
      <c r="E230" s="24" t="s">
        <v>3</v>
      </c>
      <c r="F230" s="20" t="str">
        <f t="shared" si="6"/>
        <v/>
      </c>
      <c r="G230" s="23" t="str">
        <f t="shared" si="7"/>
        <v/>
      </c>
    </row>
    <row r="231" spans="1:7" x14ac:dyDescent="0.25">
      <c r="A231" s="15">
        <v>73</v>
      </c>
      <c r="B231" s="15" t="s">
        <v>383</v>
      </c>
      <c r="C231" s="15" t="s">
        <v>810</v>
      </c>
      <c r="D231" s="11" t="s">
        <v>209</v>
      </c>
      <c r="E231" s="24" t="s">
        <v>4</v>
      </c>
      <c r="F231" s="20" t="str">
        <f t="shared" si="6"/>
        <v/>
      </c>
      <c r="G231" s="23" t="str">
        <f t="shared" si="7"/>
        <v/>
      </c>
    </row>
    <row r="232" spans="1:7" x14ac:dyDescent="0.25">
      <c r="B232" s="15" t="s">
        <v>383</v>
      </c>
      <c r="C232" s="15" t="s">
        <v>811</v>
      </c>
      <c r="D232" s="11" t="s">
        <v>210</v>
      </c>
      <c r="E232" s="24" t="s">
        <v>5</v>
      </c>
      <c r="F232" s="20" t="str">
        <f t="shared" si="6"/>
        <v/>
      </c>
      <c r="G232" s="23" t="str">
        <f t="shared" si="7"/>
        <v/>
      </c>
    </row>
    <row r="233" spans="1:7" x14ac:dyDescent="0.25">
      <c r="B233" s="15" t="s">
        <v>384</v>
      </c>
      <c r="C233" s="15" t="s">
        <v>812</v>
      </c>
      <c r="D233" s="11" t="s">
        <v>524</v>
      </c>
      <c r="E233" s="24" t="s">
        <v>3</v>
      </c>
      <c r="F233" s="20" t="str">
        <f t="shared" si="6"/>
        <v/>
      </c>
      <c r="G233" s="23" t="str">
        <f t="shared" si="7"/>
        <v/>
      </c>
    </row>
    <row r="234" spans="1:7" x14ac:dyDescent="0.25">
      <c r="A234" s="15">
        <v>74</v>
      </c>
      <c r="B234" s="15" t="s">
        <v>384</v>
      </c>
      <c r="C234" s="15" t="s">
        <v>813</v>
      </c>
      <c r="D234" s="11" t="s">
        <v>211</v>
      </c>
      <c r="E234" s="24" t="s">
        <v>4</v>
      </c>
      <c r="F234" s="20" t="str">
        <f t="shared" si="6"/>
        <v/>
      </c>
      <c r="G234" s="23" t="str">
        <f t="shared" si="7"/>
        <v/>
      </c>
    </row>
    <row r="235" spans="1:7" x14ac:dyDescent="0.25">
      <c r="B235" s="15" t="s">
        <v>384</v>
      </c>
      <c r="C235" s="15" t="s">
        <v>814</v>
      </c>
      <c r="D235" s="11" t="s">
        <v>212</v>
      </c>
      <c r="E235" s="24" t="s">
        <v>5</v>
      </c>
      <c r="F235" s="20" t="str">
        <f t="shared" si="6"/>
        <v/>
      </c>
      <c r="G235" s="23" t="str">
        <f t="shared" si="7"/>
        <v/>
      </c>
    </row>
    <row r="236" spans="1:7" x14ac:dyDescent="0.25">
      <c r="B236" s="15" t="s">
        <v>385</v>
      </c>
      <c r="C236" s="15" t="s">
        <v>815</v>
      </c>
      <c r="D236" s="20" t="s">
        <v>1002</v>
      </c>
      <c r="E236" s="24" t="s">
        <v>11</v>
      </c>
      <c r="F236" s="20" t="str">
        <f t="shared" si="6"/>
        <v/>
      </c>
      <c r="G236" s="23" t="str">
        <f t="shared" si="7"/>
        <v/>
      </c>
    </row>
    <row r="237" spans="1:7" x14ac:dyDescent="0.25">
      <c r="B237" s="15" t="s">
        <v>386</v>
      </c>
      <c r="C237" s="15" t="s">
        <v>816</v>
      </c>
      <c r="D237" s="11" t="s">
        <v>525</v>
      </c>
      <c r="E237" s="24" t="s">
        <v>3</v>
      </c>
      <c r="F237" s="20" t="str">
        <f t="shared" si="6"/>
        <v/>
      </c>
      <c r="G237" s="23" t="str">
        <f t="shared" si="7"/>
        <v/>
      </c>
    </row>
    <row r="238" spans="1:7" x14ac:dyDescent="0.25">
      <c r="A238" s="15">
        <v>75</v>
      </c>
      <c r="B238" s="15" t="s">
        <v>386</v>
      </c>
      <c r="C238" s="15" t="s">
        <v>817</v>
      </c>
      <c r="D238" s="11" t="s">
        <v>214</v>
      </c>
      <c r="E238" s="24" t="s">
        <v>4</v>
      </c>
      <c r="F238" s="20" t="str">
        <f t="shared" si="6"/>
        <v/>
      </c>
      <c r="G238" s="23" t="str">
        <f t="shared" si="7"/>
        <v/>
      </c>
    </row>
    <row r="239" spans="1:7" x14ac:dyDescent="0.25">
      <c r="B239" s="15" t="s">
        <v>386</v>
      </c>
      <c r="C239" s="15" t="s">
        <v>818</v>
      </c>
      <c r="D239" s="11" t="s">
        <v>215</v>
      </c>
      <c r="E239" s="24" t="s">
        <v>5</v>
      </c>
      <c r="F239" s="20" t="str">
        <f t="shared" si="6"/>
        <v/>
      </c>
      <c r="G239" s="23" t="str">
        <f t="shared" si="7"/>
        <v/>
      </c>
    </row>
    <row r="240" spans="1:7" x14ac:dyDescent="0.25">
      <c r="B240" s="15" t="s">
        <v>387</v>
      </c>
      <c r="C240" s="15" t="s">
        <v>819</v>
      </c>
      <c r="D240" s="11" t="s">
        <v>526</v>
      </c>
      <c r="E240" s="24" t="s">
        <v>3</v>
      </c>
      <c r="F240" s="20" t="str">
        <f t="shared" si="6"/>
        <v/>
      </c>
      <c r="G240" s="23" t="str">
        <f t="shared" si="7"/>
        <v/>
      </c>
    </row>
    <row r="241" spans="1:7" x14ac:dyDescent="0.25">
      <c r="A241" s="15">
        <v>76</v>
      </c>
      <c r="B241" s="15" t="s">
        <v>387</v>
      </c>
      <c r="C241" s="15" t="s">
        <v>820</v>
      </c>
      <c r="D241" s="11" t="s">
        <v>216</v>
      </c>
      <c r="E241" s="24" t="s">
        <v>4</v>
      </c>
      <c r="F241" s="20" t="str">
        <f t="shared" si="6"/>
        <v/>
      </c>
      <c r="G241" s="23" t="str">
        <f t="shared" si="7"/>
        <v/>
      </c>
    </row>
    <row r="242" spans="1:7" x14ac:dyDescent="0.25">
      <c r="B242" s="15" t="s">
        <v>387</v>
      </c>
      <c r="C242" s="15" t="s">
        <v>821</v>
      </c>
      <c r="D242" s="11" t="s">
        <v>217</v>
      </c>
      <c r="E242" s="24" t="s">
        <v>5</v>
      </c>
      <c r="F242" s="20" t="str">
        <f t="shared" si="6"/>
        <v/>
      </c>
      <c r="G242" s="23" t="str">
        <f t="shared" si="7"/>
        <v/>
      </c>
    </row>
    <row r="243" spans="1:7" x14ac:dyDescent="0.25">
      <c r="B243" s="15" t="s">
        <v>388</v>
      </c>
      <c r="C243" s="15" t="s">
        <v>822</v>
      </c>
      <c r="D243" s="11" t="s">
        <v>527</v>
      </c>
      <c r="E243" s="24" t="s">
        <v>3</v>
      </c>
      <c r="F243" s="20" t="str">
        <f t="shared" si="6"/>
        <v/>
      </c>
      <c r="G243" s="23" t="str">
        <f t="shared" si="7"/>
        <v/>
      </c>
    </row>
    <row r="244" spans="1:7" x14ac:dyDescent="0.25">
      <c r="A244" s="15">
        <v>77</v>
      </c>
      <c r="B244" s="15" t="s">
        <v>388</v>
      </c>
      <c r="C244" s="15" t="s">
        <v>823</v>
      </c>
      <c r="D244" s="11" t="s">
        <v>218</v>
      </c>
      <c r="E244" s="24" t="s">
        <v>4</v>
      </c>
      <c r="F244" s="20" t="str">
        <f t="shared" si="6"/>
        <v/>
      </c>
      <c r="G244" s="23" t="str">
        <f t="shared" si="7"/>
        <v/>
      </c>
    </row>
    <row r="245" spans="1:7" x14ac:dyDescent="0.25">
      <c r="B245" s="15" t="s">
        <v>388</v>
      </c>
      <c r="C245" s="15" t="s">
        <v>824</v>
      </c>
      <c r="D245" s="11" t="s">
        <v>219</v>
      </c>
      <c r="E245" s="24" t="s">
        <v>5</v>
      </c>
      <c r="F245" s="20" t="str">
        <f t="shared" si="6"/>
        <v/>
      </c>
      <c r="G245" s="23" t="str">
        <f t="shared" si="7"/>
        <v/>
      </c>
    </row>
    <row r="246" spans="1:7" x14ac:dyDescent="0.25">
      <c r="B246" s="15" t="s">
        <v>389</v>
      </c>
      <c r="C246" s="15" t="s">
        <v>825</v>
      </c>
      <c r="D246" s="11" t="s">
        <v>528</v>
      </c>
      <c r="E246" s="24" t="s">
        <v>3</v>
      </c>
      <c r="F246" s="20" t="str">
        <f t="shared" si="6"/>
        <v/>
      </c>
      <c r="G246" s="23" t="str">
        <f t="shared" si="7"/>
        <v/>
      </c>
    </row>
    <row r="247" spans="1:7" x14ac:dyDescent="0.25">
      <c r="A247" s="15">
        <v>78</v>
      </c>
      <c r="B247" s="15" t="s">
        <v>389</v>
      </c>
      <c r="C247" s="15" t="s">
        <v>826</v>
      </c>
      <c r="D247" s="11" t="s">
        <v>220</v>
      </c>
      <c r="E247" s="24" t="s">
        <v>4</v>
      </c>
      <c r="F247" s="20" t="str">
        <f t="shared" si="6"/>
        <v/>
      </c>
      <c r="G247" s="23" t="str">
        <f t="shared" si="7"/>
        <v/>
      </c>
    </row>
    <row r="248" spans="1:7" x14ac:dyDescent="0.25">
      <c r="B248" s="15" t="s">
        <v>389</v>
      </c>
      <c r="C248" s="15" t="s">
        <v>827</v>
      </c>
      <c r="D248" s="11" t="s">
        <v>221</v>
      </c>
      <c r="E248" s="24" t="s">
        <v>5</v>
      </c>
      <c r="F248" s="20" t="str">
        <f t="shared" si="6"/>
        <v/>
      </c>
      <c r="G248" s="23" t="str">
        <f t="shared" si="7"/>
        <v/>
      </c>
    </row>
    <row r="249" spans="1:7" x14ac:dyDescent="0.25">
      <c r="B249" s="15" t="s">
        <v>390</v>
      </c>
      <c r="C249" s="15" t="s">
        <v>828</v>
      </c>
      <c r="D249" s="11" t="s">
        <v>529</v>
      </c>
      <c r="E249" s="24" t="s">
        <v>3</v>
      </c>
      <c r="F249" s="20" t="str">
        <f t="shared" si="6"/>
        <v/>
      </c>
      <c r="G249" s="23" t="str">
        <f t="shared" si="7"/>
        <v/>
      </c>
    </row>
    <row r="250" spans="1:7" x14ac:dyDescent="0.25">
      <c r="A250" s="15">
        <v>79</v>
      </c>
      <c r="B250" s="15" t="s">
        <v>390</v>
      </c>
      <c r="C250" s="15" t="s">
        <v>829</v>
      </c>
      <c r="D250" s="11" t="s">
        <v>222</v>
      </c>
      <c r="E250" s="24" t="s">
        <v>4</v>
      </c>
      <c r="F250" s="20" t="str">
        <f t="shared" si="6"/>
        <v/>
      </c>
      <c r="G250" s="23" t="str">
        <f t="shared" si="7"/>
        <v/>
      </c>
    </row>
    <row r="251" spans="1:7" x14ac:dyDescent="0.25">
      <c r="B251" s="15" t="s">
        <v>390</v>
      </c>
      <c r="C251" s="15" t="s">
        <v>830</v>
      </c>
      <c r="D251" s="11" t="s">
        <v>223</v>
      </c>
      <c r="E251" s="24" t="s">
        <v>5</v>
      </c>
      <c r="F251" s="20" t="str">
        <f t="shared" ref="F251:F314" si="8">IF(G251="","","https://docs.google.com/uc?export=download&amp;id="&amp;G251)</f>
        <v/>
      </c>
      <c r="G251" s="23" t="str">
        <f t="shared" ref="G251:G314" si="9">IFERROR(LEFT(RIGHT(H251,LEN(H251)-32),LEN(RIGHT(H251,LEN(H251)-32))-17),"")</f>
        <v/>
      </c>
    </row>
    <row r="252" spans="1:7" x14ac:dyDescent="0.25">
      <c r="B252" s="15" t="s">
        <v>391</v>
      </c>
      <c r="C252" s="15" t="s">
        <v>831</v>
      </c>
      <c r="D252" s="11" t="s">
        <v>530</v>
      </c>
      <c r="E252" s="24" t="s">
        <v>3</v>
      </c>
      <c r="F252" s="20" t="str">
        <f t="shared" si="8"/>
        <v/>
      </c>
      <c r="G252" s="23" t="str">
        <f t="shared" si="9"/>
        <v/>
      </c>
    </row>
    <row r="253" spans="1:7" x14ac:dyDescent="0.25">
      <c r="A253" s="15">
        <v>80</v>
      </c>
      <c r="B253" s="15" t="s">
        <v>391</v>
      </c>
      <c r="C253" s="15" t="s">
        <v>832</v>
      </c>
      <c r="D253" s="11" t="s">
        <v>224</v>
      </c>
      <c r="E253" s="24" t="s">
        <v>4</v>
      </c>
      <c r="F253" s="20" t="str">
        <f t="shared" si="8"/>
        <v/>
      </c>
      <c r="G253" s="23" t="str">
        <f t="shared" si="9"/>
        <v/>
      </c>
    </row>
    <row r="254" spans="1:7" x14ac:dyDescent="0.25">
      <c r="B254" s="15" t="s">
        <v>391</v>
      </c>
      <c r="C254" s="15" t="s">
        <v>833</v>
      </c>
      <c r="D254" s="11" t="s">
        <v>225</v>
      </c>
      <c r="E254" s="24" t="s">
        <v>5</v>
      </c>
      <c r="F254" s="20" t="str">
        <f t="shared" si="8"/>
        <v/>
      </c>
      <c r="G254" s="23" t="str">
        <f t="shared" si="9"/>
        <v/>
      </c>
    </row>
    <row r="255" spans="1:7" x14ac:dyDescent="0.25">
      <c r="B255" s="15" t="s">
        <v>392</v>
      </c>
      <c r="C255" s="15" t="s">
        <v>834</v>
      </c>
      <c r="D255" s="11" t="s">
        <v>531</v>
      </c>
      <c r="E255" s="24" t="s">
        <v>3</v>
      </c>
      <c r="F255" s="20" t="str">
        <f t="shared" si="8"/>
        <v/>
      </c>
      <c r="G255" s="23" t="str">
        <f t="shared" si="9"/>
        <v/>
      </c>
    </row>
    <row r="256" spans="1:7" x14ac:dyDescent="0.25">
      <c r="A256" s="15">
        <v>81</v>
      </c>
      <c r="B256" s="15" t="s">
        <v>392</v>
      </c>
      <c r="C256" s="15" t="s">
        <v>835</v>
      </c>
      <c r="D256" s="11" t="s">
        <v>226</v>
      </c>
      <c r="E256" s="24" t="s">
        <v>4</v>
      </c>
      <c r="F256" s="20" t="str">
        <f t="shared" si="8"/>
        <v/>
      </c>
      <c r="G256" s="23" t="str">
        <f t="shared" si="9"/>
        <v/>
      </c>
    </row>
    <row r="257" spans="1:7" x14ac:dyDescent="0.25">
      <c r="B257" s="15" t="s">
        <v>392</v>
      </c>
      <c r="C257" s="15" t="s">
        <v>836</v>
      </c>
      <c r="D257" s="11" t="s">
        <v>227</v>
      </c>
      <c r="E257" s="24" t="s">
        <v>5</v>
      </c>
      <c r="F257" s="20" t="str">
        <f t="shared" si="8"/>
        <v/>
      </c>
      <c r="G257" s="23" t="str">
        <f t="shared" si="9"/>
        <v/>
      </c>
    </row>
    <row r="258" spans="1:7" x14ac:dyDescent="0.25">
      <c r="B258" s="15" t="s">
        <v>393</v>
      </c>
      <c r="C258" s="15" t="s">
        <v>837</v>
      </c>
      <c r="D258" s="11" t="s">
        <v>532</v>
      </c>
      <c r="E258" s="24" t="s">
        <v>3</v>
      </c>
      <c r="F258" s="20" t="str">
        <f t="shared" si="8"/>
        <v/>
      </c>
      <c r="G258" s="23" t="str">
        <f t="shared" si="9"/>
        <v/>
      </c>
    </row>
    <row r="259" spans="1:7" x14ac:dyDescent="0.25">
      <c r="A259" s="15">
        <v>82</v>
      </c>
      <c r="B259" s="15" t="s">
        <v>393</v>
      </c>
      <c r="C259" s="15" t="s">
        <v>838</v>
      </c>
      <c r="D259" s="11" t="s">
        <v>228</v>
      </c>
      <c r="E259" s="24" t="s">
        <v>4</v>
      </c>
      <c r="F259" s="20" t="str">
        <f t="shared" si="8"/>
        <v/>
      </c>
      <c r="G259" s="23" t="str">
        <f t="shared" si="9"/>
        <v/>
      </c>
    </row>
    <row r="260" spans="1:7" x14ac:dyDescent="0.25">
      <c r="B260" s="15" t="s">
        <v>393</v>
      </c>
      <c r="C260" s="15" t="s">
        <v>839</v>
      </c>
      <c r="D260" s="11" t="s">
        <v>229</v>
      </c>
      <c r="E260" s="24" t="s">
        <v>5</v>
      </c>
      <c r="F260" s="20" t="str">
        <f t="shared" si="8"/>
        <v/>
      </c>
      <c r="G260" s="23" t="str">
        <f t="shared" si="9"/>
        <v/>
      </c>
    </row>
    <row r="261" spans="1:7" x14ac:dyDescent="0.25">
      <c r="B261" s="15" t="s">
        <v>394</v>
      </c>
      <c r="C261" s="15" t="s">
        <v>840</v>
      </c>
      <c r="D261" s="20" t="s">
        <v>1003</v>
      </c>
      <c r="E261" s="24" t="s">
        <v>11</v>
      </c>
      <c r="F261" s="20" t="str">
        <f t="shared" si="8"/>
        <v/>
      </c>
      <c r="G261" s="23" t="str">
        <f t="shared" si="9"/>
        <v/>
      </c>
    </row>
    <row r="262" spans="1:7" x14ac:dyDescent="0.25">
      <c r="B262" s="15" t="s">
        <v>395</v>
      </c>
      <c r="C262" s="15" t="s">
        <v>841</v>
      </c>
      <c r="D262" s="11" t="s">
        <v>533</v>
      </c>
      <c r="E262" s="24" t="s">
        <v>3</v>
      </c>
      <c r="F262" s="20" t="str">
        <f t="shared" si="8"/>
        <v/>
      </c>
      <c r="G262" s="23" t="str">
        <f t="shared" si="9"/>
        <v/>
      </c>
    </row>
    <row r="263" spans="1:7" x14ac:dyDescent="0.25">
      <c r="A263" s="15">
        <v>83</v>
      </c>
      <c r="B263" s="15" t="s">
        <v>395</v>
      </c>
      <c r="C263" s="15" t="s">
        <v>842</v>
      </c>
      <c r="D263" s="11" t="s">
        <v>231</v>
      </c>
      <c r="E263" s="24" t="s">
        <v>4</v>
      </c>
      <c r="F263" s="20" t="str">
        <f t="shared" si="8"/>
        <v/>
      </c>
      <c r="G263" s="23" t="str">
        <f t="shared" si="9"/>
        <v/>
      </c>
    </row>
    <row r="264" spans="1:7" x14ac:dyDescent="0.25">
      <c r="B264" s="15" t="s">
        <v>395</v>
      </c>
      <c r="C264" s="15" t="s">
        <v>843</v>
      </c>
      <c r="D264" s="11" t="s">
        <v>232</v>
      </c>
      <c r="E264" s="24" t="s">
        <v>5</v>
      </c>
      <c r="F264" s="20" t="str">
        <f t="shared" si="8"/>
        <v/>
      </c>
      <c r="G264" s="23" t="str">
        <f t="shared" si="9"/>
        <v/>
      </c>
    </row>
    <row r="265" spans="1:7" x14ac:dyDescent="0.25">
      <c r="B265" s="15" t="s">
        <v>396</v>
      </c>
      <c r="C265" s="15" t="s">
        <v>844</v>
      </c>
      <c r="D265" s="11" t="s">
        <v>534</v>
      </c>
      <c r="E265" s="24" t="s">
        <v>3</v>
      </c>
      <c r="F265" s="20" t="str">
        <f t="shared" si="8"/>
        <v/>
      </c>
      <c r="G265" s="23" t="str">
        <f t="shared" si="9"/>
        <v/>
      </c>
    </row>
    <row r="266" spans="1:7" x14ac:dyDescent="0.25">
      <c r="A266" s="15">
        <v>84</v>
      </c>
      <c r="B266" s="15" t="s">
        <v>396</v>
      </c>
      <c r="C266" s="15" t="s">
        <v>845</v>
      </c>
      <c r="D266" s="11" t="s">
        <v>233</v>
      </c>
      <c r="E266" s="24" t="s">
        <v>4</v>
      </c>
      <c r="F266" s="20" t="str">
        <f t="shared" si="8"/>
        <v/>
      </c>
      <c r="G266" s="23" t="str">
        <f t="shared" si="9"/>
        <v/>
      </c>
    </row>
    <row r="267" spans="1:7" x14ac:dyDescent="0.25">
      <c r="B267" s="15" t="s">
        <v>396</v>
      </c>
      <c r="C267" s="15" t="s">
        <v>846</v>
      </c>
      <c r="D267" s="11" t="s">
        <v>234</v>
      </c>
      <c r="E267" s="24" t="s">
        <v>5</v>
      </c>
      <c r="F267" s="20" t="str">
        <f t="shared" si="8"/>
        <v/>
      </c>
      <c r="G267" s="23" t="str">
        <f t="shared" si="9"/>
        <v/>
      </c>
    </row>
    <row r="268" spans="1:7" x14ac:dyDescent="0.25">
      <c r="B268" s="15" t="s">
        <v>397</v>
      </c>
      <c r="C268" s="15" t="s">
        <v>847</v>
      </c>
      <c r="D268" s="11" t="s">
        <v>535</v>
      </c>
      <c r="E268" s="24" t="s">
        <v>3</v>
      </c>
      <c r="F268" s="20" t="str">
        <f t="shared" si="8"/>
        <v/>
      </c>
      <c r="G268" s="23" t="str">
        <f t="shared" si="9"/>
        <v/>
      </c>
    </row>
    <row r="269" spans="1:7" x14ac:dyDescent="0.25">
      <c r="A269" s="15">
        <v>85</v>
      </c>
      <c r="B269" s="15" t="s">
        <v>397</v>
      </c>
      <c r="C269" s="15" t="s">
        <v>848</v>
      </c>
      <c r="D269" s="11" t="s">
        <v>235</v>
      </c>
      <c r="E269" s="24" t="s">
        <v>4</v>
      </c>
      <c r="F269" s="20" t="str">
        <f t="shared" si="8"/>
        <v/>
      </c>
      <c r="G269" s="23" t="str">
        <f t="shared" si="9"/>
        <v/>
      </c>
    </row>
    <row r="270" spans="1:7" x14ac:dyDescent="0.25">
      <c r="B270" s="15" t="s">
        <v>397</v>
      </c>
      <c r="C270" s="15" t="s">
        <v>849</v>
      </c>
      <c r="D270" s="11" t="s">
        <v>236</v>
      </c>
      <c r="E270" s="24" t="s">
        <v>5</v>
      </c>
      <c r="F270" s="20" t="str">
        <f t="shared" si="8"/>
        <v/>
      </c>
      <c r="G270" s="23" t="str">
        <f t="shared" si="9"/>
        <v/>
      </c>
    </row>
    <row r="271" spans="1:7" x14ac:dyDescent="0.25">
      <c r="B271" s="15" t="s">
        <v>398</v>
      </c>
      <c r="C271" s="15" t="s">
        <v>850</v>
      </c>
      <c r="D271" s="11" t="s">
        <v>536</v>
      </c>
      <c r="E271" s="24" t="s">
        <v>3</v>
      </c>
      <c r="F271" s="20" t="str">
        <f t="shared" si="8"/>
        <v/>
      </c>
      <c r="G271" s="23" t="str">
        <f t="shared" si="9"/>
        <v/>
      </c>
    </row>
    <row r="272" spans="1:7" x14ac:dyDescent="0.25">
      <c r="A272" s="15">
        <v>86</v>
      </c>
      <c r="B272" s="15" t="s">
        <v>398</v>
      </c>
      <c r="C272" s="15" t="s">
        <v>851</v>
      </c>
      <c r="D272" s="11" t="s">
        <v>237</v>
      </c>
      <c r="E272" s="24" t="s">
        <v>4</v>
      </c>
      <c r="F272" s="20" t="str">
        <f t="shared" si="8"/>
        <v/>
      </c>
      <c r="G272" s="23" t="str">
        <f t="shared" si="9"/>
        <v/>
      </c>
    </row>
    <row r="273" spans="1:7" x14ac:dyDescent="0.25">
      <c r="B273" s="15" t="s">
        <v>398</v>
      </c>
      <c r="C273" s="15" t="s">
        <v>852</v>
      </c>
      <c r="D273" s="11" t="s">
        <v>238</v>
      </c>
      <c r="E273" s="24" t="s">
        <v>5</v>
      </c>
      <c r="F273" s="20" t="str">
        <f t="shared" si="8"/>
        <v/>
      </c>
      <c r="G273" s="23" t="str">
        <f t="shared" si="9"/>
        <v/>
      </c>
    </row>
    <row r="274" spans="1:7" x14ac:dyDescent="0.25">
      <c r="B274" s="15" t="s">
        <v>399</v>
      </c>
      <c r="C274" s="15" t="s">
        <v>853</v>
      </c>
      <c r="D274" s="11" t="s">
        <v>537</v>
      </c>
      <c r="E274" s="24" t="s">
        <v>3</v>
      </c>
      <c r="F274" s="20" t="str">
        <f t="shared" si="8"/>
        <v/>
      </c>
      <c r="G274" s="23" t="str">
        <f t="shared" si="9"/>
        <v/>
      </c>
    </row>
    <row r="275" spans="1:7" x14ac:dyDescent="0.25">
      <c r="A275" s="15">
        <v>87</v>
      </c>
      <c r="B275" s="15" t="s">
        <v>399</v>
      </c>
      <c r="C275" s="15" t="s">
        <v>854</v>
      </c>
      <c r="D275" s="11" t="s">
        <v>239</v>
      </c>
      <c r="E275" s="24" t="s">
        <v>4</v>
      </c>
      <c r="F275" s="20" t="str">
        <f t="shared" si="8"/>
        <v/>
      </c>
      <c r="G275" s="23" t="str">
        <f t="shared" si="9"/>
        <v/>
      </c>
    </row>
    <row r="276" spans="1:7" x14ac:dyDescent="0.25">
      <c r="B276" s="15" t="s">
        <v>399</v>
      </c>
      <c r="C276" s="15" t="s">
        <v>855</v>
      </c>
      <c r="D276" s="11" t="s">
        <v>240</v>
      </c>
      <c r="E276" s="24" t="s">
        <v>5</v>
      </c>
      <c r="F276" s="20" t="str">
        <f t="shared" si="8"/>
        <v/>
      </c>
      <c r="G276" s="23" t="str">
        <f t="shared" si="9"/>
        <v/>
      </c>
    </row>
    <row r="277" spans="1:7" x14ac:dyDescent="0.25">
      <c r="B277" s="15" t="s">
        <v>400</v>
      </c>
      <c r="C277" s="15" t="s">
        <v>856</v>
      </c>
      <c r="D277" s="11" t="s">
        <v>538</v>
      </c>
      <c r="E277" s="24" t="s">
        <v>3</v>
      </c>
      <c r="F277" s="20" t="str">
        <f t="shared" si="8"/>
        <v/>
      </c>
      <c r="G277" s="23" t="str">
        <f t="shared" si="9"/>
        <v/>
      </c>
    </row>
    <row r="278" spans="1:7" x14ac:dyDescent="0.25">
      <c r="A278" s="15">
        <v>88</v>
      </c>
      <c r="B278" s="15" t="s">
        <v>400</v>
      </c>
      <c r="C278" s="15" t="s">
        <v>857</v>
      </c>
      <c r="D278" s="11" t="s">
        <v>241</v>
      </c>
      <c r="E278" s="24" t="s">
        <v>4</v>
      </c>
      <c r="F278" s="20" t="str">
        <f t="shared" si="8"/>
        <v/>
      </c>
      <c r="G278" s="23" t="str">
        <f t="shared" si="9"/>
        <v/>
      </c>
    </row>
    <row r="279" spans="1:7" x14ac:dyDescent="0.25">
      <c r="B279" s="15" t="s">
        <v>400</v>
      </c>
      <c r="C279" s="15" t="s">
        <v>858</v>
      </c>
      <c r="D279" s="11" t="s">
        <v>242</v>
      </c>
      <c r="E279" s="24" t="s">
        <v>5</v>
      </c>
      <c r="F279" s="20" t="str">
        <f t="shared" si="8"/>
        <v/>
      </c>
      <c r="G279" s="23" t="str">
        <f t="shared" si="9"/>
        <v/>
      </c>
    </row>
    <row r="280" spans="1:7" x14ac:dyDescent="0.25">
      <c r="B280" s="15" t="s">
        <v>401</v>
      </c>
      <c r="C280" s="15" t="s">
        <v>859</v>
      </c>
      <c r="D280" s="11" t="s">
        <v>539</v>
      </c>
      <c r="E280" s="24" t="s">
        <v>3</v>
      </c>
      <c r="F280" s="20" t="str">
        <f t="shared" si="8"/>
        <v/>
      </c>
      <c r="G280" s="23" t="str">
        <f t="shared" si="9"/>
        <v/>
      </c>
    </row>
    <row r="281" spans="1:7" x14ac:dyDescent="0.25">
      <c r="A281" s="15">
        <v>89</v>
      </c>
      <c r="B281" s="15" t="s">
        <v>401</v>
      </c>
      <c r="C281" s="15" t="s">
        <v>860</v>
      </c>
      <c r="D281" s="11" t="s">
        <v>243</v>
      </c>
      <c r="E281" s="24" t="s">
        <v>4</v>
      </c>
      <c r="F281" s="20" t="str">
        <f t="shared" si="8"/>
        <v/>
      </c>
      <c r="G281" s="23" t="str">
        <f t="shared" si="9"/>
        <v/>
      </c>
    </row>
    <row r="282" spans="1:7" x14ac:dyDescent="0.25">
      <c r="B282" s="15" t="s">
        <v>401</v>
      </c>
      <c r="C282" s="15" t="s">
        <v>861</v>
      </c>
      <c r="D282" s="11" t="s">
        <v>244</v>
      </c>
      <c r="E282" s="24" t="s">
        <v>5</v>
      </c>
      <c r="F282" s="20" t="str">
        <f t="shared" si="8"/>
        <v/>
      </c>
      <c r="G282" s="23" t="str">
        <f t="shared" si="9"/>
        <v/>
      </c>
    </row>
    <row r="283" spans="1:7" x14ac:dyDescent="0.25">
      <c r="B283" s="15" t="s">
        <v>402</v>
      </c>
      <c r="C283" s="15" t="s">
        <v>862</v>
      </c>
      <c r="D283" s="11" t="s">
        <v>540</v>
      </c>
      <c r="E283" s="24" t="s">
        <v>3</v>
      </c>
      <c r="F283" s="20" t="str">
        <f t="shared" si="8"/>
        <v/>
      </c>
      <c r="G283" s="23" t="str">
        <f t="shared" si="9"/>
        <v/>
      </c>
    </row>
    <row r="284" spans="1:7" x14ac:dyDescent="0.25">
      <c r="A284" s="15">
        <v>90</v>
      </c>
      <c r="B284" s="15" t="s">
        <v>402</v>
      </c>
      <c r="C284" s="15" t="s">
        <v>863</v>
      </c>
      <c r="D284" s="11" t="s">
        <v>245</v>
      </c>
      <c r="E284" s="24" t="s">
        <v>4</v>
      </c>
      <c r="F284" s="20" t="str">
        <f t="shared" si="8"/>
        <v/>
      </c>
      <c r="G284" s="23" t="str">
        <f t="shared" si="9"/>
        <v/>
      </c>
    </row>
    <row r="285" spans="1:7" x14ac:dyDescent="0.25">
      <c r="B285" s="15" t="s">
        <v>402</v>
      </c>
      <c r="C285" s="15" t="s">
        <v>864</v>
      </c>
      <c r="D285" s="11" t="s">
        <v>246</v>
      </c>
      <c r="E285" s="24" t="s">
        <v>5</v>
      </c>
      <c r="F285" s="20" t="str">
        <f t="shared" si="8"/>
        <v/>
      </c>
      <c r="G285" s="23" t="str">
        <f t="shared" si="9"/>
        <v/>
      </c>
    </row>
    <row r="286" spans="1:7" x14ac:dyDescent="0.25">
      <c r="B286" s="15" t="s">
        <v>403</v>
      </c>
      <c r="C286" s="15" t="s">
        <v>865</v>
      </c>
      <c r="D286" s="20" t="s">
        <v>1004</v>
      </c>
      <c r="E286" s="24" t="s">
        <v>11</v>
      </c>
      <c r="F286" s="20" t="str">
        <f t="shared" si="8"/>
        <v/>
      </c>
      <c r="G286" s="23" t="str">
        <f t="shared" si="9"/>
        <v/>
      </c>
    </row>
    <row r="287" spans="1:7" x14ac:dyDescent="0.25">
      <c r="B287" s="15" t="s">
        <v>404</v>
      </c>
      <c r="C287" s="15" t="s">
        <v>866</v>
      </c>
      <c r="D287" s="11" t="s">
        <v>541</v>
      </c>
      <c r="E287" s="24" t="s">
        <v>3</v>
      </c>
      <c r="F287" s="20" t="str">
        <f t="shared" si="8"/>
        <v/>
      </c>
      <c r="G287" s="23" t="str">
        <f t="shared" si="9"/>
        <v/>
      </c>
    </row>
    <row r="288" spans="1:7" x14ac:dyDescent="0.25">
      <c r="A288" s="15">
        <v>91</v>
      </c>
      <c r="B288" s="15" t="s">
        <v>404</v>
      </c>
      <c r="C288" s="15" t="s">
        <v>867</v>
      </c>
      <c r="D288" s="11" t="s">
        <v>248</v>
      </c>
      <c r="E288" s="24" t="s">
        <v>4</v>
      </c>
      <c r="F288" s="20" t="str">
        <f t="shared" si="8"/>
        <v/>
      </c>
      <c r="G288" s="23" t="str">
        <f t="shared" si="9"/>
        <v/>
      </c>
    </row>
    <row r="289" spans="1:7" x14ac:dyDescent="0.25">
      <c r="B289" s="15" t="s">
        <v>404</v>
      </c>
      <c r="C289" s="15" t="s">
        <v>868</v>
      </c>
      <c r="D289" s="11" t="s">
        <v>249</v>
      </c>
      <c r="E289" s="24" t="s">
        <v>5</v>
      </c>
      <c r="F289" s="20" t="str">
        <f t="shared" si="8"/>
        <v/>
      </c>
      <c r="G289" s="23" t="str">
        <f t="shared" si="9"/>
        <v/>
      </c>
    </row>
    <row r="290" spans="1:7" x14ac:dyDescent="0.25">
      <c r="B290" s="15" t="s">
        <v>405</v>
      </c>
      <c r="C290" s="15" t="s">
        <v>869</v>
      </c>
      <c r="D290" s="11" t="s">
        <v>542</v>
      </c>
      <c r="E290" s="24" t="s">
        <v>3</v>
      </c>
      <c r="F290" s="20" t="str">
        <f t="shared" si="8"/>
        <v/>
      </c>
      <c r="G290" s="23" t="str">
        <f t="shared" si="9"/>
        <v/>
      </c>
    </row>
    <row r="291" spans="1:7" x14ac:dyDescent="0.25">
      <c r="A291" s="15">
        <v>92</v>
      </c>
      <c r="B291" s="15" t="s">
        <v>405</v>
      </c>
      <c r="C291" s="15" t="s">
        <v>870</v>
      </c>
      <c r="D291" s="11" t="s">
        <v>250</v>
      </c>
      <c r="E291" s="24" t="s">
        <v>4</v>
      </c>
      <c r="F291" s="20" t="str">
        <f t="shared" si="8"/>
        <v/>
      </c>
      <c r="G291" s="23" t="str">
        <f t="shared" si="9"/>
        <v/>
      </c>
    </row>
    <row r="292" spans="1:7" x14ac:dyDescent="0.25">
      <c r="B292" s="15" t="s">
        <v>405</v>
      </c>
      <c r="C292" s="15" t="s">
        <v>871</v>
      </c>
      <c r="D292" s="11" t="s">
        <v>251</v>
      </c>
      <c r="E292" s="24" t="s">
        <v>5</v>
      </c>
      <c r="F292" s="20" t="str">
        <f t="shared" si="8"/>
        <v/>
      </c>
      <c r="G292" s="23" t="str">
        <f t="shared" si="9"/>
        <v/>
      </c>
    </row>
    <row r="293" spans="1:7" x14ac:dyDescent="0.25">
      <c r="B293" s="15" t="s">
        <v>406</v>
      </c>
      <c r="C293" s="15" t="s">
        <v>872</v>
      </c>
      <c r="D293" s="11" t="s">
        <v>543</v>
      </c>
      <c r="E293" s="24" t="s">
        <v>3</v>
      </c>
      <c r="F293" s="20" t="str">
        <f t="shared" si="8"/>
        <v/>
      </c>
      <c r="G293" s="23" t="str">
        <f t="shared" si="9"/>
        <v/>
      </c>
    </row>
    <row r="294" spans="1:7" x14ac:dyDescent="0.25">
      <c r="A294" s="15">
        <v>93</v>
      </c>
      <c r="B294" s="15" t="s">
        <v>406</v>
      </c>
      <c r="C294" s="15" t="s">
        <v>873</v>
      </c>
      <c r="D294" s="11" t="s">
        <v>252</v>
      </c>
      <c r="E294" s="24" t="s">
        <v>4</v>
      </c>
      <c r="F294" s="20" t="str">
        <f t="shared" si="8"/>
        <v/>
      </c>
      <c r="G294" s="23" t="str">
        <f t="shared" si="9"/>
        <v/>
      </c>
    </row>
    <row r="295" spans="1:7" x14ac:dyDescent="0.25">
      <c r="B295" s="15" t="s">
        <v>406</v>
      </c>
      <c r="C295" s="15" t="s">
        <v>874</v>
      </c>
      <c r="D295" s="11" t="s">
        <v>253</v>
      </c>
      <c r="E295" s="24" t="s">
        <v>5</v>
      </c>
      <c r="F295" s="20" t="str">
        <f t="shared" si="8"/>
        <v/>
      </c>
      <c r="G295" s="23" t="str">
        <f t="shared" si="9"/>
        <v/>
      </c>
    </row>
    <row r="296" spans="1:7" x14ac:dyDescent="0.25">
      <c r="B296" s="15" t="s">
        <v>407</v>
      </c>
      <c r="C296" s="15" t="s">
        <v>875</v>
      </c>
      <c r="D296" s="11" t="s">
        <v>544</v>
      </c>
      <c r="E296" s="24" t="s">
        <v>3</v>
      </c>
      <c r="F296" s="20" t="str">
        <f t="shared" si="8"/>
        <v/>
      </c>
      <c r="G296" s="23" t="str">
        <f t="shared" si="9"/>
        <v/>
      </c>
    </row>
    <row r="297" spans="1:7" x14ac:dyDescent="0.25">
      <c r="A297" s="15">
        <v>94</v>
      </c>
      <c r="B297" s="15" t="s">
        <v>407</v>
      </c>
      <c r="C297" s="15" t="s">
        <v>876</v>
      </c>
      <c r="D297" s="11" t="s">
        <v>254</v>
      </c>
      <c r="E297" s="24" t="s">
        <v>4</v>
      </c>
      <c r="F297" s="20" t="str">
        <f t="shared" si="8"/>
        <v/>
      </c>
      <c r="G297" s="23" t="str">
        <f t="shared" si="9"/>
        <v/>
      </c>
    </row>
    <row r="298" spans="1:7" x14ac:dyDescent="0.25">
      <c r="B298" s="15" t="s">
        <v>407</v>
      </c>
      <c r="C298" s="15" t="s">
        <v>877</v>
      </c>
      <c r="D298" s="11" t="s">
        <v>255</v>
      </c>
      <c r="E298" s="24" t="s">
        <v>5</v>
      </c>
      <c r="F298" s="20" t="str">
        <f t="shared" si="8"/>
        <v/>
      </c>
      <c r="G298" s="23" t="str">
        <f t="shared" si="9"/>
        <v/>
      </c>
    </row>
    <row r="299" spans="1:7" x14ac:dyDescent="0.25">
      <c r="B299" s="15" t="s">
        <v>408</v>
      </c>
      <c r="C299" s="15" t="s">
        <v>878</v>
      </c>
      <c r="D299" s="11" t="s">
        <v>545</v>
      </c>
      <c r="E299" s="24" t="s">
        <v>3</v>
      </c>
      <c r="F299" s="20" t="str">
        <f t="shared" si="8"/>
        <v/>
      </c>
      <c r="G299" s="23" t="str">
        <f t="shared" si="9"/>
        <v/>
      </c>
    </row>
    <row r="300" spans="1:7" x14ac:dyDescent="0.25">
      <c r="A300" s="15">
        <v>95</v>
      </c>
      <c r="B300" s="15" t="s">
        <v>408</v>
      </c>
      <c r="C300" s="15" t="s">
        <v>879</v>
      </c>
      <c r="D300" s="11" t="s">
        <v>256</v>
      </c>
      <c r="E300" s="24" t="s">
        <v>4</v>
      </c>
      <c r="F300" s="20" t="str">
        <f t="shared" si="8"/>
        <v/>
      </c>
      <c r="G300" s="23" t="str">
        <f t="shared" si="9"/>
        <v/>
      </c>
    </row>
    <row r="301" spans="1:7" x14ac:dyDescent="0.25">
      <c r="B301" s="15" t="s">
        <v>408</v>
      </c>
      <c r="C301" s="15" t="s">
        <v>880</v>
      </c>
      <c r="D301" s="11" t="s">
        <v>257</v>
      </c>
      <c r="E301" s="24" t="s">
        <v>5</v>
      </c>
      <c r="F301" s="20" t="str">
        <f t="shared" si="8"/>
        <v/>
      </c>
      <c r="G301" s="23" t="str">
        <f t="shared" si="9"/>
        <v/>
      </c>
    </row>
    <row r="302" spans="1:7" x14ac:dyDescent="0.25">
      <c r="B302" s="15" t="s">
        <v>409</v>
      </c>
      <c r="C302" s="15" t="s">
        <v>881</v>
      </c>
      <c r="D302" s="11" t="s">
        <v>546</v>
      </c>
      <c r="E302" s="24" t="s">
        <v>3</v>
      </c>
      <c r="F302" s="20" t="str">
        <f t="shared" si="8"/>
        <v/>
      </c>
      <c r="G302" s="23" t="str">
        <f t="shared" si="9"/>
        <v/>
      </c>
    </row>
    <row r="303" spans="1:7" x14ac:dyDescent="0.25">
      <c r="A303" s="15">
        <v>96</v>
      </c>
      <c r="B303" s="15" t="s">
        <v>409</v>
      </c>
      <c r="C303" s="15" t="s">
        <v>882</v>
      </c>
      <c r="D303" s="11" t="s">
        <v>258</v>
      </c>
      <c r="E303" s="24" t="s">
        <v>4</v>
      </c>
      <c r="F303" s="20" t="str">
        <f t="shared" si="8"/>
        <v/>
      </c>
      <c r="G303" s="23" t="str">
        <f t="shared" si="9"/>
        <v/>
      </c>
    </row>
    <row r="304" spans="1:7" x14ac:dyDescent="0.25">
      <c r="B304" s="15" t="s">
        <v>409</v>
      </c>
      <c r="C304" s="15" t="s">
        <v>883</v>
      </c>
      <c r="D304" s="11" t="s">
        <v>259</v>
      </c>
      <c r="E304" s="24" t="s">
        <v>5</v>
      </c>
      <c r="F304" s="20" t="str">
        <f t="shared" si="8"/>
        <v/>
      </c>
      <c r="G304" s="23" t="str">
        <f t="shared" si="9"/>
        <v/>
      </c>
    </row>
    <row r="305" spans="1:7" x14ac:dyDescent="0.25">
      <c r="B305" s="15" t="s">
        <v>410</v>
      </c>
      <c r="C305" s="15" t="s">
        <v>884</v>
      </c>
      <c r="D305" s="20" t="s">
        <v>1005</v>
      </c>
      <c r="E305" s="24" t="s">
        <v>11</v>
      </c>
      <c r="F305" s="20" t="str">
        <f t="shared" si="8"/>
        <v/>
      </c>
      <c r="G305" s="23" t="str">
        <f t="shared" si="9"/>
        <v/>
      </c>
    </row>
    <row r="306" spans="1:7" x14ac:dyDescent="0.25">
      <c r="B306" s="15" t="s">
        <v>1011</v>
      </c>
      <c r="C306" s="15" t="s">
        <v>885</v>
      </c>
      <c r="D306" s="11" t="s">
        <v>547</v>
      </c>
      <c r="E306" s="24" t="s">
        <v>3</v>
      </c>
      <c r="F306" s="20" t="str">
        <f t="shared" si="8"/>
        <v/>
      </c>
      <c r="G306" s="23" t="str">
        <f t="shared" si="9"/>
        <v/>
      </c>
    </row>
    <row r="307" spans="1:7" x14ac:dyDescent="0.25">
      <c r="A307" s="15">
        <v>97</v>
      </c>
      <c r="B307" s="15" t="s">
        <v>1011</v>
      </c>
      <c r="C307" s="15" t="s">
        <v>886</v>
      </c>
      <c r="D307" s="11" t="s">
        <v>261</v>
      </c>
      <c r="E307" s="24" t="s">
        <v>4</v>
      </c>
      <c r="F307" s="20" t="str">
        <f t="shared" si="8"/>
        <v/>
      </c>
      <c r="G307" s="23" t="str">
        <f t="shared" si="9"/>
        <v/>
      </c>
    </row>
    <row r="308" spans="1:7" x14ac:dyDescent="0.25">
      <c r="B308" s="15" t="s">
        <v>1011</v>
      </c>
      <c r="C308" s="15" t="s">
        <v>887</v>
      </c>
      <c r="D308" s="11" t="s">
        <v>262</v>
      </c>
      <c r="E308" s="24" t="s">
        <v>5</v>
      </c>
      <c r="F308" s="20" t="str">
        <f t="shared" si="8"/>
        <v/>
      </c>
      <c r="G308" s="23" t="str">
        <f t="shared" si="9"/>
        <v/>
      </c>
    </row>
    <row r="309" spans="1:7" x14ac:dyDescent="0.25">
      <c r="B309" s="15" t="s">
        <v>1012</v>
      </c>
      <c r="C309" s="15" t="s">
        <v>888</v>
      </c>
      <c r="D309" s="11" t="s">
        <v>548</v>
      </c>
      <c r="E309" s="24" t="s">
        <v>3</v>
      </c>
      <c r="F309" s="20" t="str">
        <f t="shared" si="8"/>
        <v/>
      </c>
      <c r="G309" s="23" t="str">
        <f t="shared" si="9"/>
        <v/>
      </c>
    </row>
    <row r="310" spans="1:7" x14ac:dyDescent="0.25">
      <c r="A310" s="15">
        <v>98</v>
      </c>
      <c r="B310" s="15" t="s">
        <v>1012</v>
      </c>
      <c r="C310" s="15" t="s">
        <v>889</v>
      </c>
      <c r="D310" s="11" t="s">
        <v>263</v>
      </c>
      <c r="E310" s="24" t="s">
        <v>4</v>
      </c>
      <c r="F310" s="20" t="str">
        <f t="shared" si="8"/>
        <v/>
      </c>
      <c r="G310" s="23" t="str">
        <f t="shared" si="9"/>
        <v/>
      </c>
    </row>
    <row r="311" spans="1:7" x14ac:dyDescent="0.25">
      <c r="B311" s="15" t="s">
        <v>1012</v>
      </c>
      <c r="C311" s="15" t="s">
        <v>890</v>
      </c>
      <c r="D311" s="11" t="s">
        <v>264</v>
      </c>
      <c r="E311" s="24" t="s">
        <v>5</v>
      </c>
      <c r="F311" s="20" t="str">
        <f t="shared" si="8"/>
        <v/>
      </c>
      <c r="G311" s="23" t="str">
        <f t="shared" si="9"/>
        <v/>
      </c>
    </row>
    <row r="312" spans="1:7" x14ac:dyDescent="0.25">
      <c r="B312" s="15" t="s">
        <v>1013</v>
      </c>
      <c r="C312" s="15" t="s">
        <v>891</v>
      </c>
      <c r="D312" s="11" t="s">
        <v>549</v>
      </c>
      <c r="E312" s="24" t="s">
        <v>3</v>
      </c>
      <c r="F312" s="20" t="str">
        <f t="shared" si="8"/>
        <v/>
      </c>
      <c r="G312" s="23" t="str">
        <f t="shared" si="9"/>
        <v/>
      </c>
    </row>
    <row r="313" spans="1:7" x14ac:dyDescent="0.25">
      <c r="A313" s="15">
        <v>99</v>
      </c>
      <c r="B313" s="15" t="s">
        <v>1013</v>
      </c>
      <c r="C313" s="15" t="s">
        <v>892</v>
      </c>
      <c r="D313" s="11" t="s">
        <v>265</v>
      </c>
      <c r="E313" s="24" t="s">
        <v>4</v>
      </c>
      <c r="F313" s="20" t="str">
        <f t="shared" si="8"/>
        <v/>
      </c>
      <c r="G313" s="23" t="str">
        <f t="shared" si="9"/>
        <v/>
      </c>
    </row>
    <row r="314" spans="1:7" x14ac:dyDescent="0.25">
      <c r="B314" s="15" t="s">
        <v>1013</v>
      </c>
      <c r="C314" s="15" t="s">
        <v>893</v>
      </c>
      <c r="D314" s="11" t="s">
        <v>266</v>
      </c>
      <c r="E314" s="24" t="s">
        <v>5</v>
      </c>
      <c r="F314" s="20" t="str">
        <f t="shared" si="8"/>
        <v/>
      </c>
      <c r="G314" s="23" t="str">
        <f t="shared" si="9"/>
        <v/>
      </c>
    </row>
    <row r="315" spans="1:7" x14ac:dyDescent="0.25">
      <c r="B315" s="15" t="s">
        <v>1014</v>
      </c>
      <c r="C315" s="15" t="s">
        <v>894</v>
      </c>
      <c r="D315" s="11" t="s">
        <v>550</v>
      </c>
      <c r="E315" s="24" t="s">
        <v>3</v>
      </c>
      <c r="F315" s="20" t="str">
        <f t="shared" ref="F315:F378" si="10">IF(G315="","","https://docs.google.com/uc?export=download&amp;id="&amp;G315)</f>
        <v/>
      </c>
      <c r="G315" s="23" t="str">
        <f t="shared" ref="G315:G378" si="11">IFERROR(LEFT(RIGHT(H315,LEN(H315)-32),LEN(RIGHT(H315,LEN(H315)-32))-17),"")</f>
        <v/>
      </c>
    </row>
    <row r="316" spans="1:7" x14ac:dyDescent="0.25">
      <c r="A316" s="15">
        <v>100</v>
      </c>
      <c r="B316" s="15" t="s">
        <v>1014</v>
      </c>
      <c r="C316" s="15" t="s">
        <v>895</v>
      </c>
      <c r="D316" s="11" t="s">
        <v>267</v>
      </c>
      <c r="E316" s="24" t="s">
        <v>4</v>
      </c>
      <c r="F316" s="20" t="str">
        <f t="shared" si="10"/>
        <v/>
      </c>
      <c r="G316" s="23" t="str">
        <f t="shared" si="11"/>
        <v/>
      </c>
    </row>
    <row r="317" spans="1:7" x14ac:dyDescent="0.25">
      <c r="B317" s="15" t="s">
        <v>1014</v>
      </c>
      <c r="C317" s="15" t="s">
        <v>893</v>
      </c>
      <c r="D317" s="11" t="s">
        <v>268</v>
      </c>
      <c r="E317" s="24" t="s">
        <v>5</v>
      </c>
      <c r="F317" s="20" t="str">
        <f t="shared" si="10"/>
        <v/>
      </c>
      <c r="G317" s="23" t="str">
        <f t="shared" si="11"/>
        <v/>
      </c>
    </row>
    <row r="318" spans="1:7" x14ac:dyDescent="0.25">
      <c r="B318" s="15" t="s">
        <v>1015</v>
      </c>
      <c r="C318" s="15" t="s">
        <v>894</v>
      </c>
      <c r="D318" s="11" t="s">
        <v>551</v>
      </c>
      <c r="E318" s="24" t="s">
        <v>3</v>
      </c>
      <c r="F318" s="20" t="str">
        <f t="shared" si="10"/>
        <v/>
      </c>
      <c r="G318" s="23" t="str">
        <f t="shared" si="11"/>
        <v/>
      </c>
    </row>
    <row r="319" spans="1:7" x14ac:dyDescent="0.25">
      <c r="A319" s="15">
        <v>101</v>
      </c>
      <c r="B319" s="15" t="s">
        <v>1015</v>
      </c>
      <c r="C319" s="15" t="s">
        <v>895</v>
      </c>
      <c r="D319" s="11" t="s">
        <v>269</v>
      </c>
      <c r="E319" s="24" t="s">
        <v>4</v>
      </c>
      <c r="F319" s="20" t="str">
        <f t="shared" si="10"/>
        <v/>
      </c>
      <c r="G319" s="23" t="str">
        <f t="shared" si="11"/>
        <v/>
      </c>
    </row>
    <row r="320" spans="1:7" x14ac:dyDescent="0.25">
      <c r="B320" s="15" t="s">
        <v>1015</v>
      </c>
      <c r="C320" s="15" t="s">
        <v>896</v>
      </c>
      <c r="D320" s="11" t="s">
        <v>270</v>
      </c>
      <c r="E320" s="24" t="s">
        <v>5</v>
      </c>
      <c r="F320" s="20" t="str">
        <f t="shared" si="10"/>
        <v/>
      </c>
      <c r="G320" s="23" t="str">
        <f t="shared" si="11"/>
        <v/>
      </c>
    </row>
    <row r="321" spans="1:7" x14ac:dyDescent="0.25">
      <c r="B321" s="15" t="s">
        <v>416</v>
      </c>
      <c r="C321" s="15" t="s">
        <v>897</v>
      </c>
      <c r="D321" s="20" t="s">
        <v>1006</v>
      </c>
      <c r="E321" s="24" t="s">
        <v>11</v>
      </c>
      <c r="F321" s="20" t="str">
        <f t="shared" si="10"/>
        <v/>
      </c>
      <c r="G321" s="23" t="str">
        <f t="shared" si="11"/>
        <v/>
      </c>
    </row>
    <row r="322" spans="1:7" x14ac:dyDescent="0.25">
      <c r="B322" s="15" t="s">
        <v>417</v>
      </c>
      <c r="C322" s="15" t="s">
        <v>898</v>
      </c>
      <c r="D322" s="11" t="s">
        <v>552</v>
      </c>
      <c r="E322" s="24" t="s">
        <v>3</v>
      </c>
      <c r="F322" s="20" t="str">
        <f t="shared" si="10"/>
        <v/>
      </c>
      <c r="G322" s="23" t="str">
        <f t="shared" si="11"/>
        <v/>
      </c>
    </row>
    <row r="323" spans="1:7" x14ac:dyDescent="0.25">
      <c r="A323" s="15">
        <v>102</v>
      </c>
      <c r="B323" s="15" t="s">
        <v>417</v>
      </c>
      <c r="C323" s="15" t="s">
        <v>899</v>
      </c>
      <c r="D323" s="11" t="s">
        <v>272</v>
      </c>
      <c r="E323" s="24" t="s">
        <v>4</v>
      </c>
      <c r="F323" s="20" t="str">
        <f t="shared" si="10"/>
        <v/>
      </c>
      <c r="G323" s="23" t="str">
        <f t="shared" si="11"/>
        <v/>
      </c>
    </row>
    <row r="324" spans="1:7" x14ac:dyDescent="0.25">
      <c r="B324" s="15" t="s">
        <v>417</v>
      </c>
      <c r="C324" s="15" t="s">
        <v>900</v>
      </c>
      <c r="D324" s="11" t="s">
        <v>273</v>
      </c>
      <c r="E324" s="24" t="s">
        <v>5</v>
      </c>
      <c r="F324" s="20" t="str">
        <f t="shared" si="10"/>
        <v/>
      </c>
      <c r="G324" s="23" t="str">
        <f t="shared" si="11"/>
        <v/>
      </c>
    </row>
    <row r="325" spans="1:7" x14ac:dyDescent="0.25">
      <c r="B325" s="15" t="s">
        <v>418</v>
      </c>
      <c r="C325" s="15" t="s">
        <v>901</v>
      </c>
      <c r="D325" s="11" t="s">
        <v>553</v>
      </c>
      <c r="E325" s="24" t="s">
        <v>3</v>
      </c>
      <c r="F325" s="20" t="str">
        <f t="shared" si="10"/>
        <v/>
      </c>
      <c r="G325" s="23" t="str">
        <f t="shared" si="11"/>
        <v/>
      </c>
    </row>
    <row r="326" spans="1:7" x14ac:dyDescent="0.25">
      <c r="A326" s="15">
        <v>103</v>
      </c>
      <c r="B326" s="15" t="s">
        <v>418</v>
      </c>
      <c r="C326" s="15" t="s">
        <v>902</v>
      </c>
      <c r="D326" s="11" t="s">
        <v>274</v>
      </c>
      <c r="E326" s="24" t="s">
        <v>4</v>
      </c>
      <c r="F326" s="20" t="str">
        <f t="shared" si="10"/>
        <v/>
      </c>
      <c r="G326" s="23" t="str">
        <f t="shared" si="11"/>
        <v/>
      </c>
    </row>
    <row r="327" spans="1:7" x14ac:dyDescent="0.25">
      <c r="B327" s="15" t="s">
        <v>418</v>
      </c>
      <c r="C327" s="15" t="s">
        <v>903</v>
      </c>
      <c r="D327" s="11" t="s">
        <v>275</v>
      </c>
      <c r="E327" s="24" t="s">
        <v>5</v>
      </c>
      <c r="F327" s="20" t="str">
        <f t="shared" si="10"/>
        <v/>
      </c>
      <c r="G327" s="23" t="str">
        <f t="shared" si="11"/>
        <v/>
      </c>
    </row>
    <row r="328" spans="1:7" x14ac:dyDescent="0.25">
      <c r="B328" s="15" t="s">
        <v>419</v>
      </c>
      <c r="C328" s="15" t="s">
        <v>904</v>
      </c>
      <c r="D328" s="11" t="s">
        <v>554</v>
      </c>
      <c r="E328" s="24" t="s">
        <v>3</v>
      </c>
      <c r="F328" s="20" t="str">
        <f t="shared" si="10"/>
        <v/>
      </c>
      <c r="G328" s="23" t="str">
        <f t="shared" si="11"/>
        <v/>
      </c>
    </row>
    <row r="329" spans="1:7" x14ac:dyDescent="0.25">
      <c r="A329" s="15">
        <v>104</v>
      </c>
      <c r="B329" s="15" t="s">
        <v>419</v>
      </c>
      <c r="C329" s="15" t="s">
        <v>905</v>
      </c>
      <c r="D329" s="11" t="s">
        <v>276</v>
      </c>
      <c r="E329" s="24" t="s">
        <v>4</v>
      </c>
      <c r="F329" s="20" t="str">
        <f t="shared" si="10"/>
        <v/>
      </c>
      <c r="G329" s="23" t="str">
        <f t="shared" si="11"/>
        <v/>
      </c>
    </row>
    <row r="330" spans="1:7" x14ac:dyDescent="0.25">
      <c r="B330" s="15" t="s">
        <v>419</v>
      </c>
      <c r="C330" s="15" t="s">
        <v>906</v>
      </c>
      <c r="D330" s="11" t="s">
        <v>277</v>
      </c>
      <c r="E330" s="24" t="s">
        <v>5</v>
      </c>
      <c r="F330" s="20" t="str">
        <f t="shared" si="10"/>
        <v/>
      </c>
      <c r="G330" s="23" t="str">
        <f t="shared" si="11"/>
        <v/>
      </c>
    </row>
    <row r="331" spans="1:7" x14ac:dyDescent="0.25">
      <c r="B331" s="15" t="s">
        <v>420</v>
      </c>
      <c r="C331" s="15" t="s">
        <v>907</v>
      </c>
      <c r="D331" s="11" t="s">
        <v>555</v>
      </c>
      <c r="E331" s="24" t="s">
        <v>3</v>
      </c>
      <c r="F331" s="20" t="str">
        <f t="shared" si="10"/>
        <v/>
      </c>
      <c r="G331" s="23" t="str">
        <f t="shared" si="11"/>
        <v/>
      </c>
    </row>
    <row r="332" spans="1:7" x14ac:dyDescent="0.25">
      <c r="A332" s="15">
        <v>105</v>
      </c>
      <c r="B332" s="15" t="s">
        <v>420</v>
      </c>
      <c r="C332" s="15" t="s">
        <v>908</v>
      </c>
      <c r="D332" s="11" t="s">
        <v>278</v>
      </c>
      <c r="E332" s="24" t="s">
        <v>4</v>
      </c>
      <c r="F332" s="20" t="str">
        <f t="shared" si="10"/>
        <v/>
      </c>
      <c r="G332" s="23" t="str">
        <f t="shared" si="11"/>
        <v/>
      </c>
    </row>
    <row r="333" spans="1:7" x14ac:dyDescent="0.25">
      <c r="B333" s="15" t="s">
        <v>420</v>
      </c>
      <c r="C333" s="15" t="s">
        <v>909</v>
      </c>
      <c r="D333" s="11" t="s">
        <v>279</v>
      </c>
      <c r="E333" s="24" t="s">
        <v>5</v>
      </c>
      <c r="F333" s="20" t="str">
        <f t="shared" si="10"/>
        <v/>
      </c>
      <c r="G333" s="23" t="str">
        <f t="shared" si="11"/>
        <v/>
      </c>
    </row>
    <row r="334" spans="1:7" x14ac:dyDescent="0.25">
      <c r="B334" s="15" t="s">
        <v>421</v>
      </c>
      <c r="C334" s="15" t="s">
        <v>910</v>
      </c>
      <c r="D334" s="20" t="s">
        <v>1007</v>
      </c>
      <c r="E334" s="24" t="s">
        <v>11</v>
      </c>
      <c r="F334" s="20" t="str">
        <f t="shared" si="10"/>
        <v/>
      </c>
      <c r="G334" s="23" t="str">
        <f t="shared" si="11"/>
        <v/>
      </c>
    </row>
    <row r="335" spans="1:7" x14ac:dyDescent="0.25">
      <c r="B335" s="15" t="s">
        <v>422</v>
      </c>
      <c r="C335" s="15" t="s">
        <v>911</v>
      </c>
      <c r="D335" s="11" t="s">
        <v>556</v>
      </c>
      <c r="E335" s="24" t="s">
        <v>3</v>
      </c>
      <c r="F335" s="20" t="str">
        <f t="shared" si="10"/>
        <v/>
      </c>
      <c r="G335" s="23" t="str">
        <f t="shared" si="11"/>
        <v/>
      </c>
    </row>
    <row r="336" spans="1:7" x14ac:dyDescent="0.25">
      <c r="A336" s="15">
        <v>106</v>
      </c>
      <c r="B336" s="15" t="s">
        <v>422</v>
      </c>
      <c r="C336" s="15" t="s">
        <v>912</v>
      </c>
      <c r="D336" s="11" t="s">
        <v>281</v>
      </c>
      <c r="E336" s="24" t="s">
        <v>4</v>
      </c>
      <c r="F336" s="20" t="str">
        <f t="shared" si="10"/>
        <v/>
      </c>
      <c r="G336" s="23" t="str">
        <f t="shared" si="11"/>
        <v/>
      </c>
    </row>
    <row r="337" spans="1:7" x14ac:dyDescent="0.25">
      <c r="B337" s="15" t="s">
        <v>422</v>
      </c>
      <c r="C337" s="15" t="s">
        <v>913</v>
      </c>
      <c r="D337" s="11" t="s">
        <v>282</v>
      </c>
      <c r="E337" s="24" t="s">
        <v>5</v>
      </c>
      <c r="F337" s="20" t="str">
        <f t="shared" si="10"/>
        <v/>
      </c>
      <c r="G337" s="23" t="str">
        <f t="shared" si="11"/>
        <v/>
      </c>
    </row>
    <row r="338" spans="1:7" x14ac:dyDescent="0.25">
      <c r="B338" s="15" t="s">
        <v>423</v>
      </c>
      <c r="C338" s="15" t="s">
        <v>914</v>
      </c>
      <c r="D338" s="11" t="s">
        <v>557</v>
      </c>
      <c r="E338" s="24" t="s">
        <v>3</v>
      </c>
      <c r="F338" s="20" t="str">
        <f t="shared" si="10"/>
        <v/>
      </c>
      <c r="G338" s="23" t="str">
        <f t="shared" si="11"/>
        <v/>
      </c>
    </row>
    <row r="339" spans="1:7" x14ac:dyDescent="0.25">
      <c r="A339" s="15">
        <v>107</v>
      </c>
      <c r="B339" s="15" t="s">
        <v>423</v>
      </c>
      <c r="C339" s="15" t="s">
        <v>915</v>
      </c>
      <c r="D339" s="11" t="s">
        <v>283</v>
      </c>
      <c r="E339" s="24" t="s">
        <v>4</v>
      </c>
      <c r="F339" s="20" t="str">
        <f t="shared" si="10"/>
        <v/>
      </c>
      <c r="G339" s="23" t="str">
        <f t="shared" si="11"/>
        <v/>
      </c>
    </row>
    <row r="340" spans="1:7" x14ac:dyDescent="0.25">
      <c r="B340" s="15" t="s">
        <v>423</v>
      </c>
      <c r="C340" s="15" t="s">
        <v>916</v>
      </c>
      <c r="D340" s="11" t="s">
        <v>284</v>
      </c>
      <c r="E340" s="24" t="s">
        <v>5</v>
      </c>
      <c r="F340" s="20" t="str">
        <f t="shared" si="10"/>
        <v/>
      </c>
      <c r="G340" s="23" t="str">
        <f t="shared" si="11"/>
        <v/>
      </c>
    </row>
    <row r="341" spans="1:7" x14ac:dyDescent="0.25">
      <c r="B341" s="15" t="s">
        <v>424</v>
      </c>
      <c r="C341" s="15" t="s">
        <v>917</v>
      </c>
      <c r="D341" s="11" t="s">
        <v>558</v>
      </c>
      <c r="E341" s="24" t="s">
        <v>3</v>
      </c>
      <c r="F341" s="20" t="str">
        <f t="shared" si="10"/>
        <v/>
      </c>
      <c r="G341" s="23" t="str">
        <f t="shared" si="11"/>
        <v/>
      </c>
    </row>
    <row r="342" spans="1:7" x14ac:dyDescent="0.25">
      <c r="A342" s="15">
        <v>108</v>
      </c>
      <c r="B342" s="15" t="s">
        <v>424</v>
      </c>
      <c r="C342" s="15" t="s">
        <v>918</v>
      </c>
      <c r="D342" s="11" t="s">
        <v>285</v>
      </c>
      <c r="E342" s="24" t="s">
        <v>4</v>
      </c>
      <c r="F342" s="20" t="str">
        <f t="shared" si="10"/>
        <v/>
      </c>
      <c r="G342" s="23" t="str">
        <f t="shared" si="11"/>
        <v/>
      </c>
    </row>
    <row r="343" spans="1:7" x14ac:dyDescent="0.25">
      <c r="B343" s="15" t="s">
        <v>424</v>
      </c>
      <c r="C343" s="15" t="s">
        <v>919</v>
      </c>
      <c r="D343" s="11" t="s">
        <v>286</v>
      </c>
      <c r="E343" s="24" t="s">
        <v>5</v>
      </c>
      <c r="F343" s="20" t="str">
        <f t="shared" si="10"/>
        <v/>
      </c>
      <c r="G343" s="23" t="str">
        <f t="shared" si="11"/>
        <v/>
      </c>
    </row>
    <row r="344" spans="1:7" x14ac:dyDescent="0.25">
      <c r="B344" s="15" t="s">
        <v>425</v>
      </c>
      <c r="C344" s="15" t="s">
        <v>920</v>
      </c>
      <c r="D344" s="11" t="s">
        <v>559</v>
      </c>
      <c r="E344" s="24" t="s">
        <v>3</v>
      </c>
      <c r="F344" s="20" t="str">
        <f t="shared" si="10"/>
        <v/>
      </c>
      <c r="G344" s="23" t="str">
        <f t="shared" si="11"/>
        <v/>
      </c>
    </row>
    <row r="345" spans="1:7" x14ac:dyDescent="0.25">
      <c r="A345" s="15">
        <v>109</v>
      </c>
      <c r="B345" s="15" t="s">
        <v>425</v>
      </c>
      <c r="C345" s="15" t="s">
        <v>921</v>
      </c>
      <c r="D345" s="11" t="s">
        <v>287</v>
      </c>
      <c r="E345" s="24" t="s">
        <v>4</v>
      </c>
      <c r="F345" s="20" t="str">
        <f t="shared" si="10"/>
        <v/>
      </c>
      <c r="G345" s="23" t="str">
        <f t="shared" si="11"/>
        <v/>
      </c>
    </row>
    <row r="346" spans="1:7" x14ac:dyDescent="0.25">
      <c r="B346" s="15" t="s">
        <v>425</v>
      </c>
      <c r="C346" s="15" t="s">
        <v>922</v>
      </c>
      <c r="D346" s="11" t="s">
        <v>288</v>
      </c>
      <c r="E346" s="24" t="s">
        <v>5</v>
      </c>
      <c r="F346" s="20" t="str">
        <f t="shared" si="10"/>
        <v/>
      </c>
      <c r="G346" s="23" t="str">
        <f t="shared" si="11"/>
        <v/>
      </c>
    </row>
    <row r="347" spans="1:7" x14ac:dyDescent="0.25">
      <c r="B347" s="15" t="s">
        <v>426</v>
      </c>
      <c r="C347" s="15" t="s">
        <v>923</v>
      </c>
      <c r="D347" s="11" t="s">
        <v>560</v>
      </c>
      <c r="E347" s="24" t="s">
        <v>3</v>
      </c>
      <c r="F347" s="20" t="str">
        <f t="shared" si="10"/>
        <v/>
      </c>
      <c r="G347" s="23" t="str">
        <f t="shared" si="11"/>
        <v/>
      </c>
    </row>
    <row r="348" spans="1:7" x14ac:dyDescent="0.25">
      <c r="A348" s="15">
        <v>110</v>
      </c>
      <c r="B348" s="15" t="s">
        <v>426</v>
      </c>
      <c r="C348" s="15" t="s">
        <v>924</v>
      </c>
      <c r="D348" s="11" t="s">
        <v>289</v>
      </c>
      <c r="E348" s="24" t="s">
        <v>4</v>
      </c>
      <c r="F348" s="20" t="str">
        <f t="shared" si="10"/>
        <v/>
      </c>
      <c r="G348" s="23" t="str">
        <f t="shared" si="11"/>
        <v/>
      </c>
    </row>
    <row r="349" spans="1:7" x14ac:dyDescent="0.25">
      <c r="B349" s="15" t="s">
        <v>426</v>
      </c>
      <c r="C349" s="15" t="s">
        <v>925</v>
      </c>
      <c r="D349" s="11" t="s">
        <v>290</v>
      </c>
      <c r="E349" s="24" t="s">
        <v>5</v>
      </c>
      <c r="F349" s="20" t="str">
        <f t="shared" si="10"/>
        <v/>
      </c>
      <c r="G349" s="23" t="str">
        <f t="shared" si="11"/>
        <v/>
      </c>
    </row>
    <row r="350" spans="1:7" x14ac:dyDescent="0.25">
      <c r="B350" s="15" t="s">
        <v>427</v>
      </c>
      <c r="C350" s="15" t="s">
        <v>926</v>
      </c>
      <c r="D350" s="11" t="s">
        <v>561</v>
      </c>
      <c r="E350" s="24" t="s">
        <v>3</v>
      </c>
      <c r="F350" s="20" t="str">
        <f t="shared" si="10"/>
        <v/>
      </c>
      <c r="G350" s="23" t="str">
        <f t="shared" si="11"/>
        <v/>
      </c>
    </row>
    <row r="351" spans="1:7" x14ac:dyDescent="0.25">
      <c r="A351" s="15">
        <v>111</v>
      </c>
      <c r="B351" s="15" t="s">
        <v>427</v>
      </c>
      <c r="C351" s="15" t="s">
        <v>927</v>
      </c>
      <c r="D351" s="11" t="s">
        <v>291</v>
      </c>
      <c r="E351" s="24" t="s">
        <v>4</v>
      </c>
      <c r="F351" s="20" t="str">
        <f t="shared" si="10"/>
        <v/>
      </c>
      <c r="G351" s="23" t="str">
        <f t="shared" si="11"/>
        <v/>
      </c>
    </row>
    <row r="352" spans="1:7" x14ac:dyDescent="0.25">
      <c r="B352" s="15" t="s">
        <v>427</v>
      </c>
      <c r="C352" s="15" t="s">
        <v>928</v>
      </c>
      <c r="D352" s="11" t="s">
        <v>292</v>
      </c>
      <c r="E352" s="24" t="s">
        <v>5</v>
      </c>
      <c r="F352" s="20" t="str">
        <f t="shared" si="10"/>
        <v/>
      </c>
      <c r="G352" s="23" t="str">
        <f t="shared" si="11"/>
        <v/>
      </c>
    </row>
    <row r="353" spans="1:7" x14ac:dyDescent="0.25">
      <c r="B353" s="15" t="s">
        <v>428</v>
      </c>
      <c r="C353" s="15" t="s">
        <v>929</v>
      </c>
      <c r="D353" s="11" t="s">
        <v>562</v>
      </c>
      <c r="E353" s="24" t="s">
        <v>3</v>
      </c>
      <c r="F353" s="20" t="str">
        <f t="shared" si="10"/>
        <v/>
      </c>
      <c r="G353" s="23" t="str">
        <f t="shared" si="11"/>
        <v/>
      </c>
    </row>
    <row r="354" spans="1:7" x14ac:dyDescent="0.25">
      <c r="A354" s="15">
        <v>112</v>
      </c>
      <c r="B354" s="15" t="s">
        <v>428</v>
      </c>
      <c r="C354" s="15" t="s">
        <v>930</v>
      </c>
      <c r="D354" s="11" t="s">
        <v>293</v>
      </c>
      <c r="E354" s="24" t="s">
        <v>4</v>
      </c>
      <c r="F354" s="20" t="str">
        <f t="shared" si="10"/>
        <v/>
      </c>
      <c r="G354" s="23" t="str">
        <f t="shared" si="11"/>
        <v/>
      </c>
    </row>
    <row r="355" spans="1:7" x14ac:dyDescent="0.25">
      <c r="B355" s="15" t="s">
        <v>428</v>
      </c>
      <c r="C355" s="15" t="s">
        <v>931</v>
      </c>
      <c r="D355" s="11" t="s">
        <v>294</v>
      </c>
      <c r="E355" s="24" t="s">
        <v>5</v>
      </c>
      <c r="F355" s="20" t="str">
        <f t="shared" si="10"/>
        <v/>
      </c>
      <c r="G355" s="23" t="str">
        <f t="shared" si="11"/>
        <v/>
      </c>
    </row>
    <row r="356" spans="1:7" x14ac:dyDescent="0.25">
      <c r="B356" s="15" t="s">
        <v>429</v>
      </c>
      <c r="C356" s="15" t="s">
        <v>932</v>
      </c>
      <c r="D356" s="11" t="s">
        <v>563</v>
      </c>
      <c r="E356" s="24" t="s">
        <v>3</v>
      </c>
      <c r="F356" s="20" t="str">
        <f t="shared" si="10"/>
        <v/>
      </c>
      <c r="G356" s="23" t="str">
        <f t="shared" si="11"/>
        <v/>
      </c>
    </row>
    <row r="357" spans="1:7" x14ac:dyDescent="0.25">
      <c r="A357" s="15">
        <v>113</v>
      </c>
      <c r="B357" s="15" t="s">
        <v>429</v>
      </c>
      <c r="C357" s="15" t="s">
        <v>933</v>
      </c>
      <c r="D357" s="11" t="s">
        <v>295</v>
      </c>
      <c r="E357" s="24" t="s">
        <v>4</v>
      </c>
      <c r="F357" s="20" t="str">
        <f t="shared" si="10"/>
        <v/>
      </c>
      <c r="G357" s="23" t="str">
        <f t="shared" si="11"/>
        <v/>
      </c>
    </row>
    <row r="358" spans="1:7" x14ac:dyDescent="0.25">
      <c r="B358" s="15" t="s">
        <v>429</v>
      </c>
      <c r="C358" s="15" t="s">
        <v>934</v>
      </c>
      <c r="D358" s="11" t="s">
        <v>296</v>
      </c>
      <c r="E358" s="24" t="s">
        <v>5</v>
      </c>
      <c r="F358" s="20" t="str">
        <f t="shared" si="10"/>
        <v/>
      </c>
      <c r="G358" s="23" t="str">
        <f t="shared" si="11"/>
        <v/>
      </c>
    </row>
    <row r="359" spans="1:7" x14ac:dyDescent="0.25">
      <c r="B359" s="15" t="s">
        <v>430</v>
      </c>
      <c r="C359" s="15" t="s">
        <v>935</v>
      </c>
      <c r="D359" s="11" t="s">
        <v>564</v>
      </c>
      <c r="E359" s="24" t="s">
        <v>3</v>
      </c>
      <c r="F359" s="20" t="str">
        <f t="shared" si="10"/>
        <v/>
      </c>
      <c r="G359" s="23" t="str">
        <f t="shared" si="11"/>
        <v/>
      </c>
    </row>
    <row r="360" spans="1:7" x14ac:dyDescent="0.25">
      <c r="A360" s="15">
        <v>114</v>
      </c>
      <c r="B360" s="15" t="s">
        <v>430</v>
      </c>
      <c r="C360" s="15" t="s">
        <v>936</v>
      </c>
      <c r="D360" s="11" t="s">
        <v>297</v>
      </c>
      <c r="E360" s="24" t="s">
        <v>4</v>
      </c>
      <c r="F360" s="20" t="str">
        <f t="shared" si="10"/>
        <v/>
      </c>
      <c r="G360" s="23" t="str">
        <f t="shared" si="11"/>
        <v/>
      </c>
    </row>
    <row r="361" spans="1:7" x14ac:dyDescent="0.25">
      <c r="B361" s="15" t="s">
        <v>430</v>
      </c>
      <c r="C361" s="15" t="s">
        <v>937</v>
      </c>
      <c r="D361" s="11" t="s">
        <v>298</v>
      </c>
      <c r="E361" s="24" t="s">
        <v>5</v>
      </c>
      <c r="F361" s="20" t="str">
        <f t="shared" si="10"/>
        <v/>
      </c>
      <c r="G361" s="23" t="str">
        <f t="shared" si="11"/>
        <v/>
      </c>
    </row>
    <row r="362" spans="1:7" x14ac:dyDescent="0.25">
      <c r="B362" s="15" t="s">
        <v>431</v>
      </c>
      <c r="C362" s="15" t="s">
        <v>938</v>
      </c>
      <c r="D362" s="20" t="s">
        <v>1008</v>
      </c>
      <c r="E362" s="24" t="s">
        <v>11</v>
      </c>
      <c r="F362" s="20" t="str">
        <f t="shared" si="10"/>
        <v/>
      </c>
      <c r="G362" s="23" t="str">
        <f t="shared" si="11"/>
        <v/>
      </c>
    </row>
    <row r="363" spans="1:7" x14ac:dyDescent="0.25">
      <c r="B363" s="15" t="s">
        <v>432</v>
      </c>
      <c r="C363" s="15" t="s">
        <v>939</v>
      </c>
      <c r="D363" s="11" t="s">
        <v>565</v>
      </c>
      <c r="E363" s="24" t="s">
        <v>3</v>
      </c>
      <c r="F363" s="20" t="str">
        <f t="shared" si="10"/>
        <v/>
      </c>
      <c r="G363" s="23" t="str">
        <f t="shared" si="11"/>
        <v/>
      </c>
    </row>
    <row r="364" spans="1:7" x14ac:dyDescent="0.25">
      <c r="A364" s="15">
        <v>115</v>
      </c>
      <c r="B364" s="15" t="s">
        <v>432</v>
      </c>
      <c r="C364" s="15" t="s">
        <v>940</v>
      </c>
      <c r="D364" s="11" t="s">
        <v>300</v>
      </c>
      <c r="E364" s="24" t="s">
        <v>4</v>
      </c>
      <c r="F364" s="20" t="str">
        <f t="shared" si="10"/>
        <v/>
      </c>
      <c r="G364" s="23" t="str">
        <f t="shared" si="11"/>
        <v/>
      </c>
    </row>
    <row r="365" spans="1:7" x14ac:dyDescent="0.25">
      <c r="B365" s="15" t="s">
        <v>432</v>
      </c>
      <c r="C365" s="15" t="s">
        <v>941</v>
      </c>
      <c r="D365" s="11" t="s">
        <v>301</v>
      </c>
      <c r="E365" s="24" t="s">
        <v>5</v>
      </c>
      <c r="F365" s="20" t="str">
        <f t="shared" si="10"/>
        <v/>
      </c>
      <c r="G365" s="23" t="str">
        <f t="shared" si="11"/>
        <v/>
      </c>
    </row>
    <row r="366" spans="1:7" x14ac:dyDescent="0.25">
      <c r="B366" s="15" t="s">
        <v>433</v>
      </c>
      <c r="C366" s="15" t="s">
        <v>942</v>
      </c>
      <c r="D366" s="11" t="s">
        <v>566</v>
      </c>
      <c r="E366" s="24" t="s">
        <v>3</v>
      </c>
      <c r="F366" s="20" t="str">
        <f t="shared" si="10"/>
        <v/>
      </c>
      <c r="G366" s="23" t="str">
        <f t="shared" si="11"/>
        <v/>
      </c>
    </row>
    <row r="367" spans="1:7" x14ac:dyDescent="0.25">
      <c r="A367" s="15">
        <v>116</v>
      </c>
      <c r="B367" s="15" t="s">
        <v>433</v>
      </c>
      <c r="C367" s="15" t="s">
        <v>943</v>
      </c>
      <c r="D367" s="11" t="s">
        <v>302</v>
      </c>
      <c r="E367" s="24" t="s">
        <v>4</v>
      </c>
      <c r="F367" s="20" t="str">
        <f t="shared" si="10"/>
        <v/>
      </c>
      <c r="G367" s="23" t="str">
        <f t="shared" si="11"/>
        <v/>
      </c>
    </row>
    <row r="368" spans="1:7" x14ac:dyDescent="0.25">
      <c r="B368" s="15" t="s">
        <v>433</v>
      </c>
      <c r="C368" s="15" t="s">
        <v>944</v>
      </c>
      <c r="D368" s="11" t="s">
        <v>303</v>
      </c>
      <c r="E368" s="24" t="s">
        <v>5</v>
      </c>
      <c r="F368" s="20" t="str">
        <f t="shared" si="10"/>
        <v/>
      </c>
      <c r="G368" s="23" t="str">
        <f t="shared" si="11"/>
        <v/>
      </c>
    </row>
    <row r="369" spans="1:7" x14ac:dyDescent="0.25">
      <c r="B369" s="15" t="s">
        <v>434</v>
      </c>
      <c r="C369" s="15" t="s">
        <v>945</v>
      </c>
      <c r="D369" s="11" t="s">
        <v>567</v>
      </c>
      <c r="E369" s="24" t="s">
        <v>3</v>
      </c>
      <c r="F369" s="20" t="str">
        <f t="shared" si="10"/>
        <v/>
      </c>
      <c r="G369" s="23" t="str">
        <f t="shared" si="11"/>
        <v/>
      </c>
    </row>
    <row r="370" spans="1:7" x14ac:dyDescent="0.25">
      <c r="A370" s="15">
        <v>117</v>
      </c>
      <c r="B370" s="15" t="s">
        <v>434</v>
      </c>
      <c r="C370" s="15" t="s">
        <v>946</v>
      </c>
      <c r="D370" s="11" t="s">
        <v>304</v>
      </c>
      <c r="E370" s="24" t="s">
        <v>4</v>
      </c>
      <c r="F370" s="20" t="str">
        <f t="shared" si="10"/>
        <v/>
      </c>
      <c r="G370" s="23" t="str">
        <f t="shared" si="11"/>
        <v/>
      </c>
    </row>
    <row r="371" spans="1:7" x14ac:dyDescent="0.25">
      <c r="B371" s="15" t="s">
        <v>434</v>
      </c>
      <c r="C371" s="15" t="s">
        <v>947</v>
      </c>
      <c r="D371" s="11" t="s">
        <v>305</v>
      </c>
      <c r="E371" s="24" t="s">
        <v>5</v>
      </c>
      <c r="F371" s="20" t="str">
        <f t="shared" si="10"/>
        <v/>
      </c>
      <c r="G371" s="23" t="str">
        <f t="shared" si="11"/>
        <v/>
      </c>
    </row>
    <row r="372" spans="1:7" x14ac:dyDescent="0.25">
      <c r="B372" s="15" t="s">
        <v>435</v>
      </c>
      <c r="C372" s="15" t="s">
        <v>948</v>
      </c>
      <c r="D372" s="11" t="s">
        <v>568</v>
      </c>
      <c r="E372" s="24" t="s">
        <v>3</v>
      </c>
      <c r="F372" s="20" t="str">
        <f t="shared" si="10"/>
        <v/>
      </c>
      <c r="G372" s="23" t="str">
        <f t="shared" si="11"/>
        <v/>
      </c>
    </row>
    <row r="373" spans="1:7" x14ac:dyDescent="0.25">
      <c r="A373" s="15">
        <v>118</v>
      </c>
      <c r="B373" s="15" t="s">
        <v>435</v>
      </c>
      <c r="C373" s="15" t="s">
        <v>949</v>
      </c>
      <c r="D373" s="11" t="s">
        <v>306</v>
      </c>
      <c r="E373" s="24" t="s">
        <v>4</v>
      </c>
      <c r="F373" s="20" t="str">
        <f t="shared" si="10"/>
        <v/>
      </c>
      <c r="G373" s="23" t="str">
        <f t="shared" si="11"/>
        <v/>
      </c>
    </row>
    <row r="374" spans="1:7" x14ac:dyDescent="0.25">
      <c r="B374" s="15" t="s">
        <v>435</v>
      </c>
      <c r="C374" s="15" t="s">
        <v>950</v>
      </c>
      <c r="D374" s="11" t="s">
        <v>307</v>
      </c>
      <c r="E374" s="24" t="s">
        <v>5</v>
      </c>
      <c r="F374" s="20" t="str">
        <f t="shared" si="10"/>
        <v/>
      </c>
      <c r="G374" s="23" t="str">
        <f t="shared" si="11"/>
        <v/>
      </c>
    </row>
    <row r="375" spans="1:7" x14ac:dyDescent="0.25">
      <c r="B375" s="15" t="s">
        <v>436</v>
      </c>
      <c r="C375" s="15" t="s">
        <v>951</v>
      </c>
      <c r="D375" s="11" t="s">
        <v>569</v>
      </c>
      <c r="E375" s="24" t="s">
        <v>3</v>
      </c>
      <c r="F375" s="20" t="str">
        <f t="shared" si="10"/>
        <v/>
      </c>
      <c r="G375" s="23" t="str">
        <f t="shared" si="11"/>
        <v/>
      </c>
    </row>
    <row r="376" spans="1:7" x14ac:dyDescent="0.25">
      <c r="A376" s="15">
        <v>119</v>
      </c>
      <c r="B376" s="15" t="s">
        <v>436</v>
      </c>
      <c r="C376" s="15" t="s">
        <v>952</v>
      </c>
      <c r="D376" s="11" t="s">
        <v>308</v>
      </c>
      <c r="E376" s="24" t="s">
        <v>4</v>
      </c>
      <c r="F376" s="20" t="str">
        <f t="shared" si="10"/>
        <v/>
      </c>
      <c r="G376" s="23" t="str">
        <f t="shared" si="11"/>
        <v/>
      </c>
    </row>
    <row r="377" spans="1:7" x14ac:dyDescent="0.25">
      <c r="B377" s="15" t="s">
        <v>436</v>
      </c>
      <c r="C377" s="15" t="s">
        <v>953</v>
      </c>
      <c r="D377" s="11" t="s">
        <v>309</v>
      </c>
      <c r="E377" s="24" t="s">
        <v>5</v>
      </c>
      <c r="F377" s="20" t="str">
        <f t="shared" si="10"/>
        <v/>
      </c>
      <c r="G377" s="23" t="str">
        <f t="shared" si="11"/>
        <v/>
      </c>
    </row>
    <row r="378" spans="1:7" x14ac:dyDescent="0.25">
      <c r="B378" s="15" t="s">
        <v>437</v>
      </c>
      <c r="C378" s="15" t="s">
        <v>954</v>
      </c>
      <c r="D378" s="11" t="s">
        <v>570</v>
      </c>
      <c r="E378" s="24" t="s">
        <v>3</v>
      </c>
      <c r="F378" s="20" t="str">
        <f t="shared" si="10"/>
        <v/>
      </c>
      <c r="G378" s="23" t="str">
        <f t="shared" si="11"/>
        <v/>
      </c>
    </row>
    <row r="379" spans="1:7" x14ac:dyDescent="0.25">
      <c r="A379" s="15">
        <v>120</v>
      </c>
      <c r="B379" s="15" t="s">
        <v>437</v>
      </c>
      <c r="C379" s="15" t="s">
        <v>955</v>
      </c>
      <c r="D379" s="11" t="s">
        <v>310</v>
      </c>
      <c r="E379" s="24" t="s">
        <v>4</v>
      </c>
      <c r="F379" s="20" t="str">
        <f t="shared" ref="F379:F415" si="12">IF(G379="","","https://docs.google.com/uc?export=download&amp;id="&amp;G379)</f>
        <v/>
      </c>
      <c r="G379" s="23" t="str">
        <f t="shared" ref="G379:G415" si="13">IFERROR(LEFT(RIGHT(H379,LEN(H379)-32),LEN(RIGHT(H379,LEN(H379)-32))-17),"")</f>
        <v/>
      </c>
    </row>
    <row r="380" spans="1:7" x14ac:dyDescent="0.25">
      <c r="B380" s="15" t="s">
        <v>437</v>
      </c>
      <c r="C380" s="15" t="s">
        <v>956</v>
      </c>
      <c r="D380" s="11" t="s">
        <v>311</v>
      </c>
      <c r="E380" s="24" t="s">
        <v>5</v>
      </c>
      <c r="F380" s="20" t="str">
        <f t="shared" si="12"/>
        <v/>
      </c>
      <c r="G380" s="23" t="str">
        <f t="shared" si="13"/>
        <v/>
      </c>
    </row>
    <row r="381" spans="1:7" x14ac:dyDescent="0.25">
      <c r="B381" s="15" t="s">
        <v>438</v>
      </c>
      <c r="C381" s="15" t="s">
        <v>957</v>
      </c>
      <c r="D381" s="11" t="s">
        <v>571</v>
      </c>
      <c r="E381" s="24" t="s">
        <v>3</v>
      </c>
      <c r="F381" s="20" t="str">
        <f t="shared" si="12"/>
        <v/>
      </c>
      <c r="G381" s="23" t="str">
        <f t="shared" si="13"/>
        <v/>
      </c>
    </row>
    <row r="382" spans="1:7" x14ac:dyDescent="0.25">
      <c r="A382" s="15">
        <v>121</v>
      </c>
      <c r="B382" s="15" t="s">
        <v>438</v>
      </c>
      <c r="C382" s="15" t="s">
        <v>958</v>
      </c>
      <c r="D382" s="11" t="s">
        <v>312</v>
      </c>
      <c r="E382" s="24" t="s">
        <v>4</v>
      </c>
      <c r="F382" s="20" t="str">
        <f t="shared" si="12"/>
        <v/>
      </c>
      <c r="G382" s="23" t="str">
        <f t="shared" si="13"/>
        <v/>
      </c>
    </row>
    <row r="383" spans="1:7" x14ac:dyDescent="0.25">
      <c r="B383" s="15" t="s">
        <v>438</v>
      </c>
      <c r="C383" s="15" t="s">
        <v>959</v>
      </c>
      <c r="D383" s="11" t="s">
        <v>313</v>
      </c>
      <c r="E383" s="24" t="s">
        <v>5</v>
      </c>
      <c r="F383" s="20" t="str">
        <f t="shared" si="12"/>
        <v/>
      </c>
      <c r="G383" s="23" t="str">
        <f t="shared" si="13"/>
        <v/>
      </c>
    </row>
    <row r="384" spans="1:7" x14ac:dyDescent="0.25">
      <c r="B384" s="15" t="s">
        <v>439</v>
      </c>
      <c r="C384" s="15" t="s">
        <v>960</v>
      </c>
      <c r="D384" s="20" t="s">
        <v>1009</v>
      </c>
      <c r="E384" s="24" t="s">
        <v>11</v>
      </c>
      <c r="F384" s="20" t="str">
        <f t="shared" si="12"/>
        <v/>
      </c>
      <c r="G384" s="23" t="str">
        <f t="shared" si="13"/>
        <v/>
      </c>
    </row>
    <row r="385" spans="1:7" x14ac:dyDescent="0.25">
      <c r="B385" s="15" t="s">
        <v>440</v>
      </c>
      <c r="C385" s="15" t="s">
        <v>961</v>
      </c>
      <c r="D385" s="11" t="s">
        <v>572</v>
      </c>
      <c r="E385" s="24" t="s">
        <v>3</v>
      </c>
      <c r="F385" s="20" t="str">
        <f t="shared" si="12"/>
        <v/>
      </c>
      <c r="G385" s="23" t="str">
        <f t="shared" si="13"/>
        <v/>
      </c>
    </row>
    <row r="386" spans="1:7" x14ac:dyDescent="0.25">
      <c r="A386" s="15">
        <v>122</v>
      </c>
      <c r="B386" s="15" t="s">
        <v>440</v>
      </c>
      <c r="C386" s="15" t="s">
        <v>962</v>
      </c>
      <c r="D386" s="11" t="s">
        <v>315</v>
      </c>
      <c r="E386" s="24" t="s">
        <v>4</v>
      </c>
      <c r="F386" s="20" t="str">
        <f t="shared" si="12"/>
        <v/>
      </c>
      <c r="G386" s="23" t="str">
        <f t="shared" si="13"/>
        <v/>
      </c>
    </row>
    <row r="387" spans="1:7" x14ac:dyDescent="0.25">
      <c r="B387" s="15" t="s">
        <v>440</v>
      </c>
      <c r="C387" s="15" t="s">
        <v>963</v>
      </c>
      <c r="D387" s="11" t="s">
        <v>316</v>
      </c>
      <c r="E387" s="24" t="s">
        <v>5</v>
      </c>
      <c r="F387" s="20" t="str">
        <f t="shared" si="12"/>
        <v/>
      </c>
      <c r="G387" s="23" t="str">
        <f t="shared" si="13"/>
        <v/>
      </c>
    </row>
    <row r="388" spans="1:7" x14ac:dyDescent="0.25">
      <c r="B388" s="15" t="s">
        <v>441</v>
      </c>
      <c r="C388" s="15" t="s">
        <v>964</v>
      </c>
      <c r="D388" s="11" t="s">
        <v>573</v>
      </c>
      <c r="E388" s="24" t="s">
        <v>3</v>
      </c>
      <c r="F388" s="20" t="str">
        <f t="shared" si="12"/>
        <v/>
      </c>
      <c r="G388" s="23" t="str">
        <f t="shared" si="13"/>
        <v/>
      </c>
    </row>
    <row r="389" spans="1:7" x14ac:dyDescent="0.25">
      <c r="A389" s="15">
        <v>123</v>
      </c>
      <c r="B389" s="15" t="s">
        <v>441</v>
      </c>
      <c r="C389" s="15" t="s">
        <v>965</v>
      </c>
      <c r="D389" s="11" t="s">
        <v>317</v>
      </c>
      <c r="E389" s="24" t="s">
        <v>4</v>
      </c>
      <c r="F389" s="20" t="str">
        <f t="shared" si="12"/>
        <v/>
      </c>
      <c r="G389" s="23" t="str">
        <f t="shared" si="13"/>
        <v/>
      </c>
    </row>
    <row r="390" spans="1:7" x14ac:dyDescent="0.25">
      <c r="B390" s="15" t="s">
        <v>441</v>
      </c>
      <c r="C390" s="15" t="s">
        <v>966</v>
      </c>
      <c r="D390" s="11" t="s">
        <v>318</v>
      </c>
      <c r="E390" s="24" t="s">
        <v>5</v>
      </c>
      <c r="F390" s="20" t="str">
        <f t="shared" si="12"/>
        <v/>
      </c>
      <c r="G390" s="23" t="str">
        <f t="shared" si="13"/>
        <v/>
      </c>
    </row>
    <row r="391" spans="1:7" x14ac:dyDescent="0.25">
      <c r="B391" s="15" t="s">
        <v>442</v>
      </c>
      <c r="C391" s="15" t="s">
        <v>967</v>
      </c>
      <c r="D391" s="11" t="s">
        <v>574</v>
      </c>
      <c r="E391" s="24" t="s">
        <v>3</v>
      </c>
      <c r="F391" s="20" t="str">
        <f t="shared" si="12"/>
        <v/>
      </c>
      <c r="G391" s="23" t="str">
        <f t="shared" si="13"/>
        <v/>
      </c>
    </row>
    <row r="392" spans="1:7" x14ac:dyDescent="0.25">
      <c r="A392" s="15">
        <v>124</v>
      </c>
      <c r="B392" s="15" t="s">
        <v>442</v>
      </c>
      <c r="C392" s="15" t="s">
        <v>968</v>
      </c>
      <c r="D392" s="11" t="s">
        <v>319</v>
      </c>
      <c r="E392" s="24" t="s">
        <v>4</v>
      </c>
      <c r="F392" s="20" t="str">
        <f t="shared" si="12"/>
        <v/>
      </c>
      <c r="G392" s="23" t="str">
        <f t="shared" si="13"/>
        <v/>
      </c>
    </row>
    <row r="393" spans="1:7" x14ac:dyDescent="0.25">
      <c r="B393" s="15" t="s">
        <v>442</v>
      </c>
      <c r="C393" s="15" t="s">
        <v>969</v>
      </c>
      <c r="D393" s="11" t="s">
        <v>320</v>
      </c>
      <c r="E393" s="24" t="s">
        <v>5</v>
      </c>
      <c r="F393" s="20" t="str">
        <f t="shared" si="12"/>
        <v/>
      </c>
      <c r="G393" s="23" t="str">
        <f t="shared" si="13"/>
        <v/>
      </c>
    </row>
    <row r="394" spans="1:7" x14ac:dyDescent="0.25">
      <c r="B394" s="15" t="s">
        <v>443</v>
      </c>
      <c r="C394" s="15" t="s">
        <v>970</v>
      </c>
      <c r="D394" s="11" t="s">
        <v>575</v>
      </c>
      <c r="E394" s="24" t="s">
        <v>3</v>
      </c>
      <c r="F394" s="20" t="str">
        <f t="shared" si="12"/>
        <v/>
      </c>
      <c r="G394" s="23" t="str">
        <f t="shared" si="13"/>
        <v/>
      </c>
    </row>
    <row r="395" spans="1:7" x14ac:dyDescent="0.25">
      <c r="A395" s="15">
        <v>125</v>
      </c>
      <c r="B395" s="15" t="s">
        <v>443</v>
      </c>
      <c r="C395" s="15" t="s">
        <v>971</v>
      </c>
      <c r="D395" s="11" t="s">
        <v>321</v>
      </c>
      <c r="E395" s="24" t="s">
        <v>4</v>
      </c>
      <c r="F395" s="20" t="str">
        <f t="shared" si="12"/>
        <v/>
      </c>
      <c r="G395" s="23" t="str">
        <f t="shared" si="13"/>
        <v/>
      </c>
    </row>
    <row r="396" spans="1:7" x14ac:dyDescent="0.25">
      <c r="B396" s="15" t="s">
        <v>443</v>
      </c>
      <c r="C396" s="15" t="s">
        <v>972</v>
      </c>
      <c r="D396" s="11" t="s">
        <v>322</v>
      </c>
      <c r="E396" s="24" t="s">
        <v>5</v>
      </c>
      <c r="F396" s="20" t="str">
        <f t="shared" si="12"/>
        <v/>
      </c>
      <c r="G396" s="23" t="str">
        <f t="shared" si="13"/>
        <v/>
      </c>
    </row>
    <row r="397" spans="1:7" x14ac:dyDescent="0.25">
      <c r="B397" s="15" t="s">
        <v>444</v>
      </c>
      <c r="C397" s="15" t="s">
        <v>973</v>
      </c>
      <c r="D397" s="11" t="s">
        <v>576</v>
      </c>
      <c r="E397" s="24" t="s">
        <v>3</v>
      </c>
      <c r="F397" s="20" t="str">
        <f t="shared" si="12"/>
        <v/>
      </c>
      <c r="G397" s="23" t="str">
        <f t="shared" si="13"/>
        <v/>
      </c>
    </row>
    <row r="398" spans="1:7" x14ac:dyDescent="0.25">
      <c r="A398" s="15">
        <v>126</v>
      </c>
      <c r="B398" s="15" t="s">
        <v>444</v>
      </c>
      <c r="C398" s="15" t="s">
        <v>974</v>
      </c>
      <c r="D398" s="11" t="s">
        <v>323</v>
      </c>
      <c r="E398" s="24" t="s">
        <v>4</v>
      </c>
      <c r="F398" s="20" t="str">
        <f t="shared" si="12"/>
        <v/>
      </c>
      <c r="G398" s="23" t="str">
        <f t="shared" si="13"/>
        <v/>
      </c>
    </row>
    <row r="399" spans="1:7" x14ac:dyDescent="0.25">
      <c r="B399" s="15" t="s">
        <v>444</v>
      </c>
      <c r="C399" s="15" t="s">
        <v>975</v>
      </c>
      <c r="D399" s="11" t="s">
        <v>324</v>
      </c>
      <c r="E399" s="24" t="s">
        <v>5</v>
      </c>
      <c r="F399" s="20" t="str">
        <f t="shared" si="12"/>
        <v/>
      </c>
      <c r="G399" s="23" t="str">
        <f t="shared" si="13"/>
        <v/>
      </c>
    </row>
    <row r="400" spans="1:7" x14ac:dyDescent="0.25">
      <c r="B400" s="15" t="s">
        <v>445</v>
      </c>
      <c r="C400" s="15" t="s">
        <v>976</v>
      </c>
      <c r="D400" s="11" t="s">
        <v>577</v>
      </c>
      <c r="E400" s="24" t="s">
        <v>3</v>
      </c>
      <c r="F400" s="20" t="str">
        <f t="shared" si="12"/>
        <v/>
      </c>
      <c r="G400" s="23" t="str">
        <f t="shared" si="13"/>
        <v/>
      </c>
    </row>
    <row r="401" spans="1:7" x14ac:dyDescent="0.25">
      <c r="A401" s="15">
        <v>127</v>
      </c>
      <c r="B401" s="15" t="s">
        <v>445</v>
      </c>
      <c r="C401" s="15" t="s">
        <v>977</v>
      </c>
      <c r="D401" s="11" t="s">
        <v>325</v>
      </c>
      <c r="E401" s="24" t="s">
        <v>4</v>
      </c>
      <c r="F401" s="20" t="str">
        <f t="shared" si="12"/>
        <v/>
      </c>
      <c r="G401" s="23" t="str">
        <f t="shared" si="13"/>
        <v/>
      </c>
    </row>
    <row r="402" spans="1:7" x14ac:dyDescent="0.25">
      <c r="B402" s="15" t="s">
        <v>445</v>
      </c>
      <c r="C402" s="15" t="s">
        <v>978</v>
      </c>
      <c r="D402" s="11" t="s">
        <v>326</v>
      </c>
      <c r="E402" s="24" t="s">
        <v>5</v>
      </c>
      <c r="F402" s="20" t="str">
        <f t="shared" si="12"/>
        <v/>
      </c>
      <c r="G402" s="23" t="str">
        <f t="shared" si="13"/>
        <v/>
      </c>
    </row>
    <row r="403" spans="1:7" x14ac:dyDescent="0.25">
      <c r="B403" s="15" t="s">
        <v>446</v>
      </c>
      <c r="C403" s="15" t="s">
        <v>979</v>
      </c>
      <c r="D403" s="11" t="s">
        <v>578</v>
      </c>
      <c r="E403" s="24" t="s">
        <v>3</v>
      </c>
      <c r="F403" s="20" t="str">
        <f t="shared" si="12"/>
        <v/>
      </c>
      <c r="G403" s="23" t="str">
        <f t="shared" si="13"/>
        <v/>
      </c>
    </row>
    <row r="404" spans="1:7" x14ac:dyDescent="0.25">
      <c r="A404" s="15">
        <v>128</v>
      </c>
      <c r="B404" s="15" t="s">
        <v>446</v>
      </c>
      <c r="C404" s="15" t="s">
        <v>980</v>
      </c>
      <c r="D404" s="11" t="s">
        <v>327</v>
      </c>
      <c r="E404" s="24" t="s">
        <v>4</v>
      </c>
      <c r="F404" s="20" t="str">
        <f t="shared" si="12"/>
        <v/>
      </c>
      <c r="G404" s="23" t="str">
        <f t="shared" si="13"/>
        <v/>
      </c>
    </row>
    <row r="405" spans="1:7" x14ac:dyDescent="0.25">
      <c r="B405" s="15" t="s">
        <v>446</v>
      </c>
      <c r="C405" s="15" t="s">
        <v>981</v>
      </c>
      <c r="D405" s="11" t="s">
        <v>328</v>
      </c>
      <c r="E405" s="24" t="s">
        <v>5</v>
      </c>
      <c r="F405" s="20" t="str">
        <f t="shared" si="12"/>
        <v/>
      </c>
      <c r="G405" s="23" t="str">
        <f t="shared" si="13"/>
        <v/>
      </c>
    </row>
    <row r="406" spans="1:7" x14ac:dyDescent="0.25">
      <c r="B406" s="15" t="s">
        <v>447</v>
      </c>
      <c r="C406" s="15" t="s">
        <v>982</v>
      </c>
      <c r="D406" s="20" t="s">
        <v>1010</v>
      </c>
      <c r="E406" s="24" t="s">
        <v>11</v>
      </c>
      <c r="F406" s="20" t="str">
        <f t="shared" si="12"/>
        <v/>
      </c>
      <c r="G406" s="23" t="str">
        <f t="shared" si="13"/>
        <v/>
      </c>
    </row>
    <row r="407" spans="1:7" x14ac:dyDescent="0.25">
      <c r="B407" s="15" t="s">
        <v>448</v>
      </c>
      <c r="C407" s="15" t="s">
        <v>983</v>
      </c>
      <c r="D407" s="11" t="s">
        <v>579</v>
      </c>
      <c r="E407" s="24" t="s">
        <v>3</v>
      </c>
      <c r="F407" s="20" t="str">
        <f t="shared" si="12"/>
        <v/>
      </c>
      <c r="G407" s="23" t="str">
        <f t="shared" si="13"/>
        <v/>
      </c>
    </row>
    <row r="408" spans="1:7" x14ac:dyDescent="0.25">
      <c r="A408" s="15">
        <v>129</v>
      </c>
      <c r="B408" s="15" t="s">
        <v>448</v>
      </c>
      <c r="C408" s="15" t="s">
        <v>984</v>
      </c>
      <c r="D408" s="11" t="s">
        <v>330</v>
      </c>
      <c r="E408" s="24" t="s">
        <v>4</v>
      </c>
      <c r="F408" s="20" t="str">
        <f t="shared" si="12"/>
        <v/>
      </c>
      <c r="G408" s="23" t="str">
        <f t="shared" si="13"/>
        <v/>
      </c>
    </row>
    <row r="409" spans="1:7" x14ac:dyDescent="0.25">
      <c r="B409" s="15" t="s">
        <v>448</v>
      </c>
      <c r="C409" s="15" t="s">
        <v>985</v>
      </c>
      <c r="D409" s="11" t="s">
        <v>331</v>
      </c>
      <c r="E409" s="24" t="s">
        <v>5</v>
      </c>
      <c r="F409" s="20" t="str">
        <f t="shared" si="12"/>
        <v/>
      </c>
      <c r="G409" s="23" t="str">
        <f t="shared" si="13"/>
        <v/>
      </c>
    </row>
    <row r="410" spans="1:7" x14ac:dyDescent="0.25">
      <c r="B410" s="15" t="s">
        <v>449</v>
      </c>
      <c r="C410" s="15" t="s">
        <v>986</v>
      </c>
      <c r="D410" s="11" t="s">
        <v>580</v>
      </c>
      <c r="E410" s="24" t="s">
        <v>3</v>
      </c>
      <c r="F410" s="20" t="str">
        <f t="shared" si="12"/>
        <v/>
      </c>
      <c r="G410" s="23" t="str">
        <f t="shared" si="13"/>
        <v/>
      </c>
    </row>
    <row r="411" spans="1:7" x14ac:dyDescent="0.25">
      <c r="A411" s="15">
        <v>130</v>
      </c>
      <c r="B411" s="15" t="s">
        <v>449</v>
      </c>
      <c r="C411" s="15" t="s">
        <v>987</v>
      </c>
      <c r="D411" s="11" t="s">
        <v>332</v>
      </c>
      <c r="E411" s="24" t="s">
        <v>4</v>
      </c>
      <c r="F411" s="20" t="str">
        <f t="shared" si="12"/>
        <v/>
      </c>
      <c r="G411" s="23" t="str">
        <f t="shared" si="13"/>
        <v/>
      </c>
    </row>
    <row r="412" spans="1:7" x14ac:dyDescent="0.25">
      <c r="B412" s="15" t="s">
        <v>449</v>
      </c>
      <c r="C412" s="15" t="s">
        <v>988</v>
      </c>
      <c r="D412" s="11" t="s">
        <v>333</v>
      </c>
      <c r="E412" s="24" t="s">
        <v>5</v>
      </c>
      <c r="F412" s="20" t="str">
        <f t="shared" si="12"/>
        <v/>
      </c>
      <c r="G412" s="23" t="str">
        <f t="shared" si="13"/>
        <v/>
      </c>
    </row>
    <row r="413" spans="1:7" x14ac:dyDescent="0.25">
      <c r="B413" s="15" t="s">
        <v>450</v>
      </c>
      <c r="C413" s="15" t="s">
        <v>989</v>
      </c>
      <c r="D413" s="11" t="s">
        <v>581</v>
      </c>
      <c r="E413" s="24" t="s">
        <v>3</v>
      </c>
      <c r="F413" s="20" t="str">
        <f t="shared" si="12"/>
        <v/>
      </c>
      <c r="G413" s="23" t="str">
        <f t="shared" si="13"/>
        <v/>
      </c>
    </row>
    <row r="414" spans="1:7" x14ac:dyDescent="0.25">
      <c r="A414" s="15">
        <v>131</v>
      </c>
      <c r="B414" s="15" t="s">
        <v>450</v>
      </c>
      <c r="C414" s="15" t="s">
        <v>990</v>
      </c>
      <c r="D414" s="11" t="s">
        <v>334</v>
      </c>
      <c r="E414" s="24" t="s">
        <v>4</v>
      </c>
      <c r="F414" s="20" t="str">
        <f t="shared" si="12"/>
        <v/>
      </c>
      <c r="G414" s="23" t="str">
        <f t="shared" si="13"/>
        <v/>
      </c>
    </row>
    <row r="415" spans="1:7" x14ac:dyDescent="0.25">
      <c r="B415" s="15" t="s">
        <v>450</v>
      </c>
      <c r="C415" s="15" t="s">
        <v>991</v>
      </c>
      <c r="D415" s="11" t="s">
        <v>335</v>
      </c>
      <c r="E415" s="24" t="s">
        <v>5</v>
      </c>
      <c r="F415" s="20" t="str">
        <f t="shared" si="12"/>
        <v/>
      </c>
      <c r="G415" s="23" t="str">
        <f t="shared" si="13"/>
        <v/>
      </c>
    </row>
  </sheetData>
  <autoFilter ref="A3:H415" xr:uid="{409C9D1B-A452-401C-9733-8750E50DAAFC}"/>
  <conditionalFormatting sqref="H1:H113 H115:H1048576">
    <cfRule type="duplicateValues" dxfId="2" priority="3"/>
  </conditionalFormatting>
  <pageMargins left="0.7" right="0.7" top="0.75" bottom="0.75" header="0.3" footer="0.3"/>
  <pageSetup paperSize="9" orientation="portrait" r:id="rId1"/>
  <ignoredErrors>
    <ignoredError sqref="B4:B305 B321:B41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0291B-7D61-4F66-87A2-BCE4B8C6F943}">
  <dimension ref="B2:E7"/>
  <sheetViews>
    <sheetView topLeftCell="A2" workbookViewId="0">
      <selection activeCell="C20" sqref="C20"/>
    </sheetView>
  </sheetViews>
  <sheetFormatPr defaultRowHeight="13.8" x14ac:dyDescent="0.25"/>
  <cols>
    <col min="2" max="2" width="12.19921875" style="1" bestFit="1" customWidth="1"/>
    <col min="3" max="3" width="75.8984375" customWidth="1"/>
    <col min="5" max="5" width="74.296875" bestFit="1" customWidth="1"/>
  </cols>
  <sheetData>
    <row r="2" spans="2:5" x14ac:dyDescent="0.25">
      <c r="B2" s="2" t="s">
        <v>0</v>
      </c>
      <c r="C2" s="5" t="s">
        <v>9</v>
      </c>
      <c r="D2" s="1" t="s">
        <v>8</v>
      </c>
      <c r="E2" s="3" t="s">
        <v>10</v>
      </c>
    </row>
    <row r="3" spans="2:5" x14ac:dyDescent="0.25">
      <c r="B3" s="8" t="s">
        <v>39</v>
      </c>
      <c r="C3" s="6" t="str">
        <f>IF(D3="","","https://docs.google.com/uc?export=download&amp;id="&amp;D3)</f>
        <v/>
      </c>
      <c r="D3" s="7" t="str">
        <f t="shared" ref="D3:D4" si="0">IFERROR(LEFT(RIGHT(E3,LEN(E3)-32),LEN(RIGHT(E3,LEN(E3)-32))-17),"")</f>
        <v/>
      </c>
      <c r="E3" s="7"/>
    </row>
    <row r="4" spans="2:5" x14ac:dyDescent="0.25">
      <c r="B4" s="8" t="s">
        <v>53</v>
      </c>
      <c r="C4" s="6" t="str">
        <f t="shared" ref="C4" si="1">IF(D4="","","https://docs.google.com/uc?export=download&amp;id="&amp;D4)</f>
        <v/>
      </c>
      <c r="D4" s="7" t="str">
        <f t="shared" si="0"/>
        <v/>
      </c>
      <c r="E4" s="7"/>
    </row>
    <row r="5" spans="2:5" x14ac:dyDescent="0.25">
      <c r="B5" s="8"/>
      <c r="C5" s="6" t="str">
        <f t="shared" ref="C5:C7" si="2">IF(D5="","","https://docs.google.com/uc?export=download&amp;id="&amp;D5)</f>
        <v/>
      </c>
      <c r="D5" s="7" t="str">
        <f t="shared" ref="D5:D7" si="3">IFERROR(LEFT(RIGHT(E5,LEN(E5)-32),LEN(RIGHT(E5,LEN(E5)-32))-17),"")</f>
        <v/>
      </c>
      <c r="E5" s="7"/>
    </row>
    <row r="6" spans="2:5" x14ac:dyDescent="0.25">
      <c r="B6" s="8"/>
      <c r="C6" s="6" t="str">
        <f t="shared" si="2"/>
        <v/>
      </c>
      <c r="D6" s="7" t="str">
        <f t="shared" si="3"/>
        <v/>
      </c>
      <c r="E6" s="7"/>
    </row>
    <row r="7" spans="2:5" x14ac:dyDescent="0.25">
      <c r="B7" s="8"/>
      <c r="C7" s="6" t="str">
        <f t="shared" si="2"/>
        <v/>
      </c>
      <c r="D7" s="7" t="str">
        <f t="shared" si="3"/>
        <v/>
      </c>
      <c r="E7" s="7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1D948-479B-4B09-9139-09BEE512E2E7}">
  <dimension ref="B2:E4"/>
  <sheetViews>
    <sheetView workbookViewId="0">
      <selection activeCell="C3" sqref="C3"/>
    </sheetView>
  </sheetViews>
  <sheetFormatPr defaultRowHeight="13.8" x14ac:dyDescent="0.25"/>
  <cols>
    <col min="2" max="2" width="11.3984375" bestFit="1" customWidth="1"/>
    <col min="3" max="3" width="75.69921875" bestFit="1" customWidth="1"/>
    <col min="5" max="5" width="74.796875" bestFit="1" customWidth="1"/>
  </cols>
  <sheetData>
    <row r="2" spans="2:5" x14ac:dyDescent="0.25">
      <c r="B2" s="2" t="s">
        <v>0</v>
      </c>
      <c r="C2" s="5" t="s">
        <v>9</v>
      </c>
      <c r="D2" s="1" t="s">
        <v>8</v>
      </c>
      <c r="E2" s="3" t="s">
        <v>10</v>
      </c>
    </row>
    <row r="3" spans="2:5" x14ac:dyDescent="0.25">
      <c r="B3" s="8" t="s">
        <v>41</v>
      </c>
      <c r="C3" s="6" t="str">
        <f>IF(D3="","","https://docs.google.com/uc?export=download&amp;id="&amp;D3)</f>
        <v/>
      </c>
      <c r="D3" s="7" t="str">
        <f t="shared" ref="D3" si="0">IFERROR(LEFT(RIGHT(E3,LEN(E3)-32),LEN(RIGHT(E3,LEN(E3)-32))-17),"")</f>
        <v/>
      </c>
      <c r="E3" s="7"/>
    </row>
    <row r="4" spans="2:5" x14ac:dyDescent="0.25">
      <c r="B4" s="8" t="s">
        <v>40</v>
      </c>
      <c r="C4" s="6" t="str">
        <f>IF(D4="","","https://docs.google.com/uc?export=download&amp;id="&amp;D4)</f>
        <v/>
      </c>
      <c r="D4" s="7" t="str">
        <f t="shared" ref="D4" si="1">IFERROR(LEFT(RIGHT(E4,LEN(E4)-32),LEN(RIGHT(E4,LEN(E4)-32))-17),"")</f>
        <v/>
      </c>
      <c r="E4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055BF-F702-4B6A-BC96-7718E75F032C}">
  <dimension ref="A1:L295"/>
  <sheetViews>
    <sheetView topLeftCell="C1" zoomScale="86" zoomScaleNormal="86" workbookViewId="0">
      <selection activeCell="E16" sqref="E16"/>
    </sheetView>
  </sheetViews>
  <sheetFormatPr defaultRowHeight="13.8" x14ac:dyDescent="0.25"/>
  <cols>
    <col min="1" max="1" width="4.796875" hidden="1" customWidth="1"/>
    <col min="2" max="2" width="6.796875" hidden="1" customWidth="1"/>
    <col min="3" max="3" width="7.09765625" style="1" customWidth="1"/>
    <col min="4" max="4" width="7.09765625" customWidth="1"/>
    <col min="5" max="5" width="54.8984375" bestFit="1" customWidth="1"/>
    <col min="6" max="6" width="68.8984375" bestFit="1" customWidth="1"/>
  </cols>
  <sheetData>
    <row r="1" spans="1:10" ht="17.399999999999999" customHeight="1" x14ac:dyDescent="0.25">
      <c r="B1" t="s">
        <v>6</v>
      </c>
      <c r="C1" s="16">
        <v>1</v>
      </c>
      <c r="D1" s="3"/>
    </row>
    <row r="2" spans="1:10" x14ac:dyDescent="0.25">
      <c r="B2" t="s">
        <v>7</v>
      </c>
      <c r="C2" s="16">
        <v>10</v>
      </c>
      <c r="D2" s="3"/>
    </row>
    <row r="3" spans="1:10" x14ac:dyDescent="0.25">
      <c r="C3" s="17" t="s">
        <v>1</v>
      </c>
      <c r="D3" s="4" t="s">
        <v>1</v>
      </c>
      <c r="E3" s="4" t="s">
        <v>3</v>
      </c>
      <c r="F3" s="4" t="s">
        <v>4</v>
      </c>
    </row>
    <row r="4" spans="1:10" x14ac:dyDescent="0.25">
      <c r="A4">
        <f>C1</f>
        <v>1</v>
      </c>
      <c r="B4">
        <f t="shared" ref="B4:B67" ca="1" si="0">IF(A4="","",RANDBETWEEN($C$1,$C$2))</f>
        <v>4</v>
      </c>
      <c r="C4" s="1">
        <f ca="1">IFERROR($C$1-1+_xlfn.RANK.EQ(B4,$B$4:$B$134)+COUNTIF(B$4:$B4,B4)-1,"")</f>
        <v>6</v>
      </c>
      <c r="D4" s="1" t="str">
        <f ca="1">IFERROR(VLOOKUP(C4,'Declarative sentences'!A:B,2,0),"")</f>
        <v>1.6</v>
      </c>
      <c r="E4" t="str">
        <f ca="1">IFERROR(VLOOKUP(D4&amp;"Viet",'Declarative sentences'!C:D,2,0),"")</f>
        <v>Tôi sẽ không phản bội cậu.</v>
      </c>
      <c r="F4" t="str">
        <f ca="1">IFERROR(VLOOKUP(D4&amp;"Eng",'Declarative sentences'!C:D,2,0),"")</f>
        <v/>
      </c>
    </row>
    <row r="5" spans="1:10" x14ac:dyDescent="0.25">
      <c r="A5">
        <f>IFERROR(IF(A4+1&gt;$C$2,"",A4+1),"")</f>
        <v>2</v>
      </c>
      <c r="B5">
        <f t="shared" ca="1" si="0"/>
        <v>5</v>
      </c>
      <c r="C5" s="1">
        <f ca="1">IFERROR($C$1-1+_xlfn.RANK.EQ(B5,$B$4:$B$40)+COUNTIF(B$4:$B5,B5)-1,"")</f>
        <v>4</v>
      </c>
      <c r="D5" s="1" t="str">
        <f ca="1">IFERROR(VLOOKUP(C5,'Declarative sentences'!A:B,2,0),"")</f>
        <v>1.4</v>
      </c>
      <c r="E5" t="str">
        <f ca="1">IFERROR(VLOOKUP(D5&amp;"Viet",'Declarative sentences'!C:D,2,0),"")</f>
        <v>Tôi sẽ không tranh cãi với cậu.</v>
      </c>
      <c r="F5" t="str">
        <f ca="1">IFERROR(VLOOKUP(D5&amp;"Eng",'Declarative sentences'!C:D,2,0),"")</f>
        <v/>
      </c>
    </row>
    <row r="6" spans="1:10" x14ac:dyDescent="0.25">
      <c r="A6">
        <f t="shared" ref="A6:A69" si="1">IFERROR(IF(A5+1&gt;$C$2,"",A5+1),"")</f>
        <v>3</v>
      </c>
      <c r="B6">
        <f t="shared" ca="1" si="0"/>
        <v>6</v>
      </c>
      <c r="C6" s="1">
        <f ca="1">IFERROR($C$1-1+_xlfn.RANK.EQ(B6,$B$4:$B$40)+COUNTIF(B$4:$B6,B6)-1,"")</f>
        <v>3</v>
      </c>
      <c r="D6" s="1" t="str">
        <f ca="1">IFERROR(VLOOKUP(C6,'Declarative sentences'!A:B,2,0),"")</f>
        <v>1.3</v>
      </c>
      <c r="E6" t="str">
        <f ca="1">IFERROR(VLOOKUP(D6&amp;"Viet",'Declarative sentences'!C:D,2,0),"")</f>
        <v>Tôi sẽ đi tìm chứng cứ.</v>
      </c>
      <c r="F6" t="str">
        <f ca="1">IFERROR(VLOOKUP(D6&amp;"Eng",'Declarative sentences'!C:D,2,0),"")</f>
        <v/>
      </c>
    </row>
    <row r="7" spans="1:10" x14ac:dyDescent="0.25">
      <c r="A7">
        <f t="shared" si="1"/>
        <v>4</v>
      </c>
      <c r="B7">
        <f t="shared" ca="1" si="0"/>
        <v>9</v>
      </c>
      <c r="C7" s="1">
        <f ca="1">IFERROR($C$1-1+_xlfn.RANK.EQ(B7,$B$4:$B$40)+COUNTIF(B$4:$B7,B7)-1,"")</f>
        <v>1</v>
      </c>
      <c r="D7" s="1" t="str">
        <f ca="1">IFERROR(VLOOKUP(C7,'Declarative sentences'!A:B,2,0),"")</f>
        <v>1.1</v>
      </c>
      <c r="E7" t="str">
        <f ca="1">IFERROR(VLOOKUP(D7&amp;"Viet",'Declarative sentences'!C:D,2,0),"")</f>
        <v>Tôi sẽ đi tắm.</v>
      </c>
      <c r="F7" t="str">
        <f ca="1">IFERROR(VLOOKUP(D7&amp;"Eng",'Declarative sentences'!C:D,2,0),"")</f>
        <v/>
      </c>
    </row>
    <row r="8" spans="1:10" x14ac:dyDescent="0.25">
      <c r="A8">
        <f t="shared" si="1"/>
        <v>5</v>
      </c>
      <c r="B8">
        <f t="shared" ca="1" si="0"/>
        <v>7</v>
      </c>
      <c r="C8" s="1">
        <f ca="1">IFERROR($C$1-1+_xlfn.RANK.EQ(B8,$B$4:$B$40)+COUNTIF(B$4:$B8,B8)-1,"")</f>
        <v>2</v>
      </c>
      <c r="D8" s="1" t="str">
        <f ca="1">IFERROR(VLOOKUP(C8,'Declarative sentences'!A:B,2,0),"")</f>
        <v>1.2</v>
      </c>
      <c r="E8" t="str">
        <f ca="1">IFERROR(VLOOKUP(D8&amp;"Viet",'Declarative sentences'!C:D,2,0),"")</f>
        <v>Tôi sẽ chợp mắt một chút.</v>
      </c>
      <c r="F8" t="str">
        <f ca="1">IFERROR(VLOOKUP(D8&amp;"Eng",'Declarative sentences'!C:D,2,0),"")</f>
        <v/>
      </c>
    </row>
    <row r="9" spans="1:10" x14ac:dyDescent="0.25">
      <c r="A9">
        <f t="shared" si="1"/>
        <v>6</v>
      </c>
      <c r="B9">
        <f t="shared" ca="1" si="0"/>
        <v>4</v>
      </c>
      <c r="C9" s="1">
        <f ca="1">IFERROR($C$1-1+_xlfn.RANK.EQ(B9,$B$4:$B$40)+COUNTIF(B$4:$B9,B9)-1,"")</f>
        <v>7</v>
      </c>
      <c r="D9" s="1" t="str">
        <f ca="1">IFERROR(VLOOKUP(C9,'Declarative sentences'!A:B,2,0),"")</f>
        <v>1.7</v>
      </c>
      <c r="E9" t="str">
        <f ca="1">IFERROR(VLOOKUP(D9&amp;"Viet",'Declarative sentences'!C:D,2,0),"")</f>
        <v>Cậu sẽ ổn khi không có cô ấy chứ?</v>
      </c>
      <c r="F9" t="str">
        <f ca="1">IFERROR(VLOOKUP(D9&amp;"Eng",'Declarative sentences'!C:D,2,0),"")</f>
        <v/>
      </c>
    </row>
    <row r="10" spans="1:10" x14ac:dyDescent="0.25">
      <c r="A10">
        <f t="shared" si="1"/>
        <v>7</v>
      </c>
      <c r="B10">
        <f t="shared" ca="1" si="0"/>
        <v>5</v>
      </c>
      <c r="C10" s="1">
        <f ca="1">IFERROR($C$1-1+_xlfn.RANK.EQ(B10,$B$4:$B$40)+COUNTIF(B$4:$B10,B10)-1,"")</f>
        <v>5</v>
      </c>
      <c r="D10" s="1" t="str">
        <f ca="1">IFERROR(VLOOKUP(C10,'Declarative sentences'!A:B,2,0),"")</f>
        <v>1.5</v>
      </c>
      <c r="E10" t="str">
        <f ca="1">IFERROR(VLOOKUP(D10&amp;"Viet",'Declarative sentences'!C:D,2,0),"")</f>
        <v>Tôi sẽ không tỏ ra lịch sự với anh ấy.</v>
      </c>
      <c r="F10" t="str">
        <f ca="1">IFERROR(VLOOKUP(D10&amp;"Eng",'Declarative sentences'!C:D,2,0),"")</f>
        <v/>
      </c>
    </row>
    <row r="11" spans="1:10" x14ac:dyDescent="0.25">
      <c r="A11">
        <f t="shared" si="1"/>
        <v>8</v>
      </c>
      <c r="B11">
        <f t="shared" ca="1" si="0"/>
        <v>1</v>
      </c>
      <c r="C11" s="1">
        <f ca="1">IFERROR($C$1-1+_xlfn.RANK.EQ(B11,$B$4:$B$40)+COUNTIF(B$4:$B11,B11)-1,"")</f>
        <v>10</v>
      </c>
      <c r="D11" s="1" t="str">
        <f ca="1">IFERROR(VLOOKUP(C11,'Declarative sentences'!A:B,2,0),"")</f>
        <v>2.1</v>
      </c>
      <c r="E11" t="str">
        <f ca="1">IFERROR(VLOOKUP(D11&amp;"Viet",'Declarative sentences'!C:D,2,0),"")</f>
        <v>Tôi sẽ kể cho cậu chuyện này.</v>
      </c>
      <c r="F11" t="str">
        <f ca="1">IFERROR(VLOOKUP(D11&amp;"Eng",'Declarative sentences'!C:D,2,0),"")</f>
        <v/>
      </c>
    </row>
    <row r="12" spans="1:10" x14ac:dyDescent="0.25">
      <c r="A12">
        <f t="shared" si="1"/>
        <v>9</v>
      </c>
      <c r="B12">
        <f t="shared" ca="1" si="0"/>
        <v>4</v>
      </c>
      <c r="C12" s="1">
        <f ca="1">IFERROR($C$1-1+_xlfn.RANK.EQ(B12,$B$4:$B$40)+COUNTIF(B$4:$B12,B12)-1,"")</f>
        <v>8</v>
      </c>
      <c r="D12" s="1" t="str">
        <f ca="1">IFERROR(VLOOKUP(C12,'Declarative sentences'!A:B,2,0),"")</f>
        <v>1.8</v>
      </c>
      <c r="E12" t="str">
        <f ca="1">IFERROR(VLOOKUP(D12&amp;"Viet",'Declarative sentences'!C:D,2,0),"")</f>
        <v>Cậu có định đi chơi với cô ấy không?</v>
      </c>
      <c r="F12" t="str">
        <f ca="1">IFERROR(VLOOKUP(D12&amp;"Eng",'Declarative sentences'!C:D,2,0),"")</f>
        <v/>
      </c>
      <c r="J12" s="18"/>
    </row>
    <row r="13" spans="1:10" x14ac:dyDescent="0.25">
      <c r="A13">
        <f t="shared" si="1"/>
        <v>10</v>
      </c>
      <c r="B13">
        <f t="shared" ca="1" si="0"/>
        <v>4</v>
      </c>
      <c r="C13" s="1">
        <f ca="1">IFERROR($C$1-1+_xlfn.RANK.EQ(B13,$B$4:$B$40)+COUNTIF(B$4:$B13,B13)-1,"")</f>
        <v>9</v>
      </c>
      <c r="D13" s="1" t="str">
        <f ca="1">IFERROR(VLOOKUP(C13,'Declarative sentences'!A:B,2,0),"")</f>
        <v>1.9</v>
      </c>
      <c r="E13" t="str">
        <f ca="1">IFERROR(VLOOKUP(D13&amp;"Viet",'Declarative sentences'!C:D,2,0),"")</f>
        <v>Cậu có định lát nữa quay lại văn phòng không?</v>
      </c>
      <c r="F13" t="str">
        <f ca="1">IFERROR(VLOOKUP(D13&amp;"Eng",'Declarative sentences'!C:D,2,0),"")</f>
        <v/>
      </c>
    </row>
    <row r="14" spans="1:10" x14ac:dyDescent="0.25">
      <c r="A14" t="str">
        <f t="shared" si="1"/>
        <v/>
      </c>
      <c r="B14" t="str">
        <f t="shared" ca="1" si="0"/>
        <v/>
      </c>
      <c r="C14" s="1" t="str">
        <f ca="1">IFERROR($C$1-1+_xlfn.RANK.EQ(B14,$B$4:$B$40)+COUNTIF(B$4:$B14,B14)-1,"")</f>
        <v/>
      </c>
      <c r="D14" s="1" t="str">
        <f ca="1">IFERROR(VLOOKUP(C14,'Declarative sentences'!A:B,2,0),"")</f>
        <v/>
      </c>
      <c r="E14" t="str">
        <f ca="1">IFERROR(VLOOKUP(D14&amp;"Viet",'Declarative sentences'!C:D,2,0),"")</f>
        <v/>
      </c>
      <c r="F14" t="str">
        <f ca="1">IFERROR(VLOOKUP(D14&amp;"Eng",'Declarative sentences'!C:D,2,0),"")</f>
        <v/>
      </c>
    </row>
    <row r="15" spans="1:10" x14ac:dyDescent="0.25">
      <c r="A15" t="str">
        <f t="shared" si="1"/>
        <v/>
      </c>
      <c r="B15" t="str">
        <f t="shared" ca="1" si="0"/>
        <v/>
      </c>
      <c r="C15" s="1" t="str">
        <f ca="1">IFERROR($C$1-1+_xlfn.RANK.EQ(B15,$B$4:$B$40)+COUNTIF(B$4:$B15,B15)-1,"")</f>
        <v/>
      </c>
      <c r="D15" s="1" t="str">
        <f ca="1">IFERROR(VLOOKUP(C15,'Declarative sentences'!A:B,2,0),"")</f>
        <v/>
      </c>
      <c r="E15" t="str">
        <f ca="1">IFERROR(VLOOKUP(D15&amp;"Viet",'Declarative sentences'!C:D,2,0),"")</f>
        <v/>
      </c>
      <c r="F15" t="str">
        <f ca="1">IFERROR(VLOOKUP(D15&amp;"Eng",'Declarative sentences'!C:D,2,0),"")</f>
        <v/>
      </c>
    </row>
    <row r="16" spans="1:10" x14ac:dyDescent="0.25">
      <c r="A16" t="str">
        <f t="shared" si="1"/>
        <v/>
      </c>
      <c r="B16" t="str">
        <f t="shared" ca="1" si="0"/>
        <v/>
      </c>
      <c r="C16" s="1" t="str">
        <f ca="1">IFERROR($C$1-1+_xlfn.RANK.EQ(B16,$B$4:$B$40)+COUNTIF(B$4:$B16,B16)-1,"")</f>
        <v/>
      </c>
      <c r="D16" s="1" t="str">
        <f ca="1">IFERROR(VLOOKUP(C16,'Declarative sentences'!A:B,2,0),"")</f>
        <v/>
      </c>
      <c r="E16" t="str">
        <f ca="1">IFERROR(VLOOKUP(D16&amp;"Viet",'Declarative sentences'!C:D,2,0),"")</f>
        <v/>
      </c>
      <c r="F16" t="str">
        <f ca="1">IFERROR(VLOOKUP(D16&amp;"Eng",'Declarative sentences'!C:D,2,0),"")</f>
        <v/>
      </c>
    </row>
    <row r="17" spans="1:12" x14ac:dyDescent="0.25">
      <c r="A17" t="str">
        <f t="shared" si="1"/>
        <v/>
      </c>
      <c r="B17" t="str">
        <f t="shared" ca="1" si="0"/>
        <v/>
      </c>
      <c r="C17" s="1" t="str">
        <f ca="1">IFERROR($C$1-1+_xlfn.RANK.EQ(B17,$B$4:$B$40)+COUNTIF(B$4:$B17,B17)-1,"")</f>
        <v/>
      </c>
      <c r="D17" s="1" t="str">
        <f ca="1">IFERROR(VLOOKUP(C17,'Declarative sentences'!A:B,2,0),"")</f>
        <v/>
      </c>
      <c r="E17" t="str">
        <f ca="1">IFERROR(VLOOKUP(D17&amp;"Viet",'Declarative sentences'!C:D,2,0),"")</f>
        <v/>
      </c>
      <c r="F17" t="str">
        <f ca="1">IFERROR(VLOOKUP(D17&amp;"Eng",'Declarative sentences'!C:D,2,0),"")</f>
        <v/>
      </c>
      <c r="L17">
        <v>4</v>
      </c>
    </row>
    <row r="18" spans="1:12" ht="12.6" customHeight="1" x14ac:dyDescent="0.25">
      <c r="A18" t="str">
        <f t="shared" si="1"/>
        <v/>
      </c>
      <c r="B18" t="str">
        <f t="shared" ca="1" si="0"/>
        <v/>
      </c>
      <c r="C18" s="1" t="str">
        <f ca="1">IFERROR($C$1-1+_xlfn.RANK.EQ(B18,$B$4:$B$40)+COUNTIF(B$4:$B18,B18)-1,"")</f>
        <v/>
      </c>
      <c r="D18" s="1" t="str">
        <f ca="1">IFERROR(VLOOKUP(C18,'Declarative sentences'!A:B,2,0),"")</f>
        <v/>
      </c>
      <c r="E18" t="str">
        <f ca="1">IFERROR(VLOOKUP(D18&amp;"Viet",'Declarative sentences'!C:D,2,0),"")</f>
        <v/>
      </c>
      <c r="F18" t="str">
        <f ca="1">IFERROR(VLOOKUP(D18&amp;"Eng",'Declarative sentences'!C:D,2,0),"")</f>
        <v/>
      </c>
    </row>
    <row r="19" spans="1:12" x14ac:dyDescent="0.25">
      <c r="A19" t="str">
        <f t="shared" si="1"/>
        <v/>
      </c>
      <c r="B19" t="str">
        <f t="shared" ca="1" si="0"/>
        <v/>
      </c>
      <c r="C19" s="1" t="str">
        <f ca="1">IFERROR($C$1-1+_xlfn.RANK.EQ(B19,$B$4:$B$40)+COUNTIF(B$4:$B19,B19)-1,"")</f>
        <v/>
      </c>
      <c r="D19" s="1" t="str">
        <f ca="1">IFERROR(VLOOKUP(C19,'Declarative sentences'!A:B,2,0),"")</f>
        <v/>
      </c>
      <c r="E19" t="str">
        <f ca="1">IFERROR(VLOOKUP(D19&amp;"Viet",'Declarative sentences'!C:D,2,0),"")</f>
        <v/>
      </c>
      <c r="F19" t="str">
        <f ca="1">IFERROR(VLOOKUP(D19&amp;"Eng",'Declarative sentences'!C:D,2,0),"")</f>
        <v/>
      </c>
      <c r="L19" t="s">
        <v>46</v>
      </c>
    </row>
    <row r="20" spans="1:12" x14ac:dyDescent="0.25">
      <c r="A20" t="str">
        <f t="shared" si="1"/>
        <v/>
      </c>
      <c r="B20" t="str">
        <f t="shared" ca="1" si="0"/>
        <v/>
      </c>
      <c r="C20" s="1" t="str">
        <f ca="1">IFERROR($C$1-1+_xlfn.RANK.EQ(B20,$B$4:$B$40)+COUNTIF(B$4:$B20,B20)-1,"")</f>
        <v/>
      </c>
      <c r="D20" s="1" t="str">
        <f ca="1">IFERROR(VLOOKUP(C20,'Declarative sentences'!A:B,2,0),"")</f>
        <v/>
      </c>
      <c r="E20" t="str">
        <f ca="1">IFERROR(VLOOKUP(D20&amp;"Viet",'Declarative sentences'!C:D,2,0),"")</f>
        <v/>
      </c>
      <c r="F20" t="str">
        <f ca="1">IFERROR(VLOOKUP(D20&amp;"Eng",'Declarative sentences'!C:D,2,0),"")</f>
        <v/>
      </c>
    </row>
    <row r="21" spans="1:12" x14ac:dyDescent="0.25">
      <c r="A21" t="str">
        <f t="shared" si="1"/>
        <v/>
      </c>
      <c r="B21" t="str">
        <f t="shared" ca="1" si="0"/>
        <v/>
      </c>
      <c r="C21" s="1" t="str">
        <f ca="1">IFERROR($C$1-1+_xlfn.RANK.EQ(B21,$B$4:$B$40)+COUNTIF(B$4:$B21,B21)-1,"")</f>
        <v/>
      </c>
      <c r="D21" s="1" t="str">
        <f ca="1">IFERROR(VLOOKUP(C21,'Declarative sentences'!A:B,2,0),"")</f>
        <v/>
      </c>
      <c r="E21" t="str">
        <f ca="1">IFERROR(VLOOKUP(D21&amp;"Viet",'Declarative sentences'!C:D,2,0),"")</f>
        <v/>
      </c>
      <c r="F21" t="str">
        <f ca="1">IFERROR(VLOOKUP(D21&amp;"Eng",'Declarative sentences'!C:D,2,0),"")</f>
        <v/>
      </c>
    </row>
    <row r="22" spans="1:12" x14ac:dyDescent="0.25">
      <c r="A22" t="str">
        <f t="shared" si="1"/>
        <v/>
      </c>
      <c r="B22" t="str">
        <f t="shared" ca="1" si="0"/>
        <v/>
      </c>
      <c r="C22" s="1" t="str">
        <f ca="1">IFERROR($C$1-1+_xlfn.RANK.EQ(B22,$B$4:$B$40)+COUNTIF(B$4:$B22,B22)-1,"")</f>
        <v/>
      </c>
      <c r="D22" s="1" t="str">
        <f ca="1">IFERROR(VLOOKUP(C22,'Declarative sentences'!A:B,2,0),"")</f>
        <v/>
      </c>
      <c r="E22" t="str">
        <f ca="1">IFERROR(VLOOKUP(D22&amp;"Viet",'Declarative sentences'!C:D,2,0),"")</f>
        <v/>
      </c>
      <c r="F22" t="str">
        <f ca="1">IFERROR(VLOOKUP(D22&amp;"Eng",'Declarative sentences'!C:D,2,0),"")</f>
        <v/>
      </c>
    </row>
    <row r="23" spans="1:12" x14ac:dyDescent="0.25">
      <c r="A23" t="str">
        <f t="shared" si="1"/>
        <v/>
      </c>
      <c r="B23" t="str">
        <f t="shared" ca="1" si="0"/>
        <v/>
      </c>
      <c r="C23" s="1" t="str">
        <f ca="1">IFERROR($C$1-1+_xlfn.RANK.EQ(B23,$B$4:$B$40)+COUNTIF(B$4:$B23,B23)-1,"")</f>
        <v/>
      </c>
      <c r="D23" s="1" t="str">
        <f ca="1">IFERROR(VLOOKUP(C23,'Declarative sentences'!A:B,2,0),"")</f>
        <v/>
      </c>
      <c r="E23" t="str">
        <f ca="1">IFERROR(VLOOKUP(D23&amp;"Viet",'Declarative sentences'!C:D,2,0),"")</f>
        <v/>
      </c>
      <c r="F23" t="str">
        <f ca="1">IFERROR(VLOOKUP(D23&amp;"Eng",'Declarative sentences'!C:D,2,0),"")</f>
        <v/>
      </c>
    </row>
    <row r="24" spans="1:12" x14ac:dyDescent="0.25">
      <c r="A24" t="str">
        <f t="shared" si="1"/>
        <v/>
      </c>
      <c r="B24" t="str">
        <f t="shared" ca="1" si="0"/>
        <v/>
      </c>
      <c r="C24" s="1" t="str">
        <f ca="1">IFERROR($C$1-1+_xlfn.RANK.EQ(B24,$B$4:$B$40)+COUNTIF(B$4:$B24,B24)-1,"")</f>
        <v/>
      </c>
      <c r="D24" s="1" t="str">
        <f ca="1">IFERROR(VLOOKUP(C24,'Declarative sentences'!A:B,2,0),"")</f>
        <v/>
      </c>
      <c r="E24" t="str">
        <f ca="1">IFERROR(VLOOKUP(D24&amp;"Viet",'Declarative sentences'!C:D,2,0),"")</f>
        <v/>
      </c>
      <c r="F24" t="str">
        <f ca="1">IFERROR(VLOOKUP(D24&amp;"Eng",'Declarative sentences'!C:D,2,0),"")</f>
        <v/>
      </c>
    </row>
    <row r="25" spans="1:12" x14ac:dyDescent="0.25">
      <c r="A25" t="str">
        <f t="shared" si="1"/>
        <v/>
      </c>
      <c r="B25" t="str">
        <f t="shared" ca="1" si="0"/>
        <v/>
      </c>
      <c r="C25" s="1" t="str">
        <f ca="1">IFERROR($C$1-1+_xlfn.RANK.EQ(B25,$B$4:$B$40)+COUNTIF(B$4:$B25,B25)-1,"")</f>
        <v/>
      </c>
      <c r="D25" s="1" t="str">
        <f ca="1">IFERROR(VLOOKUP(C25,'Declarative sentences'!A:B,2,0),"")</f>
        <v/>
      </c>
      <c r="E25" t="str">
        <f ca="1">IFERROR(VLOOKUP(D25&amp;"Viet",'Declarative sentences'!C:D,2,0),"")</f>
        <v/>
      </c>
      <c r="F25" t="str">
        <f ca="1">IFERROR(VLOOKUP(D25&amp;"Eng",'Declarative sentences'!C:D,2,0),"")</f>
        <v/>
      </c>
    </row>
    <row r="26" spans="1:12" x14ac:dyDescent="0.25">
      <c r="A26" t="str">
        <f t="shared" si="1"/>
        <v/>
      </c>
      <c r="B26" t="str">
        <f t="shared" ca="1" si="0"/>
        <v/>
      </c>
      <c r="C26" s="1" t="str">
        <f ca="1">IFERROR($C$1-1+_xlfn.RANK.EQ(B26,$B$4:$B$40)+COUNTIF(B$4:$B26,B26)-1,"")</f>
        <v/>
      </c>
      <c r="D26" s="1" t="str">
        <f ca="1">IFERROR(VLOOKUP(C26,'Declarative sentences'!A:B,2,0),"")</f>
        <v/>
      </c>
      <c r="E26" t="str">
        <f ca="1">IFERROR(VLOOKUP(D26&amp;"Viet",'Declarative sentences'!C:D,2,0),"")</f>
        <v/>
      </c>
      <c r="F26" t="str">
        <f ca="1">IFERROR(VLOOKUP(D26&amp;"Eng",'Declarative sentences'!C:D,2,0),"")</f>
        <v/>
      </c>
    </row>
    <row r="27" spans="1:12" x14ac:dyDescent="0.25">
      <c r="A27" t="str">
        <f t="shared" si="1"/>
        <v/>
      </c>
      <c r="B27" t="str">
        <f t="shared" ca="1" si="0"/>
        <v/>
      </c>
      <c r="C27" s="1" t="str">
        <f ca="1">IFERROR($C$1-1+_xlfn.RANK.EQ(B27,$B$4:$B$40)+COUNTIF(B$4:$B27,B27)-1,"")</f>
        <v/>
      </c>
      <c r="D27" s="1" t="str">
        <f ca="1">IFERROR(VLOOKUP(C27,'Declarative sentences'!A:B,2,0),"")</f>
        <v/>
      </c>
      <c r="E27" t="str">
        <f ca="1">IFERROR(VLOOKUP(D27&amp;"Viet",'Declarative sentences'!C:D,2,0),"")</f>
        <v/>
      </c>
      <c r="F27" t="str">
        <f ca="1">IFERROR(VLOOKUP(D27&amp;"Eng",'Declarative sentences'!C:D,2,0),"")</f>
        <v/>
      </c>
    </row>
    <row r="28" spans="1:12" x14ac:dyDescent="0.25">
      <c r="A28" t="str">
        <f t="shared" si="1"/>
        <v/>
      </c>
      <c r="B28" t="str">
        <f t="shared" ca="1" si="0"/>
        <v/>
      </c>
      <c r="C28" s="1" t="str">
        <f ca="1">IFERROR($C$1-1+_xlfn.RANK.EQ(B28,$B$4:$B$40)+COUNTIF(B$4:$B28,B28)-1,"")</f>
        <v/>
      </c>
      <c r="D28" s="1" t="str">
        <f ca="1">IFERROR(VLOOKUP(C28,'Declarative sentences'!A:B,2,0),"")</f>
        <v/>
      </c>
      <c r="E28" t="str">
        <f ca="1">IFERROR(VLOOKUP(D28&amp;"Viet",'Declarative sentences'!C:D,2,0),"")</f>
        <v/>
      </c>
      <c r="F28" t="str">
        <f ca="1">IFERROR(VLOOKUP(D28&amp;"Eng",'Declarative sentences'!C:D,2,0),"")</f>
        <v/>
      </c>
    </row>
    <row r="29" spans="1:12" x14ac:dyDescent="0.25">
      <c r="A29" t="str">
        <f t="shared" si="1"/>
        <v/>
      </c>
      <c r="B29" t="str">
        <f t="shared" ca="1" si="0"/>
        <v/>
      </c>
      <c r="C29" s="1" t="str">
        <f ca="1">IFERROR($C$1-1+_xlfn.RANK.EQ(B29,$B$4:$B$40)+COUNTIF(B$4:$B29,B29)-1,"")</f>
        <v/>
      </c>
      <c r="D29" s="1" t="str">
        <f ca="1">IFERROR(VLOOKUP(C29,'Declarative sentences'!A:B,2,0),"")</f>
        <v/>
      </c>
      <c r="E29" t="str">
        <f ca="1">IFERROR(VLOOKUP(D29&amp;"Viet",'Declarative sentences'!C:D,2,0),"")</f>
        <v/>
      </c>
      <c r="F29" t="str">
        <f ca="1">IFERROR(VLOOKUP(D29&amp;"Eng",'Declarative sentences'!C:D,2,0),"")</f>
        <v/>
      </c>
    </row>
    <row r="30" spans="1:12" x14ac:dyDescent="0.25">
      <c r="A30" t="str">
        <f t="shared" si="1"/>
        <v/>
      </c>
      <c r="B30" t="str">
        <f t="shared" ca="1" si="0"/>
        <v/>
      </c>
      <c r="C30" s="1" t="str">
        <f ca="1">IFERROR($C$1-1+_xlfn.RANK.EQ(B30,$B$4:$B$40)+COUNTIF(B$4:$B30,B30)-1,"")</f>
        <v/>
      </c>
      <c r="D30" s="1" t="str">
        <f ca="1">IFERROR(VLOOKUP(C30,'Declarative sentences'!A:B,2,0),"")</f>
        <v/>
      </c>
      <c r="E30" t="str">
        <f ca="1">IFERROR(VLOOKUP(D30&amp;"Viet",'Declarative sentences'!C:D,2,0),"")</f>
        <v/>
      </c>
      <c r="F30" t="str">
        <f ca="1">IFERROR(VLOOKUP(D30&amp;"Eng",'Declarative sentences'!C:D,2,0),"")</f>
        <v/>
      </c>
    </row>
    <row r="31" spans="1:12" x14ac:dyDescent="0.25">
      <c r="A31" t="str">
        <f t="shared" si="1"/>
        <v/>
      </c>
      <c r="B31" t="str">
        <f t="shared" ca="1" si="0"/>
        <v/>
      </c>
      <c r="C31" s="1" t="str">
        <f ca="1">IFERROR($C$1-1+_xlfn.RANK.EQ(B31,$B$4:$B$40)+COUNTIF(B$4:$B31,B31)-1,"")</f>
        <v/>
      </c>
      <c r="D31" s="1" t="str">
        <f ca="1">IFERROR(VLOOKUP(C31,'Declarative sentences'!A:B,2,0),"")</f>
        <v/>
      </c>
      <c r="E31" t="str">
        <f ca="1">IFERROR(VLOOKUP(D31&amp;"Viet",'Declarative sentences'!C:D,2,0),"")</f>
        <v/>
      </c>
      <c r="F31" t="str">
        <f ca="1">IFERROR(VLOOKUP(D31&amp;"Eng",'Declarative sentences'!C:D,2,0),"")</f>
        <v/>
      </c>
    </row>
    <row r="32" spans="1:12" x14ac:dyDescent="0.25">
      <c r="A32" t="str">
        <f t="shared" si="1"/>
        <v/>
      </c>
      <c r="B32" t="str">
        <f t="shared" ca="1" si="0"/>
        <v/>
      </c>
      <c r="C32" s="1" t="str">
        <f ca="1">IFERROR($C$1-1+_xlfn.RANK.EQ(B32,$B$4:$B$40)+COUNTIF(B$4:$B32,B32)-1,"")</f>
        <v/>
      </c>
      <c r="D32" s="1" t="str">
        <f ca="1">IFERROR(VLOOKUP(C32,'Declarative sentences'!A:B,2,0),"")</f>
        <v/>
      </c>
      <c r="E32" t="str">
        <f ca="1">IFERROR(VLOOKUP(D32&amp;"Viet",'Declarative sentences'!C:D,2,0),"")</f>
        <v/>
      </c>
      <c r="F32" t="str">
        <f ca="1">IFERROR(VLOOKUP(D32&amp;"Eng",'Declarative sentences'!C:D,2,0),"")</f>
        <v/>
      </c>
    </row>
    <row r="33" spans="1:6" x14ac:dyDescent="0.25">
      <c r="A33" t="str">
        <f t="shared" si="1"/>
        <v/>
      </c>
      <c r="B33" t="str">
        <f t="shared" ca="1" si="0"/>
        <v/>
      </c>
      <c r="C33" s="1" t="str">
        <f ca="1">IFERROR($C$1-1+_xlfn.RANK.EQ(B33,$B$4:$B$40)+COUNTIF(B$4:$B33,B33)-1,"")</f>
        <v/>
      </c>
      <c r="D33" s="1" t="str">
        <f ca="1">IFERROR(VLOOKUP(C33,'Declarative sentences'!A:B,2,0),"")</f>
        <v/>
      </c>
      <c r="E33" t="str">
        <f ca="1">IFERROR(VLOOKUP(D33&amp;"Viet",'Declarative sentences'!C:D,2,0),"")</f>
        <v/>
      </c>
      <c r="F33" t="str">
        <f ca="1">IFERROR(VLOOKUP(D33&amp;"Eng",'Declarative sentences'!C:D,2,0),"")</f>
        <v/>
      </c>
    </row>
    <row r="34" spans="1:6" x14ac:dyDescent="0.25">
      <c r="A34" t="str">
        <f t="shared" si="1"/>
        <v/>
      </c>
      <c r="B34" t="str">
        <f t="shared" ca="1" si="0"/>
        <v/>
      </c>
      <c r="C34" s="1" t="str">
        <f ca="1">IFERROR($C$1-1+_xlfn.RANK.EQ(B34,$B$4:$B$40)+COUNTIF(B$4:$B34,B34)-1,"")</f>
        <v/>
      </c>
      <c r="D34" s="1" t="str">
        <f ca="1">IFERROR(VLOOKUP(C34,'Declarative sentences'!A:B,2,0),"")</f>
        <v/>
      </c>
      <c r="E34" t="str">
        <f ca="1">IFERROR(VLOOKUP(D34&amp;"Viet",'Declarative sentences'!C:D,2,0),"")</f>
        <v/>
      </c>
      <c r="F34" t="str">
        <f ca="1">IFERROR(VLOOKUP(D34&amp;"Eng",'Declarative sentences'!C:D,2,0),"")</f>
        <v/>
      </c>
    </row>
    <row r="35" spans="1:6" x14ac:dyDescent="0.25">
      <c r="A35" t="str">
        <f t="shared" si="1"/>
        <v/>
      </c>
      <c r="B35" t="str">
        <f t="shared" ca="1" si="0"/>
        <v/>
      </c>
      <c r="C35" s="1" t="str">
        <f ca="1">IFERROR($C$1-1+_xlfn.RANK.EQ(B35,$B$4:$B$40)+COUNTIF(B$4:$B35,B35)-1,"")</f>
        <v/>
      </c>
      <c r="D35" s="1" t="str">
        <f ca="1">IFERROR(VLOOKUP(C35,'Declarative sentences'!A:B,2,0),"")</f>
        <v/>
      </c>
      <c r="E35" t="str">
        <f ca="1">IFERROR(VLOOKUP(D35&amp;"Viet",'Declarative sentences'!C:D,2,0),"")</f>
        <v/>
      </c>
      <c r="F35" t="str">
        <f ca="1">IFERROR(VLOOKUP(D35&amp;"Eng",'Declarative sentences'!C:D,2,0),"")</f>
        <v/>
      </c>
    </row>
    <row r="36" spans="1:6" x14ac:dyDescent="0.25">
      <c r="A36" t="str">
        <f t="shared" si="1"/>
        <v/>
      </c>
      <c r="B36" t="str">
        <f t="shared" ca="1" si="0"/>
        <v/>
      </c>
      <c r="C36" s="1" t="str">
        <f ca="1">IFERROR($C$1-1+_xlfn.RANK.EQ(B36,$B$4:$B$40)+COUNTIF(B$4:$B36,B36)-1,"")</f>
        <v/>
      </c>
      <c r="D36" s="1" t="str">
        <f ca="1">IFERROR(VLOOKUP(C36,'Declarative sentences'!A:B,2,0),"")</f>
        <v/>
      </c>
      <c r="E36" t="str">
        <f ca="1">IFERROR(VLOOKUP(D36&amp;"Viet",'Declarative sentences'!C:D,2,0),"")</f>
        <v/>
      </c>
      <c r="F36" t="str">
        <f ca="1">IFERROR(VLOOKUP(D36&amp;"Eng",'Declarative sentences'!C:D,2,0),"")</f>
        <v/>
      </c>
    </row>
    <row r="37" spans="1:6" x14ac:dyDescent="0.25">
      <c r="A37" t="str">
        <f t="shared" si="1"/>
        <v/>
      </c>
      <c r="B37" t="str">
        <f t="shared" ca="1" si="0"/>
        <v/>
      </c>
      <c r="C37" s="1" t="str">
        <f ca="1">IFERROR($C$1-1+_xlfn.RANK.EQ(B37,$B$4:$B$40)+COUNTIF(B$4:$B37,B37)-1,"")</f>
        <v/>
      </c>
      <c r="D37" s="1" t="str">
        <f ca="1">IFERROR(VLOOKUP(C37,'Declarative sentences'!A:B,2,0),"")</f>
        <v/>
      </c>
      <c r="E37" t="str">
        <f ca="1">IFERROR(VLOOKUP(D37&amp;"Viet",'Declarative sentences'!C:D,2,0),"")</f>
        <v/>
      </c>
      <c r="F37" t="str">
        <f ca="1">IFERROR(VLOOKUP(D37&amp;"Eng",'Declarative sentences'!C:D,2,0),"")</f>
        <v/>
      </c>
    </row>
    <row r="38" spans="1:6" x14ac:dyDescent="0.25">
      <c r="A38" t="str">
        <f t="shared" si="1"/>
        <v/>
      </c>
      <c r="B38" t="str">
        <f t="shared" ca="1" si="0"/>
        <v/>
      </c>
      <c r="C38" s="1" t="str">
        <f ca="1">IFERROR($C$1-1+_xlfn.RANK.EQ(B38,$B$4:$B$40)+COUNTIF(B$4:$B38,B38)-1,"")</f>
        <v/>
      </c>
      <c r="D38" s="1" t="str">
        <f ca="1">IFERROR(VLOOKUP(C38,'Declarative sentences'!A:B,2,0),"")</f>
        <v/>
      </c>
      <c r="E38" t="str">
        <f ca="1">IFERROR(VLOOKUP(D38&amp;"Viet",'Declarative sentences'!C:D,2,0),"")</f>
        <v/>
      </c>
      <c r="F38" t="str">
        <f ca="1">IFERROR(VLOOKUP(D38&amp;"Eng",'Declarative sentences'!C:D,2,0),"")</f>
        <v/>
      </c>
    </row>
    <row r="39" spans="1:6" x14ac:dyDescent="0.25">
      <c r="A39" t="str">
        <f t="shared" si="1"/>
        <v/>
      </c>
      <c r="B39" t="str">
        <f t="shared" ca="1" si="0"/>
        <v/>
      </c>
      <c r="C39" s="1" t="str">
        <f ca="1">IFERROR($C$1-1+_xlfn.RANK.EQ(B39,$B$4:$B$40)+COUNTIF(B$4:$B39,B39)-1,"")</f>
        <v/>
      </c>
      <c r="D39" s="1" t="str">
        <f ca="1">IFERROR(VLOOKUP(C39,'Declarative sentences'!A:B,2,0),"")</f>
        <v/>
      </c>
      <c r="E39" t="str">
        <f ca="1">IFERROR(VLOOKUP(D39&amp;"Viet",'Declarative sentences'!C:D,2,0),"")</f>
        <v/>
      </c>
      <c r="F39" t="str">
        <f ca="1">IFERROR(VLOOKUP(D39&amp;"Eng",'Declarative sentences'!C:D,2,0),"")</f>
        <v/>
      </c>
    </row>
    <row r="40" spans="1:6" x14ac:dyDescent="0.25">
      <c r="A40" t="str">
        <f t="shared" si="1"/>
        <v/>
      </c>
      <c r="B40" t="str">
        <f t="shared" ca="1" si="0"/>
        <v/>
      </c>
      <c r="C40" s="1" t="str">
        <f ca="1">IFERROR($C$1-1+_xlfn.RANK.EQ(B40,$B$4:$B$40)+COUNTIF(B$4:$B40,B40)-1,"")</f>
        <v/>
      </c>
      <c r="D40" s="1" t="str">
        <f ca="1">IFERROR(VLOOKUP(C40,'Declarative sentences'!A:B,2,0),"")</f>
        <v/>
      </c>
      <c r="E40" t="str">
        <f ca="1">IFERROR(VLOOKUP(D40&amp;"Viet",'Declarative sentences'!C:D,2,0),"")</f>
        <v/>
      </c>
      <c r="F40" t="str">
        <f ca="1">IFERROR(VLOOKUP(D40&amp;"Eng",'Declarative sentences'!C:D,2,0),"")</f>
        <v/>
      </c>
    </row>
    <row r="41" spans="1:6" x14ac:dyDescent="0.25">
      <c r="A41" t="str">
        <f t="shared" si="1"/>
        <v/>
      </c>
      <c r="B41" t="str">
        <f t="shared" ca="1" si="0"/>
        <v/>
      </c>
      <c r="C41" s="1" t="str">
        <f ca="1">IFERROR($C$1-1+_xlfn.RANK.EQ(B41,$B$4:$B$40)+COUNTIF(B$4:$B41,B41)-1,"")</f>
        <v/>
      </c>
      <c r="D41" s="1" t="str">
        <f ca="1">IFERROR(VLOOKUP(C41,'Declarative sentences'!A:B,2,0),"")</f>
        <v/>
      </c>
      <c r="E41" t="str">
        <f ca="1">IFERROR(VLOOKUP(D41&amp;"Viet",'Declarative sentences'!C:D,2,0),"")</f>
        <v/>
      </c>
      <c r="F41" t="str">
        <f ca="1">IFERROR(VLOOKUP(D41&amp;"Eng",'Declarative sentences'!C:D,2,0),"")</f>
        <v/>
      </c>
    </row>
    <row r="42" spans="1:6" x14ac:dyDescent="0.25">
      <c r="A42" t="str">
        <f t="shared" si="1"/>
        <v/>
      </c>
      <c r="B42" t="str">
        <f t="shared" ca="1" si="0"/>
        <v/>
      </c>
      <c r="C42" s="1" t="str">
        <f ca="1">IFERROR($C$1-1+_xlfn.RANK.EQ(B42,$B$4:$B$40)+COUNTIF(B$4:$B42,B42)-1,"")</f>
        <v/>
      </c>
      <c r="D42" s="1" t="str">
        <f ca="1">IFERROR(VLOOKUP(C42,'Declarative sentences'!A:B,2,0),"")</f>
        <v/>
      </c>
      <c r="E42" t="str">
        <f ca="1">IFERROR(VLOOKUP(D42&amp;"Viet",'Declarative sentences'!C:D,2,0),"")</f>
        <v/>
      </c>
      <c r="F42" t="str">
        <f ca="1">IFERROR(VLOOKUP(D42&amp;"Eng",'Declarative sentences'!C:D,2,0),"")</f>
        <v/>
      </c>
    </row>
    <row r="43" spans="1:6" x14ac:dyDescent="0.25">
      <c r="A43" t="str">
        <f t="shared" si="1"/>
        <v/>
      </c>
      <c r="B43" t="str">
        <f t="shared" ca="1" si="0"/>
        <v/>
      </c>
      <c r="C43" s="1" t="str">
        <f ca="1">IFERROR($C$1-1+_xlfn.RANK.EQ(B43,$B$4:$B$40)+COUNTIF(B$4:$B43,B43)-1,"")</f>
        <v/>
      </c>
      <c r="D43" s="1" t="str">
        <f ca="1">IFERROR(VLOOKUP(C43,'Declarative sentences'!A:B,2,0),"")</f>
        <v/>
      </c>
      <c r="E43" t="str">
        <f ca="1">IFERROR(VLOOKUP(D43&amp;"Viet",'Declarative sentences'!C:D,2,0),"")</f>
        <v/>
      </c>
      <c r="F43" t="str">
        <f ca="1">IFERROR(VLOOKUP(D43&amp;"Eng",'Declarative sentences'!C:D,2,0),"")</f>
        <v/>
      </c>
    </row>
    <row r="44" spans="1:6" x14ac:dyDescent="0.25">
      <c r="A44" t="str">
        <f t="shared" si="1"/>
        <v/>
      </c>
      <c r="B44" t="str">
        <f t="shared" ca="1" si="0"/>
        <v/>
      </c>
      <c r="C44" s="1" t="str">
        <f ca="1">IFERROR($C$1-1+_xlfn.RANK.EQ(B44,$B$4:$B$40)+COUNTIF(B$4:$B44,B44)-1,"")</f>
        <v/>
      </c>
      <c r="D44" s="1" t="str">
        <f ca="1">IFERROR(VLOOKUP(C44,'Declarative sentences'!A:B,2,0),"")</f>
        <v/>
      </c>
      <c r="E44" t="str">
        <f ca="1">IFERROR(VLOOKUP(D44&amp;"Viet",'Declarative sentences'!C:D,2,0),"")</f>
        <v/>
      </c>
      <c r="F44" t="str">
        <f ca="1">IFERROR(VLOOKUP(D44&amp;"Eng",'Declarative sentences'!C:D,2,0),"")</f>
        <v/>
      </c>
    </row>
    <row r="45" spans="1:6" x14ac:dyDescent="0.25">
      <c r="A45" t="str">
        <f t="shared" si="1"/>
        <v/>
      </c>
      <c r="B45" t="str">
        <f t="shared" ca="1" si="0"/>
        <v/>
      </c>
      <c r="C45" s="1" t="str">
        <f ca="1">IFERROR($C$1-1+_xlfn.RANK.EQ(B45,$B$4:$B$40)+COUNTIF(B$4:$B45,B45)-1,"")</f>
        <v/>
      </c>
      <c r="D45" s="1" t="str">
        <f ca="1">IFERROR(VLOOKUP(C45,'Declarative sentences'!A:B,2,0),"")</f>
        <v/>
      </c>
      <c r="E45" t="str">
        <f ca="1">IFERROR(VLOOKUP(D45&amp;"Viet",'Declarative sentences'!C:D,2,0),"")</f>
        <v/>
      </c>
      <c r="F45" t="str">
        <f ca="1">IFERROR(VLOOKUP(D45&amp;"Eng",'Declarative sentences'!C:D,2,0),"")</f>
        <v/>
      </c>
    </row>
    <row r="46" spans="1:6" x14ac:dyDescent="0.25">
      <c r="A46" t="str">
        <f t="shared" si="1"/>
        <v/>
      </c>
      <c r="B46" t="str">
        <f t="shared" ca="1" si="0"/>
        <v/>
      </c>
      <c r="C46" s="1" t="str">
        <f ca="1">IFERROR($C$1-1+_xlfn.RANK.EQ(B46,$B$4:$B$40)+COUNTIF(B$4:$B46,B46)-1,"")</f>
        <v/>
      </c>
      <c r="D46" s="1" t="str">
        <f ca="1">IFERROR(VLOOKUP(C46,'Declarative sentences'!A:B,2,0),"")</f>
        <v/>
      </c>
      <c r="E46" t="str">
        <f ca="1">IFERROR(VLOOKUP(D46&amp;"Viet",'Declarative sentences'!C:D,2,0),"")</f>
        <v/>
      </c>
      <c r="F46" t="str">
        <f ca="1">IFERROR(VLOOKUP(D46&amp;"Eng",'Declarative sentences'!C:D,2,0),"")</f>
        <v/>
      </c>
    </row>
    <row r="47" spans="1:6" x14ac:dyDescent="0.25">
      <c r="A47" t="str">
        <f t="shared" si="1"/>
        <v/>
      </c>
      <c r="B47" t="str">
        <f t="shared" ca="1" si="0"/>
        <v/>
      </c>
      <c r="C47" s="1" t="str">
        <f ca="1">IFERROR($C$1-1+_xlfn.RANK.EQ(B47,$B$4:$B$40)+COUNTIF(B$4:$B47,B47)-1,"")</f>
        <v/>
      </c>
      <c r="D47" s="1" t="str">
        <f ca="1">IFERROR(VLOOKUP(C47,'Declarative sentences'!A:B,2,0),"")</f>
        <v/>
      </c>
      <c r="E47" t="str">
        <f ca="1">IFERROR(VLOOKUP(D47&amp;"Viet",'Declarative sentences'!C:D,2,0),"")</f>
        <v/>
      </c>
      <c r="F47" t="str">
        <f ca="1">IFERROR(VLOOKUP(D47&amp;"Eng",'Declarative sentences'!C:D,2,0),"")</f>
        <v/>
      </c>
    </row>
    <row r="48" spans="1:6" x14ac:dyDescent="0.25">
      <c r="A48" t="str">
        <f t="shared" si="1"/>
        <v/>
      </c>
      <c r="B48" t="str">
        <f t="shared" ca="1" si="0"/>
        <v/>
      </c>
      <c r="C48" s="1" t="str">
        <f ca="1">IFERROR($C$1-1+_xlfn.RANK.EQ(B48,$B$4:$B$40)+COUNTIF(B$4:$B48,B48)-1,"")</f>
        <v/>
      </c>
      <c r="D48" s="1" t="str">
        <f ca="1">IFERROR(VLOOKUP(C48,'Declarative sentences'!A:B,2,0),"")</f>
        <v/>
      </c>
      <c r="E48" t="str">
        <f ca="1">IFERROR(VLOOKUP(D48&amp;"Viet",'Declarative sentences'!C:D,2,0),"")</f>
        <v/>
      </c>
      <c r="F48" t="str">
        <f ca="1">IFERROR(VLOOKUP(D48&amp;"Eng",'Declarative sentences'!C:D,2,0),"")</f>
        <v/>
      </c>
    </row>
    <row r="49" spans="1:6" x14ac:dyDescent="0.25">
      <c r="A49" t="str">
        <f t="shared" si="1"/>
        <v/>
      </c>
      <c r="B49" t="str">
        <f t="shared" ca="1" si="0"/>
        <v/>
      </c>
      <c r="C49" s="1" t="str">
        <f ca="1">IFERROR($C$1-1+_xlfn.RANK.EQ(B49,$B$4:$B$40)+COUNTIF(B$4:$B49,B49)-1,"")</f>
        <v/>
      </c>
      <c r="D49" s="1" t="str">
        <f ca="1">IFERROR(VLOOKUP(C49,'Declarative sentences'!A:B,2,0),"")</f>
        <v/>
      </c>
      <c r="E49" t="str">
        <f ca="1">IFERROR(VLOOKUP(D49&amp;"Viet",'Declarative sentences'!C:D,2,0),"")</f>
        <v/>
      </c>
      <c r="F49" t="str">
        <f ca="1">IFERROR(VLOOKUP(D49&amp;"Eng",'Declarative sentences'!C:D,2,0),"")</f>
        <v/>
      </c>
    </row>
    <row r="50" spans="1:6" x14ac:dyDescent="0.25">
      <c r="A50" t="str">
        <f t="shared" si="1"/>
        <v/>
      </c>
      <c r="B50" t="str">
        <f t="shared" ca="1" si="0"/>
        <v/>
      </c>
      <c r="C50" s="1" t="str">
        <f ca="1">IFERROR($C$1-1+_xlfn.RANK.EQ(B50,$B$4:$B$40)+COUNTIF(B$4:$B50,B50)-1,"")</f>
        <v/>
      </c>
      <c r="D50" s="1" t="str">
        <f ca="1">IFERROR(VLOOKUP(C50,'Declarative sentences'!A:B,2,0),"")</f>
        <v/>
      </c>
      <c r="E50" t="str">
        <f ca="1">IFERROR(VLOOKUP(D50&amp;"Viet",'Declarative sentences'!C:D,2,0),"")</f>
        <v/>
      </c>
      <c r="F50" t="str">
        <f ca="1">IFERROR(VLOOKUP(D50&amp;"Eng",'Declarative sentences'!C:D,2,0),"")</f>
        <v/>
      </c>
    </row>
    <row r="51" spans="1:6" x14ac:dyDescent="0.25">
      <c r="A51" t="str">
        <f t="shared" si="1"/>
        <v/>
      </c>
      <c r="B51" t="str">
        <f t="shared" ca="1" si="0"/>
        <v/>
      </c>
      <c r="C51" s="1" t="str">
        <f ca="1">IFERROR($C$1-1+_xlfn.RANK.EQ(B51,$B$4:$B$40)+COUNTIF(B$4:$B51,B51)-1,"")</f>
        <v/>
      </c>
      <c r="D51" s="1" t="str">
        <f ca="1">IFERROR(VLOOKUP(C51,'Declarative sentences'!A:B,2,0),"")</f>
        <v/>
      </c>
      <c r="E51" t="str">
        <f ca="1">IFERROR(VLOOKUP(D51&amp;"Viet",'Declarative sentences'!C:D,2,0),"")</f>
        <v/>
      </c>
      <c r="F51" t="str">
        <f ca="1">IFERROR(VLOOKUP(D51&amp;"Eng",'Declarative sentences'!C:D,2,0),"")</f>
        <v/>
      </c>
    </row>
    <row r="52" spans="1:6" x14ac:dyDescent="0.25">
      <c r="A52" t="str">
        <f t="shared" si="1"/>
        <v/>
      </c>
      <c r="B52" t="str">
        <f t="shared" ca="1" si="0"/>
        <v/>
      </c>
      <c r="C52" s="1" t="str">
        <f ca="1">IFERROR($C$1-1+_xlfn.RANK.EQ(B52,$B$4:$B$40)+COUNTIF(B$4:$B52,B52)-1,"")</f>
        <v/>
      </c>
      <c r="D52" s="1" t="str">
        <f ca="1">IFERROR(VLOOKUP(C52,'Declarative sentences'!A:B,2,0),"")</f>
        <v/>
      </c>
      <c r="E52" t="str">
        <f ca="1">IFERROR(VLOOKUP(D52&amp;"Viet",'Declarative sentences'!C:D,2,0),"")</f>
        <v/>
      </c>
      <c r="F52" t="str">
        <f ca="1">IFERROR(VLOOKUP(D52&amp;"Eng",'Declarative sentences'!C:D,2,0),"")</f>
        <v/>
      </c>
    </row>
    <row r="53" spans="1:6" x14ac:dyDescent="0.25">
      <c r="A53" t="str">
        <f t="shared" si="1"/>
        <v/>
      </c>
      <c r="B53" t="str">
        <f t="shared" ca="1" si="0"/>
        <v/>
      </c>
      <c r="C53" s="1" t="str">
        <f ca="1">IFERROR($C$1-1+_xlfn.RANK.EQ(B53,$B$4:$B$40)+COUNTIF(B$4:$B53,B53)-1,"")</f>
        <v/>
      </c>
      <c r="D53" s="1" t="str">
        <f ca="1">IFERROR(VLOOKUP(C53,'Declarative sentences'!A:B,2,0),"")</f>
        <v/>
      </c>
      <c r="E53" t="str">
        <f ca="1">IFERROR(VLOOKUP(D53&amp;"Viet",'Declarative sentences'!C:D,2,0),"")</f>
        <v/>
      </c>
      <c r="F53" t="str">
        <f ca="1">IFERROR(VLOOKUP(D53&amp;"Eng",'Declarative sentences'!C:D,2,0),"")</f>
        <v/>
      </c>
    </row>
    <row r="54" spans="1:6" x14ac:dyDescent="0.25">
      <c r="A54" t="str">
        <f t="shared" si="1"/>
        <v/>
      </c>
      <c r="B54" t="str">
        <f t="shared" ca="1" si="0"/>
        <v/>
      </c>
      <c r="C54" s="1" t="str">
        <f ca="1">IFERROR($C$1-1+_xlfn.RANK.EQ(B54,$B$4:$B$40)+COUNTIF(B$4:$B54,B54)-1,"")</f>
        <v/>
      </c>
      <c r="D54" s="1" t="str">
        <f ca="1">IFERROR(VLOOKUP(C54,'Declarative sentences'!A:B,2,0),"")</f>
        <v/>
      </c>
      <c r="E54" t="str">
        <f ca="1">IFERROR(VLOOKUP(D54&amp;"Viet",'Declarative sentences'!C:D,2,0),"")</f>
        <v/>
      </c>
      <c r="F54" t="str">
        <f ca="1">IFERROR(VLOOKUP(D54&amp;"Eng",'Declarative sentences'!C:D,2,0),"")</f>
        <v/>
      </c>
    </row>
    <row r="55" spans="1:6" x14ac:dyDescent="0.25">
      <c r="A55" t="str">
        <f t="shared" si="1"/>
        <v/>
      </c>
      <c r="B55" t="str">
        <f t="shared" ca="1" si="0"/>
        <v/>
      </c>
      <c r="C55" s="1" t="str">
        <f ca="1">IFERROR($C$1-1+_xlfn.RANK.EQ(B55,$B$4:$B$40)+COUNTIF(B$4:$B55,B55)-1,"")</f>
        <v/>
      </c>
      <c r="D55" s="1" t="str">
        <f ca="1">IFERROR(VLOOKUP(C55,'Declarative sentences'!A:B,2,0),"")</f>
        <v/>
      </c>
      <c r="E55" t="str">
        <f ca="1">IFERROR(VLOOKUP(D55&amp;"Viet",'Declarative sentences'!C:D,2,0),"")</f>
        <v/>
      </c>
      <c r="F55" t="str">
        <f ca="1">IFERROR(VLOOKUP(D55&amp;"Eng",'Declarative sentences'!C:D,2,0),"")</f>
        <v/>
      </c>
    </row>
    <row r="56" spans="1:6" x14ac:dyDescent="0.25">
      <c r="A56" t="str">
        <f t="shared" si="1"/>
        <v/>
      </c>
      <c r="B56" t="str">
        <f t="shared" ca="1" si="0"/>
        <v/>
      </c>
      <c r="C56" s="1" t="str">
        <f ca="1">IFERROR($C$1-1+_xlfn.RANK.EQ(B56,$B$4:$B$40)+COUNTIF(B$4:$B56,B56)-1,"")</f>
        <v/>
      </c>
      <c r="D56" s="1" t="str">
        <f ca="1">IFERROR(VLOOKUP(C56,'Declarative sentences'!A:B,2,0),"")</f>
        <v/>
      </c>
      <c r="E56" t="str">
        <f ca="1">IFERROR(VLOOKUP(D56&amp;"Viet",'Declarative sentences'!C:D,2,0),"")</f>
        <v/>
      </c>
      <c r="F56" t="str">
        <f ca="1">IFERROR(VLOOKUP(D56&amp;"Eng",'Declarative sentences'!C:D,2,0),"")</f>
        <v/>
      </c>
    </row>
    <row r="57" spans="1:6" x14ac:dyDescent="0.25">
      <c r="A57" t="str">
        <f t="shared" si="1"/>
        <v/>
      </c>
      <c r="B57" t="str">
        <f t="shared" ca="1" si="0"/>
        <v/>
      </c>
      <c r="C57" s="1" t="str">
        <f ca="1">IFERROR($C$1-1+_xlfn.RANK.EQ(B57,$B$4:$B$40)+COUNTIF(B$4:$B57,B57)-1,"")</f>
        <v/>
      </c>
      <c r="D57" s="1" t="str">
        <f ca="1">IFERROR(VLOOKUP(C57,'Declarative sentences'!A:B,2,0),"")</f>
        <v/>
      </c>
      <c r="E57" t="str">
        <f ca="1">IFERROR(VLOOKUP(D57&amp;"Viet",'Declarative sentences'!C:D,2,0),"")</f>
        <v/>
      </c>
      <c r="F57" t="str">
        <f ca="1">IFERROR(VLOOKUP(D57&amp;"Eng",'Declarative sentences'!C:D,2,0),"")</f>
        <v/>
      </c>
    </row>
    <row r="58" spans="1:6" x14ac:dyDescent="0.25">
      <c r="A58" t="str">
        <f t="shared" si="1"/>
        <v/>
      </c>
      <c r="B58" t="str">
        <f t="shared" ca="1" si="0"/>
        <v/>
      </c>
      <c r="C58" s="1" t="str">
        <f ca="1">IFERROR($C$1-1+_xlfn.RANK.EQ(B58,$B$4:$B$40)+COUNTIF(B$4:$B58,B58)-1,"")</f>
        <v/>
      </c>
      <c r="D58" s="1" t="str">
        <f ca="1">IFERROR(VLOOKUP(C58,'Declarative sentences'!A:B,2,0),"")</f>
        <v/>
      </c>
      <c r="E58" t="str">
        <f ca="1">IFERROR(VLOOKUP(D58&amp;"Viet",'Declarative sentences'!C:D,2,0),"")</f>
        <v/>
      </c>
      <c r="F58" t="str">
        <f ca="1">IFERROR(VLOOKUP(D58&amp;"Eng",'Declarative sentences'!C:D,2,0),"")</f>
        <v/>
      </c>
    </row>
    <row r="59" spans="1:6" x14ac:dyDescent="0.25">
      <c r="A59" t="str">
        <f t="shared" si="1"/>
        <v/>
      </c>
      <c r="B59" t="str">
        <f t="shared" ca="1" si="0"/>
        <v/>
      </c>
      <c r="C59" s="1" t="str">
        <f ca="1">IFERROR($C$1-1+_xlfn.RANK.EQ(B59,$B$4:$B$40)+COUNTIF(B$4:$B59,B59)-1,"")</f>
        <v/>
      </c>
      <c r="D59" s="1" t="str">
        <f ca="1">IFERROR(VLOOKUP(C59,'Declarative sentences'!A:B,2,0),"")</f>
        <v/>
      </c>
      <c r="E59" t="str">
        <f ca="1">IFERROR(VLOOKUP(D59&amp;"Viet",'Declarative sentences'!C:D,2,0),"")</f>
        <v/>
      </c>
      <c r="F59" t="str">
        <f ca="1">IFERROR(VLOOKUP(D59&amp;"Eng",'Declarative sentences'!C:D,2,0),"")</f>
        <v/>
      </c>
    </row>
    <row r="60" spans="1:6" x14ac:dyDescent="0.25">
      <c r="A60" t="str">
        <f t="shared" si="1"/>
        <v/>
      </c>
      <c r="B60" t="str">
        <f t="shared" ca="1" si="0"/>
        <v/>
      </c>
      <c r="C60" s="1" t="str">
        <f ca="1">IFERROR($C$1-1+_xlfn.RANK.EQ(B60,$B$4:$B$40)+COUNTIF(B$4:$B60,B60)-1,"")</f>
        <v/>
      </c>
      <c r="D60" s="1" t="str">
        <f ca="1">IFERROR(VLOOKUP(C60,'Declarative sentences'!A:B,2,0),"")</f>
        <v/>
      </c>
      <c r="E60" t="str">
        <f ca="1">IFERROR(VLOOKUP(D60&amp;"Viet",'Declarative sentences'!C:D,2,0),"")</f>
        <v/>
      </c>
      <c r="F60" t="str">
        <f ca="1">IFERROR(VLOOKUP(D60&amp;"Eng",'Declarative sentences'!C:D,2,0),"")</f>
        <v/>
      </c>
    </row>
    <row r="61" spans="1:6" x14ac:dyDescent="0.25">
      <c r="A61" t="str">
        <f t="shared" si="1"/>
        <v/>
      </c>
      <c r="B61" t="str">
        <f t="shared" ca="1" si="0"/>
        <v/>
      </c>
      <c r="C61" s="1" t="str">
        <f ca="1">IFERROR($C$1-1+_xlfn.RANK.EQ(B61,$B$4:$B$40)+COUNTIF(B$4:$B61,B61)-1,"")</f>
        <v/>
      </c>
      <c r="D61" s="1" t="str">
        <f ca="1">IFERROR(VLOOKUP(C61,'Declarative sentences'!A:B,2,0),"")</f>
        <v/>
      </c>
      <c r="E61" t="str">
        <f ca="1">IFERROR(VLOOKUP(D61&amp;"Viet",'Declarative sentences'!C:D,2,0),"")</f>
        <v/>
      </c>
      <c r="F61" t="str">
        <f ca="1">IFERROR(VLOOKUP(D61&amp;"Eng",'Declarative sentences'!C:D,2,0),"")</f>
        <v/>
      </c>
    </row>
    <row r="62" spans="1:6" x14ac:dyDescent="0.25">
      <c r="A62" t="str">
        <f t="shared" si="1"/>
        <v/>
      </c>
      <c r="B62" t="str">
        <f t="shared" ca="1" si="0"/>
        <v/>
      </c>
      <c r="C62" s="1" t="str">
        <f ca="1">IFERROR($C$1-1+_xlfn.RANK.EQ(B62,$B$4:$B$40)+COUNTIF(B$4:$B62,B62)-1,"")</f>
        <v/>
      </c>
      <c r="D62" s="1" t="str">
        <f ca="1">IFERROR(VLOOKUP(C62,'Declarative sentences'!A:B,2,0),"")</f>
        <v/>
      </c>
      <c r="E62" t="str">
        <f ca="1">IFERROR(VLOOKUP(D62&amp;"Viet",'Declarative sentences'!C:D,2,0),"")</f>
        <v/>
      </c>
      <c r="F62" t="str">
        <f ca="1">IFERROR(VLOOKUP(D62&amp;"Eng",'Declarative sentences'!C:D,2,0),"")</f>
        <v/>
      </c>
    </row>
    <row r="63" spans="1:6" x14ac:dyDescent="0.25">
      <c r="A63" t="str">
        <f t="shared" si="1"/>
        <v/>
      </c>
      <c r="B63" t="str">
        <f t="shared" ca="1" si="0"/>
        <v/>
      </c>
      <c r="C63" s="1" t="str">
        <f ca="1">IFERROR($C$1-1+_xlfn.RANK.EQ(B63,$B$4:$B$40)+COUNTIF(B$4:$B63,B63)-1,"")</f>
        <v/>
      </c>
      <c r="D63" s="1" t="str">
        <f ca="1">IFERROR(VLOOKUP(C63,'Declarative sentences'!A:B,2,0),"")</f>
        <v/>
      </c>
      <c r="E63" t="str">
        <f ca="1">IFERROR(VLOOKUP(D63&amp;"Viet",'Declarative sentences'!C:D,2,0),"")</f>
        <v/>
      </c>
      <c r="F63" t="str">
        <f ca="1">IFERROR(VLOOKUP(D63&amp;"Eng",'Declarative sentences'!C:D,2,0),"")</f>
        <v/>
      </c>
    </row>
    <row r="64" spans="1:6" x14ac:dyDescent="0.25">
      <c r="A64" t="str">
        <f t="shared" si="1"/>
        <v/>
      </c>
      <c r="B64" t="str">
        <f t="shared" ca="1" si="0"/>
        <v/>
      </c>
      <c r="C64" s="1" t="str">
        <f ca="1">IFERROR($C$1-1+_xlfn.RANK.EQ(B64,$B$4:$B$40)+COUNTIF(B$4:$B64,B64)-1,"")</f>
        <v/>
      </c>
      <c r="D64" s="1" t="str">
        <f ca="1">IFERROR(VLOOKUP(C64,'Declarative sentences'!A:B,2,0),"")</f>
        <v/>
      </c>
      <c r="E64" t="str">
        <f ca="1">IFERROR(VLOOKUP(D64&amp;"Viet",'Declarative sentences'!C:D,2,0),"")</f>
        <v/>
      </c>
      <c r="F64" t="str">
        <f ca="1">IFERROR(VLOOKUP(D64&amp;"Eng",'Declarative sentences'!C:D,2,0),"")</f>
        <v/>
      </c>
    </row>
    <row r="65" spans="1:6" x14ac:dyDescent="0.25">
      <c r="A65" t="str">
        <f t="shared" si="1"/>
        <v/>
      </c>
      <c r="B65" t="str">
        <f t="shared" ca="1" si="0"/>
        <v/>
      </c>
      <c r="C65" s="1" t="str">
        <f ca="1">IFERROR($C$1-1+_xlfn.RANK.EQ(B65,$B$4:$B$40)+COUNTIF(B$4:$B65,B65)-1,"")</f>
        <v/>
      </c>
      <c r="D65" s="1" t="str">
        <f ca="1">IFERROR(VLOOKUP(C65,'Declarative sentences'!A:B,2,0),"")</f>
        <v/>
      </c>
      <c r="E65" t="str">
        <f ca="1">IFERROR(VLOOKUP(D65&amp;"Viet",'Declarative sentences'!C:D,2,0),"")</f>
        <v/>
      </c>
      <c r="F65" t="str">
        <f ca="1">IFERROR(VLOOKUP(D65&amp;"Eng",'Declarative sentences'!C:D,2,0),"")</f>
        <v/>
      </c>
    </row>
    <row r="66" spans="1:6" x14ac:dyDescent="0.25">
      <c r="A66" t="str">
        <f t="shared" si="1"/>
        <v/>
      </c>
      <c r="B66" t="str">
        <f t="shared" ca="1" si="0"/>
        <v/>
      </c>
      <c r="C66" s="1" t="str">
        <f ca="1">IFERROR($C$1-1+_xlfn.RANK.EQ(B66,$B$4:$B$40)+COUNTIF(B$4:$B66,B66)-1,"")</f>
        <v/>
      </c>
      <c r="D66" s="1" t="str">
        <f ca="1">IFERROR(VLOOKUP(C66,'Declarative sentences'!A:B,2,0),"")</f>
        <v/>
      </c>
      <c r="E66" t="str">
        <f ca="1">IFERROR(VLOOKUP(D66&amp;"Viet",'Declarative sentences'!C:D,2,0),"")</f>
        <v/>
      </c>
      <c r="F66" t="str">
        <f ca="1">IFERROR(VLOOKUP(D66&amp;"Eng",'Declarative sentences'!C:D,2,0),"")</f>
        <v/>
      </c>
    </row>
    <row r="67" spans="1:6" x14ac:dyDescent="0.25">
      <c r="A67" t="str">
        <f t="shared" si="1"/>
        <v/>
      </c>
      <c r="B67" t="str">
        <f t="shared" ca="1" si="0"/>
        <v/>
      </c>
      <c r="C67" s="1" t="str">
        <f ca="1">IFERROR($C$1-1+_xlfn.RANK.EQ(B67,$B$4:$B$40)+COUNTIF(B$4:$B67,B67)-1,"")</f>
        <v/>
      </c>
      <c r="D67" s="1" t="str">
        <f ca="1">IFERROR(VLOOKUP(C67,'Declarative sentences'!A:B,2,0),"")</f>
        <v/>
      </c>
      <c r="E67" t="str">
        <f ca="1">IFERROR(VLOOKUP(D67&amp;"Viet",'Declarative sentences'!C:D,2,0),"")</f>
        <v/>
      </c>
      <c r="F67" t="str">
        <f ca="1">IFERROR(VLOOKUP(D67&amp;"Eng",'Declarative sentences'!C:D,2,0),"")</f>
        <v/>
      </c>
    </row>
    <row r="68" spans="1:6" x14ac:dyDescent="0.25">
      <c r="A68" t="str">
        <f t="shared" si="1"/>
        <v/>
      </c>
      <c r="B68" t="str">
        <f t="shared" ref="B68:B131" ca="1" si="2">IF(A68="","",RANDBETWEEN($C$1,$C$2))</f>
        <v/>
      </c>
      <c r="C68" s="1" t="str">
        <f ca="1">IFERROR($C$1-1+_xlfn.RANK.EQ(B68,$B$4:$B$40)+COUNTIF(B$4:$B68,B68)-1,"")</f>
        <v/>
      </c>
      <c r="D68" s="1" t="str">
        <f ca="1">IFERROR(VLOOKUP(C68,'Declarative sentences'!A:B,2,0),"")</f>
        <v/>
      </c>
      <c r="E68" t="str">
        <f ca="1">IFERROR(VLOOKUP(D68&amp;"Viet",'Declarative sentences'!C:D,2,0),"")</f>
        <v/>
      </c>
      <c r="F68" t="str">
        <f ca="1">IFERROR(VLOOKUP(D68&amp;"Eng",'Declarative sentences'!C:D,2,0),"")</f>
        <v/>
      </c>
    </row>
    <row r="69" spans="1:6" x14ac:dyDescent="0.25">
      <c r="A69" t="str">
        <f t="shared" si="1"/>
        <v/>
      </c>
      <c r="B69" t="str">
        <f t="shared" ca="1" si="2"/>
        <v/>
      </c>
      <c r="C69" s="1" t="str">
        <f ca="1">IFERROR($C$1-1+_xlfn.RANK.EQ(B69,$B$4:$B$40)+COUNTIF(B$4:$B69,B69)-1,"")</f>
        <v/>
      </c>
      <c r="D69" s="1" t="str">
        <f ca="1">IFERROR(VLOOKUP(C69,'Declarative sentences'!A:B,2,0),"")</f>
        <v/>
      </c>
      <c r="E69" t="str">
        <f ca="1">IFERROR(VLOOKUP(D69&amp;"Viet",'Declarative sentences'!C:D,2,0),"")</f>
        <v/>
      </c>
      <c r="F69" t="str">
        <f ca="1">IFERROR(VLOOKUP(D69&amp;"Eng",'Declarative sentences'!C:D,2,0),"")</f>
        <v/>
      </c>
    </row>
    <row r="70" spans="1:6" x14ac:dyDescent="0.25">
      <c r="A70" t="str">
        <f t="shared" ref="A70:A133" si="3">IFERROR(IF(A69+1&gt;$C$2,"",A69+1),"")</f>
        <v/>
      </c>
      <c r="B70" t="str">
        <f t="shared" ca="1" si="2"/>
        <v/>
      </c>
      <c r="C70" s="1" t="str">
        <f ca="1">IFERROR($C$1-1+_xlfn.RANK.EQ(B70,$B$4:$B$40)+COUNTIF(B$4:$B70,B70)-1,"")</f>
        <v/>
      </c>
      <c r="D70" s="1" t="str">
        <f ca="1">IFERROR(VLOOKUP(C70,'Declarative sentences'!A:B,2,0),"")</f>
        <v/>
      </c>
      <c r="E70" t="str">
        <f ca="1">IFERROR(VLOOKUP(D70&amp;"Viet",'Declarative sentences'!C:D,2,0),"")</f>
        <v/>
      </c>
      <c r="F70" t="str">
        <f ca="1">IFERROR(VLOOKUP(D70&amp;"Eng",'Declarative sentences'!C:D,2,0),"")</f>
        <v/>
      </c>
    </row>
    <row r="71" spans="1:6" x14ac:dyDescent="0.25">
      <c r="A71" t="str">
        <f t="shared" si="3"/>
        <v/>
      </c>
      <c r="B71" t="str">
        <f t="shared" ca="1" si="2"/>
        <v/>
      </c>
      <c r="C71" s="1" t="str">
        <f ca="1">IFERROR($C$1-1+_xlfn.RANK.EQ(B71,$B$4:$B$40)+COUNTIF(B$4:$B71,B71)-1,"")</f>
        <v/>
      </c>
      <c r="D71" s="1" t="str">
        <f ca="1">IFERROR(VLOOKUP(C71,'Declarative sentences'!A:B,2,0),"")</f>
        <v/>
      </c>
      <c r="E71" t="str">
        <f ca="1">IFERROR(VLOOKUP(D71&amp;"Viet",'Declarative sentences'!C:D,2,0),"")</f>
        <v/>
      </c>
      <c r="F71" t="str">
        <f ca="1">IFERROR(VLOOKUP(D71&amp;"Eng",'Declarative sentences'!C:D,2,0),"")</f>
        <v/>
      </c>
    </row>
    <row r="72" spans="1:6" x14ac:dyDescent="0.25">
      <c r="A72" t="str">
        <f t="shared" si="3"/>
        <v/>
      </c>
      <c r="B72" t="str">
        <f t="shared" ca="1" si="2"/>
        <v/>
      </c>
      <c r="C72" s="1" t="str">
        <f ca="1">IFERROR($C$1-1+_xlfn.RANK.EQ(B72,$B$4:$B$40)+COUNTIF(B$4:$B72,B72)-1,"")</f>
        <v/>
      </c>
      <c r="D72" s="1" t="str">
        <f ca="1">IFERROR(VLOOKUP(C72,'Declarative sentences'!A:B,2,0),"")</f>
        <v/>
      </c>
      <c r="E72" t="str">
        <f ca="1">IFERROR(VLOOKUP(D72&amp;"Viet",'Declarative sentences'!C:D,2,0),"")</f>
        <v/>
      </c>
      <c r="F72" t="str">
        <f ca="1">IFERROR(VLOOKUP(D72&amp;"Eng",'Declarative sentences'!C:D,2,0),"")</f>
        <v/>
      </c>
    </row>
    <row r="73" spans="1:6" x14ac:dyDescent="0.25">
      <c r="A73" t="str">
        <f t="shared" si="3"/>
        <v/>
      </c>
      <c r="B73" t="str">
        <f t="shared" ca="1" si="2"/>
        <v/>
      </c>
      <c r="C73" s="1" t="str">
        <f ca="1">IFERROR($C$1-1+_xlfn.RANK.EQ(B73,$B$4:$B$40)+COUNTIF(B$4:$B73,B73)-1,"")</f>
        <v/>
      </c>
      <c r="D73" s="1" t="str">
        <f ca="1">IFERROR(VLOOKUP(C73,'Declarative sentences'!A:B,2,0),"")</f>
        <v/>
      </c>
    </row>
    <row r="74" spans="1:6" x14ac:dyDescent="0.25">
      <c r="A74" t="str">
        <f t="shared" si="3"/>
        <v/>
      </c>
      <c r="B74" t="str">
        <f t="shared" ca="1" si="2"/>
        <v/>
      </c>
      <c r="C74" s="1" t="str">
        <f ca="1">IFERROR($C$1-1+_xlfn.RANK.EQ(B74,$B$4:$B$40)+COUNTIF(B$4:$B74,B74)-1,"")</f>
        <v/>
      </c>
      <c r="D74" s="1" t="str">
        <f ca="1">IFERROR(VLOOKUP(C74,'Declarative sentences'!A:B,2,0),"")</f>
        <v/>
      </c>
    </row>
    <row r="75" spans="1:6" x14ac:dyDescent="0.25">
      <c r="A75" t="str">
        <f t="shared" si="3"/>
        <v/>
      </c>
      <c r="B75" t="str">
        <f t="shared" ca="1" si="2"/>
        <v/>
      </c>
      <c r="C75" s="1" t="str">
        <f ca="1">IFERROR($C$1-1+_xlfn.RANK.EQ(B75,$B$4:$B$40)+COUNTIF(B$4:$B75,B75)-1,"")</f>
        <v/>
      </c>
      <c r="D75" s="1" t="str">
        <f ca="1">IFERROR(VLOOKUP(C75,'Declarative sentences'!A:B,2,0),"")</f>
        <v/>
      </c>
    </row>
    <row r="76" spans="1:6" x14ac:dyDescent="0.25">
      <c r="A76" t="str">
        <f t="shared" si="3"/>
        <v/>
      </c>
      <c r="B76" t="str">
        <f t="shared" ca="1" si="2"/>
        <v/>
      </c>
      <c r="C76" s="1" t="str">
        <f ca="1">IFERROR($C$1-1+_xlfn.RANK.EQ(B76,$B$4:$B$40)+COUNTIF(B$4:$B76,B76)-1,"")</f>
        <v/>
      </c>
      <c r="D76" s="1" t="str">
        <f ca="1">IFERROR(VLOOKUP(C76,'Declarative sentences'!A:B,2,0),"")</f>
        <v/>
      </c>
    </row>
    <row r="77" spans="1:6" x14ac:dyDescent="0.25">
      <c r="A77" t="str">
        <f t="shared" si="3"/>
        <v/>
      </c>
      <c r="B77" t="str">
        <f t="shared" ca="1" si="2"/>
        <v/>
      </c>
      <c r="C77" s="1" t="str">
        <f ca="1">IFERROR($C$1-1+_xlfn.RANK.EQ(B77,$B$4:$B$40)+COUNTIF(B$4:$B77,B77)-1,"")</f>
        <v/>
      </c>
      <c r="D77" s="1" t="str">
        <f ca="1">IFERROR(VLOOKUP(C77,'Declarative sentences'!A:B,2,0),"")</f>
        <v/>
      </c>
    </row>
    <row r="78" spans="1:6" x14ac:dyDescent="0.25">
      <c r="A78" t="str">
        <f t="shared" si="3"/>
        <v/>
      </c>
      <c r="B78" t="str">
        <f t="shared" ca="1" si="2"/>
        <v/>
      </c>
      <c r="C78" s="1" t="str">
        <f ca="1">IFERROR($C$1-1+_xlfn.RANK.EQ(B78,$B$4:$B$40)+COUNTIF(B$4:$B78,B78)-1,"")</f>
        <v/>
      </c>
      <c r="D78" s="1" t="str">
        <f ca="1">IFERROR(VLOOKUP(C78,'Declarative sentences'!A:B,2,0),"")</f>
        <v/>
      </c>
    </row>
    <row r="79" spans="1:6" x14ac:dyDescent="0.25">
      <c r="A79" t="str">
        <f t="shared" si="3"/>
        <v/>
      </c>
      <c r="B79" t="str">
        <f t="shared" ca="1" si="2"/>
        <v/>
      </c>
      <c r="C79" s="1" t="str">
        <f ca="1">IFERROR($C$1-1+_xlfn.RANK.EQ(B79,$B$4:$B$40)+COUNTIF(B$4:$B79,B79)-1,"")</f>
        <v/>
      </c>
      <c r="D79" s="1" t="str">
        <f ca="1">IFERROR(VLOOKUP(C79,'Declarative sentences'!A:B,2,0),"")</f>
        <v/>
      </c>
    </row>
    <row r="80" spans="1:6" x14ac:dyDescent="0.25">
      <c r="A80" t="str">
        <f t="shared" si="3"/>
        <v/>
      </c>
      <c r="B80" t="str">
        <f t="shared" ca="1" si="2"/>
        <v/>
      </c>
      <c r="C80" s="1" t="str">
        <f ca="1">IFERROR($C$1-1+_xlfn.RANK.EQ(B80,$B$4:$B$40)+COUNTIF(B$4:$B80,B80)-1,"")</f>
        <v/>
      </c>
      <c r="D80" s="1" t="str">
        <f ca="1">IFERROR(VLOOKUP(C80,'Declarative sentences'!A:B,2,0),"")</f>
        <v/>
      </c>
    </row>
    <row r="81" spans="1:4" x14ac:dyDescent="0.25">
      <c r="A81" t="str">
        <f t="shared" si="3"/>
        <v/>
      </c>
      <c r="B81" t="str">
        <f t="shared" ca="1" si="2"/>
        <v/>
      </c>
      <c r="C81" s="1" t="str">
        <f ca="1">IFERROR($C$1-1+_xlfn.RANK.EQ(B81,$B$4:$B$40)+COUNTIF(B$4:$B81,B81)-1,"")</f>
        <v/>
      </c>
      <c r="D81" s="1" t="str">
        <f ca="1">IFERROR(VLOOKUP(C81,'Declarative sentences'!A:B,2,0),"")</f>
        <v/>
      </c>
    </row>
    <row r="82" spans="1:4" x14ac:dyDescent="0.25">
      <c r="A82" t="str">
        <f t="shared" si="3"/>
        <v/>
      </c>
      <c r="B82" t="str">
        <f t="shared" ca="1" si="2"/>
        <v/>
      </c>
      <c r="C82" s="1" t="str">
        <f ca="1">IFERROR($C$1-1+_xlfn.RANK.EQ(B82,$B$4:$B$40)+COUNTIF(B$4:$B82,B82)-1,"")</f>
        <v/>
      </c>
      <c r="D82" s="1" t="str">
        <f ca="1">IFERROR(VLOOKUP(C82,'Declarative sentences'!A:B,2,0),"")</f>
        <v/>
      </c>
    </row>
    <row r="83" spans="1:4" x14ac:dyDescent="0.25">
      <c r="A83" t="str">
        <f t="shared" si="3"/>
        <v/>
      </c>
      <c r="B83" t="str">
        <f t="shared" ca="1" si="2"/>
        <v/>
      </c>
      <c r="C83" s="1" t="str">
        <f ca="1">IFERROR($C$1-1+_xlfn.RANK.EQ(B83,$B$4:$B$40)+COUNTIF(B$4:$B83,B83)-1,"")</f>
        <v/>
      </c>
      <c r="D83" s="1" t="str">
        <f ca="1">IFERROR(VLOOKUP(C83,'Declarative sentences'!A:B,2,0),"")</f>
        <v/>
      </c>
    </row>
    <row r="84" spans="1:4" x14ac:dyDescent="0.25">
      <c r="A84" t="str">
        <f t="shared" si="3"/>
        <v/>
      </c>
      <c r="B84" t="str">
        <f t="shared" ca="1" si="2"/>
        <v/>
      </c>
      <c r="C84" s="1" t="str">
        <f ca="1">IFERROR($C$1-1+_xlfn.RANK.EQ(B84,$B$4:$B$40)+COUNTIF(B$4:$B84,B84)-1,"")</f>
        <v/>
      </c>
      <c r="D84" s="1" t="str">
        <f ca="1">IFERROR(VLOOKUP(C84,'Declarative sentences'!A:B,2,0),"")</f>
        <v/>
      </c>
    </row>
    <row r="85" spans="1:4" x14ac:dyDescent="0.25">
      <c r="A85" t="str">
        <f t="shared" si="3"/>
        <v/>
      </c>
      <c r="B85" t="str">
        <f t="shared" ca="1" si="2"/>
        <v/>
      </c>
      <c r="C85" s="1" t="str">
        <f ca="1">IFERROR($C$1-1+_xlfn.RANK.EQ(B85,$B$4:$B$40)+COUNTIF(B$4:$B85,B85)-1,"")</f>
        <v/>
      </c>
      <c r="D85" s="1" t="str">
        <f ca="1">IFERROR(VLOOKUP(C85,'Declarative sentences'!A:B,2,0),"")</f>
        <v/>
      </c>
    </row>
    <row r="86" spans="1:4" x14ac:dyDescent="0.25">
      <c r="A86" t="str">
        <f t="shared" si="3"/>
        <v/>
      </c>
      <c r="B86" t="str">
        <f t="shared" ca="1" si="2"/>
        <v/>
      </c>
      <c r="C86" s="1" t="str">
        <f ca="1">IFERROR($C$1-1+_xlfn.RANK.EQ(B86,$B$4:$B$40)+COUNTIF(B$4:$B86,B86)-1,"")</f>
        <v/>
      </c>
      <c r="D86" s="1" t="str">
        <f ca="1">IFERROR(VLOOKUP(C86,'Declarative sentences'!A:B,2,0),"")</f>
        <v/>
      </c>
    </row>
    <row r="87" spans="1:4" x14ac:dyDescent="0.25">
      <c r="A87" t="str">
        <f t="shared" si="3"/>
        <v/>
      </c>
      <c r="B87" t="str">
        <f t="shared" ca="1" si="2"/>
        <v/>
      </c>
      <c r="C87" s="1" t="str">
        <f ca="1">IFERROR($C$1-1+_xlfn.RANK.EQ(B87,$B$4:$B$40)+COUNTIF(B$4:$B87,B87)-1,"")</f>
        <v/>
      </c>
      <c r="D87" s="1" t="str">
        <f ca="1">IFERROR(VLOOKUP(C87,'Declarative sentences'!A:B,2,0),"")</f>
        <v/>
      </c>
    </row>
    <row r="88" spans="1:4" x14ac:dyDescent="0.25">
      <c r="A88" t="str">
        <f t="shared" si="3"/>
        <v/>
      </c>
      <c r="B88" t="str">
        <f t="shared" ca="1" si="2"/>
        <v/>
      </c>
      <c r="C88" s="1" t="str">
        <f ca="1">IFERROR($C$1-1+_xlfn.RANK.EQ(B88,$B$4:$B$40)+COUNTIF(B$4:$B88,B88)-1,"")</f>
        <v/>
      </c>
      <c r="D88" s="1" t="str">
        <f ca="1">IFERROR(VLOOKUP(C88,'Declarative sentences'!A:B,2,0),"")</f>
        <v/>
      </c>
    </row>
    <row r="89" spans="1:4" x14ac:dyDescent="0.25">
      <c r="A89" t="str">
        <f t="shared" si="3"/>
        <v/>
      </c>
      <c r="B89" t="str">
        <f t="shared" ca="1" si="2"/>
        <v/>
      </c>
      <c r="C89" s="1" t="str">
        <f ca="1">IFERROR($C$1-1+_xlfn.RANK.EQ(B89,$B$4:$B$40)+COUNTIF(B$4:$B89,B89)-1,"")</f>
        <v/>
      </c>
      <c r="D89" s="1" t="str">
        <f ca="1">IFERROR(VLOOKUP(C89,'Declarative sentences'!A:B,2,0),"")</f>
        <v/>
      </c>
    </row>
    <row r="90" spans="1:4" x14ac:dyDescent="0.25">
      <c r="A90" t="str">
        <f t="shared" si="3"/>
        <v/>
      </c>
      <c r="B90" t="str">
        <f t="shared" ca="1" si="2"/>
        <v/>
      </c>
      <c r="C90" s="1" t="str">
        <f ca="1">IFERROR($C$1-1+_xlfn.RANK.EQ(B90,$B$4:$B$40)+COUNTIF(B$4:$B90,B90)-1,"")</f>
        <v/>
      </c>
      <c r="D90" s="1" t="str">
        <f ca="1">IFERROR(VLOOKUP(C90,'Declarative sentences'!A:B,2,0),"")</f>
        <v/>
      </c>
    </row>
    <row r="91" spans="1:4" x14ac:dyDescent="0.25">
      <c r="A91" t="str">
        <f t="shared" si="3"/>
        <v/>
      </c>
      <c r="B91" t="str">
        <f t="shared" ca="1" si="2"/>
        <v/>
      </c>
      <c r="C91" s="1" t="str">
        <f ca="1">IFERROR($C$1-1+_xlfn.RANK.EQ(B91,$B$4:$B$40)+COUNTIF(B$4:$B91,B91)-1,"")</f>
        <v/>
      </c>
      <c r="D91" s="1" t="str">
        <f ca="1">IFERROR(VLOOKUP(C91,'Declarative sentences'!A:B,2,0),"")</f>
        <v/>
      </c>
    </row>
    <row r="92" spans="1:4" x14ac:dyDescent="0.25">
      <c r="A92" t="str">
        <f t="shared" si="3"/>
        <v/>
      </c>
      <c r="B92" t="str">
        <f t="shared" ca="1" si="2"/>
        <v/>
      </c>
      <c r="C92" s="1" t="str">
        <f ca="1">IFERROR($C$1-1+_xlfn.RANK.EQ(B92,$B$4:$B$40)+COUNTIF(B$4:$B92,B92)-1,"")</f>
        <v/>
      </c>
      <c r="D92" s="1" t="str">
        <f ca="1">IFERROR(VLOOKUP(C92,'Declarative sentences'!A:B,2,0),"")</f>
        <v/>
      </c>
    </row>
    <row r="93" spans="1:4" x14ac:dyDescent="0.25">
      <c r="A93" t="str">
        <f t="shared" si="3"/>
        <v/>
      </c>
      <c r="B93" t="str">
        <f t="shared" ca="1" si="2"/>
        <v/>
      </c>
      <c r="C93" s="1" t="str">
        <f ca="1">IFERROR($C$1-1+_xlfn.RANK.EQ(B93,$B$4:$B$40)+COUNTIF(B$4:$B93,B93)-1,"")</f>
        <v/>
      </c>
      <c r="D93" s="1" t="str">
        <f ca="1">IFERROR(VLOOKUP(C93,'Declarative sentences'!A:B,2,0),"")</f>
        <v/>
      </c>
    </row>
    <row r="94" spans="1:4" x14ac:dyDescent="0.25">
      <c r="A94" t="str">
        <f t="shared" si="3"/>
        <v/>
      </c>
      <c r="B94" t="str">
        <f t="shared" ca="1" si="2"/>
        <v/>
      </c>
      <c r="C94" s="1" t="str">
        <f ca="1">IFERROR($C$1-1+_xlfn.RANK.EQ(B94,$B$4:$B$40)+COUNTIF(B$4:$B94,B94)-1,"")</f>
        <v/>
      </c>
      <c r="D94" s="1" t="str">
        <f ca="1">IFERROR(VLOOKUP(C94,'Declarative sentences'!A:B,2,0),"")</f>
        <v/>
      </c>
    </row>
    <row r="95" spans="1:4" x14ac:dyDescent="0.25">
      <c r="A95" t="str">
        <f t="shared" si="3"/>
        <v/>
      </c>
      <c r="B95" t="str">
        <f t="shared" ca="1" si="2"/>
        <v/>
      </c>
      <c r="C95" s="1" t="str">
        <f ca="1">IFERROR($C$1-1+_xlfn.RANK.EQ(B95,$B$4:$B$40)+COUNTIF(B$4:$B95,B95)-1,"")</f>
        <v/>
      </c>
      <c r="D95" s="1" t="str">
        <f ca="1">IFERROR(VLOOKUP(C95,'Declarative sentences'!A:B,2,0),"")</f>
        <v/>
      </c>
    </row>
    <row r="96" spans="1:4" x14ac:dyDescent="0.25">
      <c r="A96" t="str">
        <f t="shared" si="3"/>
        <v/>
      </c>
      <c r="B96" t="str">
        <f t="shared" ca="1" si="2"/>
        <v/>
      </c>
      <c r="C96" s="1" t="str">
        <f ca="1">IFERROR($C$1-1+_xlfn.RANK.EQ(B96,$B$4:$B$40)+COUNTIF(B$4:$B96,B96)-1,"")</f>
        <v/>
      </c>
      <c r="D96" s="1" t="str">
        <f ca="1">IFERROR(VLOOKUP(C96,'Declarative sentences'!A:B,2,0),"")</f>
        <v/>
      </c>
    </row>
    <row r="97" spans="1:4" x14ac:dyDescent="0.25">
      <c r="A97" t="str">
        <f t="shared" si="3"/>
        <v/>
      </c>
      <c r="B97" t="str">
        <f t="shared" ca="1" si="2"/>
        <v/>
      </c>
      <c r="C97" s="1" t="str">
        <f ca="1">IFERROR($C$1-1+_xlfn.RANK.EQ(B97,$B$4:$B$40)+COUNTIF(B$4:$B97,B97)-1,"")</f>
        <v/>
      </c>
      <c r="D97" s="1" t="str">
        <f ca="1">IFERROR(VLOOKUP(C97,'Declarative sentences'!A:B,2,0),"")</f>
        <v/>
      </c>
    </row>
    <row r="98" spans="1:4" x14ac:dyDescent="0.25">
      <c r="A98" t="str">
        <f t="shared" si="3"/>
        <v/>
      </c>
      <c r="B98" t="str">
        <f t="shared" ca="1" si="2"/>
        <v/>
      </c>
      <c r="C98" s="1" t="str">
        <f ca="1">IFERROR($C$1-1+_xlfn.RANK.EQ(B98,$B$4:$B$40)+COUNTIF(B$4:$B98,B98)-1,"")</f>
        <v/>
      </c>
      <c r="D98" s="1" t="str">
        <f ca="1">IFERROR(VLOOKUP(C98,'Declarative sentences'!A:B,2,0),"")</f>
        <v/>
      </c>
    </row>
    <row r="99" spans="1:4" x14ac:dyDescent="0.25">
      <c r="A99" t="str">
        <f t="shared" si="3"/>
        <v/>
      </c>
      <c r="B99" t="str">
        <f t="shared" ca="1" si="2"/>
        <v/>
      </c>
      <c r="C99" s="1" t="str">
        <f ca="1">IFERROR($C$1-1+_xlfn.RANK.EQ(B99,$B$4:$B$40)+COUNTIF(B$4:$B99,B99)-1,"")</f>
        <v/>
      </c>
      <c r="D99" s="1" t="str">
        <f ca="1">IFERROR(VLOOKUP(C99,'Declarative sentences'!A:B,2,0),"")</f>
        <v/>
      </c>
    </row>
    <row r="100" spans="1:4" x14ac:dyDescent="0.25">
      <c r="A100" t="str">
        <f t="shared" si="3"/>
        <v/>
      </c>
      <c r="B100" t="str">
        <f t="shared" ca="1" si="2"/>
        <v/>
      </c>
      <c r="C100" s="1" t="str">
        <f ca="1">IFERROR($C$1-1+_xlfn.RANK.EQ(B100,$B$4:$B$40)+COUNTIF(B$4:$B100,B100)-1,"")</f>
        <v/>
      </c>
      <c r="D100" s="1" t="str">
        <f ca="1">IFERROR(VLOOKUP(C100,'Declarative sentences'!A:B,2,0),"")</f>
        <v/>
      </c>
    </row>
    <row r="101" spans="1:4" x14ac:dyDescent="0.25">
      <c r="A101" t="str">
        <f t="shared" si="3"/>
        <v/>
      </c>
      <c r="B101" t="str">
        <f t="shared" ca="1" si="2"/>
        <v/>
      </c>
      <c r="C101" s="1" t="str">
        <f ca="1">IFERROR($C$1-1+_xlfn.RANK.EQ(B101,$B$4:$B$40)+COUNTIF(B$4:$B101,B101)-1,"")</f>
        <v/>
      </c>
      <c r="D101" s="1" t="str">
        <f ca="1">IFERROR(VLOOKUP(C101,'Declarative sentences'!A:B,2,0),"")</f>
        <v/>
      </c>
    </row>
    <row r="102" spans="1:4" x14ac:dyDescent="0.25">
      <c r="A102" t="str">
        <f t="shared" si="3"/>
        <v/>
      </c>
      <c r="B102" t="str">
        <f t="shared" ca="1" si="2"/>
        <v/>
      </c>
      <c r="C102" s="1" t="str">
        <f ca="1">IFERROR($C$1-1+_xlfn.RANK.EQ(B102,$B$4:$B$40)+COUNTIF(B$4:$B102,B102)-1,"")</f>
        <v/>
      </c>
      <c r="D102" s="1" t="str">
        <f ca="1">IFERROR(VLOOKUP(C102,'Declarative sentences'!A:B,2,0),"")</f>
        <v/>
      </c>
    </row>
    <row r="103" spans="1:4" x14ac:dyDescent="0.25">
      <c r="A103" t="str">
        <f t="shared" si="3"/>
        <v/>
      </c>
      <c r="B103" t="str">
        <f t="shared" ca="1" si="2"/>
        <v/>
      </c>
      <c r="C103" s="1" t="str">
        <f ca="1">IFERROR($C$1-1+_xlfn.RANK.EQ(B103,$B$4:$B$40)+COUNTIF(B$4:$B103,B103)-1,"")</f>
        <v/>
      </c>
      <c r="D103" s="1" t="str">
        <f ca="1">IFERROR(VLOOKUP(C103,'Declarative sentences'!A:B,2,0),"")</f>
        <v/>
      </c>
    </row>
    <row r="104" spans="1:4" x14ac:dyDescent="0.25">
      <c r="A104" t="str">
        <f t="shared" si="3"/>
        <v/>
      </c>
      <c r="B104" t="str">
        <f t="shared" ca="1" si="2"/>
        <v/>
      </c>
      <c r="C104" s="1" t="str">
        <f ca="1">IFERROR($C$1-1+_xlfn.RANK.EQ(B104,$B$4:$B$40)+COUNTIF(B$4:$B104,B104)-1,"")</f>
        <v/>
      </c>
      <c r="D104" s="1" t="str">
        <f ca="1">IFERROR(VLOOKUP(C104,'Declarative sentences'!A:B,2,0),"")</f>
        <v/>
      </c>
    </row>
    <row r="105" spans="1:4" x14ac:dyDescent="0.25">
      <c r="A105" t="str">
        <f t="shared" si="3"/>
        <v/>
      </c>
      <c r="B105" t="str">
        <f t="shared" ca="1" si="2"/>
        <v/>
      </c>
      <c r="C105" s="1" t="str">
        <f ca="1">IFERROR($C$1-1+_xlfn.RANK.EQ(B105,$B$4:$B$40)+COUNTIF(B$4:$B105,B105)-1,"")</f>
        <v/>
      </c>
      <c r="D105" s="1" t="str">
        <f ca="1">IFERROR(VLOOKUP(C105,'Declarative sentences'!A:B,2,0),"")</f>
        <v/>
      </c>
    </row>
    <row r="106" spans="1:4" x14ac:dyDescent="0.25">
      <c r="A106" t="str">
        <f t="shared" si="3"/>
        <v/>
      </c>
      <c r="B106" t="str">
        <f t="shared" ca="1" si="2"/>
        <v/>
      </c>
      <c r="C106" s="1" t="str">
        <f ca="1">IFERROR($C$1-1+_xlfn.RANK.EQ(B106,$B$4:$B$40)+COUNTIF(B$4:$B106,B106)-1,"")</f>
        <v/>
      </c>
      <c r="D106" s="1" t="str">
        <f ca="1">IFERROR(VLOOKUP(C106,'Declarative sentences'!A:B,2,0),"")</f>
        <v/>
      </c>
    </row>
    <row r="107" spans="1:4" x14ac:dyDescent="0.25">
      <c r="A107" t="str">
        <f t="shared" si="3"/>
        <v/>
      </c>
      <c r="B107" t="str">
        <f t="shared" ca="1" si="2"/>
        <v/>
      </c>
      <c r="C107" s="1" t="str">
        <f ca="1">IFERROR($C$1-1+_xlfn.RANK.EQ(B107,$B$4:$B$40)+COUNTIF(B$4:$B107,B107)-1,"")</f>
        <v/>
      </c>
      <c r="D107" s="1" t="str">
        <f ca="1">IFERROR(VLOOKUP(C107,'Declarative sentences'!A:B,2,0),"")</f>
        <v/>
      </c>
    </row>
    <row r="108" spans="1:4" x14ac:dyDescent="0.25">
      <c r="A108" t="str">
        <f t="shared" si="3"/>
        <v/>
      </c>
      <c r="B108" t="str">
        <f t="shared" ca="1" si="2"/>
        <v/>
      </c>
      <c r="C108" s="1" t="str">
        <f ca="1">IFERROR($C$1-1+_xlfn.RANK.EQ(B108,$B$4:$B$40)+COUNTIF(B$4:$B108,B108)-1,"")</f>
        <v/>
      </c>
      <c r="D108" s="1" t="str">
        <f ca="1">IFERROR(VLOOKUP(C108,'Declarative sentences'!A:B,2,0),"")</f>
        <v/>
      </c>
    </row>
    <row r="109" spans="1:4" x14ac:dyDescent="0.25">
      <c r="A109" t="str">
        <f t="shared" si="3"/>
        <v/>
      </c>
      <c r="B109" t="str">
        <f t="shared" ca="1" si="2"/>
        <v/>
      </c>
      <c r="C109" s="1" t="str">
        <f ca="1">IFERROR($C$1-1+_xlfn.RANK.EQ(B109,$B$4:$B$40)+COUNTIF(B$4:$B109,B109)-1,"")</f>
        <v/>
      </c>
      <c r="D109" s="1" t="str">
        <f ca="1">IFERROR(VLOOKUP(C109,'Declarative sentences'!A:B,2,0),"")</f>
        <v/>
      </c>
    </row>
    <row r="110" spans="1:4" x14ac:dyDescent="0.25">
      <c r="A110" t="str">
        <f t="shared" si="3"/>
        <v/>
      </c>
      <c r="B110" t="str">
        <f t="shared" ca="1" si="2"/>
        <v/>
      </c>
      <c r="C110" s="1" t="str">
        <f ca="1">IFERROR($C$1-1+_xlfn.RANK.EQ(B110,$B$4:$B$40)+COUNTIF(B$4:$B110,B110)-1,"")</f>
        <v/>
      </c>
      <c r="D110" s="1" t="str">
        <f ca="1">IFERROR(VLOOKUP(C110,'Declarative sentences'!A:B,2,0),"")</f>
        <v/>
      </c>
    </row>
    <row r="111" spans="1:4" x14ac:dyDescent="0.25">
      <c r="A111" t="str">
        <f t="shared" si="3"/>
        <v/>
      </c>
      <c r="B111" t="str">
        <f t="shared" ca="1" si="2"/>
        <v/>
      </c>
      <c r="C111" s="1" t="str">
        <f ca="1">IFERROR($C$1-1+_xlfn.RANK.EQ(B111,$B$4:$B$40)+COUNTIF(B$4:$B111,B111)-1,"")</f>
        <v/>
      </c>
      <c r="D111" s="1" t="str">
        <f ca="1">IFERROR(VLOOKUP(C111,'Declarative sentences'!A:B,2,0),"")</f>
        <v/>
      </c>
    </row>
    <row r="112" spans="1:4" x14ac:dyDescent="0.25">
      <c r="A112" t="str">
        <f t="shared" si="3"/>
        <v/>
      </c>
      <c r="B112" t="str">
        <f t="shared" ca="1" si="2"/>
        <v/>
      </c>
      <c r="C112" s="1" t="str">
        <f ca="1">IFERROR($C$1-1+_xlfn.RANK.EQ(B112,$B$4:$B$40)+COUNTIF(B$4:$B112,B112)-1,"")</f>
        <v/>
      </c>
      <c r="D112" s="1" t="str">
        <f ca="1">IFERROR(VLOOKUP(C112,'Declarative sentences'!A:B,2,0),"")</f>
        <v/>
      </c>
    </row>
    <row r="113" spans="1:4" x14ac:dyDescent="0.25">
      <c r="A113" t="str">
        <f t="shared" si="3"/>
        <v/>
      </c>
      <c r="B113" t="str">
        <f t="shared" ca="1" si="2"/>
        <v/>
      </c>
      <c r="C113" s="1" t="str">
        <f ca="1">IFERROR($C$1-1+_xlfn.RANK.EQ(B113,$B$4:$B$40)+COUNTIF(B$4:$B113,B113)-1,"")</f>
        <v/>
      </c>
      <c r="D113" s="1" t="str">
        <f ca="1">IFERROR(VLOOKUP(C113,'Declarative sentences'!A:B,2,0),"")</f>
        <v/>
      </c>
    </row>
    <row r="114" spans="1:4" x14ac:dyDescent="0.25">
      <c r="A114" t="str">
        <f t="shared" si="3"/>
        <v/>
      </c>
      <c r="B114" t="str">
        <f t="shared" ca="1" si="2"/>
        <v/>
      </c>
      <c r="C114" s="1" t="str">
        <f ca="1">IFERROR($C$1-1+_xlfn.RANK.EQ(B114,$B$4:$B$40)+COUNTIF(B$4:$B114,B114)-1,"")</f>
        <v/>
      </c>
      <c r="D114" s="1" t="str">
        <f ca="1">IFERROR(VLOOKUP(C114,'Declarative sentences'!A:B,2,0),"")</f>
        <v/>
      </c>
    </row>
    <row r="115" spans="1:4" x14ac:dyDescent="0.25">
      <c r="A115" t="str">
        <f t="shared" si="3"/>
        <v/>
      </c>
      <c r="B115" t="str">
        <f t="shared" ca="1" si="2"/>
        <v/>
      </c>
      <c r="C115" s="1" t="str">
        <f ca="1">IFERROR($C$1-1+_xlfn.RANK.EQ(B115,$B$4:$B$40)+COUNTIF(B$4:$B115,B115)-1,"")</f>
        <v/>
      </c>
      <c r="D115" s="1" t="str">
        <f ca="1">IFERROR(VLOOKUP(C115,'Declarative sentences'!A:B,2,0),"")</f>
        <v/>
      </c>
    </row>
    <row r="116" spans="1:4" x14ac:dyDescent="0.25">
      <c r="A116" t="str">
        <f t="shared" si="3"/>
        <v/>
      </c>
      <c r="B116" t="str">
        <f t="shared" ca="1" si="2"/>
        <v/>
      </c>
      <c r="C116" s="1" t="str">
        <f ca="1">IFERROR($C$1-1+_xlfn.RANK.EQ(B116,$B$4:$B$40)+COUNTIF(B$4:$B116,B116)-1,"")</f>
        <v/>
      </c>
      <c r="D116" s="1" t="str">
        <f ca="1">IFERROR(VLOOKUP(C116,'Declarative sentences'!A:B,2,0),"")</f>
        <v/>
      </c>
    </row>
    <row r="117" spans="1:4" x14ac:dyDescent="0.25">
      <c r="A117" t="str">
        <f t="shared" si="3"/>
        <v/>
      </c>
      <c r="B117" t="str">
        <f t="shared" ca="1" si="2"/>
        <v/>
      </c>
      <c r="C117" s="1" t="str">
        <f ca="1">IFERROR($C$1-1+_xlfn.RANK.EQ(B117,$B$4:$B$40)+COUNTIF(B$4:$B117,B117)-1,"")</f>
        <v/>
      </c>
      <c r="D117" s="1" t="str">
        <f ca="1">IFERROR(VLOOKUP(C117,'Declarative sentences'!A:B,2,0),"")</f>
        <v/>
      </c>
    </row>
    <row r="118" spans="1:4" x14ac:dyDescent="0.25">
      <c r="A118" t="str">
        <f t="shared" si="3"/>
        <v/>
      </c>
      <c r="B118" t="str">
        <f t="shared" ca="1" si="2"/>
        <v/>
      </c>
      <c r="C118" s="1" t="str">
        <f ca="1">IFERROR($C$1-1+_xlfn.RANK.EQ(B118,$B$4:$B$40)+COUNTIF(B$4:$B118,B118)-1,"")</f>
        <v/>
      </c>
      <c r="D118" s="1" t="str">
        <f ca="1">IFERROR(VLOOKUP(C118,'Declarative sentences'!A:B,2,0),"")</f>
        <v/>
      </c>
    </row>
    <row r="119" spans="1:4" x14ac:dyDescent="0.25">
      <c r="A119" t="str">
        <f t="shared" si="3"/>
        <v/>
      </c>
      <c r="B119" t="str">
        <f t="shared" ca="1" si="2"/>
        <v/>
      </c>
      <c r="C119" s="1" t="str">
        <f ca="1">IFERROR($C$1-1+_xlfn.RANK.EQ(B119,$B$4:$B$40)+COUNTIF(B$4:$B119,B119)-1,"")</f>
        <v/>
      </c>
      <c r="D119" s="1" t="str">
        <f ca="1">IFERROR(VLOOKUP(C119,'Declarative sentences'!A:B,2,0),"")</f>
        <v/>
      </c>
    </row>
    <row r="120" spans="1:4" x14ac:dyDescent="0.25">
      <c r="A120" t="str">
        <f t="shared" si="3"/>
        <v/>
      </c>
      <c r="B120" t="str">
        <f t="shared" ca="1" si="2"/>
        <v/>
      </c>
      <c r="C120" s="1" t="str">
        <f ca="1">IFERROR($C$1-1+_xlfn.RANK.EQ(B120,$B$4:$B$40)+COUNTIF(B$4:$B120,B120)-1,"")</f>
        <v/>
      </c>
      <c r="D120" s="1" t="str">
        <f ca="1">IFERROR(VLOOKUP(C120,'Declarative sentences'!A:B,2,0),"")</f>
        <v/>
      </c>
    </row>
    <row r="121" spans="1:4" x14ac:dyDescent="0.25">
      <c r="A121" t="str">
        <f t="shared" si="3"/>
        <v/>
      </c>
      <c r="B121" t="str">
        <f t="shared" ca="1" si="2"/>
        <v/>
      </c>
      <c r="C121" s="1" t="str">
        <f ca="1">IFERROR($C$1-1+_xlfn.RANK.EQ(B121,$B$4:$B$40)+COUNTIF(B$4:$B121,B121)-1,"")</f>
        <v/>
      </c>
      <c r="D121" s="1" t="str">
        <f ca="1">IFERROR(VLOOKUP(C121,'Declarative sentences'!A:B,2,0),"")</f>
        <v/>
      </c>
    </row>
    <row r="122" spans="1:4" x14ac:dyDescent="0.25">
      <c r="A122" t="str">
        <f t="shared" si="3"/>
        <v/>
      </c>
      <c r="B122" t="str">
        <f t="shared" ca="1" si="2"/>
        <v/>
      </c>
      <c r="C122" s="1" t="str">
        <f ca="1">IFERROR($C$1-1+_xlfn.RANK.EQ(B122,$B$4:$B$40)+COUNTIF(B$4:$B122,B122)-1,"")</f>
        <v/>
      </c>
      <c r="D122" s="1" t="str">
        <f ca="1">IFERROR(VLOOKUP(C122,'Declarative sentences'!A:B,2,0),"")</f>
        <v/>
      </c>
    </row>
    <row r="123" spans="1:4" x14ac:dyDescent="0.25">
      <c r="A123" t="str">
        <f t="shared" si="3"/>
        <v/>
      </c>
      <c r="B123" t="str">
        <f t="shared" ca="1" si="2"/>
        <v/>
      </c>
      <c r="C123" s="1" t="str">
        <f ca="1">IFERROR($C$1-1+_xlfn.RANK.EQ(B123,$B$4:$B$40)+COUNTIF(B$4:$B123,B123)-1,"")</f>
        <v/>
      </c>
      <c r="D123" s="1" t="str">
        <f ca="1">IFERROR(VLOOKUP(C123,'Declarative sentences'!A:B,2,0),"")</f>
        <v/>
      </c>
    </row>
    <row r="124" spans="1:4" x14ac:dyDescent="0.25">
      <c r="A124" t="str">
        <f t="shared" si="3"/>
        <v/>
      </c>
      <c r="B124" t="str">
        <f t="shared" ca="1" si="2"/>
        <v/>
      </c>
      <c r="C124" s="1" t="str">
        <f ca="1">IFERROR($C$1-1+_xlfn.RANK.EQ(B124,$B$4:$B$40)+COUNTIF(B$4:$B124,B124)-1,"")</f>
        <v/>
      </c>
      <c r="D124" s="1" t="str">
        <f ca="1">IFERROR(VLOOKUP(C124,'Declarative sentences'!A:B,2,0),"")</f>
        <v/>
      </c>
    </row>
    <row r="125" spans="1:4" x14ac:dyDescent="0.25">
      <c r="A125" t="str">
        <f t="shared" si="3"/>
        <v/>
      </c>
      <c r="B125" t="str">
        <f t="shared" ca="1" si="2"/>
        <v/>
      </c>
      <c r="C125" s="1" t="str">
        <f ca="1">IFERROR($C$1-1+_xlfn.RANK.EQ(B125,$B$4:$B$40)+COUNTIF(B$4:$B125,B125)-1,"")</f>
        <v/>
      </c>
      <c r="D125" s="1" t="str">
        <f ca="1">IFERROR(VLOOKUP(C125,'Declarative sentences'!A:B,2,0),"")</f>
        <v/>
      </c>
    </row>
    <row r="126" spans="1:4" x14ac:dyDescent="0.25">
      <c r="A126" t="str">
        <f t="shared" si="3"/>
        <v/>
      </c>
      <c r="B126" t="str">
        <f t="shared" ca="1" si="2"/>
        <v/>
      </c>
      <c r="C126" s="1" t="str">
        <f ca="1">IFERROR($C$1-1+_xlfn.RANK.EQ(B126,$B$4:$B$40)+COUNTIF(B$4:$B126,B126)-1,"")</f>
        <v/>
      </c>
      <c r="D126" s="1" t="str">
        <f ca="1">IFERROR(VLOOKUP(C126,'Declarative sentences'!A:B,2,0),"")</f>
        <v/>
      </c>
    </row>
    <row r="127" spans="1:4" x14ac:dyDescent="0.25">
      <c r="A127" t="str">
        <f t="shared" si="3"/>
        <v/>
      </c>
      <c r="B127" t="str">
        <f t="shared" ca="1" si="2"/>
        <v/>
      </c>
      <c r="C127" s="1" t="str">
        <f ca="1">IFERROR($C$1-1+_xlfn.RANK.EQ(B127,$B$4:$B$40)+COUNTIF(B$4:$B127,B127)-1,"")</f>
        <v/>
      </c>
      <c r="D127" s="1" t="str">
        <f ca="1">IFERROR(VLOOKUP(C127,'Declarative sentences'!A:B,2,0),"")</f>
        <v/>
      </c>
    </row>
    <row r="128" spans="1:4" x14ac:dyDescent="0.25">
      <c r="A128" t="str">
        <f t="shared" si="3"/>
        <v/>
      </c>
      <c r="B128" t="str">
        <f t="shared" ca="1" si="2"/>
        <v/>
      </c>
      <c r="C128" s="1" t="str">
        <f ca="1">IFERROR($C$1-1+_xlfn.RANK.EQ(B128,$B$4:$B$40)+COUNTIF(B$4:$B128,B128)-1,"")</f>
        <v/>
      </c>
      <c r="D128" s="1" t="str">
        <f ca="1">IFERROR(VLOOKUP(C128,'Declarative sentences'!A:B,2,0),"")</f>
        <v/>
      </c>
    </row>
    <row r="129" spans="1:4" x14ac:dyDescent="0.25">
      <c r="A129" t="str">
        <f t="shared" si="3"/>
        <v/>
      </c>
      <c r="B129" t="str">
        <f t="shared" ca="1" si="2"/>
        <v/>
      </c>
      <c r="C129" s="1" t="str">
        <f ca="1">IFERROR($C$1-1+_xlfn.RANK.EQ(B129,$B$4:$B$40)+COUNTIF(B$4:$B129,B129)-1,"")</f>
        <v/>
      </c>
      <c r="D129" s="1" t="str">
        <f ca="1">IFERROR(VLOOKUP(C129,'Declarative sentences'!A:B,2,0),"")</f>
        <v/>
      </c>
    </row>
    <row r="130" spans="1:4" x14ac:dyDescent="0.25">
      <c r="A130" t="str">
        <f t="shared" si="3"/>
        <v/>
      </c>
      <c r="B130" t="str">
        <f t="shared" ca="1" si="2"/>
        <v/>
      </c>
      <c r="C130" s="1" t="str">
        <f ca="1">IFERROR($C$1-1+_xlfn.RANK.EQ(B130,$B$4:$B$40)+COUNTIF(B$4:$B130,B130)-1,"")</f>
        <v/>
      </c>
      <c r="D130" s="1" t="str">
        <f ca="1">IFERROR(VLOOKUP(C130,'Declarative sentences'!A:B,2,0),"")</f>
        <v/>
      </c>
    </row>
    <row r="131" spans="1:4" x14ac:dyDescent="0.25">
      <c r="A131" t="str">
        <f t="shared" si="3"/>
        <v/>
      </c>
      <c r="B131" t="str">
        <f t="shared" ca="1" si="2"/>
        <v/>
      </c>
      <c r="C131" s="1" t="str">
        <f ca="1">IFERROR($C$1-1+_xlfn.RANK.EQ(B131,$B$4:$B$40)+COUNTIF(B$4:$B131,B131)-1,"")</f>
        <v/>
      </c>
      <c r="D131" s="1" t="str">
        <f ca="1">IFERROR(VLOOKUP(C131,'Declarative sentences'!A:B,2,0),"")</f>
        <v/>
      </c>
    </row>
    <row r="132" spans="1:4" x14ac:dyDescent="0.25">
      <c r="A132" t="str">
        <f t="shared" si="3"/>
        <v/>
      </c>
      <c r="B132" t="str">
        <f t="shared" ref="B132:B195" ca="1" si="4">IF(A132="","",RANDBETWEEN($C$1,$C$2))</f>
        <v/>
      </c>
      <c r="C132" s="1" t="str">
        <f ca="1">IFERROR($C$1-1+_xlfn.RANK.EQ(B132,$B$4:$B$40)+COUNTIF(B$4:$B132,B132)-1,"")</f>
        <v/>
      </c>
      <c r="D132" s="1" t="str">
        <f ca="1">IFERROR(VLOOKUP(C132,'Declarative sentences'!A:B,2,0),"")</f>
        <v/>
      </c>
    </row>
    <row r="133" spans="1:4" x14ac:dyDescent="0.25">
      <c r="A133" t="str">
        <f t="shared" si="3"/>
        <v/>
      </c>
      <c r="B133" t="str">
        <f t="shared" ca="1" si="4"/>
        <v/>
      </c>
      <c r="C133" s="1" t="str">
        <f ca="1">IFERROR($C$1-1+_xlfn.RANK.EQ(B133,$B$4:$B$40)+COUNTIF(B$4:$B133,B133)-1,"")</f>
        <v/>
      </c>
      <c r="D133" s="1" t="str">
        <f ca="1">IFERROR(VLOOKUP(C133,'Declarative sentences'!A:B,2,0),"")</f>
        <v/>
      </c>
    </row>
    <row r="134" spans="1:4" x14ac:dyDescent="0.25">
      <c r="A134" t="str">
        <f t="shared" ref="A134:A197" si="5">IFERROR(IF(A133+1&gt;$C$2,"",A133+1),"")</f>
        <v/>
      </c>
      <c r="B134" t="str">
        <f t="shared" ca="1" si="4"/>
        <v/>
      </c>
      <c r="C134" s="1" t="str">
        <f ca="1">IFERROR($C$1-1+_xlfn.RANK.EQ(B134,$B$4:$B$40)+COUNTIF(B$4:$B134,B134)-1,"")</f>
        <v/>
      </c>
      <c r="D134" s="1" t="str">
        <f ca="1">IFERROR(VLOOKUP(C134,'Declarative sentences'!A:B,2,0),"")</f>
        <v/>
      </c>
    </row>
    <row r="135" spans="1:4" x14ac:dyDescent="0.25">
      <c r="A135" t="str">
        <f t="shared" si="5"/>
        <v/>
      </c>
      <c r="B135" t="str">
        <f t="shared" ca="1" si="4"/>
        <v/>
      </c>
      <c r="C135" s="1" t="str">
        <f ca="1">IFERROR($C$1-1+_xlfn.RANK.EQ(B135,$B$4:$B$40)+COUNTIF(B$4:$B135,B135)-1,"")</f>
        <v/>
      </c>
      <c r="D135" s="1" t="str">
        <f ca="1">IFERROR(VLOOKUP(C135,'Declarative sentences'!A:B,2,0),"")</f>
        <v/>
      </c>
    </row>
    <row r="136" spans="1:4" x14ac:dyDescent="0.25">
      <c r="A136" t="str">
        <f t="shared" si="5"/>
        <v/>
      </c>
      <c r="B136" t="str">
        <f t="shared" ca="1" si="4"/>
        <v/>
      </c>
      <c r="C136" s="1" t="str">
        <f ca="1">IFERROR($C$1-1+_xlfn.RANK.EQ(B136,$B$4:$B$40)+COUNTIF(B$4:$B136,B136)-1,"")</f>
        <v/>
      </c>
      <c r="D136" s="1" t="str">
        <f ca="1">IFERROR(VLOOKUP(C136,'Declarative sentences'!A:B,2,0),"")</f>
        <v/>
      </c>
    </row>
    <row r="137" spans="1:4" x14ac:dyDescent="0.25">
      <c r="A137" t="str">
        <f t="shared" si="5"/>
        <v/>
      </c>
      <c r="B137" t="str">
        <f t="shared" ca="1" si="4"/>
        <v/>
      </c>
      <c r="C137" s="1" t="str">
        <f ca="1">IFERROR($C$1-1+_xlfn.RANK.EQ(B137,$B$4:$B$40)+COUNTIF(B$4:$B137,B137)-1,"")</f>
        <v/>
      </c>
      <c r="D137" s="1" t="str">
        <f ca="1">IFERROR(VLOOKUP(C137,'Declarative sentences'!A:B,2,0),"")</f>
        <v/>
      </c>
    </row>
    <row r="138" spans="1:4" x14ac:dyDescent="0.25">
      <c r="A138" t="str">
        <f t="shared" si="5"/>
        <v/>
      </c>
      <c r="B138" t="str">
        <f t="shared" ca="1" si="4"/>
        <v/>
      </c>
      <c r="C138" s="1" t="str">
        <f ca="1">IFERROR($C$1-1+_xlfn.RANK.EQ(B138,$B$4:$B$40)+COUNTIF(B$4:$B138,B138)-1,"")</f>
        <v/>
      </c>
      <c r="D138" s="1" t="str">
        <f ca="1">IFERROR(VLOOKUP(C138,'Declarative sentences'!A:B,2,0),"")</f>
        <v/>
      </c>
    </row>
    <row r="139" spans="1:4" x14ac:dyDescent="0.25">
      <c r="A139" t="str">
        <f t="shared" si="5"/>
        <v/>
      </c>
      <c r="B139" t="str">
        <f t="shared" ca="1" si="4"/>
        <v/>
      </c>
      <c r="C139" s="1" t="str">
        <f ca="1">IFERROR($C$1-1+_xlfn.RANK.EQ(B139,$B$4:$B$40)+COUNTIF(B$4:$B139,B139)-1,"")</f>
        <v/>
      </c>
      <c r="D139" s="1" t="str">
        <f ca="1">IFERROR(VLOOKUP(C139,'Declarative sentences'!A:B,2,0),"")</f>
        <v/>
      </c>
    </row>
    <row r="140" spans="1:4" x14ac:dyDescent="0.25">
      <c r="A140" t="str">
        <f t="shared" si="5"/>
        <v/>
      </c>
      <c r="B140" t="str">
        <f t="shared" ca="1" si="4"/>
        <v/>
      </c>
      <c r="C140" s="1" t="str">
        <f ca="1">IFERROR($C$1-1+_xlfn.RANK.EQ(B140,$B$4:$B$40)+COUNTIF(B$4:$B140,B140)-1,"")</f>
        <v/>
      </c>
      <c r="D140" s="1" t="str">
        <f ca="1">IFERROR(VLOOKUP(C140,'Declarative sentences'!A:B,2,0),"")</f>
        <v/>
      </c>
    </row>
    <row r="141" spans="1:4" x14ac:dyDescent="0.25">
      <c r="A141" t="str">
        <f t="shared" si="5"/>
        <v/>
      </c>
      <c r="B141" t="str">
        <f t="shared" ca="1" si="4"/>
        <v/>
      </c>
      <c r="C141" s="1" t="str">
        <f ca="1">IFERROR($C$1-1+_xlfn.RANK.EQ(B141,$B$4:$B$40)+COUNTIF(B$4:$B141,B141)-1,"")</f>
        <v/>
      </c>
      <c r="D141" s="1" t="str">
        <f ca="1">IFERROR(VLOOKUP(C141,'Declarative sentences'!A:B,2,0),"")</f>
        <v/>
      </c>
    </row>
    <row r="142" spans="1:4" x14ac:dyDescent="0.25">
      <c r="A142" t="str">
        <f t="shared" si="5"/>
        <v/>
      </c>
      <c r="B142" t="str">
        <f t="shared" ca="1" si="4"/>
        <v/>
      </c>
      <c r="C142" s="1" t="str">
        <f ca="1">IFERROR($C$1-1+_xlfn.RANK.EQ(B142,$B$4:$B$40)+COUNTIF(B$4:$B142,B142)-1,"")</f>
        <v/>
      </c>
      <c r="D142" s="1" t="str">
        <f ca="1">IFERROR(VLOOKUP(C142,'Declarative sentences'!A:B,2,0),"")</f>
        <v/>
      </c>
    </row>
    <row r="143" spans="1:4" x14ac:dyDescent="0.25">
      <c r="A143" t="str">
        <f t="shared" si="5"/>
        <v/>
      </c>
      <c r="B143" t="str">
        <f t="shared" ca="1" si="4"/>
        <v/>
      </c>
      <c r="D143" s="1"/>
    </row>
    <row r="144" spans="1:4" x14ac:dyDescent="0.25">
      <c r="A144" t="str">
        <f t="shared" si="5"/>
        <v/>
      </c>
      <c r="B144" t="str">
        <f t="shared" ca="1" si="4"/>
        <v/>
      </c>
      <c r="D144" s="1"/>
    </row>
    <row r="145" spans="1:4" x14ac:dyDescent="0.25">
      <c r="A145" t="str">
        <f t="shared" si="5"/>
        <v/>
      </c>
      <c r="B145" t="str">
        <f t="shared" ca="1" si="4"/>
        <v/>
      </c>
      <c r="D145" s="1"/>
    </row>
    <row r="146" spans="1:4" x14ac:dyDescent="0.25">
      <c r="A146" t="str">
        <f t="shared" si="5"/>
        <v/>
      </c>
      <c r="B146" t="str">
        <f t="shared" ca="1" si="4"/>
        <v/>
      </c>
      <c r="D146" s="1"/>
    </row>
    <row r="147" spans="1:4" x14ac:dyDescent="0.25">
      <c r="A147" t="str">
        <f t="shared" si="5"/>
        <v/>
      </c>
      <c r="B147" t="str">
        <f t="shared" ca="1" si="4"/>
        <v/>
      </c>
      <c r="D147" s="1"/>
    </row>
    <row r="148" spans="1:4" x14ac:dyDescent="0.25">
      <c r="A148" t="str">
        <f t="shared" si="5"/>
        <v/>
      </c>
      <c r="B148" t="str">
        <f t="shared" ca="1" si="4"/>
        <v/>
      </c>
      <c r="D148" s="1"/>
    </row>
    <row r="149" spans="1:4" x14ac:dyDescent="0.25">
      <c r="A149" t="str">
        <f t="shared" si="5"/>
        <v/>
      </c>
      <c r="B149" t="str">
        <f t="shared" ca="1" si="4"/>
        <v/>
      </c>
      <c r="D149" s="1"/>
    </row>
    <row r="150" spans="1:4" x14ac:dyDescent="0.25">
      <c r="A150" t="str">
        <f t="shared" si="5"/>
        <v/>
      </c>
      <c r="B150" t="str">
        <f t="shared" ca="1" si="4"/>
        <v/>
      </c>
      <c r="D150" s="1"/>
    </row>
    <row r="151" spans="1:4" x14ac:dyDescent="0.25">
      <c r="A151" t="str">
        <f t="shared" si="5"/>
        <v/>
      </c>
      <c r="B151" t="str">
        <f t="shared" ca="1" si="4"/>
        <v/>
      </c>
      <c r="D151" s="1"/>
    </row>
    <row r="152" spans="1:4" x14ac:dyDescent="0.25">
      <c r="A152" t="str">
        <f t="shared" si="5"/>
        <v/>
      </c>
      <c r="B152" t="str">
        <f t="shared" ca="1" si="4"/>
        <v/>
      </c>
      <c r="D152" s="1"/>
    </row>
    <row r="153" spans="1:4" x14ac:dyDescent="0.25">
      <c r="A153" t="str">
        <f t="shared" si="5"/>
        <v/>
      </c>
      <c r="B153" t="str">
        <f t="shared" ca="1" si="4"/>
        <v/>
      </c>
      <c r="D153" s="1"/>
    </row>
    <row r="154" spans="1:4" x14ac:dyDescent="0.25">
      <c r="A154" t="str">
        <f t="shared" si="5"/>
        <v/>
      </c>
      <c r="B154" t="str">
        <f t="shared" ca="1" si="4"/>
        <v/>
      </c>
      <c r="D154" s="1"/>
    </row>
    <row r="155" spans="1:4" x14ac:dyDescent="0.25">
      <c r="A155" t="str">
        <f t="shared" si="5"/>
        <v/>
      </c>
      <c r="B155" t="str">
        <f t="shared" ca="1" si="4"/>
        <v/>
      </c>
      <c r="D155" s="1"/>
    </row>
    <row r="156" spans="1:4" x14ac:dyDescent="0.25">
      <c r="A156" t="str">
        <f t="shared" si="5"/>
        <v/>
      </c>
      <c r="B156" t="str">
        <f t="shared" ca="1" si="4"/>
        <v/>
      </c>
      <c r="D156" s="1"/>
    </row>
    <row r="157" spans="1:4" x14ac:dyDescent="0.25">
      <c r="A157" t="str">
        <f t="shared" si="5"/>
        <v/>
      </c>
      <c r="B157" t="str">
        <f t="shared" ca="1" si="4"/>
        <v/>
      </c>
      <c r="D157" s="1"/>
    </row>
    <row r="158" spans="1:4" x14ac:dyDescent="0.25">
      <c r="A158" t="str">
        <f t="shared" si="5"/>
        <v/>
      </c>
      <c r="B158" t="str">
        <f t="shared" ca="1" si="4"/>
        <v/>
      </c>
      <c r="D158" s="1"/>
    </row>
    <row r="159" spans="1:4" x14ac:dyDescent="0.25">
      <c r="A159" t="str">
        <f t="shared" si="5"/>
        <v/>
      </c>
      <c r="B159" t="str">
        <f t="shared" ca="1" si="4"/>
        <v/>
      </c>
      <c r="D159" s="1"/>
    </row>
    <row r="160" spans="1:4" x14ac:dyDescent="0.25">
      <c r="A160" t="str">
        <f t="shared" si="5"/>
        <v/>
      </c>
      <c r="B160" t="str">
        <f t="shared" ca="1" si="4"/>
        <v/>
      </c>
      <c r="D160" s="1"/>
    </row>
    <row r="161" spans="1:4" x14ac:dyDescent="0.25">
      <c r="A161" t="str">
        <f t="shared" si="5"/>
        <v/>
      </c>
      <c r="B161" t="str">
        <f t="shared" ca="1" si="4"/>
        <v/>
      </c>
      <c r="D161" s="1"/>
    </row>
    <row r="162" spans="1:4" x14ac:dyDescent="0.25">
      <c r="A162" t="str">
        <f t="shared" si="5"/>
        <v/>
      </c>
      <c r="B162" t="str">
        <f t="shared" ca="1" si="4"/>
        <v/>
      </c>
      <c r="D162" s="1"/>
    </row>
    <row r="163" spans="1:4" x14ac:dyDescent="0.25">
      <c r="A163" t="str">
        <f t="shared" si="5"/>
        <v/>
      </c>
      <c r="B163" t="str">
        <f t="shared" ca="1" si="4"/>
        <v/>
      </c>
      <c r="D163" s="1"/>
    </row>
    <row r="164" spans="1:4" x14ac:dyDescent="0.25">
      <c r="A164" t="str">
        <f t="shared" si="5"/>
        <v/>
      </c>
      <c r="B164" t="str">
        <f t="shared" ca="1" si="4"/>
        <v/>
      </c>
      <c r="D164" s="1"/>
    </row>
    <row r="165" spans="1:4" x14ac:dyDescent="0.25">
      <c r="A165" t="str">
        <f t="shared" si="5"/>
        <v/>
      </c>
      <c r="B165" t="str">
        <f t="shared" ca="1" si="4"/>
        <v/>
      </c>
      <c r="D165" s="1"/>
    </row>
    <row r="166" spans="1:4" x14ac:dyDescent="0.25">
      <c r="A166" t="str">
        <f t="shared" si="5"/>
        <v/>
      </c>
      <c r="B166" t="str">
        <f t="shared" ca="1" si="4"/>
        <v/>
      </c>
      <c r="D166" s="1"/>
    </row>
    <row r="167" spans="1:4" x14ac:dyDescent="0.25">
      <c r="A167" t="str">
        <f t="shared" si="5"/>
        <v/>
      </c>
      <c r="B167" t="str">
        <f t="shared" ca="1" si="4"/>
        <v/>
      </c>
      <c r="D167" s="1"/>
    </row>
    <row r="168" spans="1:4" x14ac:dyDescent="0.25">
      <c r="A168" t="str">
        <f t="shared" si="5"/>
        <v/>
      </c>
      <c r="B168" t="str">
        <f t="shared" ca="1" si="4"/>
        <v/>
      </c>
      <c r="D168" s="1"/>
    </row>
    <row r="169" spans="1:4" x14ac:dyDescent="0.25">
      <c r="A169" t="str">
        <f t="shared" si="5"/>
        <v/>
      </c>
      <c r="B169" t="str">
        <f t="shared" ca="1" si="4"/>
        <v/>
      </c>
      <c r="D169" s="1"/>
    </row>
    <row r="170" spans="1:4" x14ac:dyDescent="0.25">
      <c r="A170" t="str">
        <f t="shared" si="5"/>
        <v/>
      </c>
      <c r="B170" t="str">
        <f t="shared" ca="1" si="4"/>
        <v/>
      </c>
      <c r="D170" s="1"/>
    </row>
    <row r="171" spans="1:4" x14ac:dyDescent="0.25">
      <c r="A171" t="str">
        <f t="shared" si="5"/>
        <v/>
      </c>
      <c r="B171" t="str">
        <f t="shared" ca="1" si="4"/>
        <v/>
      </c>
      <c r="D171" s="1"/>
    </row>
    <row r="172" spans="1:4" x14ac:dyDescent="0.25">
      <c r="A172" t="str">
        <f t="shared" si="5"/>
        <v/>
      </c>
      <c r="B172" t="str">
        <f t="shared" ca="1" si="4"/>
        <v/>
      </c>
      <c r="D172" s="1"/>
    </row>
    <row r="173" spans="1:4" x14ac:dyDescent="0.25">
      <c r="A173" t="str">
        <f t="shared" si="5"/>
        <v/>
      </c>
      <c r="B173" t="str">
        <f t="shared" ca="1" si="4"/>
        <v/>
      </c>
      <c r="D173" s="1"/>
    </row>
    <row r="174" spans="1:4" x14ac:dyDescent="0.25">
      <c r="A174" t="str">
        <f t="shared" si="5"/>
        <v/>
      </c>
      <c r="B174" t="str">
        <f t="shared" ca="1" si="4"/>
        <v/>
      </c>
      <c r="D174" s="1"/>
    </row>
    <row r="175" spans="1:4" x14ac:dyDescent="0.25">
      <c r="A175" t="str">
        <f t="shared" si="5"/>
        <v/>
      </c>
      <c r="B175" t="str">
        <f t="shared" ca="1" si="4"/>
        <v/>
      </c>
      <c r="D175" s="1"/>
    </row>
    <row r="176" spans="1:4" x14ac:dyDescent="0.25">
      <c r="A176" t="str">
        <f t="shared" si="5"/>
        <v/>
      </c>
      <c r="B176" t="str">
        <f t="shared" ca="1" si="4"/>
        <v/>
      </c>
      <c r="D176" s="1"/>
    </row>
    <row r="177" spans="1:4" x14ac:dyDescent="0.25">
      <c r="A177" t="str">
        <f t="shared" si="5"/>
        <v/>
      </c>
      <c r="B177" t="str">
        <f t="shared" ca="1" si="4"/>
        <v/>
      </c>
      <c r="D177" s="1"/>
    </row>
    <row r="178" spans="1:4" x14ac:dyDescent="0.25">
      <c r="A178" t="str">
        <f t="shared" si="5"/>
        <v/>
      </c>
      <c r="B178" t="str">
        <f t="shared" ca="1" si="4"/>
        <v/>
      </c>
      <c r="D178" s="1"/>
    </row>
    <row r="179" spans="1:4" x14ac:dyDescent="0.25">
      <c r="A179" t="str">
        <f t="shared" si="5"/>
        <v/>
      </c>
      <c r="B179" t="str">
        <f t="shared" ca="1" si="4"/>
        <v/>
      </c>
      <c r="D179" s="1"/>
    </row>
    <row r="180" spans="1:4" x14ac:dyDescent="0.25">
      <c r="A180" t="str">
        <f t="shared" si="5"/>
        <v/>
      </c>
      <c r="B180" t="str">
        <f t="shared" ca="1" si="4"/>
        <v/>
      </c>
      <c r="D180" s="1"/>
    </row>
    <row r="181" spans="1:4" x14ac:dyDescent="0.25">
      <c r="A181" t="str">
        <f t="shared" si="5"/>
        <v/>
      </c>
      <c r="B181" t="str">
        <f t="shared" ca="1" si="4"/>
        <v/>
      </c>
      <c r="D181" s="1"/>
    </row>
    <row r="182" spans="1:4" x14ac:dyDescent="0.25">
      <c r="A182" t="str">
        <f t="shared" si="5"/>
        <v/>
      </c>
      <c r="B182" t="str">
        <f t="shared" ca="1" si="4"/>
        <v/>
      </c>
      <c r="D182" s="1"/>
    </row>
    <row r="183" spans="1:4" x14ac:dyDescent="0.25">
      <c r="A183" t="str">
        <f t="shared" si="5"/>
        <v/>
      </c>
      <c r="B183" t="str">
        <f t="shared" ca="1" si="4"/>
        <v/>
      </c>
      <c r="D183" s="1"/>
    </row>
    <row r="184" spans="1:4" x14ac:dyDescent="0.25">
      <c r="A184" t="str">
        <f t="shared" si="5"/>
        <v/>
      </c>
      <c r="B184" t="str">
        <f t="shared" ca="1" si="4"/>
        <v/>
      </c>
      <c r="D184" s="1"/>
    </row>
    <row r="185" spans="1:4" x14ac:dyDescent="0.25">
      <c r="A185" t="str">
        <f t="shared" si="5"/>
        <v/>
      </c>
      <c r="B185" t="str">
        <f t="shared" ca="1" si="4"/>
        <v/>
      </c>
      <c r="D185" s="1"/>
    </row>
    <row r="186" spans="1:4" x14ac:dyDescent="0.25">
      <c r="A186" t="str">
        <f t="shared" si="5"/>
        <v/>
      </c>
      <c r="B186" t="str">
        <f t="shared" ca="1" si="4"/>
        <v/>
      </c>
      <c r="D186" s="1"/>
    </row>
    <row r="187" spans="1:4" x14ac:dyDescent="0.25">
      <c r="A187" t="str">
        <f t="shared" si="5"/>
        <v/>
      </c>
      <c r="B187" t="str">
        <f t="shared" ca="1" si="4"/>
        <v/>
      </c>
      <c r="D187" s="1"/>
    </row>
    <row r="188" spans="1:4" x14ac:dyDescent="0.25">
      <c r="A188" t="str">
        <f t="shared" si="5"/>
        <v/>
      </c>
      <c r="B188" t="str">
        <f t="shared" ca="1" si="4"/>
        <v/>
      </c>
      <c r="D188" s="1"/>
    </row>
    <row r="189" spans="1:4" x14ac:dyDescent="0.25">
      <c r="A189" t="str">
        <f t="shared" si="5"/>
        <v/>
      </c>
      <c r="B189" t="str">
        <f t="shared" ca="1" si="4"/>
        <v/>
      </c>
      <c r="D189" s="1"/>
    </row>
    <row r="190" spans="1:4" x14ac:dyDescent="0.25">
      <c r="A190" t="str">
        <f t="shared" si="5"/>
        <v/>
      </c>
      <c r="B190" t="str">
        <f t="shared" ca="1" si="4"/>
        <v/>
      </c>
      <c r="D190" s="1"/>
    </row>
    <row r="191" spans="1:4" x14ac:dyDescent="0.25">
      <c r="A191" t="str">
        <f t="shared" si="5"/>
        <v/>
      </c>
      <c r="B191" t="str">
        <f t="shared" ca="1" si="4"/>
        <v/>
      </c>
      <c r="D191" s="1"/>
    </row>
    <row r="192" spans="1:4" x14ac:dyDescent="0.25">
      <c r="A192" t="str">
        <f t="shared" si="5"/>
        <v/>
      </c>
      <c r="B192" t="str">
        <f t="shared" ca="1" si="4"/>
        <v/>
      </c>
      <c r="D192" s="1"/>
    </row>
    <row r="193" spans="1:4" x14ac:dyDescent="0.25">
      <c r="A193" t="str">
        <f t="shared" si="5"/>
        <v/>
      </c>
      <c r="B193" t="str">
        <f t="shared" ca="1" si="4"/>
        <v/>
      </c>
      <c r="D193" s="1"/>
    </row>
    <row r="194" spans="1:4" x14ac:dyDescent="0.25">
      <c r="A194" t="str">
        <f t="shared" si="5"/>
        <v/>
      </c>
      <c r="B194" t="str">
        <f t="shared" ca="1" si="4"/>
        <v/>
      </c>
      <c r="D194" s="1"/>
    </row>
    <row r="195" spans="1:4" x14ac:dyDescent="0.25">
      <c r="A195" t="str">
        <f t="shared" si="5"/>
        <v/>
      </c>
      <c r="B195" t="str">
        <f t="shared" ca="1" si="4"/>
        <v/>
      </c>
      <c r="D195" s="1"/>
    </row>
    <row r="196" spans="1:4" x14ac:dyDescent="0.25">
      <c r="A196" t="str">
        <f t="shared" si="5"/>
        <v/>
      </c>
      <c r="B196" t="str">
        <f t="shared" ref="B196:B259" ca="1" si="6">IF(A196="","",RANDBETWEEN($C$1,$C$2))</f>
        <v/>
      </c>
      <c r="D196" s="1"/>
    </row>
    <row r="197" spans="1:4" x14ac:dyDescent="0.25">
      <c r="A197" t="str">
        <f t="shared" si="5"/>
        <v/>
      </c>
      <c r="B197" t="str">
        <f t="shared" ca="1" si="6"/>
        <v/>
      </c>
      <c r="D197" s="1"/>
    </row>
    <row r="198" spans="1:4" x14ac:dyDescent="0.25">
      <c r="A198" t="str">
        <f t="shared" ref="A198:A261" si="7">IFERROR(IF(A197+1&gt;$C$2,"",A197+1),"")</f>
        <v/>
      </c>
      <c r="B198" t="str">
        <f t="shared" ca="1" si="6"/>
        <v/>
      </c>
      <c r="D198" s="1"/>
    </row>
    <row r="199" spans="1:4" x14ac:dyDescent="0.25">
      <c r="A199" t="str">
        <f t="shared" si="7"/>
        <v/>
      </c>
      <c r="B199" t="str">
        <f t="shared" ca="1" si="6"/>
        <v/>
      </c>
      <c r="D199" s="1"/>
    </row>
    <row r="200" spans="1:4" x14ac:dyDescent="0.25">
      <c r="A200" t="str">
        <f t="shared" si="7"/>
        <v/>
      </c>
      <c r="B200" t="str">
        <f t="shared" ca="1" si="6"/>
        <v/>
      </c>
      <c r="D200" s="1"/>
    </row>
    <row r="201" spans="1:4" x14ac:dyDescent="0.25">
      <c r="A201" t="str">
        <f t="shared" si="7"/>
        <v/>
      </c>
      <c r="B201" t="str">
        <f t="shared" ca="1" si="6"/>
        <v/>
      </c>
      <c r="D201" s="1"/>
    </row>
    <row r="202" spans="1:4" x14ac:dyDescent="0.25">
      <c r="A202" t="str">
        <f t="shared" si="7"/>
        <v/>
      </c>
      <c r="B202" t="str">
        <f t="shared" ca="1" si="6"/>
        <v/>
      </c>
      <c r="D202" s="1"/>
    </row>
    <row r="203" spans="1:4" x14ac:dyDescent="0.25">
      <c r="A203" t="str">
        <f t="shared" si="7"/>
        <v/>
      </c>
      <c r="B203" t="str">
        <f t="shared" ca="1" si="6"/>
        <v/>
      </c>
      <c r="D203" s="1"/>
    </row>
    <row r="204" spans="1:4" x14ac:dyDescent="0.25">
      <c r="A204" t="str">
        <f t="shared" si="7"/>
        <v/>
      </c>
      <c r="B204" t="str">
        <f t="shared" ca="1" si="6"/>
        <v/>
      </c>
      <c r="D204" s="1"/>
    </row>
    <row r="205" spans="1:4" x14ac:dyDescent="0.25">
      <c r="A205" t="str">
        <f t="shared" si="7"/>
        <v/>
      </c>
      <c r="B205" t="str">
        <f t="shared" ca="1" si="6"/>
        <v/>
      </c>
      <c r="D205" s="1"/>
    </row>
    <row r="206" spans="1:4" x14ac:dyDescent="0.25">
      <c r="A206" t="str">
        <f t="shared" si="7"/>
        <v/>
      </c>
      <c r="B206" t="str">
        <f t="shared" ca="1" si="6"/>
        <v/>
      </c>
      <c r="D206" s="1"/>
    </row>
    <row r="207" spans="1:4" x14ac:dyDescent="0.25">
      <c r="A207" t="str">
        <f t="shared" si="7"/>
        <v/>
      </c>
      <c r="B207" t="str">
        <f t="shared" ca="1" si="6"/>
        <v/>
      </c>
      <c r="D207" s="1"/>
    </row>
    <row r="208" spans="1:4" x14ac:dyDescent="0.25">
      <c r="A208" t="str">
        <f t="shared" si="7"/>
        <v/>
      </c>
      <c r="B208" t="str">
        <f t="shared" ca="1" si="6"/>
        <v/>
      </c>
      <c r="D208" s="1"/>
    </row>
    <row r="209" spans="1:4" x14ac:dyDescent="0.25">
      <c r="A209" t="str">
        <f t="shared" si="7"/>
        <v/>
      </c>
      <c r="B209" t="str">
        <f t="shared" ca="1" si="6"/>
        <v/>
      </c>
      <c r="D209" s="1"/>
    </row>
    <row r="210" spans="1:4" x14ac:dyDescent="0.25">
      <c r="A210" t="str">
        <f t="shared" si="7"/>
        <v/>
      </c>
      <c r="B210" t="str">
        <f t="shared" ca="1" si="6"/>
        <v/>
      </c>
      <c r="D210" s="1"/>
    </row>
    <row r="211" spans="1:4" x14ac:dyDescent="0.25">
      <c r="A211" t="str">
        <f t="shared" si="7"/>
        <v/>
      </c>
      <c r="B211" t="str">
        <f t="shared" ca="1" si="6"/>
        <v/>
      </c>
      <c r="D211" s="1"/>
    </row>
    <row r="212" spans="1:4" x14ac:dyDescent="0.25">
      <c r="A212" t="str">
        <f t="shared" si="7"/>
        <v/>
      </c>
      <c r="B212" t="str">
        <f t="shared" ca="1" si="6"/>
        <v/>
      </c>
      <c r="D212" s="1"/>
    </row>
    <row r="213" spans="1:4" x14ac:dyDescent="0.25">
      <c r="A213" t="str">
        <f t="shared" si="7"/>
        <v/>
      </c>
      <c r="B213" t="str">
        <f t="shared" ca="1" si="6"/>
        <v/>
      </c>
      <c r="D213" s="1"/>
    </row>
    <row r="214" spans="1:4" x14ac:dyDescent="0.25">
      <c r="A214" t="str">
        <f t="shared" si="7"/>
        <v/>
      </c>
      <c r="B214" t="str">
        <f t="shared" ca="1" si="6"/>
        <v/>
      </c>
      <c r="D214" s="1"/>
    </row>
    <row r="215" spans="1:4" x14ac:dyDescent="0.25">
      <c r="A215" t="str">
        <f t="shared" si="7"/>
        <v/>
      </c>
      <c r="B215" t="str">
        <f t="shared" ca="1" si="6"/>
        <v/>
      </c>
      <c r="D215" s="1"/>
    </row>
    <row r="216" spans="1:4" x14ac:dyDescent="0.25">
      <c r="A216" t="str">
        <f t="shared" si="7"/>
        <v/>
      </c>
      <c r="B216" t="str">
        <f t="shared" ca="1" si="6"/>
        <v/>
      </c>
      <c r="D216" s="1"/>
    </row>
    <row r="217" spans="1:4" x14ac:dyDescent="0.25">
      <c r="A217" t="str">
        <f t="shared" si="7"/>
        <v/>
      </c>
      <c r="B217" t="str">
        <f t="shared" ca="1" si="6"/>
        <v/>
      </c>
      <c r="D217" s="1"/>
    </row>
    <row r="218" spans="1:4" x14ac:dyDescent="0.25">
      <c r="A218" t="str">
        <f t="shared" si="7"/>
        <v/>
      </c>
      <c r="B218" t="str">
        <f t="shared" ca="1" si="6"/>
        <v/>
      </c>
      <c r="D218" s="1"/>
    </row>
    <row r="219" spans="1:4" x14ac:dyDescent="0.25">
      <c r="A219" t="str">
        <f t="shared" si="7"/>
        <v/>
      </c>
      <c r="B219" t="str">
        <f t="shared" ca="1" si="6"/>
        <v/>
      </c>
      <c r="D219" s="1"/>
    </row>
    <row r="220" spans="1:4" x14ac:dyDescent="0.25">
      <c r="A220" t="str">
        <f t="shared" si="7"/>
        <v/>
      </c>
      <c r="B220" t="str">
        <f t="shared" ca="1" si="6"/>
        <v/>
      </c>
      <c r="D220" s="1"/>
    </row>
    <row r="221" spans="1:4" x14ac:dyDescent="0.25">
      <c r="A221" t="str">
        <f t="shared" si="7"/>
        <v/>
      </c>
      <c r="B221" t="str">
        <f t="shared" ca="1" si="6"/>
        <v/>
      </c>
      <c r="D221" s="1"/>
    </row>
    <row r="222" spans="1:4" x14ac:dyDescent="0.25">
      <c r="A222" t="str">
        <f t="shared" si="7"/>
        <v/>
      </c>
      <c r="B222" t="str">
        <f t="shared" ca="1" si="6"/>
        <v/>
      </c>
      <c r="D222" s="1"/>
    </row>
    <row r="223" spans="1:4" x14ac:dyDescent="0.25">
      <c r="A223" t="str">
        <f t="shared" si="7"/>
        <v/>
      </c>
      <c r="B223" t="str">
        <f t="shared" ca="1" si="6"/>
        <v/>
      </c>
      <c r="D223" s="1"/>
    </row>
    <row r="224" spans="1:4" x14ac:dyDescent="0.25">
      <c r="A224" t="str">
        <f t="shared" si="7"/>
        <v/>
      </c>
      <c r="B224" t="str">
        <f t="shared" ca="1" si="6"/>
        <v/>
      </c>
      <c r="D224" s="1"/>
    </row>
    <row r="225" spans="1:4" x14ac:dyDescent="0.25">
      <c r="A225" t="str">
        <f t="shared" si="7"/>
        <v/>
      </c>
      <c r="B225" t="str">
        <f t="shared" ca="1" si="6"/>
        <v/>
      </c>
      <c r="D225" s="1"/>
    </row>
    <row r="226" spans="1:4" x14ac:dyDescent="0.25">
      <c r="A226" t="str">
        <f t="shared" si="7"/>
        <v/>
      </c>
      <c r="B226" t="str">
        <f t="shared" ca="1" si="6"/>
        <v/>
      </c>
      <c r="D226" s="1"/>
    </row>
    <row r="227" spans="1:4" x14ac:dyDescent="0.25">
      <c r="A227" t="str">
        <f t="shared" si="7"/>
        <v/>
      </c>
      <c r="B227" t="str">
        <f t="shared" ca="1" si="6"/>
        <v/>
      </c>
      <c r="D227" s="1"/>
    </row>
    <row r="228" spans="1:4" x14ac:dyDescent="0.25">
      <c r="A228" t="str">
        <f t="shared" si="7"/>
        <v/>
      </c>
      <c r="B228" t="str">
        <f t="shared" ca="1" si="6"/>
        <v/>
      </c>
      <c r="D228" s="1"/>
    </row>
    <row r="229" spans="1:4" x14ac:dyDescent="0.25">
      <c r="A229" t="str">
        <f t="shared" si="7"/>
        <v/>
      </c>
      <c r="B229" t="str">
        <f t="shared" ca="1" si="6"/>
        <v/>
      </c>
      <c r="D229" s="1"/>
    </row>
    <row r="230" spans="1:4" x14ac:dyDescent="0.25">
      <c r="A230" t="str">
        <f t="shared" si="7"/>
        <v/>
      </c>
      <c r="B230" t="str">
        <f t="shared" ca="1" si="6"/>
        <v/>
      </c>
      <c r="D230" s="1"/>
    </row>
    <row r="231" spans="1:4" x14ac:dyDescent="0.25">
      <c r="A231" t="str">
        <f t="shared" si="7"/>
        <v/>
      </c>
      <c r="B231" t="str">
        <f t="shared" ca="1" si="6"/>
        <v/>
      </c>
      <c r="D231" s="1"/>
    </row>
    <row r="232" spans="1:4" x14ac:dyDescent="0.25">
      <c r="A232" t="str">
        <f t="shared" si="7"/>
        <v/>
      </c>
      <c r="B232" t="str">
        <f t="shared" ca="1" si="6"/>
        <v/>
      </c>
      <c r="D232" s="1"/>
    </row>
    <row r="233" spans="1:4" x14ac:dyDescent="0.25">
      <c r="A233" t="str">
        <f t="shared" si="7"/>
        <v/>
      </c>
      <c r="B233" t="str">
        <f t="shared" ca="1" si="6"/>
        <v/>
      </c>
      <c r="D233" s="1"/>
    </row>
    <row r="234" spans="1:4" x14ac:dyDescent="0.25">
      <c r="A234" t="str">
        <f t="shared" si="7"/>
        <v/>
      </c>
      <c r="B234" t="str">
        <f t="shared" ca="1" si="6"/>
        <v/>
      </c>
      <c r="D234" s="1"/>
    </row>
    <row r="235" spans="1:4" x14ac:dyDescent="0.25">
      <c r="A235" t="str">
        <f t="shared" si="7"/>
        <v/>
      </c>
      <c r="B235" t="str">
        <f t="shared" ca="1" si="6"/>
        <v/>
      </c>
      <c r="D235" s="1"/>
    </row>
    <row r="236" spans="1:4" x14ac:dyDescent="0.25">
      <c r="A236" t="str">
        <f t="shared" si="7"/>
        <v/>
      </c>
      <c r="B236" t="str">
        <f t="shared" ca="1" si="6"/>
        <v/>
      </c>
      <c r="D236" s="1"/>
    </row>
    <row r="237" spans="1:4" x14ac:dyDescent="0.25">
      <c r="A237" t="str">
        <f t="shared" si="7"/>
        <v/>
      </c>
      <c r="B237" t="str">
        <f t="shared" ca="1" si="6"/>
        <v/>
      </c>
      <c r="D237" s="1"/>
    </row>
    <row r="238" spans="1:4" x14ac:dyDescent="0.25">
      <c r="A238" t="str">
        <f t="shared" si="7"/>
        <v/>
      </c>
      <c r="B238" t="str">
        <f t="shared" ca="1" si="6"/>
        <v/>
      </c>
      <c r="D238" s="1"/>
    </row>
    <row r="239" spans="1:4" x14ac:dyDescent="0.25">
      <c r="A239" t="str">
        <f t="shared" si="7"/>
        <v/>
      </c>
      <c r="B239" t="str">
        <f t="shared" ca="1" si="6"/>
        <v/>
      </c>
      <c r="D239" s="1"/>
    </row>
    <row r="240" spans="1:4" x14ac:dyDescent="0.25">
      <c r="A240" t="str">
        <f t="shared" si="7"/>
        <v/>
      </c>
      <c r="B240" t="str">
        <f t="shared" ca="1" si="6"/>
        <v/>
      </c>
      <c r="D240" s="1"/>
    </row>
    <row r="241" spans="1:4" x14ac:dyDescent="0.25">
      <c r="A241" t="str">
        <f t="shared" si="7"/>
        <v/>
      </c>
      <c r="B241" t="str">
        <f t="shared" ca="1" si="6"/>
        <v/>
      </c>
      <c r="D241" s="1"/>
    </row>
    <row r="242" spans="1:4" x14ac:dyDescent="0.25">
      <c r="A242" t="str">
        <f t="shared" si="7"/>
        <v/>
      </c>
      <c r="B242" t="str">
        <f t="shared" ca="1" si="6"/>
        <v/>
      </c>
      <c r="D242" s="1"/>
    </row>
    <row r="243" spans="1:4" x14ac:dyDescent="0.25">
      <c r="A243" t="str">
        <f t="shared" si="7"/>
        <v/>
      </c>
      <c r="B243" t="str">
        <f t="shared" ca="1" si="6"/>
        <v/>
      </c>
      <c r="D243" s="1"/>
    </row>
    <row r="244" spans="1:4" x14ac:dyDescent="0.25">
      <c r="A244" t="str">
        <f t="shared" si="7"/>
        <v/>
      </c>
      <c r="B244" t="str">
        <f t="shared" ca="1" si="6"/>
        <v/>
      </c>
      <c r="D244" s="1"/>
    </row>
    <row r="245" spans="1:4" x14ac:dyDescent="0.25">
      <c r="A245" t="str">
        <f t="shared" si="7"/>
        <v/>
      </c>
      <c r="B245" t="str">
        <f t="shared" ca="1" si="6"/>
        <v/>
      </c>
      <c r="D245" s="1"/>
    </row>
    <row r="246" spans="1:4" x14ac:dyDescent="0.25">
      <c r="A246" t="str">
        <f t="shared" si="7"/>
        <v/>
      </c>
      <c r="B246" t="str">
        <f t="shared" ca="1" si="6"/>
        <v/>
      </c>
      <c r="D246" s="1"/>
    </row>
    <row r="247" spans="1:4" x14ac:dyDescent="0.25">
      <c r="A247" t="str">
        <f t="shared" si="7"/>
        <v/>
      </c>
      <c r="B247" t="str">
        <f t="shared" ca="1" si="6"/>
        <v/>
      </c>
      <c r="D247" s="1"/>
    </row>
    <row r="248" spans="1:4" x14ac:dyDescent="0.25">
      <c r="A248" t="str">
        <f t="shared" si="7"/>
        <v/>
      </c>
      <c r="B248" t="str">
        <f t="shared" ca="1" si="6"/>
        <v/>
      </c>
      <c r="D248" s="1"/>
    </row>
    <row r="249" spans="1:4" x14ac:dyDescent="0.25">
      <c r="A249" t="str">
        <f t="shared" si="7"/>
        <v/>
      </c>
      <c r="B249" t="str">
        <f t="shared" ca="1" si="6"/>
        <v/>
      </c>
      <c r="D249" s="1"/>
    </row>
    <row r="250" spans="1:4" x14ac:dyDescent="0.25">
      <c r="A250" t="str">
        <f t="shared" si="7"/>
        <v/>
      </c>
      <c r="B250" t="str">
        <f t="shared" ca="1" si="6"/>
        <v/>
      </c>
      <c r="D250" s="1"/>
    </row>
    <row r="251" spans="1:4" x14ac:dyDescent="0.25">
      <c r="A251" t="str">
        <f t="shared" si="7"/>
        <v/>
      </c>
      <c r="B251" t="str">
        <f t="shared" ca="1" si="6"/>
        <v/>
      </c>
      <c r="D251" s="1"/>
    </row>
    <row r="252" spans="1:4" x14ac:dyDescent="0.25">
      <c r="A252" t="str">
        <f t="shared" si="7"/>
        <v/>
      </c>
      <c r="B252" t="str">
        <f t="shared" ca="1" si="6"/>
        <v/>
      </c>
      <c r="D252" s="1"/>
    </row>
    <row r="253" spans="1:4" x14ac:dyDescent="0.25">
      <c r="A253" t="str">
        <f t="shared" si="7"/>
        <v/>
      </c>
      <c r="B253" t="str">
        <f t="shared" ca="1" si="6"/>
        <v/>
      </c>
      <c r="D253" s="1"/>
    </row>
    <row r="254" spans="1:4" x14ac:dyDescent="0.25">
      <c r="A254" t="str">
        <f t="shared" si="7"/>
        <v/>
      </c>
      <c r="B254" t="str">
        <f t="shared" ca="1" si="6"/>
        <v/>
      </c>
      <c r="D254" s="1"/>
    </row>
    <row r="255" spans="1:4" x14ac:dyDescent="0.25">
      <c r="A255" t="str">
        <f t="shared" si="7"/>
        <v/>
      </c>
      <c r="B255" t="str">
        <f t="shared" ca="1" si="6"/>
        <v/>
      </c>
      <c r="D255" s="1"/>
    </row>
    <row r="256" spans="1:4" x14ac:dyDescent="0.25">
      <c r="A256" t="str">
        <f t="shared" si="7"/>
        <v/>
      </c>
      <c r="B256" t="str">
        <f t="shared" ca="1" si="6"/>
        <v/>
      </c>
      <c r="D256" s="1"/>
    </row>
    <row r="257" spans="1:4" x14ac:dyDescent="0.25">
      <c r="A257" t="str">
        <f t="shared" si="7"/>
        <v/>
      </c>
      <c r="B257" t="str">
        <f t="shared" ca="1" si="6"/>
        <v/>
      </c>
      <c r="D257" s="1"/>
    </row>
    <row r="258" spans="1:4" x14ac:dyDescent="0.25">
      <c r="A258" t="str">
        <f t="shared" si="7"/>
        <v/>
      </c>
      <c r="B258" t="str">
        <f t="shared" ca="1" si="6"/>
        <v/>
      </c>
      <c r="D258" s="1"/>
    </row>
    <row r="259" spans="1:4" x14ac:dyDescent="0.25">
      <c r="A259" t="str">
        <f t="shared" si="7"/>
        <v/>
      </c>
      <c r="B259" t="str">
        <f t="shared" ca="1" si="6"/>
        <v/>
      </c>
      <c r="D259" s="1"/>
    </row>
    <row r="260" spans="1:4" x14ac:dyDescent="0.25">
      <c r="A260" t="str">
        <f t="shared" si="7"/>
        <v/>
      </c>
      <c r="B260" t="str">
        <f t="shared" ref="B260:B295" ca="1" si="8">IF(A260="","",RANDBETWEEN($C$1,$C$2))</f>
        <v/>
      </c>
      <c r="D260" s="1"/>
    </row>
    <row r="261" spans="1:4" x14ac:dyDescent="0.25">
      <c r="A261" t="str">
        <f t="shared" si="7"/>
        <v/>
      </c>
      <c r="B261" t="str">
        <f t="shared" ca="1" si="8"/>
        <v/>
      </c>
      <c r="D261" s="1"/>
    </row>
    <row r="262" spans="1:4" x14ac:dyDescent="0.25">
      <c r="A262" t="str">
        <f t="shared" ref="A262:A295" si="9">IFERROR(IF(A261+1&gt;$C$2,"",A261+1),"")</f>
        <v/>
      </c>
      <c r="B262" t="str">
        <f t="shared" ca="1" si="8"/>
        <v/>
      </c>
      <c r="D262" s="1"/>
    </row>
    <row r="263" spans="1:4" x14ac:dyDescent="0.25">
      <c r="A263" t="str">
        <f t="shared" si="9"/>
        <v/>
      </c>
      <c r="B263" t="str">
        <f t="shared" ca="1" si="8"/>
        <v/>
      </c>
      <c r="D263" s="1"/>
    </row>
    <row r="264" spans="1:4" x14ac:dyDescent="0.25">
      <c r="A264" t="str">
        <f t="shared" si="9"/>
        <v/>
      </c>
      <c r="B264" t="str">
        <f t="shared" ca="1" si="8"/>
        <v/>
      </c>
      <c r="D264" s="1"/>
    </row>
    <row r="265" spans="1:4" x14ac:dyDescent="0.25">
      <c r="A265" t="str">
        <f t="shared" si="9"/>
        <v/>
      </c>
      <c r="B265" t="str">
        <f t="shared" ca="1" si="8"/>
        <v/>
      </c>
      <c r="D265" s="1"/>
    </row>
    <row r="266" spans="1:4" x14ac:dyDescent="0.25">
      <c r="A266" t="str">
        <f t="shared" si="9"/>
        <v/>
      </c>
      <c r="B266" t="str">
        <f t="shared" ca="1" si="8"/>
        <v/>
      </c>
      <c r="D266" s="1"/>
    </row>
    <row r="267" spans="1:4" x14ac:dyDescent="0.25">
      <c r="A267" t="str">
        <f t="shared" si="9"/>
        <v/>
      </c>
      <c r="B267" t="str">
        <f t="shared" ca="1" si="8"/>
        <v/>
      </c>
      <c r="D267" s="1"/>
    </row>
    <row r="268" spans="1:4" x14ac:dyDescent="0.25">
      <c r="A268" t="str">
        <f t="shared" si="9"/>
        <v/>
      </c>
      <c r="B268" t="str">
        <f t="shared" ca="1" si="8"/>
        <v/>
      </c>
      <c r="D268" s="1"/>
    </row>
    <row r="269" spans="1:4" x14ac:dyDescent="0.25">
      <c r="A269" t="str">
        <f t="shared" si="9"/>
        <v/>
      </c>
      <c r="B269" t="str">
        <f t="shared" ca="1" si="8"/>
        <v/>
      </c>
      <c r="D269" s="1"/>
    </row>
    <row r="270" spans="1:4" x14ac:dyDescent="0.25">
      <c r="A270" t="str">
        <f t="shared" si="9"/>
        <v/>
      </c>
      <c r="B270" t="str">
        <f t="shared" ca="1" si="8"/>
        <v/>
      </c>
      <c r="D270" s="1"/>
    </row>
    <row r="271" spans="1:4" x14ac:dyDescent="0.25">
      <c r="A271" t="str">
        <f t="shared" si="9"/>
        <v/>
      </c>
      <c r="B271" t="str">
        <f t="shared" ca="1" si="8"/>
        <v/>
      </c>
      <c r="D271" s="1"/>
    </row>
    <row r="272" spans="1:4" x14ac:dyDescent="0.25">
      <c r="A272" t="str">
        <f t="shared" si="9"/>
        <v/>
      </c>
      <c r="B272" t="str">
        <f t="shared" ca="1" si="8"/>
        <v/>
      </c>
      <c r="D272" s="1"/>
    </row>
    <row r="273" spans="1:4" x14ac:dyDescent="0.25">
      <c r="A273" t="str">
        <f t="shared" si="9"/>
        <v/>
      </c>
      <c r="B273" t="str">
        <f t="shared" ca="1" si="8"/>
        <v/>
      </c>
      <c r="D273" s="1"/>
    </row>
    <row r="274" spans="1:4" x14ac:dyDescent="0.25">
      <c r="A274" t="str">
        <f t="shared" si="9"/>
        <v/>
      </c>
      <c r="B274" t="str">
        <f t="shared" ca="1" si="8"/>
        <v/>
      </c>
      <c r="D274" s="1"/>
    </row>
    <row r="275" spans="1:4" x14ac:dyDescent="0.25">
      <c r="A275" t="str">
        <f t="shared" si="9"/>
        <v/>
      </c>
      <c r="B275" t="str">
        <f t="shared" ca="1" si="8"/>
        <v/>
      </c>
      <c r="D275" s="1"/>
    </row>
    <row r="276" spans="1:4" x14ac:dyDescent="0.25">
      <c r="A276" t="str">
        <f t="shared" si="9"/>
        <v/>
      </c>
      <c r="B276" t="str">
        <f t="shared" ca="1" si="8"/>
        <v/>
      </c>
      <c r="D276" s="1"/>
    </row>
    <row r="277" spans="1:4" x14ac:dyDescent="0.25">
      <c r="A277" t="str">
        <f t="shared" si="9"/>
        <v/>
      </c>
      <c r="B277" t="str">
        <f t="shared" ca="1" si="8"/>
        <v/>
      </c>
      <c r="D277" s="1"/>
    </row>
    <row r="278" spans="1:4" x14ac:dyDescent="0.25">
      <c r="A278" t="str">
        <f t="shared" si="9"/>
        <v/>
      </c>
      <c r="B278" t="str">
        <f t="shared" ca="1" si="8"/>
        <v/>
      </c>
      <c r="D278" s="1"/>
    </row>
    <row r="279" spans="1:4" x14ac:dyDescent="0.25">
      <c r="A279" t="str">
        <f t="shared" si="9"/>
        <v/>
      </c>
      <c r="B279" t="str">
        <f t="shared" ca="1" si="8"/>
        <v/>
      </c>
      <c r="D279" s="1"/>
    </row>
    <row r="280" spans="1:4" x14ac:dyDescent="0.25">
      <c r="A280" t="str">
        <f t="shared" si="9"/>
        <v/>
      </c>
      <c r="B280" t="str">
        <f t="shared" ca="1" si="8"/>
        <v/>
      </c>
      <c r="D280" s="1"/>
    </row>
    <row r="281" spans="1:4" x14ac:dyDescent="0.25">
      <c r="A281" t="str">
        <f t="shared" si="9"/>
        <v/>
      </c>
      <c r="B281" t="str">
        <f t="shared" ca="1" si="8"/>
        <v/>
      </c>
      <c r="D281" s="1"/>
    </row>
    <row r="282" spans="1:4" x14ac:dyDescent="0.25">
      <c r="A282" t="str">
        <f t="shared" si="9"/>
        <v/>
      </c>
      <c r="B282" t="str">
        <f t="shared" ca="1" si="8"/>
        <v/>
      </c>
      <c r="D282" s="1"/>
    </row>
    <row r="283" spans="1:4" x14ac:dyDescent="0.25">
      <c r="A283" t="str">
        <f t="shared" si="9"/>
        <v/>
      </c>
      <c r="B283" t="str">
        <f t="shared" ca="1" si="8"/>
        <v/>
      </c>
      <c r="D283" s="1"/>
    </row>
    <row r="284" spans="1:4" x14ac:dyDescent="0.25">
      <c r="A284" t="str">
        <f t="shared" si="9"/>
        <v/>
      </c>
      <c r="B284" t="str">
        <f t="shared" ca="1" si="8"/>
        <v/>
      </c>
      <c r="D284" s="1"/>
    </row>
    <row r="285" spans="1:4" x14ac:dyDescent="0.25">
      <c r="A285" t="str">
        <f t="shared" si="9"/>
        <v/>
      </c>
      <c r="B285" t="str">
        <f t="shared" ca="1" si="8"/>
        <v/>
      </c>
      <c r="D285" s="1"/>
    </row>
    <row r="286" spans="1:4" x14ac:dyDescent="0.25">
      <c r="A286" t="str">
        <f t="shared" si="9"/>
        <v/>
      </c>
      <c r="B286" t="str">
        <f t="shared" ca="1" si="8"/>
        <v/>
      </c>
      <c r="D286" s="1"/>
    </row>
    <row r="287" spans="1:4" x14ac:dyDescent="0.25">
      <c r="A287" t="str">
        <f t="shared" si="9"/>
        <v/>
      </c>
      <c r="B287" t="str">
        <f t="shared" ca="1" si="8"/>
        <v/>
      </c>
      <c r="D287" s="1"/>
    </row>
    <row r="288" spans="1:4" x14ac:dyDescent="0.25">
      <c r="A288" t="str">
        <f t="shared" si="9"/>
        <v/>
      </c>
      <c r="B288" t="str">
        <f t="shared" ca="1" si="8"/>
        <v/>
      </c>
      <c r="D288" s="1"/>
    </row>
    <row r="289" spans="1:4" x14ac:dyDescent="0.25">
      <c r="A289" t="str">
        <f t="shared" si="9"/>
        <v/>
      </c>
      <c r="B289" t="str">
        <f t="shared" ca="1" si="8"/>
        <v/>
      </c>
      <c r="D289" s="1"/>
    </row>
    <row r="290" spans="1:4" x14ac:dyDescent="0.25">
      <c r="A290" t="str">
        <f t="shared" si="9"/>
        <v/>
      </c>
      <c r="B290" t="str">
        <f t="shared" ca="1" si="8"/>
        <v/>
      </c>
      <c r="D290" s="1"/>
    </row>
    <row r="291" spans="1:4" x14ac:dyDescent="0.25">
      <c r="A291" t="str">
        <f t="shared" si="9"/>
        <v/>
      </c>
      <c r="B291" t="str">
        <f t="shared" ca="1" si="8"/>
        <v/>
      </c>
      <c r="D291" s="1"/>
    </row>
    <row r="292" spans="1:4" x14ac:dyDescent="0.25">
      <c r="A292" t="str">
        <f t="shared" si="9"/>
        <v/>
      </c>
      <c r="B292" t="str">
        <f t="shared" ca="1" si="8"/>
        <v/>
      </c>
      <c r="D292" s="1"/>
    </row>
    <row r="293" spans="1:4" x14ac:dyDescent="0.25">
      <c r="A293" t="str">
        <f t="shared" si="9"/>
        <v/>
      </c>
      <c r="B293" t="str">
        <f t="shared" ca="1" si="8"/>
        <v/>
      </c>
      <c r="D293" s="1"/>
    </row>
    <row r="294" spans="1:4" x14ac:dyDescent="0.25">
      <c r="A294" t="str">
        <f t="shared" si="9"/>
        <v/>
      </c>
      <c r="B294" t="str">
        <f t="shared" ca="1" si="8"/>
        <v/>
      </c>
      <c r="D294" s="1"/>
    </row>
    <row r="295" spans="1:4" x14ac:dyDescent="0.25">
      <c r="A295" t="str">
        <f t="shared" si="9"/>
        <v/>
      </c>
      <c r="B295" t="str">
        <f t="shared" ca="1" si="8"/>
        <v/>
      </c>
      <c r="D295" s="1"/>
    </row>
  </sheetData>
  <autoFilter ref="B3:F295" xr:uid="{510055BF-F702-4B6A-BC96-7718E75F032C}">
    <sortState xmlns:xlrd2="http://schemas.microsoft.com/office/spreadsheetml/2017/richdata2" ref="B4:F295">
      <sortCondition ref="C3:C72"/>
    </sortState>
  </autoFilter>
  <conditionalFormatting sqref="C296:D1048576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EFE1B-A582-4851-A850-E4BF4217E78E}">
  <dimension ref="A1:E413"/>
  <sheetViews>
    <sheetView topLeftCell="A295" zoomScale="96" zoomScaleNormal="96" workbookViewId="0">
      <selection activeCell="C313" sqref="C313"/>
    </sheetView>
  </sheetViews>
  <sheetFormatPr defaultRowHeight="13.8" x14ac:dyDescent="0.25"/>
  <cols>
    <col min="1" max="2" width="8.796875" style="1"/>
    <col min="3" max="3" width="30.8984375" style="1" customWidth="1"/>
    <col min="4" max="4" width="8.796875" style="1"/>
    <col min="5" max="5" width="22.296875" style="29" customWidth="1"/>
  </cols>
  <sheetData>
    <row r="1" spans="1:5" x14ac:dyDescent="0.25">
      <c r="C1" s="1" t="s">
        <v>582</v>
      </c>
      <c r="D1" s="1" t="s">
        <v>337</v>
      </c>
    </row>
    <row r="2" spans="1:5" x14ac:dyDescent="0.25">
      <c r="A2" s="1" t="s">
        <v>338</v>
      </c>
      <c r="B2" s="1" t="str">
        <f>A2&amp;D2</f>
        <v>1Struc</v>
      </c>
      <c r="C2" s="28" t="s">
        <v>55</v>
      </c>
      <c r="D2" s="1" t="s">
        <v>11</v>
      </c>
      <c r="E2" s="29" t="str">
        <f>C2</f>
        <v>1. I’M GOING TO... /Tôi sẽ... /</v>
      </c>
    </row>
    <row r="3" spans="1:5" x14ac:dyDescent="0.25">
      <c r="A3" s="1" t="s">
        <v>13</v>
      </c>
      <c r="B3" s="1" t="str">
        <f t="shared" ref="B3:B66" si="0">A3&amp;D3</f>
        <v>1.1Viet</v>
      </c>
      <c r="C3" s="27" t="s">
        <v>451</v>
      </c>
      <c r="D3" s="1" t="s">
        <v>3</v>
      </c>
      <c r="E3" s="29" t="str">
        <f>A3&amp;". "&amp;C3</f>
        <v>1.1. Tôi sẽ đi tắm.</v>
      </c>
    </row>
    <row r="4" spans="1:5" x14ac:dyDescent="0.25">
      <c r="A4" s="1" t="s">
        <v>13</v>
      </c>
      <c r="B4" s="1" t="str">
        <f t="shared" si="0"/>
        <v>1.1Anh</v>
      </c>
      <c r="C4" s="27" t="s">
        <v>56</v>
      </c>
      <c r="D4" s="1" t="s">
        <v>336</v>
      </c>
      <c r="E4" s="29" t="str">
        <f t="shared" ref="E4:E5" si="1">C4</f>
        <v>I’m going to take a shower.</v>
      </c>
    </row>
    <row r="5" spans="1:5" x14ac:dyDescent="0.25">
      <c r="A5" s="1" t="s">
        <v>13</v>
      </c>
      <c r="B5" s="1" t="str">
        <f t="shared" si="0"/>
        <v>1.1Phon</v>
      </c>
      <c r="C5" s="27" t="s">
        <v>57</v>
      </c>
      <c r="D5" s="1" t="s">
        <v>5</v>
      </c>
      <c r="E5" s="29" t="str">
        <f t="shared" si="1"/>
        <v>aɪm ˈgoʊɪŋ tu: teɪk ə ˈʃaʊər</v>
      </c>
    </row>
    <row r="6" spans="1:5" x14ac:dyDescent="0.25">
      <c r="A6" s="1" t="s">
        <v>14</v>
      </c>
      <c r="B6" s="1" t="str">
        <f t="shared" si="0"/>
        <v>1.2Viet</v>
      </c>
      <c r="C6" s="27" t="s">
        <v>452</v>
      </c>
      <c r="D6" s="1" t="s">
        <v>3</v>
      </c>
      <c r="E6" s="29" t="str">
        <f>A6&amp;". "&amp;C6</f>
        <v>1.2. Tôi sẽ chợp mắt một chút.</v>
      </c>
    </row>
    <row r="7" spans="1:5" x14ac:dyDescent="0.25">
      <c r="A7" s="1" t="s">
        <v>14</v>
      </c>
      <c r="B7" s="1" t="str">
        <f t="shared" si="0"/>
        <v>1.2Anh</v>
      </c>
      <c r="C7" s="27" t="s">
        <v>58</v>
      </c>
      <c r="D7" s="1" t="s">
        <v>336</v>
      </c>
      <c r="E7" s="29" t="str">
        <f t="shared" ref="E7:E8" si="2">C7</f>
        <v>I’m going to take a quick nap.</v>
      </c>
    </row>
    <row r="8" spans="1:5" x14ac:dyDescent="0.25">
      <c r="A8" s="1" t="s">
        <v>14</v>
      </c>
      <c r="B8" s="1" t="str">
        <f t="shared" si="0"/>
        <v>1.2Phon</v>
      </c>
      <c r="C8" s="27" t="s">
        <v>59</v>
      </c>
      <c r="D8" s="1" t="s">
        <v>5</v>
      </c>
      <c r="E8" s="29" t="str">
        <f t="shared" si="2"/>
        <v>aɪm ˈgoʊɪŋ tu: teɪk ə kwɪk næp</v>
      </c>
    </row>
    <row r="9" spans="1:5" x14ac:dyDescent="0.25">
      <c r="A9" s="1" t="s">
        <v>12</v>
      </c>
      <c r="B9" s="1" t="str">
        <f t="shared" si="0"/>
        <v>1.3Viet</v>
      </c>
      <c r="C9" s="27" t="s">
        <v>453</v>
      </c>
      <c r="D9" s="1" t="s">
        <v>3</v>
      </c>
      <c r="E9" s="29" t="str">
        <f>A9&amp;". "&amp;C9</f>
        <v>1.3. Tôi sẽ đi tìm chứng cứ.</v>
      </c>
    </row>
    <row r="10" spans="1:5" x14ac:dyDescent="0.25">
      <c r="A10" s="1" t="s">
        <v>12</v>
      </c>
      <c r="B10" s="1" t="str">
        <f t="shared" si="0"/>
        <v>1.3Anh</v>
      </c>
      <c r="C10" s="27" t="s">
        <v>60</v>
      </c>
      <c r="D10" s="1" t="s">
        <v>336</v>
      </c>
      <c r="E10" s="29" t="str">
        <f t="shared" ref="E10:E11" si="3">C10</f>
        <v>I’m going to find some evidence.</v>
      </c>
    </row>
    <row r="11" spans="1:5" x14ac:dyDescent="0.25">
      <c r="A11" s="1" t="s">
        <v>12</v>
      </c>
      <c r="B11" s="1" t="str">
        <f t="shared" si="0"/>
        <v>1.3Phon</v>
      </c>
      <c r="C11" s="27" t="s">
        <v>61</v>
      </c>
      <c r="D11" s="1" t="s">
        <v>5</v>
      </c>
      <c r="E11" s="29" t="str">
        <f t="shared" si="3"/>
        <v>aɪm ˈgoʊɪŋ tu: faɪnd sʌm ˈɛvədəns</v>
      </c>
    </row>
    <row r="12" spans="1:5" x14ac:dyDescent="0.25">
      <c r="A12" s="1" t="s">
        <v>47</v>
      </c>
      <c r="B12" s="1" t="str">
        <f t="shared" si="0"/>
        <v>1.4Viet</v>
      </c>
      <c r="C12" s="27" t="s">
        <v>454</v>
      </c>
      <c r="D12" s="1" t="s">
        <v>3</v>
      </c>
      <c r="E12" s="29" t="str">
        <f>A12&amp;". "&amp;C12</f>
        <v>1.4. Tôi sẽ không tranh cãi với cậu.</v>
      </c>
    </row>
    <row r="13" spans="1:5" x14ac:dyDescent="0.25">
      <c r="A13" s="1" t="s">
        <v>47</v>
      </c>
      <c r="B13" s="1" t="str">
        <f t="shared" si="0"/>
        <v>1.4Anh</v>
      </c>
      <c r="C13" s="27" t="s">
        <v>62</v>
      </c>
      <c r="D13" s="1" t="s">
        <v>336</v>
      </c>
      <c r="E13" s="29" t="str">
        <f t="shared" ref="E13:E14" si="4">C13</f>
        <v>I’m not going to argue with you.</v>
      </c>
    </row>
    <row r="14" spans="1:5" x14ac:dyDescent="0.25">
      <c r="A14" s="1" t="s">
        <v>47</v>
      </c>
      <c r="B14" s="1" t="str">
        <f t="shared" si="0"/>
        <v>1.4Phon</v>
      </c>
      <c r="C14" s="27" t="s">
        <v>63</v>
      </c>
      <c r="D14" s="1" t="s">
        <v>5</v>
      </c>
      <c r="E14" s="29" t="str">
        <f t="shared" si="4"/>
        <v>aɪm na:t ˈgoʊɪŋ tu: ˈa:rgju: wɪð ju:</v>
      </c>
    </row>
    <row r="15" spans="1:5" x14ac:dyDescent="0.25">
      <c r="A15" s="1" t="s">
        <v>48</v>
      </c>
      <c r="B15" s="1" t="str">
        <f t="shared" si="0"/>
        <v>1.5Viet</v>
      </c>
      <c r="C15" s="27" t="s">
        <v>455</v>
      </c>
      <c r="D15" s="1" t="s">
        <v>3</v>
      </c>
      <c r="E15" s="29" t="str">
        <f>A15&amp;". "&amp;C15</f>
        <v>1.5. Tôi sẽ không tỏ ra lịch sự với anh ấy.</v>
      </c>
    </row>
    <row r="16" spans="1:5" x14ac:dyDescent="0.25">
      <c r="A16" s="1" t="s">
        <v>48</v>
      </c>
      <c r="B16" s="1" t="str">
        <f t="shared" si="0"/>
        <v>1.5Anh</v>
      </c>
      <c r="C16" s="27" t="s">
        <v>64</v>
      </c>
      <c r="D16" s="1" t="s">
        <v>336</v>
      </c>
      <c r="E16" s="29" t="str">
        <f t="shared" ref="E16:E17" si="5">C16</f>
        <v>I’m not going to be polite to him.</v>
      </c>
    </row>
    <row r="17" spans="1:5" x14ac:dyDescent="0.25">
      <c r="A17" s="1" t="s">
        <v>48</v>
      </c>
      <c r="B17" s="1" t="str">
        <f t="shared" si="0"/>
        <v>1.5Phon</v>
      </c>
      <c r="C17" s="27" t="s">
        <v>65</v>
      </c>
      <c r="D17" s="1" t="s">
        <v>5</v>
      </c>
      <c r="E17" s="29" t="str">
        <f t="shared" si="5"/>
        <v>aɪm na:t ˈgoʊɪŋ tu: bi: pəˈlaɪt tu: hɪm</v>
      </c>
    </row>
    <row r="18" spans="1:5" x14ac:dyDescent="0.25">
      <c r="A18" s="1" t="s">
        <v>339</v>
      </c>
      <c r="B18" s="1" t="str">
        <f t="shared" si="0"/>
        <v>1.6Viet</v>
      </c>
      <c r="C18" s="27" t="s">
        <v>456</v>
      </c>
      <c r="D18" s="1" t="s">
        <v>3</v>
      </c>
      <c r="E18" s="29" t="str">
        <f>A18&amp;". "&amp;C18</f>
        <v>1.6. Tôi sẽ không phản bội cậu.</v>
      </c>
    </row>
    <row r="19" spans="1:5" x14ac:dyDescent="0.25">
      <c r="A19" s="1" t="s">
        <v>339</v>
      </c>
      <c r="B19" s="1" t="str">
        <f t="shared" si="0"/>
        <v>1.6Anh</v>
      </c>
      <c r="C19" s="27" t="s">
        <v>66</v>
      </c>
      <c r="D19" s="1" t="s">
        <v>336</v>
      </c>
      <c r="E19" s="29" t="str">
        <f t="shared" ref="E19:E20" si="6">C19</f>
        <v>I’m not going to betray you.</v>
      </c>
    </row>
    <row r="20" spans="1:5" x14ac:dyDescent="0.25">
      <c r="A20" s="1" t="s">
        <v>339</v>
      </c>
      <c r="B20" s="1" t="str">
        <f t="shared" si="0"/>
        <v>1.6Phon</v>
      </c>
      <c r="C20" s="27" t="s">
        <v>67</v>
      </c>
      <c r="D20" s="1" t="s">
        <v>5</v>
      </c>
      <c r="E20" s="29" t="str">
        <f t="shared" si="6"/>
        <v>aɪm na:t ˈgoʊɪŋ tu: bɪˈtreɪ ju:</v>
      </c>
    </row>
    <row r="21" spans="1:5" x14ac:dyDescent="0.25">
      <c r="A21" s="1" t="s">
        <v>340</v>
      </c>
      <c r="B21" s="1" t="str">
        <f t="shared" si="0"/>
        <v>1.7Viet</v>
      </c>
      <c r="C21" s="27" t="s">
        <v>457</v>
      </c>
      <c r="D21" s="1" t="s">
        <v>3</v>
      </c>
      <c r="E21" s="29" t="str">
        <f>A21&amp;". "&amp;C21</f>
        <v>1.7. Cậu sẽ ổn khi không có cô ấy chứ?</v>
      </c>
    </row>
    <row r="22" spans="1:5" x14ac:dyDescent="0.25">
      <c r="A22" s="1" t="s">
        <v>340</v>
      </c>
      <c r="B22" s="1" t="str">
        <f t="shared" si="0"/>
        <v>1.7Anh</v>
      </c>
      <c r="C22" s="27" t="s">
        <v>68</v>
      </c>
      <c r="D22" s="1" t="s">
        <v>336</v>
      </c>
      <c r="E22" s="29" t="str">
        <f t="shared" ref="E22:E23" si="7">C22</f>
        <v>Are you going to be ok without her?</v>
      </c>
    </row>
    <row r="23" spans="1:5" x14ac:dyDescent="0.25">
      <c r="A23" s="1" t="s">
        <v>340</v>
      </c>
      <c r="B23" s="1" t="str">
        <f t="shared" si="0"/>
        <v>1.7Phon</v>
      </c>
      <c r="C23" s="27" t="s">
        <v>69</v>
      </c>
      <c r="D23" s="1" t="s">
        <v>5</v>
      </c>
      <c r="E23" s="29" t="str">
        <f t="shared" si="7"/>
        <v>a:r ju: ˈgoʊɪŋ tu: bi: oʊˈkeɪ wɪˈðaʊt hɜ:r</v>
      </c>
    </row>
    <row r="24" spans="1:5" x14ac:dyDescent="0.25">
      <c r="A24" s="1" t="s">
        <v>341</v>
      </c>
      <c r="B24" s="1" t="str">
        <f t="shared" si="0"/>
        <v>1.8Viet</v>
      </c>
      <c r="C24" s="27" t="s">
        <v>458</v>
      </c>
      <c r="D24" s="1" t="s">
        <v>3</v>
      </c>
      <c r="E24" s="29" t="str">
        <f>A24&amp;". "&amp;C24</f>
        <v>1.8. Cậu có định đi chơi với cô ấy không?</v>
      </c>
    </row>
    <row r="25" spans="1:5" x14ac:dyDescent="0.25">
      <c r="A25" s="1" t="s">
        <v>341</v>
      </c>
      <c r="B25" s="1" t="str">
        <f t="shared" si="0"/>
        <v>1.8Anh</v>
      </c>
      <c r="C25" s="27" t="s">
        <v>70</v>
      </c>
      <c r="D25" s="1" t="s">
        <v>336</v>
      </c>
      <c r="E25" s="29" t="str">
        <f t="shared" ref="E25:E26" si="8">C25</f>
        <v>Are you going to go out with her?</v>
      </c>
    </row>
    <row r="26" spans="1:5" x14ac:dyDescent="0.25">
      <c r="A26" s="1" t="s">
        <v>341</v>
      </c>
      <c r="B26" s="1" t="str">
        <f t="shared" si="0"/>
        <v>1.8Phon</v>
      </c>
      <c r="C26" s="27" t="s">
        <v>71</v>
      </c>
      <c r="D26" s="1" t="s">
        <v>5</v>
      </c>
      <c r="E26" s="29" t="str">
        <f t="shared" si="8"/>
        <v>a:r ju: ˈgoʊɪŋ tu: goʊ aʊt wɪð hɜ:r</v>
      </c>
    </row>
    <row r="27" spans="1:5" x14ac:dyDescent="0.25">
      <c r="A27" s="1" t="s">
        <v>342</v>
      </c>
      <c r="B27" s="1" t="str">
        <f t="shared" si="0"/>
        <v>1.9Viet</v>
      </c>
      <c r="C27" s="27" t="s">
        <v>459</v>
      </c>
      <c r="D27" s="1" t="s">
        <v>3</v>
      </c>
      <c r="E27" s="29" t="str">
        <f>A27&amp;". "&amp;C27</f>
        <v>1.9. Cậu có định lát nữa quay lại văn phòng không?</v>
      </c>
    </row>
    <row r="28" spans="1:5" x14ac:dyDescent="0.25">
      <c r="A28" s="1" t="s">
        <v>342</v>
      </c>
      <c r="B28" s="1" t="str">
        <f t="shared" si="0"/>
        <v>1.9Anh</v>
      </c>
      <c r="C28" s="27" t="s">
        <v>72</v>
      </c>
      <c r="D28" s="1" t="s">
        <v>336</v>
      </c>
      <c r="E28" s="29" t="str">
        <f t="shared" ref="E28:E30" si="9">C28</f>
        <v>Are you going to be back in the office later?</v>
      </c>
    </row>
    <row r="29" spans="1:5" x14ac:dyDescent="0.25">
      <c r="A29" s="1" t="s">
        <v>342</v>
      </c>
      <c r="B29" s="1" t="str">
        <f t="shared" si="0"/>
        <v>1.9Phon</v>
      </c>
      <c r="C29" s="27" t="s">
        <v>73</v>
      </c>
      <c r="D29" s="1" t="s">
        <v>5</v>
      </c>
      <c r="E29" s="29" t="str">
        <f t="shared" si="9"/>
        <v>a:r ju: ˈgoʊɪŋ tu: bi: bæk ɪn ði: ˈa:fɪs ˈleɪtər</v>
      </c>
    </row>
    <row r="30" spans="1:5" x14ac:dyDescent="0.25">
      <c r="A30" s="1" t="s">
        <v>343</v>
      </c>
      <c r="B30" s="1" t="str">
        <f t="shared" si="0"/>
        <v>2Struc</v>
      </c>
      <c r="C30" s="28" t="s">
        <v>74</v>
      </c>
      <c r="D30" s="1" t="s">
        <v>11</v>
      </c>
      <c r="E30" s="29" t="str">
        <f t="shared" si="9"/>
        <v>2. I WILL... /Tôi sẽ.../</v>
      </c>
    </row>
    <row r="31" spans="1:5" x14ac:dyDescent="0.25">
      <c r="A31" s="1" t="s">
        <v>15</v>
      </c>
      <c r="B31" s="1" t="str">
        <f t="shared" si="0"/>
        <v>2.1Viet</v>
      </c>
      <c r="C31" s="27" t="s">
        <v>460</v>
      </c>
      <c r="D31" s="1" t="s">
        <v>3</v>
      </c>
      <c r="E31" s="29" t="str">
        <f>A31&amp;". "&amp;C31</f>
        <v>2.1. Tôi sẽ kể cho cậu chuyện này.</v>
      </c>
    </row>
    <row r="32" spans="1:5" x14ac:dyDescent="0.25">
      <c r="A32" s="1" t="s">
        <v>15</v>
      </c>
      <c r="B32" s="1" t="str">
        <f t="shared" si="0"/>
        <v>2.1Anh</v>
      </c>
      <c r="C32" s="27" t="s">
        <v>75</v>
      </c>
      <c r="D32" s="1" t="s">
        <v>336</v>
      </c>
      <c r="E32" s="29" t="str">
        <f t="shared" ref="E32:E33" si="10">C32</f>
        <v>I will tell you this.</v>
      </c>
    </row>
    <row r="33" spans="1:5" x14ac:dyDescent="0.25">
      <c r="A33" s="1" t="s">
        <v>15</v>
      </c>
      <c r="B33" s="1" t="str">
        <f t="shared" si="0"/>
        <v>2.1Phon</v>
      </c>
      <c r="C33" s="27" t="s">
        <v>76</v>
      </c>
      <c r="D33" s="1" t="s">
        <v>5</v>
      </c>
      <c r="E33" s="29" t="str">
        <f t="shared" si="10"/>
        <v>aɪ wɪl tɛl ju: ðɪs</v>
      </c>
    </row>
    <row r="34" spans="1:5" x14ac:dyDescent="0.25">
      <c r="A34" s="1" t="s">
        <v>17</v>
      </c>
      <c r="B34" s="1" t="str">
        <f t="shared" si="0"/>
        <v>2.2Viet</v>
      </c>
      <c r="C34" s="27" t="s">
        <v>461</v>
      </c>
      <c r="D34" s="1" t="s">
        <v>3</v>
      </c>
      <c r="E34" s="29" t="str">
        <f>A34&amp;". "&amp;C34</f>
        <v>2.2. Tôi sẽ thay đổi kiểu tóc.</v>
      </c>
    </row>
    <row r="35" spans="1:5" x14ac:dyDescent="0.25">
      <c r="A35" s="1" t="s">
        <v>17</v>
      </c>
      <c r="B35" s="1" t="str">
        <f t="shared" si="0"/>
        <v>2.2Anh</v>
      </c>
      <c r="C35" s="27" t="s">
        <v>77</v>
      </c>
      <c r="D35" s="1" t="s">
        <v>336</v>
      </c>
      <c r="E35" s="29" t="str">
        <f t="shared" ref="E35:E36" si="11">C35</f>
        <v>I will change my hairstyle.</v>
      </c>
    </row>
    <row r="36" spans="1:5" x14ac:dyDescent="0.25">
      <c r="A36" s="1" t="s">
        <v>17</v>
      </c>
      <c r="B36" s="1" t="str">
        <f t="shared" si="0"/>
        <v>2.2Phon</v>
      </c>
      <c r="C36" s="27" t="s">
        <v>78</v>
      </c>
      <c r="D36" s="1" t="s">
        <v>5</v>
      </c>
      <c r="E36" s="29" t="str">
        <f t="shared" si="11"/>
        <v>aɪ wɪl ʧeɪnʤ maɪ ˈhɛrstaɪl</v>
      </c>
    </row>
    <row r="37" spans="1:5" x14ac:dyDescent="0.25">
      <c r="A37" s="1" t="s">
        <v>16</v>
      </c>
      <c r="B37" s="1" t="str">
        <f t="shared" si="0"/>
        <v>2.3Viet</v>
      </c>
      <c r="C37" s="27" t="s">
        <v>462</v>
      </c>
      <c r="D37" s="1" t="s">
        <v>3</v>
      </c>
      <c r="E37" s="29" t="str">
        <f>A37&amp;". "&amp;C37</f>
        <v>2.3. Tôi sẽ giữ bí mật.</v>
      </c>
    </row>
    <row r="38" spans="1:5" x14ac:dyDescent="0.25">
      <c r="A38" s="1" t="s">
        <v>16</v>
      </c>
      <c r="B38" s="1" t="str">
        <f t="shared" si="0"/>
        <v>2.3Anh</v>
      </c>
      <c r="C38" s="27" t="s">
        <v>79</v>
      </c>
      <c r="D38" s="1" t="s">
        <v>336</v>
      </c>
      <c r="E38" s="29" t="str">
        <f t="shared" ref="E38:E39" si="12">C38</f>
        <v>I will keep it secret.</v>
      </c>
    </row>
    <row r="39" spans="1:5" x14ac:dyDescent="0.25">
      <c r="A39" s="1" t="s">
        <v>16</v>
      </c>
      <c r="B39" s="1" t="str">
        <f t="shared" si="0"/>
        <v>2.3Phon</v>
      </c>
      <c r="C39" s="27" t="s">
        <v>80</v>
      </c>
      <c r="D39" s="1" t="s">
        <v>5</v>
      </c>
      <c r="E39" s="29" t="str">
        <f t="shared" si="12"/>
        <v>aɪ wɪl ki:p ɪt ˈsi:krət</v>
      </c>
    </row>
    <row r="40" spans="1:5" x14ac:dyDescent="0.25">
      <c r="A40" s="1" t="s">
        <v>49</v>
      </c>
      <c r="B40" s="1" t="str">
        <f t="shared" si="0"/>
        <v>2.4Viet</v>
      </c>
      <c r="C40" s="27" t="s">
        <v>463</v>
      </c>
      <c r="D40" s="1" t="s">
        <v>3</v>
      </c>
      <c r="E40" s="29" t="str">
        <f>A40&amp;". "&amp;C40</f>
        <v>2.4. Tôi sẽ không lặp lại chuyện đó.</v>
      </c>
    </row>
    <row r="41" spans="1:5" x14ac:dyDescent="0.25">
      <c r="A41" s="1" t="s">
        <v>49</v>
      </c>
      <c r="B41" s="1" t="str">
        <f t="shared" si="0"/>
        <v>2.4Anh</v>
      </c>
      <c r="C41" s="27" t="s">
        <v>81</v>
      </c>
      <c r="D41" s="1" t="s">
        <v>336</v>
      </c>
      <c r="E41" s="29" t="str">
        <f t="shared" ref="E41:E42" si="13">C41</f>
        <v>I won’t do that again.</v>
      </c>
    </row>
    <row r="42" spans="1:5" x14ac:dyDescent="0.25">
      <c r="A42" s="1" t="s">
        <v>49</v>
      </c>
      <c r="B42" s="1" t="str">
        <f t="shared" si="0"/>
        <v>2.4Phon</v>
      </c>
      <c r="C42" s="27" t="s">
        <v>82</v>
      </c>
      <c r="D42" s="1" t="s">
        <v>5</v>
      </c>
      <c r="E42" s="29" t="str">
        <f t="shared" si="13"/>
        <v>aɪ woʊnt du: ðæt əˈgɛn</v>
      </c>
    </row>
    <row r="43" spans="1:5" x14ac:dyDescent="0.25">
      <c r="A43" s="1" t="s">
        <v>50</v>
      </c>
      <c r="B43" s="1" t="str">
        <f t="shared" si="0"/>
        <v>2.5Viet</v>
      </c>
      <c r="C43" s="27" t="s">
        <v>464</v>
      </c>
      <c r="D43" s="1" t="s">
        <v>3</v>
      </c>
      <c r="E43" s="29" t="str">
        <f>A43&amp;". "&amp;C43</f>
        <v>2.5. Tôi sẽ không để chuyện đó xảy ra nữa.</v>
      </c>
    </row>
    <row r="44" spans="1:5" x14ac:dyDescent="0.25">
      <c r="A44" s="1" t="s">
        <v>50</v>
      </c>
      <c r="B44" s="1" t="str">
        <f t="shared" si="0"/>
        <v>2.5Anh</v>
      </c>
      <c r="C44" s="27" t="s">
        <v>83</v>
      </c>
      <c r="D44" s="1" t="s">
        <v>336</v>
      </c>
      <c r="E44" s="29" t="str">
        <f t="shared" ref="E44:E45" si="14">C44</f>
        <v>I won’t let it happen again.</v>
      </c>
    </row>
    <row r="45" spans="1:5" x14ac:dyDescent="0.25">
      <c r="A45" s="1" t="s">
        <v>50</v>
      </c>
      <c r="B45" s="1" t="str">
        <f t="shared" si="0"/>
        <v>2.5Phon</v>
      </c>
      <c r="C45" s="27" t="s">
        <v>84</v>
      </c>
      <c r="D45" s="1" t="s">
        <v>5</v>
      </c>
      <c r="E45" s="29" t="str">
        <f t="shared" si="14"/>
        <v>aɪ woʊnt lɛt ɪt ˈhæpən əˈgɛn</v>
      </c>
    </row>
    <row r="46" spans="1:5" x14ac:dyDescent="0.25">
      <c r="A46" s="1" t="s">
        <v>344</v>
      </c>
      <c r="B46" s="1" t="str">
        <f t="shared" si="0"/>
        <v>2.6Viet</v>
      </c>
      <c r="C46" s="27" t="s">
        <v>465</v>
      </c>
      <c r="D46" s="1" t="s">
        <v>3</v>
      </c>
      <c r="E46" s="29" t="str">
        <f>A46&amp;". "&amp;C46</f>
        <v>2.6. Tôi sẽ không từ bỏ.</v>
      </c>
    </row>
    <row r="47" spans="1:5" x14ac:dyDescent="0.25">
      <c r="A47" s="1" t="s">
        <v>344</v>
      </c>
      <c r="B47" s="1" t="str">
        <f t="shared" si="0"/>
        <v>2.6Anh</v>
      </c>
      <c r="C47" s="27" t="s">
        <v>85</v>
      </c>
      <c r="D47" s="1" t="s">
        <v>336</v>
      </c>
      <c r="E47" s="29" t="str">
        <f t="shared" ref="E47:E48" si="15">C47</f>
        <v>I won’t give up.</v>
      </c>
    </row>
    <row r="48" spans="1:5" x14ac:dyDescent="0.25">
      <c r="A48" s="1" t="s">
        <v>344</v>
      </c>
      <c r="B48" s="1" t="str">
        <f t="shared" si="0"/>
        <v>2.6Phon</v>
      </c>
      <c r="C48" s="27" t="s">
        <v>86</v>
      </c>
      <c r="D48" s="1" t="s">
        <v>5</v>
      </c>
      <c r="E48" s="29" t="str">
        <f t="shared" si="15"/>
        <v>aɪ woʊnt gɪv ʌp</v>
      </c>
    </row>
    <row r="49" spans="1:5" x14ac:dyDescent="0.25">
      <c r="A49" s="1" t="s">
        <v>345</v>
      </c>
      <c r="B49" s="1" t="str">
        <f t="shared" si="0"/>
        <v>2.7Viet</v>
      </c>
      <c r="C49" s="27" t="s">
        <v>466</v>
      </c>
      <c r="D49" s="1" t="s">
        <v>3</v>
      </c>
      <c r="E49" s="29" t="str">
        <f>A49&amp;". "&amp;C49</f>
        <v>2.7. Chắc sẽ vui.</v>
      </c>
    </row>
    <row r="50" spans="1:5" x14ac:dyDescent="0.25">
      <c r="A50" s="1" t="s">
        <v>345</v>
      </c>
      <c r="B50" s="1" t="str">
        <f t="shared" si="0"/>
        <v>2.7Anh</v>
      </c>
      <c r="C50" s="27" t="s">
        <v>87</v>
      </c>
      <c r="D50" s="1" t="s">
        <v>336</v>
      </c>
      <c r="E50" s="29" t="str">
        <f t="shared" ref="E50:E51" si="16">C50</f>
        <v>It will be fun.</v>
      </c>
    </row>
    <row r="51" spans="1:5" x14ac:dyDescent="0.25">
      <c r="A51" s="1" t="s">
        <v>345</v>
      </c>
      <c r="B51" s="1" t="str">
        <f t="shared" si="0"/>
        <v>2.7Phon</v>
      </c>
      <c r="C51" s="27" t="s">
        <v>88</v>
      </c>
      <c r="D51" s="1" t="s">
        <v>5</v>
      </c>
      <c r="E51" s="29" t="str">
        <f t="shared" si="16"/>
        <v>ɪt wɪl bi: fʌn</v>
      </c>
    </row>
    <row r="52" spans="1:5" x14ac:dyDescent="0.25">
      <c r="A52" s="1" t="s">
        <v>346</v>
      </c>
      <c r="B52" s="1" t="str">
        <f t="shared" si="0"/>
        <v>2.8Viet</v>
      </c>
      <c r="C52" s="27" t="s">
        <v>467</v>
      </c>
      <c r="D52" s="1" t="s">
        <v>3</v>
      </c>
      <c r="E52" s="29" t="str">
        <f>A52&amp;". "&amp;C52</f>
        <v>2.8. Chắc là sẽ lâu hơn dự tính.</v>
      </c>
    </row>
    <row r="53" spans="1:5" x14ac:dyDescent="0.25">
      <c r="A53" s="1" t="s">
        <v>346</v>
      </c>
      <c r="B53" s="1" t="str">
        <f t="shared" si="0"/>
        <v>2.8Anh</v>
      </c>
      <c r="C53" s="27" t="s">
        <v>89</v>
      </c>
      <c r="D53" s="1" t="s">
        <v>336</v>
      </c>
      <c r="E53" s="29" t="str">
        <f t="shared" ref="E53:E54" si="17">C53</f>
        <v>It will take longer than expected.</v>
      </c>
    </row>
    <row r="54" spans="1:5" x14ac:dyDescent="0.25">
      <c r="A54" s="1" t="s">
        <v>346</v>
      </c>
      <c r="B54" s="1" t="str">
        <f t="shared" si="0"/>
        <v>2.8Phon</v>
      </c>
      <c r="C54" s="27" t="s">
        <v>90</v>
      </c>
      <c r="D54" s="1" t="s">
        <v>5</v>
      </c>
      <c r="E54" s="29" t="str">
        <f t="shared" si="17"/>
        <v>ɪt wɪl teɪk ˈlɔ:ŋgər ðæn ɪkˈspektɪd</v>
      </c>
    </row>
    <row r="55" spans="1:5" x14ac:dyDescent="0.25">
      <c r="A55" s="1" t="s">
        <v>347</v>
      </c>
      <c r="B55" s="1" t="str">
        <f t="shared" si="0"/>
        <v>2.9Viet</v>
      </c>
      <c r="C55" s="27" t="s">
        <v>468</v>
      </c>
      <c r="D55" s="1" t="s">
        <v>3</v>
      </c>
      <c r="E55" s="29" t="str">
        <f>A55&amp;". "&amp;C55</f>
        <v>2.9. Chắc không làm cậu chán đâu.</v>
      </c>
    </row>
    <row r="56" spans="1:5" x14ac:dyDescent="0.25">
      <c r="A56" s="1" t="s">
        <v>347</v>
      </c>
      <c r="B56" s="1" t="str">
        <f t="shared" si="0"/>
        <v>2.9Anh</v>
      </c>
      <c r="C56" s="27" t="s">
        <v>91</v>
      </c>
      <c r="D56" s="1" t="s">
        <v>336</v>
      </c>
      <c r="E56" s="29" t="str">
        <f t="shared" ref="E56:E58" si="18">C56</f>
        <v>It will not bore you.</v>
      </c>
    </row>
    <row r="57" spans="1:5" x14ac:dyDescent="0.25">
      <c r="A57" s="1" t="s">
        <v>347</v>
      </c>
      <c r="B57" s="1" t="str">
        <f t="shared" si="0"/>
        <v>2.9Phon</v>
      </c>
      <c r="C57" s="27" t="s">
        <v>92</v>
      </c>
      <c r="D57" s="1" t="s">
        <v>5</v>
      </c>
      <c r="E57" s="29" t="str">
        <f t="shared" si="18"/>
        <v>ɪt wɪl na:t bɔ:r ju:</v>
      </c>
    </row>
    <row r="58" spans="1:5" x14ac:dyDescent="0.25">
      <c r="A58" s="1" t="s">
        <v>348</v>
      </c>
      <c r="B58" s="1" t="str">
        <f t="shared" si="0"/>
        <v>3Struc</v>
      </c>
      <c r="C58" s="28" t="s">
        <v>93</v>
      </c>
      <c r="D58" s="1" t="s">
        <v>11</v>
      </c>
      <c r="E58" s="29" t="str">
        <f t="shared" si="18"/>
        <v>3. I AM + V-ING... /Tôi sẽ... /</v>
      </c>
    </row>
    <row r="59" spans="1:5" x14ac:dyDescent="0.25">
      <c r="A59" s="1" t="s">
        <v>18</v>
      </c>
      <c r="B59" s="1" t="str">
        <f t="shared" si="0"/>
        <v>3.1Viet</v>
      </c>
      <c r="C59" s="27" t="s">
        <v>469</v>
      </c>
      <c r="D59" s="1" t="s">
        <v>3</v>
      </c>
      <c r="E59" s="29" t="str">
        <f>A59&amp;". "&amp;C59</f>
        <v>3.1. Tôi sẽ đi ngay đây.</v>
      </c>
    </row>
    <row r="60" spans="1:5" x14ac:dyDescent="0.25">
      <c r="A60" s="1" t="s">
        <v>18</v>
      </c>
      <c r="B60" s="1" t="str">
        <f t="shared" si="0"/>
        <v>3.1Anh</v>
      </c>
      <c r="C60" s="27" t="s">
        <v>94</v>
      </c>
      <c r="D60" s="1" t="s">
        <v>336</v>
      </c>
      <c r="E60" s="29" t="str">
        <f t="shared" ref="E60:E61" si="19">C60</f>
        <v>I’m leaving in a moment.</v>
      </c>
    </row>
    <row r="61" spans="1:5" x14ac:dyDescent="0.25">
      <c r="A61" s="1" t="s">
        <v>18</v>
      </c>
      <c r="B61" s="1" t="str">
        <f t="shared" si="0"/>
        <v>3.1Phon</v>
      </c>
      <c r="C61" s="27" t="s">
        <v>95</v>
      </c>
      <c r="D61" s="1" t="s">
        <v>5</v>
      </c>
      <c r="E61" s="29" t="str">
        <f t="shared" si="19"/>
        <v>aɪm ˈli:vɪŋ ɪn ə ˈmoʊmənt</v>
      </c>
    </row>
    <row r="62" spans="1:5" x14ac:dyDescent="0.25">
      <c r="A62" s="1" t="s">
        <v>19</v>
      </c>
      <c r="B62" s="1" t="str">
        <f t="shared" si="0"/>
        <v>3.2Viet</v>
      </c>
      <c r="C62" s="27" t="s">
        <v>470</v>
      </c>
      <c r="D62" s="1" t="s">
        <v>3</v>
      </c>
      <c r="E62" s="29" t="str">
        <f>A62&amp;". "&amp;C62</f>
        <v>3.2. Tôi sẽ tắt điện thoại ngay đây.</v>
      </c>
    </row>
    <row r="63" spans="1:5" x14ac:dyDescent="0.25">
      <c r="A63" s="1" t="s">
        <v>19</v>
      </c>
      <c r="B63" s="1" t="str">
        <f t="shared" si="0"/>
        <v>3.2Anh</v>
      </c>
      <c r="C63" s="27" t="s">
        <v>96</v>
      </c>
      <c r="D63" s="1" t="s">
        <v>336</v>
      </c>
      <c r="E63" s="29" t="str">
        <f t="shared" ref="E63:E64" si="20">C63</f>
        <v>I’m getting off the phone.</v>
      </c>
    </row>
    <row r="64" spans="1:5" x14ac:dyDescent="0.25">
      <c r="A64" s="1" t="s">
        <v>19</v>
      </c>
      <c r="B64" s="1" t="str">
        <f t="shared" si="0"/>
        <v>3.2Phon</v>
      </c>
      <c r="C64" s="27" t="s">
        <v>97</v>
      </c>
      <c r="D64" s="1" t="s">
        <v>5</v>
      </c>
      <c r="E64" s="29" t="str">
        <f t="shared" si="20"/>
        <v>aɪm ˈgɛtɪŋ a:f ðə foʊn</v>
      </c>
    </row>
    <row r="65" spans="1:5" x14ac:dyDescent="0.25">
      <c r="A65" s="1" t="s">
        <v>20</v>
      </c>
      <c r="B65" s="1" t="str">
        <f t="shared" si="0"/>
        <v>3.3Viet</v>
      </c>
      <c r="C65" s="27" t="s">
        <v>471</v>
      </c>
      <c r="D65" s="1" t="s">
        <v>3</v>
      </c>
      <c r="E65" s="29" t="str">
        <f>A65&amp;". "&amp;C65</f>
        <v>3.3. Tôi sẽ quay lại làm việc sau 1 giờ nữa.</v>
      </c>
    </row>
    <row r="66" spans="1:5" x14ac:dyDescent="0.25">
      <c r="A66" s="1" t="s">
        <v>20</v>
      </c>
      <c r="B66" s="1" t="str">
        <f t="shared" si="0"/>
        <v>3.3Anh</v>
      </c>
      <c r="C66" s="27" t="s">
        <v>98</v>
      </c>
      <c r="D66" s="1" t="s">
        <v>336</v>
      </c>
      <c r="E66" s="29" t="str">
        <f t="shared" ref="E66:E67" si="21">C66</f>
        <v>I’m getting back to work in an hour.</v>
      </c>
    </row>
    <row r="67" spans="1:5" x14ac:dyDescent="0.25">
      <c r="A67" s="1" t="s">
        <v>20</v>
      </c>
      <c r="B67" s="1" t="str">
        <f t="shared" ref="B67:B130" si="22">A67&amp;D67</f>
        <v>3.3Phon</v>
      </c>
      <c r="C67" s="27" t="s">
        <v>99</v>
      </c>
      <c r="D67" s="1" t="s">
        <v>5</v>
      </c>
      <c r="E67" s="29" t="str">
        <f t="shared" si="21"/>
        <v>aɪm ˈgɛtɪŋ bæk tu: wɜ:rk ɪn ən ˈaʊər</v>
      </c>
    </row>
    <row r="68" spans="1:5" x14ac:dyDescent="0.25">
      <c r="A68" s="1" t="s">
        <v>349</v>
      </c>
      <c r="B68" s="1" t="str">
        <f t="shared" si="22"/>
        <v>3.4Viet</v>
      </c>
      <c r="C68" s="27" t="s">
        <v>472</v>
      </c>
      <c r="D68" s="1" t="s">
        <v>3</v>
      </c>
      <c r="E68" s="29" t="str">
        <f>A68&amp;". "&amp;C68</f>
        <v>3.4. Tôi sẽ không làm chuyện này.</v>
      </c>
    </row>
    <row r="69" spans="1:5" x14ac:dyDescent="0.25">
      <c r="A69" s="1" t="s">
        <v>349</v>
      </c>
      <c r="B69" s="1" t="str">
        <f t="shared" si="22"/>
        <v>3.4Anh</v>
      </c>
      <c r="C69" s="27" t="s">
        <v>100</v>
      </c>
      <c r="D69" s="1" t="s">
        <v>336</v>
      </c>
      <c r="E69" s="29" t="str">
        <f t="shared" ref="E69:E70" si="23">C69</f>
        <v>I’m not doing this.</v>
      </c>
    </row>
    <row r="70" spans="1:5" x14ac:dyDescent="0.25">
      <c r="A70" s="1" t="s">
        <v>349</v>
      </c>
      <c r="B70" s="1" t="str">
        <f t="shared" si="22"/>
        <v>3.4Phon</v>
      </c>
      <c r="C70" s="27" t="s">
        <v>101</v>
      </c>
      <c r="D70" s="1" t="s">
        <v>5</v>
      </c>
      <c r="E70" s="29" t="str">
        <f t="shared" si="23"/>
        <v>aɪm na:t ˈdu:ɪŋ ðɪs</v>
      </c>
    </row>
    <row r="71" spans="1:5" x14ac:dyDescent="0.25">
      <c r="A71" s="1" t="s">
        <v>350</v>
      </c>
      <c r="B71" s="1" t="str">
        <f t="shared" si="22"/>
        <v>3.5Viet</v>
      </c>
      <c r="C71" s="27" t="s">
        <v>473</v>
      </c>
      <c r="D71" s="1" t="s">
        <v>3</v>
      </c>
      <c r="E71" s="29" t="str">
        <f>A71&amp;". "&amp;C71</f>
        <v>3.5. Tôi sẽ không yêu cầu cậu làm chuyện này.</v>
      </c>
    </row>
    <row r="72" spans="1:5" x14ac:dyDescent="0.25">
      <c r="A72" s="1" t="s">
        <v>350</v>
      </c>
      <c r="B72" s="1" t="str">
        <f t="shared" si="22"/>
        <v>3.5Anh</v>
      </c>
      <c r="C72" s="27" t="s">
        <v>102</v>
      </c>
      <c r="D72" s="1" t="s">
        <v>336</v>
      </c>
      <c r="E72" s="29" t="str">
        <f t="shared" ref="E72:E73" si="24">C72</f>
        <v>I’m not asking you to do this.</v>
      </c>
    </row>
    <row r="73" spans="1:5" x14ac:dyDescent="0.25">
      <c r="A73" s="1" t="s">
        <v>350</v>
      </c>
      <c r="B73" s="1" t="str">
        <f t="shared" si="22"/>
        <v>3.5Phon</v>
      </c>
      <c r="C73" s="27" t="s">
        <v>103</v>
      </c>
      <c r="D73" s="1" t="s">
        <v>5</v>
      </c>
      <c r="E73" s="29" t="str">
        <f t="shared" si="24"/>
        <v>aɪm na:t ˈæskɪŋ ju: tu: du: ðɪs</v>
      </c>
    </row>
    <row r="74" spans="1:5" x14ac:dyDescent="0.25">
      <c r="A74" s="1" t="s">
        <v>351</v>
      </c>
      <c r="B74" s="1" t="str">
        <f t="shared" si="22"/>
        <v>3.6Viet</v>
      </c>
      <c r="C74" s="27" t="s">
        <v>474</v>
      </c>
      <c r="D74" s="1" t="s">
        <v>3</v>
      </c>
      <c r="E74" s="29" t="str">
        <f>A74&amp;". "&amp;C74</f>
        <v>3.6. Tôi sẽ không bị mất ngủ vì chuyện này đâu.</v>
      </c>
    </row>
    <row r="75" spans="1:5" x14ac:dyDescent="0.25">
      <c r="A75" s="1" t="s">
        <v>351</v>
      </c>
      <c r="B75" s="1" t="str">
        <f t="shared" si="22"/>
        <v>3.6Anh</v>
      </c>
      <c r="C75" s="27" t="s">
        <v>104</v>
      </c>
      <c r="D75" s="1" t="s">
        <v>336</v>
      </c>
      <c r="E75" s="29" t="str">
        <f t="shared" ref="E75:E76" si="25">C75</f>
        <v>I’m not losing sleep over it.</v>
      </c>
    </row>
    <row r="76" spans="1:5" x14ac:dyDescent="0.25">
      <c r="A76" s="1" t="s">
        <v>351</v>
      </c>
      <c r="B76" s="1" t="str">
        <f t="shared" si="22"/>
        <v>3.6Phon</v>
      </c>
      <c r="C76" s="27" t="s">
        <v>105</v>
      </c>
      <c r="D76" s="1" t="s">
        <v>5</v>
      </c>
      <c r="E76" s="29" t="str">
        <f t="shared" si="25"/>
        <v>aɪm na:t ˈlu:zɪŋ sli:p ˈoʊvər ɪt</v>
      </c>
    </row>
    <row r="77" spans="1:5" x14ac:dyDescent="0.25">
      <c r="A77" s="1" t="s">
        <v>352</v>
      </c>
      <c r="B77" s="1" t="str">
        <f t="shared" si="22"/>
        <v>3.7Viet</v>
      </c>
      <c r="C77" s="27" t="s">
        <v>475</v>
      </c>
      <c r="D77" s="1" t="s">
        <v>3</v>
      </c>
      <c r="E77" s="29" t="str">
        <f>A77&amp;". "&amp;C77</f>
        <v>3.7. Cậu có ở lại ăn tối không?</v>
      </c>
    </row>
    <row r="78" spans="1:5" x14ac:dyDescent="0.25">
      <c r="A78" s="1" t="s">
        <v>352</v>
      </c>
      <c r="B78" s="1" t="str">
        <f t="shared" si="22"/>
        <v>3.7Anh</v>
      </c>
      <c r="C78" s="27" t="s">
        <v>106</v>
      </c>
      <c r="D78" s="1" t="s">
        <v>336</v>
      </c>
      <c r="E78" s="29" t="str">
        <f t="shared" ref="E78:E79" si="26">C78</f>
        <v>Are you staying for dinner?</v>
      </c>
    </row>
    <row r="79" spans="1:5" x14ac:dyDescent="0.25">
      <c r="A79" s="1" t="s">
        <v>352</v>
      </c>
      <c r="B79" s="1" t="str">
        <f t="shared" si="22"/>
        <v>3.7Phon</v>
      </c>
      <c r="C79" s="27" t="s">
        <v>107</v>
      </c>
      <c r="D79" s="1" t="s">
        <v>5</v>
      </c>
      <c r="E79" s="29" t="str">
        <f t="shared" si="26"/>
        <v>a:r ju: ˈsteɪɪŋ fɔ:r ˈdɪnər</v>
      </c>
    </row>
    <row r="80" spans="1:5" x14ac:dyDescent="0.25">
      <c r="A80" s="1" t="s">
        <v>353</v>
      </c>
      <c r="B80" s="1" t="str">
        <f t="shared" si="22"/>
        <v>3.8Viet</v>
      </c>
      <c r="C80" s="27" t="s">
        <v>476</v>
      </c>
      <c r="D80" s="1" t="s">
        <v>3</v>
      </c>
      <c r="E80" s="29" t="str">
        <f>A80&amp;". "&amp;C80</f>
        <v>3.8. Cậu có đi hay không?</v>
      </c>
    </row>
    <row r="81" spans="1:5" x14ac:dyDescent="0.25">
      <c r="A81" s="1" t="s">
        <v>353</v>
      </c>
      <c r="B81" s="1" t="str">
        <f t="shared" si="22"/>
        <v>3.8Anh</v>
      </c>
      <c r="C81" s="27" t="s">
        <v>108</v>
      </c>
      <c r="D81" s="1" t="s">
        <v>336</v>
      </c>
      <c r="E81" s="29" t="str">
        <f t="shared" ref="E81:E83" si="27">C81</f>
        <v>Are you going or not?</v>
      </c>
    </row>
    <row r="82" spans="1:5" x14ac:dyDescent="0.25">
      <c r="A82" s="1" t="s">
        <v>353</v>
      </c>
      <c r="B82" s="1" t="str">
        <f t="shared" si="22"/>
        <v>3.8Phon</v>
      </c>
      <c r="C82" s="27" t="s">
        <v>109</v>
      </c>
      <c r="D82" s="1" t="s">
        <v>5</v>
      </c>
      <c r="E82" s="29" t="str">
        <f t="shared" si="27"/>
        <v>a:r ju: ˈgoʊɪŋ ɔ:r na:t</v>
      </c>
    </row>
    <row r="83" spans="1:5" x14ac:dyDescent="0.25">
      <c r="A83" s="1" t="s">
        <v>354</v>
      </c>
      <c r="B83" s="1" t="str">
        <f t="shared" si="22"/>
        <v>4Struc</v>
      </c>
      <c r="C83" s="28" t="s">
        <v>110</v>
      </c>
      <c r="D83" s="1" t="s">
        <v>11</v>
      </c>
      <c r="E83" s="29" t="str">
        <f t="shared" si="27"/>
        <v>4. IT IS NOT... /Đấy không phải là.../</v>
      </c>
    </row>
    <row r="84" spans="1:5" x14ac:dyDescent="0.25">
      <c r="A84" s="1" t="s">
        <v>21</v>
      </c>
      <c r="B84" s="1" t="str">
        <f t="shared" si="22"/>
        <v>4.1Viet</v>
      </c>
      <c r="C84" s="27" t="s">
        <v>477</v>
      </c>
      <c r="D84" s="1" t="s">
        <v>3</v>
      </c>
      <c r="E84" s="29" t="str">
        <f>A84&amp;". "&amp;C84</f>
        <v>4.1. Không phải về cậu.</v>
      </c>
    </row>
    <row r="85" spans="1:5" x14ac:dyDescent="0.25">
      <c r="A85" s="1" t="s">
        <v>21</v>
      </c>
      <c r="B85" s="1" t="str">
        <f t="shared" si="22"/>
        <v>4.1Anh</v>
      </c>
      <c r="C85" s="27" t="s">
        <v>111</v>
      </c>
      <c r="D85" s="1" t="s">
        <v>336</v>
      </c>
      <c r="E85" s="29" t="str">
        <f t="shared" ref="E85:E86" si="28">C85</f>
        <v>It’s not about you.</v>
      </c>
    </row>
    <row r="86" spans="1:5" x14ac:dyDescent="0.25">
      <c r="A86" s="1" t="s">
        <v>21</v>
      </c>
      <c r="B86" s="1" t="str">
        <f t="shared" si="22"/>
        <v>4.1Phon</v>
      </c>
      <c r="C86" s="27" t="s">
        <v>112</v>
      </c>
      <c r="D86" s="1" t="s">
        <v>5</v>
      </c>
      <c r="E86" s="29" t="str">
        <f t="shared" si="28"/>
        <v>ɪts na:t əˈbaʊt ju:</v>
      </c>
    </row>
    <row r="87" spans="1:5" x14ac:dyDescent="0.25">
      <c r="A87" s="1" t="s">
        <v>22</v>
      </c>
      <c r="B87" s="1" t="str">
        <f t="shared" si="22"/>
        <v>4.2Viet</v>
      </c>
      <c r="C87" s="27" t="s">
        <v>478</v>
      </c>
      <c r="D87" s="1" t="s">
        <v>3</v>
      </c>
      <c r="E87" s="29" t="str">
        <f>A87&amp;". "&amp;C87</f>
        <v>4.2. Nó không đáng.</v>
      </c>
    </row>
    <row r="88" spans="1:5" x14ac:dyDescent="0.25">
      <c r="A88" s="1" t="s">
        <v>22</v>
      </c>
      <c r="B88" s="1" t="str">
        <f t="shared" si="22"/>
        <v>4.2Anh</v>
      </c>
      <c r="C88" s="27" t="s">
        <v>113</v>
      </c>
      <c r="D88" s="1" t="s">
        <v>336</v>
      </c>
      <c r="E88" s="29" t="str">
        <f t="shared" ref="E88:E89" si="29">C88</f>
        <v>It’s not worth it.</v>
      </c>
    </row>
    <row r="89" spans="1:5" x14ac:dyDescent="0.25">
      <c r="A89" s="1" t="s">
        <v>22</v>
      </c>
      <c r="B89" s="1" t="str">
        <f t="shared" si="22"/>
        <v>4.2Phon</v>
      </c>
      <c r="C89" s="27" t="s">
        <v>114</v>
      </c>
      <c r="D89" s="1" t="s">
        <v>5</v>
      </c>
      <c r="E89" s="29" t="str">
        <f t="shared" si="29"/>
        <v>ɪts na:t wɜ:rθ ɪt</v>
      </c>
    </row>
    <row r="90" spans="1:5" x14ac:dyDescent="0.25">
      <c r="A90" s="1" t="s">
        <v>23</v>
      </c>
      <c r="B90" s="1" t="str">
        <f t="shared" si="22"/>
        <v>4.3Viet</v>
      </c>
      <c r="C90" s="27" t="s">
        <v>479</v>
      </c>
      <c r="D90" s="1" t="s">
        <v>3</v>
      </c>
      <c r="E90" s="29" t="str">
        <f>A90&amp;". "&amp;C90</f>
        <v>4.3. Nó không quan trọng đến thế.</v>
      </c>
    </row>
    <row r="91" spans="1:5" x14ac:dyDescent="0.25">
      <c r="A91" s="1" t="s">
        <v>23</v>
      </c>
      <c r="B91" s="1" t="str">
        <f t="shared" si="22"/>
        <v>4.3Anh</v>
      </c>
      <c r="C91" s="27" t="s">
        <v>115</v>
      </c>
      <c r="D91" s="1" t="s">
        <v>336</v>
      </c>
      <c r="E91" s="29" t="str">
        <f t="shared" ref="E91:E92" si="30">C91</f>
        <v>It’s not that important.</v>
      </c>
    </row>
    <row r="92" spans="1:5" x14ac:dyDescent="0.25">
      <c r="A92" s="1" t="s">
        <v>23</v>
      </c>
      <c r="B92" s="1" t="str">
        <f t="shared" si="22"/>
        <v>4.3Phon</v>
      </c>
      <c r="C92" s="27" t="s">
        <v>116</v>
      </c>
      <c r="D92" s="1" t="s">
        <v>5</v>
      </c>
      <c r="E92" s="29" t="str">
        <f t="shared" si="30"/>
        <v>ɪts na:t ðæt ɪmˈpɔ:rtənt</v>
      </c>
    </row>
    <row r="93" spans="1:5" x14ac:dyDescent="0.25">
      <c r="A93" s="1" t="s">
        <v>42</v>
      </c>
      <c r="B93" s="1" t="str">
        <f t="shared" si="22"/>
        <v>4.4Viet</v>
      </c>
      <c r="C93" s="27" t="s">
        <v>480</v>
      </c>
      <c r="D93" s="1" t="s">
        <v>3</v>
      </c>
      <c r="E93" s="29" t="str">
        <f>A93&amp;". "&amp;C93</f>
        <v>4.4. Chuyện không phải lúc nào cũng đơn giản như thế.</v>
      </c>
    </row>
    <row r="94" spans="1:5" x14ac:dyDescent="0.25">
      <c r="A94" s="1" t="s">
        <v>42</v>
      </c>
      <c r="B94" s="1" t="str">
        <f t="shared" si="22"/>
        <v>4.4Anh</v>
      </c>
      <c r="C94" s="27" t="s">
        <v>117</v>
      </c>
      <c r="D94" s="1" t="s">
        <v>336</v>
      </c>
      <c r="E94" s="29" t="str">
        <f t="shared" ref="E94:E95" si="31">C94</f>
        <v>It’s not always that simple.</v>
      </c>
    </row>
    <row r="95" spans="1:5" x14ac:dyDescent="0.25">
      <c r="A95" s="1" t="s">
        <v>42</v>
      </c>
      <c r="B95" s="1" t="str">
        <f t="shared" si="22"/>
        <v>4.4Phon</v>
      </c>
      <c r="C95" s="27" t="s">
        <v>118</v>
      </c>
      <c r="D95" s="1" t="s">
        <v>5</v>
      </c>
      <c r="E95" s="29" t="str">
        <f t="shared" si="31"/>
        <v>ɪts na:t ˈa:lweɪz ðæt ˈsɪmpəl</v>
      </c>
    </row>
    <row r="96" spans="1:5" x14ac:dyDescent="0.25">
      <c r="A96" s="1" t="s">
        <v>51</v>
      </c>
      <c r="B96" s="1" t="str">
        <f t="shared" si="22"/>
        <v>4.5Viet</v>
      </c>
      <c r="C96" s="27" t="s">
        <v>481</v>
      </c>
      <c r="D96" s="1" t="s">
        <v>3</v>
      </c>
      <c r="E96" s="29" t="str">
        <f>A96&amp;". "&amp;C96</f>
        <v>4.5. Người anh ấy muốn gặp không phải là tôi.</v>
      </c>
    </row>
    <row r="97" spans="1:5" x14ac:dyDescent="0.25">
      <c r="A97" s="1" t="s">
        <v>51</v>
      </c>
      <c r="B97" s="1" t="str">
        <f t="shared" si="22"/>
        <v>4.5Anh</v>
      </c>
      <c r="C97" s="27" t="s">
        <v>119</v>
      </c>
      <c r="D97" s="1" t="s">
        <v>336</v>
      </c>
      <c r="E97" s="29" t="str">
        <f t="shared" ref="E97:E98" si="32">C97</f>
        <v>It’s not me he wants to see.</v>
      </c>
    </row>
    <row r="98" spans="1:5" x14ac:dyDescent="0.25">
      <c r="A98" s="1" t="s">
        <v>51</v>
      </c>
      <c r="B98" s="1" t="str">
        <f t="shared" si="22"/>
        <v>4.5Phon</v>
      </c>
      <c r="C98" s="27" t="s">
        <v>120</v>
      </c>
      <c r="D98" s="1" t="s">
        <v>5</v>
      </c>
      <c r="E98" s="29" t="str">
        <f t="shared" si="32"/>
        <v>ɪts na:t mi: hi: wa:nts tu: si:</v>
      </c>
    </row>
    <row r="99" spans="1:5" x14ac:dyDescent="0.25">
      <c r="A99" s="1" t="s">
        <v>355</v>
      </c>
      <c r="B99" s="1" t="str">
        <f t="shared" si="22"/>
        <v>4.6Viet</v>
      </c>
      <c r="C99" s="27" t="s">
        <v>482</v>
      </c>
      <c r="D99" s="1" t="s">
        <v>3</v>
      </c>
      <c r="E99" s="29" t="str">
        <f>A99&amp;". "&amp;C99</f>
        <v>4.6. Người cô ấy muốn nói chuyện không phải là tôi.</v>
      </c>
    </row>
    <row r="100" spans="1:5" x14ac:dyDescent="0.25">
      <c r="A100" s="1" t="s">
        <v>355</v>
      </c>
      <c r="B100" s="1" t="str">
        <f t="shared" si="22"/>
        <v>4.6Anh</v>
      </c>
      <c r="C100" s="27" t="s">
        <v>121</v>
      </c>
      <c r="D100" s="1" t="s">
        <v>336</v>
      </c>
      <c r="E100" s="29" t="str">
        <f t="shared" ref="E100:E101" si="33">C100</f>
        <v>It’s not me she wants to talk to.</v>
      </c>
    </row>
    <row r="101" spans="1:5" x14ac:dyDescent="0.25">
      <c r="A101" s="1" t="s">
        <v>355</v>
      </c>
      <c r="B101" s="1" t="str">
        <f t="shared" si="22"/>
        <v>4.6Phon</v>
      </c>
      <c r="C101" s="27" t="s">
        <v>122</v>
      </c>
      <c r="D101" s="1" t="s">
        <v>5</v>
      </c>
      <c r="E101" s="29" t="str">
        <f t="shared" si="33"/>
        <v>ɪts na:t mi: ʃi: wa:nts tu: ta:k tu:</v>
      </c>
    </row>
    <row r="102" spans="1:5" x14ac:dyDescent="0.25">
      <c r="A102" s="1" t="s">
        <v>356</v>
      </c>
      <c r="B102" s="1" t="str">
        <f t="shared" si="22"/>
        <v>4.7Viet</v>
      </c>
      <c r="C102" s="27" t="s">
        <v>483</v>
      </c>
      <c r="D102" s="1" t="s">
        <v>3</v>
      </c>
      <c r="E102" s="29" t="str">
        <f>A102&amp;". "&amp;C102</f>
        <v>4.7. Người phải nói lời xin lỗi không phải là cậu.</v>
      </c>
    </row>
    <row r="103" spans="1:5" x14ac:dyDescent="0.25">
      <c r="A103" s="1" t="s">
        <v>356</v>
      </c>
      <c r="B103" s="1" t="str">
        <f t="shared" si="22"/>
        <v>4.7Anh</v>
      </c>
      <c r="C103" s="27" t="s">
        <v>123</v>
      </c>
      <c r="D103" s="1" t="s">
        <v>336</v>
      </c>
      <c r="E103" s="29" t="str">
        <f t="shared" ref="E103:E105" si="34">C103</f>
        <v>It’s not you who should apologize.</v>
      </c>
    </row>
    <row r="104" spans="1:5" x14ac:dyDescent="0.25">
      <c r="A104" s="1" t="s">
        <v>356</v>
      </c>
      <c r="B104" s="1" t="str">
        <f t="shared" si="22"/>
        <v>4.7Phon</v>
      </c>
      <c r="C104" s="27" t="s">
        <v>124</v>
      </c>
      <c r="D104" s="1" t="s">
        <v>5</v>
      </c>
      <c r="E104" s="29" t="str">
        <f t="shared" si="34"/>
        <v>ɪts na:t ju: hu: ʃʊd əˈpa:ləʤaɪz</v>
      </c>
    </row>
    <row r="105" spans="1:5" x14ac:dyDescent="0.25">
      <c r="A105" s="1" t="s">
        <v>357</v>
      </c>
      <c r="B105" s="1" t="str">
        <f t="shared" si="22"/>
        <v>5Struc</v>
      </c>
      <c r="C105" s="28" t="s">
        <v>125</v>
      </c>
      <c r="D105" s="1" t="s">
        <v>11</v>
      </c>
      <c r="E105" s="29" t="str">
        <f t="shared" si="34"/>
        <v>5. HE/SHE IS NOT THAT... /Anh ấy/cô ấy không đến mức  … vậy/</v>
      </c>
    </row>
    <row r="106" spans="1:5" x14ac:dyDescent="0.25">
      <c r="A106" s="1" t="s">
        <v>24</v>
      </c>
      <c r="B106" s="1" t="str">
        <f t="shared" si="22"/>
        <v>5.1Viet</v>
      </c>
      <c r="C106" s="27" t="s">
        <v>484</v>
      </c>
      <c r="D106" s="1" t="s">
        <v>3</v>
      </c>
      <c r="E106" s="29" t="str">
        <f>A106&amp;". "&amp;C106</f>
        <v>5.1. Cô ấy không thú vị đến mức đấy.</v>
      </c>
    </row>
    <row r="107" spans="1:5" x14ac:dyDescent="0.25">
      <c r="A107" s="1" t="s">
        <v>24</v>
      </c>
      <c r="B107" s="1" t="str">
        <f t="shared" si="22"/>
        <v>5.1Anh</v>
      </c>
      <c r="C107" s="27" t="s">
        <v>126</v>
      </c>
      <c r="D107" s="1" t="s">
        <v>336</v>
      </c>
      <c r="E107" s="29" t="str">
        <f t="shared" ref="E107:E108" si="35">C107</f>
        <v>She is not that interesting.</v>
      </c>
    </row>
    <row r="108" spans="1:5" x14ac:dyDescent="0.25">
      <c r="A108" s="1" t="s">
        <v>24</v>
      </c>
      <c r="B108" s="1" t="str">
        <f t="shared" si="22"/>
        <v>5.1Phon</v>
      </c>
      <c r="C108" s="27" t="s">
        <v>127</v>
      </c>
      <c r="D108" s="1" t="s">
        <v>5</v>
      </c>
      <c r="E108" s="29" t="str">
        <f t="shared" si="35"/>
        <v>ʃi: ɪz na:t ðæt ˈɪntrəstɪŋ</v>
      </c>
    </row>
    <row r="109" spans="1:5" x14ac:dyDescent="0.25">
      <c r="A109" s="1" t="s">
        <v>25</v>
      </c>
      <c r="B109" s="1" t="str">
        <f t="shared" si="22"/>
        <v>5.2Viet</v>
      </c>
      <c r="C109" s="27" t="s">
        <v>485</v>
      </c>
      <c r="D109" s="1" t="s">
        <v>3</v>
      </c>
      <c r="E109" s="29" t="str">
        <f>A109&amp;". "&amp;C109</f>
        <v>5.2. Anh ấy không thông minh đến thế.</v>
      </c>
    </row>
    <row r="110" spans="1:5" x14ac:dyDescent="0.25">
      <c r="A110" s="1" t="s">
        <v>25</v>
      </c>
      <c r="B110" s="1" t="str">
        <f t="shared" si="22"/>
        <v>5.2Anh</v>
      </c>
      <c r="C110" s="27" t="s">
        <v>128</v>
      </c>
      <c r="D110" s="1" t="s">
        <v>336</v>
      </c>
      <c r="E110" s="29" t="str">
        <f t="shared" ref="E110:E111" si="36">C110</f>
        <v>He is not that clever.</v>
      </c>
    </row>
    <row r="111" spans="1:5" x14ac:dyDescent="0.25">
      <c r="A111" s="1" t="s">
        <v>25</v>
      </c>
      <c r="B111" s="1" t="str">
        <f t="shared" si="22"/>
        <v>5.2Phon</v>
      </c>
      <c r="C111" s="27" t="s">
        <v>129</v>
      </c>
      <c r="D111" s="1" t="s">
        <v>5</v>
      </c>
      <c r="E111" s="29" t="str">
        <f t="shared" si="36"/>
        <v>hi: ɪz na:t ðæt ˈklɛvər</v>
      </c>
    </row>
    <row r="112" spans="1:5" x14ac:dyDescent="0.25">
      <c r="A112" s="1" t="s">
        <v>26</v>
      </c>
      <c r="B112" s="1" t="str">
        <f t="shared" si="22"/>
        <v>5.3Viet</v>
      </c>
      <c r="C112" s="27" t="s">
        <v>486</v>
      </c>
      <c r="D112" s="1" t="s">
        <v>3</v>
      </c>
      <c r="E112" s="29" t="str">
        <f>A112&amp;". "&amp;C112</f>
        <v>5.3. Anh ấy không tệ đến thế.</v>
      </c>
    </row>
    <row r="113" spans="1:5" x14ac:dyDescent="0.25">
      <c r="A113" s="1" t="s">
        <v>26</v>
      </c>
      <c r="B113" s="1" t="str">
        <f t="shared" si="22"/>
        <v>5.3Anh</v>
      </c>
      <c r="C113" s="27" t="s">
        <v>130</v>
      </c>
      <c r="D113" s="1" t="s">
        <v>336</v>
      </c>
      <c r="E113" s="29" t="str">
        <f t="shared" ref="E113:E114" si="37">C113</f>
        <v>He is not that bad.</v>
      </c>
    </row>
    <row r="114" spans="1:5" x14ac:dyDescent="0.25">
      <c r="A114" s="1" t="s">
        <v>26</v>
      </c>
      <c r="B114" s="1" t="str">
        <f t="shared" si="22"/>
        <v>5.3Phon</v>
      </c>
      <c r="C114" s="27" t="s">
        <v>131</v>
      </c>
      <c r="D114" s="1" t="s">
        <v>5</v>
      </c>
      <c r="E114" s="29" t="str">
        <f t="shared" si="37"/>
        <v>hi: ɪz na:t ðæt bæd</v>
      </c>
    </row>
    <row r="115" spans="1:5" x14ac:dyDescent="0.25">
      <c r="A115" s="1" t="s">
        <v>43</v>
      </c>
      <c r="B115" s="1" t="str">
        <f t="shared" si="22"/>
        <v>5.4Viet</v>
      </c>
      <c r="C115" s="27" t="s">
        <v>487</v>
      </c>
      <c r="D115" s="1" t="s">
        <v>3</v>
      </c>
      <c r="E115" s="29" t="str">
        <f>A115&amp;". "&amp;C115</f>
        <v>5.4. Cô ấy không đẹp đến thế.</v>
      </c>
    </row>
    <row r="116" spans="1:5" x14ac:dyDescent="0.25">
      <c r="A116" s="1" t="s">
        <v>43</v>
      </c>
      <c r="B116" s="1" t="str">
        <f t="shared" si="22"/>
        <v>5.4Anh</v>
      </c>
      <c r="C116" s="27" t="s">
        <v>132</v>
      </c>
      <c r="D116" s="1" t="s">
        <v>336</v>
      </c>
      <c r="E116" s="29" t="str">
        <f t="shared" ref="E116:E118" si="38">C116</f>
        <v>She is not that beautiful.</v>
      </c>
    </row>
    <row r="117" spans="1:5" x14ac:dyDescent="0.25">
      <c r="A117" s="1" t="s">
        <v>43</v>
      </c>
      <c r="B117" s="1" t="str">
        <f t="shared" si="22"/>
        <v>5.4Phon</v>
      </c>
      <c r="C117" s="27" t="s">
        <v>133</v>
      </c>
      <c r="D117" s="1" t="s">
        <v>5</v>
      </c>
      <c r="E117" s="29" t="str">
        <f t="shared" si="38"/>
        <v>ʃi: ɪz na:t ðæt ˈbjuːtəfəl</v>
      </c>
    </row>
    <row r="118" spans="1:5" x14ac:dyDescent="0.25">
      <c r="A118" s="1" t="s">
        <v>358</v>
      </c>
      <c r="B118" s="1" t="str">
        <f t="shared" si="22"/>
        <v>6Struc</v>
      </c>
      <c r="C118" s="28" t="s">
        <v>134</v>
      </c>
      <c r="D118" s="1" t="s">
        <v>11</v>
      </c>
      <c r="E118" s="29" t="str">
        <f t="shared" si="38"/>
        <v>6. ACTUALLY/IN FACT/AS A MATTER OF FACT... /Thật ra là/thực tế là.../</v>
      </c>
    </row>
    <row r="119" spans="1:5" x14ac:dyDescent="0.25">
      <c r="A119" s="1" t="s">
        <v>27</v>
      </c>
      <c r="B119" s="1" t="str">
        <f t="shared" si="22"/>
        <v>6.1Viet</v>
      </c>
      <c r="C119" s="27" t="s">
        <v>488</v>
      </c>
      <c r="D119" s="1" t="s">
        <v>3</v>
      </c>
      <c r="E119" s="29" t="str">
        <f>A119&amp;". "&amp;C119</f>
        <v>6.1. Thật ra anh ta là người tốt.</v>
      </c>
    </row>
    <row r="120" spans="1:5" x14ac:dyDescent="0.25">
      <c r="A120" s="1" t="s">
        <v>27</v>
      </c>
      <c r="B120" s="1" t="str">
        <f t="shared" si="22"/>
        <v>6.1Anh</v>
      </c>
      <c r="C120" s="27" t="s">
        <v>135</v>
      </c>
      <c r="D120" s="1" t="s">
        <v>336</v>
      </c>
      <c r="E120" s="29" t="str">
        <f t="shared" ref="E120:E121" si="39">C120</f>
        <v>Actually, he was a nice person.</v>
      </c>
    </row>
    <row r="121" spans="1:5" x14ac:dyDescent="0.25">
      <c r="A121" s="1" t="s">
        <v>27</v>
      </c>
      <c r="B121" s="1" t="str">
        <f t="shared" si="22"/>
        <v>6.1Phon</v>
      </c>
      <c r="C121" s="27" t="s">
        <v>136</v>
      </c>
      <c r="D121" s="1" t="s">
        <v>5</v>
      </c>
      <c r="E121" s="29" t="str">
        <f t="shared" si="39"/>
        <v>ˈækʧuəli hi: wʌz ə naɪs ˈpɜ:rsən</v>
      </c>
    </row>
    <row r="122" spans="1:5" x14ac:dyDescent="0.25">
      <c r="A122" s="1" t="s">
        <v>28</v>
      </c>
      <c r="B122" s="1" t="str">
        <f t="shared" si="22"/>
        <v>6.2Viet</v>
      </c>
      <c r="C122" s="27" t="s">
        <v>489</v>
      </c>
      <c r="D122" s="1" t="s">
        <v>3</v>
      </c>
      <c r="E122" s="29" t="str">
        <f>A122&amp;". "&amp;C122</f>
        <v>6.2. Thật ra cô ấy đã cho tôi leo cây.</v>
      </c>
    </row>
    <row r="123" spans="1:5" x14ac:dyDescent="0.25">
      <c r="A123" s="1" t="s">
        <v>28</v>
      </c>
      <c r="B123" s="1" t="str">
        <f t="shared" si="22"/>
        <v>6.2Anh</v>
      </c>
      <c r="C123" s="27" t="s">
        <v>137</v>
      </c>
      <c r="D123" s="1" t="s">
        <v>336</v>
      </c>
      <c r="E123" s="29" t="str">
        <f t="shared" ref="E123:E124" si="40">C123</f>
        <v>Actually, she stood me up.</v>
      </c>
    </row>
    <row r="124" spans="1:5" x14ac:dyDescent="0.25">
      <c r="A124" s="1" t="s">
        <v>28</v>
      </c>
      <c r="B124" s="1" t="str">
        <f t="shared" si="22"/>
        <v>6.2Phon</v>
      </c>
      <c r="C124" s="27" t="s">
        <v>138</v>
      </c>
      <c r="D124" s="1" t="s">
        <v>5</v>
      </c>
      <c r="E124" s="29" t="str">
        <f t="shared" si="40"/>
        <v>ˈækʧuəli ʃi: stʊd mi: ʌp</v>
      </c>
    </row>
    <row r="125" spans="1:5" x14ac:dyDescent="0.25">
      <c r="A125" s="1" t="s">
        <v>29</v>
      </c>
      <c r="B125" s="1" t="str">
        <f t="shared" si="22"/>
        <v>6.3Viet</v>
      </c>
      <c r="C125" s="27" t="s">
        <v>490</v>
      </c>
      <c r="D125" s="1" t="s">
        <v>3</v>
      </c>
      <c r="E125" s="29" t="str">
        <f>A125&amp;". "&amp;C125</f>
        <v>6.3. Tôi chưa bao giờ thật sự có cơ hội.</v>
      </c>
    </row>
    <row r="126" spans="1:5" x14ac:dyDescent="0.25">
      <c r="A126" s="1" t="s">
        <v>29</v>
      </c>
      <c r="B126" s="1" t="str">
        <f t="shared" si="22"/>
        <v>6.3Anh</v>
      </c>
      <c r="C126" s="27" t="s">
        <v>139</v>
      </c>
      <c r="D126" s="1" t="s">
        <v>336</v>
      </c>
      <c r="E126" s="29" t="str">
        <f t="shared" ref="E126:E127" si="41">C126</f>
        <v>I have never actually had the chance.</v>
      </c>
    </row>
    <row r="127" spans="1:5" x14ac:dyDescent="0.25">
      <c r="A127" s="1" t="s">
        <v>29</v>
      </c>
      <c r="B127" s="1" t="str">
        <f t="shared" si="22"/>
        <v>6.3Phon</v>
      </c>
      <c r="C127" s="27" t="s">
        <v>140</v>
      </c>
      <c r="D127" s="1" t="s">
        <v>5</v>
      </c>
      <c r="E127" s="29" t="str">
        <f t="shared" si="41"/>
        <v>aɪ hæv ˈnɛvər ˈækʧuəli hæd ðə ʧæns</v>
      </c>
    </row>
    <row r="128" spans="1:5" x14ac:dyDescent="0.25">
      <c r="A128" s="1" t="s">
        <v>52</v>
      </c>
      <c r="B128" s="1" t="str">
        <f t="shared" si="22"/>
        <v>6.4Viet</v>
      </c>
      <c r="C128" s="27" t="s">
        <v>491</v>
      </c>
      <c r="D128" s="1" t="s">
        <v>3</v>
      </c>
      <c r="E128" s="29" t="str">
        <f>A128&amp;". "&amp;C128</f>
        <v>6.4. Tôi thật sự nghiêm túc về chuyện này.</v>
      </c>
    </row>
    <row r="129" spans="1:5" x14ac:dyDescent="0.25">
      <c r="A129" s="1" t="s">
        <v>52</v>
      </c>
      <c r="B129" s="1" t="str">
        <f t="shared" si="22"/>
        <v>6.4Anh</v>
      </c>
      <c r="C129" s="27" t="s">
        <v>141</v>
      </c>
      <c r="D129" s="1" t="s">
        <v>336</v>
      </c>
      <c r="E129" s="29" t="str">
        <f t="shared" ref="E129:E130" si="42">C129</f>
        <v>I am actually serious about this.</v>
      </c>
    </row>
    <row r="130" spans="1:5" x14ac:dyDescent="0.25">
      <c r="A130" s="1" t="s">
        <v>52</v>
      </c>
      <c r="B130" s="1" t="str">
        <f t="shared" si="22"/>
        <v>6.4Phon</v>
      </c>
      <c r="C130" s="27" t="s">
        <v>142</v>
      </c>
      <c r="D130" s="1" t="s">
        <v>5</v>
      </c>
      <c r="E130" s="29" t="str">
        <f t="shared" si="42"/>
        <v>aɪ æm ˈækʧuəli ˈsɪriəs əˈbaʊt ðɪs</v>
      </c>
    </row>
    <row r="131" spans="1:5" x14ac:dyDescent="0.25">
      <c r="A131" s="1" t="s">
        <v>359</v>
      </c>
      <c r="B131" s="1" t="str">
        <f t="shared" ref="B131:B194" si="43">A131&amp;D131</f>
        <v>6.5Viet</v>
      </c>
      <c r="C131" s="27" t="s">
        <v>492</v>
      </c>
      <c r="D131" s="1" t="s">
        <v>3</v>
      </c>
      <c r="E131" s="29" t="str">
        <f>A131&amp;". "&amp;C131</f>
        <v>6.5. Nó thật sự thú vị.</v>
      </c>
    </row>
    <row r="132" spans="1:5" x14ac:dyDescent="0.25">
      <c r="A132" s="1" t="s">
        <v>359</v>
      </c>
      <c r="B132" s="1" t="str">
        <f t="shared" si="43"/>
        <v>6.5Anh</v>
      </c>
      <c r="C132" s="27" t="s">
        <v>143</v>
      </c>
      <c r="D132" s="1" t="s">
        <v>336</v>
      </c>
      <c r="E132" s="29" t="str">
        <f t="shared" ref="E132:E133" si="44">C132</f>
        <v>It’s actually exciting.</v>
      </c>
    </row>
    <row r="133" spans="1:5" x14ac:dyDescent="0.25">
      <c r="A133" s="1" t="s">
        <v>359</v>
      </c>
      <c r="B133" s="1" t="str">
        <f t="shared" si="43"/>
        <v>6.5Phon</v>
      </c>
      <c r="C133" s="27" t="s">
        <v>144</v>
      </c>
      <c r="D133" s="1" t="s">
        <v>5</v>
      </c>
      <c r="E133" s="29" t="str">
        <f t="shared" si="44"/>
        <v>ɪts ˈækʧuəli ɪkˈsaɪtɪŋ</v>
      </c>
    </row>
    <row r="134" spans="1:5" x14ac:dyDescent="0.25">
      <c r="A134" s="1" t="s">
        <v>360</v>
      </c>
      <c r="B134" s="1" t="str">
        <f t="shared" si="43"/>
        <v>6.6Viet</v>
      </c>
      <c r="C134" s="27" t="s">
        <v>493</v>
      </c>
      <c r="D134" s="1" t="s">
        <v>3</v>
      </c>
      <c r="E134" s="29" t="str">
        <f>A134&amp;". "&amp;C134</f>
        <v>6.6. Thật ra chúng tôi đã không thảo luận về vấn đề đó.</v>
      </c>
    </row>
    <row r="135" spans="1:5" x14ac:dyDescent="0.25">
      <c r="A135" s="1" t="s">
        <v>360</v>
      </c>
      <c r="B135" s="1" t="str">
        <f t="shared" si="43"/>
        <v>6.6Anh</v>
      </c>
      <c r="C135" s="27" t="s">
        <v>145</v>
      </c>
      <c r="D135" s="1" t="s">
        <v>336</v>
      </c>
      <c r="E135" s="29" t="str">
        <f t="shared" ref="E135:E136" si="45">C135</f>
        <v>In fact, we didn’t discuss the problem.</v>
      </c>
    </row>
    <row r="136" spans="1:5" x14ac:dyDescent="0.25">
      <c r="A136" s="1" t="s">
        <v>360</v>
      </c>
      <c r="B136" s="1" t="str">
        <f t="shared" si="43"/>
        <v>6.6Phon</v>
      </c>
      <c r="C136" s="27" t="s">
        <v>146</v>
      </c>
      <c r="D136" s="1" t="s">
        <v>5</v>
      </c>
      <c r="E136" s="29" t="str">
        <f t="shared" si="45"/>
        <v>ɪn fækt wi: ˈdɪdənt dɪˈskʌs ðə ˈpra:bləm</v>
      </c>
    </row>
    <row r="137" spans="1:5" x14ac:dyDescent="0.25">
      <c r="A137" s="1" t="s">
        <v>361</v>
      </c>
      <c r="B137" s="1" t="str">
        <f t="shared" si="43"/>
        <v>6.7Viet</v>
      </c>
      <c r="C137" s="27" t="s">
        <v>494</v>
      </c>
      <c r="D137" s="1" t="s">
        <v>3</v>
      </c>
      <c r="E137" s="29" t="str">
        <f>A137&amp;". "&amp;C137</f>
        <v>6.7. Thật ra họ ép tôi làm.</v>
      </c>
    </row>
    <row r="138" spans="1:5" x14ac:dyDescent="0.25">
      <c r="A138" s="1" t="s">
        <v>361</v>
      </c>
      <c r="B138" s="1" t="str">
        <f t="shared" si="43"/>
        <v>6.7Anh</v>
      </c>
      <c r="C138" s="27" t="s">
        <v>147</v>
      </c>
      <c r="D138" s="1" t="s">
        <v>336</v>
      </c>
      <c r="E138" s="29" t="str">
        <f t="shared" ref="E138:E139" si="46">C138</f>
        <v>In fact, they forced me to do it.</v>
      </c>
    </row>
    <row r="139" spans="1:5" x14ac:dyDescent="0.25">
      <c r="A139" s="1" t="s">
        <v>361</v>
      </c>
      <c r="B139" s="1" t="str">
        <f t="shared" si="43"/>
        <v>6.7Phon</v>
      </c>
      <c r="C139" s="27" t="s">
        <v>148</v>
      </c>
      <c r="D139" s="1" t="s">
        <v>5</v>
      </c>
      <c r="E139" s="29" t="str">
        <f t="shared" si="46"/>
        <v>ɪn fækt ðeɪ fɔ:rst mi: tu: du: ɪt</v>
      </c>
    </row>
    <row r="140" spans="1:5" x14ac:dyDescent="0.25">
      <c r="A140" s="1" t="s">
        <v>362</v>
      </c>
      <c r="B140" s="1" t="str">
        <f t="shared" si="43"/>
        <v>6.8Viet</v>
      </c>
      <c r="C140" s="27" t="s">
        <v>495</v>
      </c>
      <c r="D140" s="1" t="s">
        <v>3</v>
      </c>
      <c r="E140" s="29" t="str">
        <f>A140&amp;". "&amp;C140</f>
        <v>6.8. Thực tế là tôi đã học đại học với anh ta.</v>
      </c>
    </row>
    <row r="141" spans="1:5" x14ac:dyDescent="0.25">
      <c r="A141" s="1" t="s">
        <v>362</v>
      </c>
      <c r="B141" s="1" t="str">
        <f t="shared" si="43"/>
        <v>6.8Anh</v>
      </c>
      <c r="C141" s="27" t="s">
        <v>149</v>
      </c>
      <c r="D141" s="1" t="s">
        <v>336</v>
      </c>
      <c r="E141" s="29" t="str">
        <f t="shared" ref="E141:E142" si="47">C141</f>
        <v>As a matter of fact, I went to college with him.</v>
      </c>
    </row>
    <row r="142" spans="1:5" x14ac:dyDescent="0.25">
      <c r="A142" s="1" t="s">
        <v>362</v>
      </c>
      <c r="B142" s="1" t="str">
        <f t="shared" si="43"/>
        <v>6.8Phon</v>
      </c>
      <c r="C142" s="27" t="s">
        <v>150</v>
      </c>
      <c r="D142" s="1" t="s">
        <v>5</v>
      </c>
      <c r="E142" s="29" t="str">
        <f t="shared" si="47"/>
        <v>æz ə ˈmætər ʌv fækt aɪ wɛnt tu: ˈka:lɪʤ wɪð hɪm</v>
      </c>
    </row>
    <row r="143" spans="1:5" x14ac:dyDescent="0.25">
      <c r="A143" s="1" t="s">
        <v>363</v>
      </c>
      <c r="B143" s="1" t="str">
        <f t="shared" si="43"/>
        <v>6.9Viet</v>
      </c>
      <c r="C143" s="27" t="s">
        <v>496</v>
      </c>
      <c r="D143" s="1" t="s">
        <v>3</v>
      </c>
      <c r="E143" s="29" t="str">
        <f>A143&amp;". "&amp;C143</f>
        <v>6.9. Trên thực tế, anh ta hoàn toàn xa lạ đối với tôi.</v>
      </c>
    </row>
    <row r="144" spans="1:5" x14ac:dyDescent="0.25">
      <c r="A144" s="1" t="s">
        <v>363</v>
      </c>
      <c r="B144" s="1" t="str">
        <f t="shared" si="43"/>
        <v>6.9Anh</v>
      </c>
      <c r="C144" s="27" t="s">
        <v>151</v>
      </c>
      <c r="D144" s="1" t="s">
        <v>336</v>
      </c>
      <c r="E144" s="29" t="str">
        <f t="shared" ref="E144:E146" si="48">C144</f>
        <v>As a matter of fact, he is a complete stranger to me.</v>
      </c>
    </row>
    <row r="145" spans="1:5" x14ac:dyDescent="0.25">
      <c r="A145" s="1" t="s">
        <v>363</v>
      </c>
      <c r="B145" s="1" t="str">
        <f t="shared" si="43"/>
        <v>6.9Phon</v>
      </c>
      <c r="C145" s="27" t="s">
        <v>152</v>
      </c>
      <c r="D145" s="1" t="s">
        <v>5</v>
      </c>
      <c r="E145" s="29" t="str">
        <f t="shared" si="48"/>
        <v>æz ə ˈmætər ʌv fækt hi: ɪz ə kəmˈpli:t ˈstreɪnʤər tu: mi:</v>
      </c>
    </row>
    <row r="146" spans="1:5" x14ac:dyDescent="0.25">
      <c r="A146" s="1" t="s">
        <v>364</v>
      </c>
      <c r="B146" s="1" t="str">
        <f t="shared" si="43"/>
        <v>7Struc</v>
      </c>
      <c r="C146" s="28" t="s">
        <v>153</v>
      </c>
      <c r="D146" s="1" t="s">
        <v>11</v>
      </c>
      <c r="E146" s="29" t="str">
        <f t="shared" si="48"/>
        <v>7. THERE IS/THERE ARE... /Có.../</v>
      </c>
    </row>
    <row r="147" spans="1:5" x14ac:dyDescent="0.25">
      <c r="A147" s="1" t="s">
        <v>30</v>
      </c>
      <c r="B147" s="1" t="str">
        <f t="shared" si="43"/>
        <v>7.1Viet</v>
      </c>
      <c r="C147" s="27" t="s">
        <v>497</v>
      </c>
      <c r="D147" s="1" t="s">
        <v>3</v>
      </c>
      <c r="E147" s="29" t="str">
        <f>A147&amp;". "&amp;C147</f>
        <v>7.1. Không có kế hoạch dự bị.</v>
      </c>
    </row>
    <row r="148" spans="1:5" x14ac:dyDescent="0.25">
      <c r="A148" s="1" t="s">
        <v>30</v>
      </c>
      <c r="B148" s="1" t="str">
        <f t="shared" si="43"/>
        <v>7.1Anh</v>
      </c>
      <c r="C148" s="27" t="s">
        <v>154</v>
      </c>
      <c r="D148" s="1" t="s">
        <v>336</v>
      </c>
      <c r="E148" s="29" t="str">
        <f t="shared" ref="E148:E149" si="49">C148</f>
        <v>There is no plan B.</v>
      </c>
    </row>
    <row r="149" spans="1:5" x14ac:dyDescent="0.25">
      <c r="A149" s="1" t="s">
        <v>30</v>
      </c>
      <c r="B149" s="1" t="str">
        <f t="shared" si="43"/>
        <v>7.1Phon</v>
      </c>
      <c r="C149" s="27" t="s">
        <v>155</v>
      </c>
      <c r="D149" s="1" t="s">
        <v>5</v>
      </c>
      <c r="E149" s="29" t="str">
        <f t="shared" si="49"/>
        <v>ðɛr ɪz noʊ plæn bi:</v>
      </c>
    </row>
    <row r="150" spans="1:5" x14ac:dyDescent="0.25">
      <c r="A150" s="1" t="s">
        <v>31</v>
      </c>
      <c r="B150" s="1" t="str">
        <f t="shared" si="43"/>
        <v>7.2Viet</v>
      </c>
      <c r="C150" s="27" t="s">
        <v>498</v>
      </c>
      <c r="D150" s="1" t="s">
        <v>3</v>
      </c>
      <c r="E150" s="29" t="str">
        <f>A150&amp;". "&amp;C150</f>
        <v>7.2. Không có cách nào kiểm soát được chuyện đó.</v>
      </c>
    </row>
    <row r="151" spans="1:5" x14ac:dyDescent="0.25">
      <c r="A151" s="1" t="s">
        <v>31</v>
      </c>
      <c r="B151" s="1" t="str">
        <f t="shared" si="43"/>
        <v>7.2Anh</v>
      </c>
      <c r="C151" s="27" t="s">
        <v>156</v>
      </c>
      <c r="D151" s="1" t="s">
        <v>336</v>
      </c>
      <c r="E151" s="29" t="str">
        <f t="shared" ref="E151:E152" si="50">C151</f>
        <v>There is no way to control that.</v>
      </c>
    </row>
    <row r="152" spans="1:5" x14ac:dyDescent="0.25">
      <c r="A152" s="1" t="s">
        <v>31</v>
      </c>
      <c r="B152" s="1" t="str">
        <f t="shared" si="43"/>
        <v>7.2Phon</v>
      </c>
      <c r="C152" s="27" t="s">
        <v>157</v>
      </c>
      <c r="D152" s="1" t="s">
        <v>5</v>
      </c>
      <c r="E152" s="29" t="str">
        <f t="shared" si="50"/>
        <v>ðɛr ɪz noʊ weɪ tu: kənˈtroʊl ðæt</v>
      </c>
    </row>
    <row r="153" spans="1:5" x14ac:dyDescent="0.25">
      <c r="A153" s="1" t="s">
        <v>32</v>
      </c>
      <c r="B153" s="1" t="str">
        <f t="shared" si="43"/>
        <v>7.3Viet</v>
      </c>
      <c r="C153" s="27" t="s">
        <v>499</v>
      </c>
      <c r="D153" s="1" t="s">
        <v>3</v>
      </c>
      <c r="E153" s="29" t="str">
        <f>A153&amp;". "&amp;C153</f>
        <v>7.3. Tôi không thể làm được gì cho chuyện đó.</v>
      </c>
    </row>
    <row r="154" spans="1:5" x14ac:dyDescent="0.25">
      <c r="A154" s="1" t="s">
        <v>32</v>
      </c>
      <c r="B154" s="1" t="str">
        <f t="shared" si="43"/>
        <v>7.3Anh</v>
      </c>
      <c r="C154" s="27" t="s">
        <v>158</v>
      </c>
      <c r="D154" s="1" t="s">
        <v>336</v>
      </c>
      <c r="E154" s="29" t="str">
        <f t="shared" ref="E154:E155" si="51">C154</f>
        <v>There is nothing I can do about it.</v>
      </c>
    </row>
    <row r="155" spans="1:5" x14ac:dyDescent="0.25">
      <c r="A155" s="1" t="s">
        <v>32</v>
      </c>
      <c r="B155" s="1" t="str">
        <f t="shared" si="43"/>
        <v>7.3Phon</v>
      </c>
      <c r="C155" s="27" t="s">
        <v>159</v>
      </c>
      <c r="D155" s="1" t="s">
        <v>5</v>
      </c>
      <c r="E155" s="29" t="str">
        <f t="shared" si="51"/>
        <v>ðɛr ɪz ˈnʌθɪŋ aɪ kæn du: əˈbaʊt ɪt</v>
      </c>
    </row>
    <row r="156" spans="1:5" x14ac:dyDescent="0.25">
      <c r="A156" s="1" t="s">
        <v>44</v>
      </c>
      <c r="B156" s="1" t="str">
        <f t="shared" si="43"/>
        <v>7.4Viet</v>
      </c>
      <c r="C156" s="27" t="s">
        <v>500</v>
      </c>
      <c r="D156" s="1" t="s">
        <v>3</v>
      </c>
      <c r="E156" s="29" t="str">
        <f>A156&amp;". "&amp;C156</f>
        <v>7.4. Có một quyển sách ở trên bàn.</v>
      </c>
    </row>
    <row r="157" spans="1:5" x14ac:dyDescent="0.25">
      <c r="A157" s="1" t="s">
        <v>44</v>
      </c>
      <c r="B157" s="1" t="str">
        <f t="shared" si="43"/>
        <v>7.4Anh</v>
      </c>
      <c r="C157" s="27" t="s">
        <v>160</v>
      </c>
      <c r="D157" s="1" t="s">
        <v>336</v>
      </c>
      <c r="E157" s="29" t="str">
        <f t="shared" ref="E157:E158" si="52">C157</f>
        <v>There is a book on the desk.</v>
      </c>
    </row>
    <row r="158" spans="1:5" x14ac:dyDescent="0.25">
      <c r="A158" s="1" t="s">
        <v>44</v>
      </c>
      <c r="B158" s="1" t="str">
        <f t="shared" si="43"/>
        <v>7.4Phon</v>
      </c>
      <c r="C158" s="27" t="s">
        <v>161</v>
      </c>
      <c r="D158" s="1" t="s">
        <v>5</v>
      </c>
      <c r="E158" s="29" t="str">
        <f t="shared" si="52"/>
        <v>ðɛr ɪz ə bʊk a:n ðə dɛsk</v>
      </c>
    </row>
    <row r="159" spans="1:5" x14ac:dyDescent="0.25">
      <c r="A159" s="1" t="s">
        <v>365</v>
      </c>
      <c r="B159" s="1" t="str">
        <f t="shared" si="43"/>
        <v>7.5Viet</v>
      </c>
      <c r="C159" s="27" t="s">
        <v>501</v>
      </c>
      <c r="D159" s="1" t="s">
        <v>3</v>
      </c>
      <c r="E159" s="29" t="str">
        <f>A159&amp;". "&amp;C159</f>
        <v>7.5. Có những sự lựa chọn khác.</v>
      </c>
    </row>
    <row r="160" spans="1:5" x14ac:dyDescent="0.25">
      <c r="A160" s="1" t="s">
        <v>365</v>
      </c>
      <c r="B160" s="1" t="str">
        <f t="shared" si="43"/>
        <v>7.5Anh</v>
      </c>
      <c r="C160" s="27" t="s">
        <v>162</v>
      </c>
      <c r="D160" s="1" t="s">
        <v>336</v>
      </c>
      <c r="E160" s="29" t="str">
        <f t="shared" ref="E160:E161" si="53">C160</f>
        <v>There are other options.</v>
      </c>
    </row>
    <row r="161" spans="1:5" x14ac:dyDescent="0.25">
      <c r="A161" s="1" t="s">
        <v>365</v>
      </c>
      <c r="B161" s="1" t="str">
        <f t="shared" si="43"/>
        <v>7.5Phon</v>
      </c>
      <c r="C161" s="27" t="s">
        <v>163</v>
      </c>
      <c r="D161" s="1" t="s">
        <v>5</v>
      </c>
      <c r="E161" s="29" t="str">
        <f t="shared" si="53"/>
        <v>ðɛr a:r ˈʌðər ˈa:pʃənz</v>
      </c>
    </row>
    <row r="162" spans="1:5" x14ac:dyDescent="0.25">
      <c r="A162" s="1" t="s">
        <v>366</v>
      </c>
      <c r="B162" s="1" t="str">
        <f t="shared" si="43"/>
        <v>7.6Viet</v>
      </c>
      <c r="C162" s="27" t="s">
        <v>502</v>
      </c>
      <c r="D162" s="1" t="s">
        <v>3</v>
      </c>
      <c r="E162" s="29" t="str">
        <f>A162&amp;". "&amp;C162</f>
        <v>7.6. Có 2 cách để tìm ra.</v>
      </c>
    </row>
    <row r="163" spans="1:5" x14ac:dyDescent="0.25">
      <c r="A163" s="1" t="s">
        <v>366</v>
      </c>
      <c r="B163" s="1" t="str">
        <f t="shared" si="43"/>
        <v>7.6Anh</v>
      </c>
      <c r="C163" s="27" t="s">
        <v>164</v>
      </c>
      <c r="D163" s="1" t="s">
        <v>336</v>
      </c>
      <c r="E163" s="29" t="str">
        <f t="shared" ref="E163:E164" si="54">C163</f>
        <v>There are 2 ways to find out.</v>
      </c>
    </row>
    <row r="164" spans="1:5" x14ac:dyDescent="0.25">
      <c r="A164" s="1" t="s">
        <v>366</v>
      </c>
      <c r="B164" s="1" t="str">
        <f t="shared" si="43"/>
        <v>7.6Phon</v>
      </c>
      <c r="C164" s="27" t="s">
        <v>165</v>
      </c>
      <c r="D164" s="1" t="s">
        <v>5</v>
      </c>
      <c r="E164" s="29" t="str">
        <f t="shared" si="54"/>
        <v>ðɛr a:r tu: weɪz tu: faɪnd aʊt</v>
      </c>
    </row>
    <row r="165" spans="1:5" x14ac:dyDescent="0.25">
      <c r="A165" s="1" t="s">
        <v>367</v>
      </c>
      <c r="B165" s="1" t="str">
        <f t="shared" si="43"/>
        <v>7.7Viet</v>
      </c>
      <c r="C165" s="27" t="s">
        <v>503</v>
      </c>
      <c r="D165" s="1" t="s">
        <v>3</v>
      </c>
      <c r="E165" s="29" t="str">
        <f>A165&amp;". "&amp;C165</f>
        <v>7.7. Có một số cửa hàng mở ban đêm.</v>
      </c>
    </row>
    <row r="166" spans="1:5" x14ac:dyDescent="0.25">
      <c r="A166" s="1" t="s">
        <v>367</v>
      </c>
      <c r="B166" s="1" t="str">
        <f t="shared" si="43"/>
        <v>7.7Anh</v>
      </c>
      <c r="C166" s="27" t="s">
        <v>166</v>
      </c>
      <c r="D166" s="1" t="s">
        <v>336</v>
      </c>
      <c r="E166" s="29" t="str">
        <f t="shared" ref="E166:E167" si="55">C166</f>
        <v>There are some stores open at night.</v>
      </c>
    </row>
    <row r="167" spans="1:5" x14ac:dyDescent="0.25">
      <c r="A167" s="1" t="s">
        <v>367</v>
      </c>
      <c r="B167" s="1" t="str">
        <f t="shared" si="43"/>
        <v>7.7Phon</v>
      </c>
      <c r="C167" s="27" t="s">
        <v>167</v>
      </c>
      <c r="D167" s="1" t="s">
        <v>5</v>
      </c>
      <c r="E167" s="29" t="str">
        <f t="shared" si="55"/>
        <v>ðɛr a:r sʌm stɔ:rz ˈoʊpən æt naɪt</v>
      </c>
    </row>
    <row r="168" spans="1:5" x14ac:dyDescent="0.25">
      <c r="A168" s="1" t="s">
        <v>368</v>
      </c>
      <c r="B168" s="1" t="str">
        <f t="shared" si="43"/>
        <v>7.8Viet</v>
      </c>
      <c r="C168" s="27" t="s">
        <v>504</v>
      </c>
      <c r="D168" s="1" t="s">
        <v>3</v>
      </c>
      <c r="E168" s="29" t="str">
        <f>A168&amp;". "&amp;C168</f>
        <v>7.8. Ở đây có nhiều thứ hay ho để xem.</v>
      </c>
    </row>
    <row r="169" spans="1:5" x14ac:dyDescent="0.25">
      <c r="A169" s="1" t="s">
        <v>368</v>
      </c>
      <c r="B169" s="1" t="str">
        <f t="shared" si="43"/>
        <v>7.8Anh</v>
      </c>
      <c r="C169" s="27" t="s">
        <v>168</v>
      </c>
      <c r="D169" s="1" t="s">
        <v>336</v>
      </c>
      <c r="E169" s="29" t="str">
        <f t="shared" ref="E169:E171" si="56">C169</f>
        <v>There are a lot of interesting things to see here.</v>
      </c>
    </row>
    <row r="170" spans="1:5" x14ac:dyDescent="0.25">
      <c r="A170" s="1" t="s">
        <v>368</v>
      </c>
      <c r="B170" s="1" t="str">
        <f t="shared" si="43"/>
        <v>7.8Phon</v>
      </c>
      <c r="C170" s="27" t="s">
        <v>169</v>
      </c>
      <c r="D170" s="1" t="s">
        <v>5</v>
      </c>
      <c r="E170" s="29" t="str">
        <f t="shared" si="56"/>
        <v>ðɛr a:r ə la:t ʌv ˈɪntrəstɪŋ θɪŋz tu: si: hɪr</v>
      </c>
    </row>
    <row r="171" spans="1:5" x14ac:dyDescent="0.25">
      <c r="A171" s="1" t="s">
        <v>369</v>
      </c>
      <c r="B171" s="1" t="str">
        <f t="shared" si="43"/>
        <v>8Struc</v>
      </c>
      <c r="C171" s="28" t="s">
        <v>170</v>
      </c>
      <c r="D171" s="1" t="s">
        <v>11</v>
      </c>
      <c r="E171" s="29" t="str">
        <f t="shared" si="56"/>
        <v>8. I HAVE TO... /Tôi phải.../</v>
      </c>
    </row>
    <row r="172" spans="1:5" x14ac:dyDescent="0.25">
      <c r="A172" s="1" t="s">
        <v>33</v>
      </c>
      <c r="B172" s="1" t="str">
        <f t="shared" si="43"/>
        <v>8.1Viet</v>
      </c>
      <c r="C172" s="27" t="s">
        <v>505</v>
      </c>
      <c r="D172" s="1" t="s">
        <v>3</v>
      </c>
      <c r="E172" s="29" t="str">
        <f>A172&amp;". "&amp;C172</f>
        <v>8.1. Tôi phải đợi.</v>
      </c>
    </row>
    <row r="173" spans="1:5" x14ac:dyDescent="0.25">
      <c r="A173" s="1" t="s">
        <v>33</v>
      </c>
      <c r="B173" s="1" t="str">
        <f t="shared" si="43"/>
        <v>8.1Anh</v>
      </c>
      <c r="C173" s="27" t="s">
        <v>171</v>
      </c>
      <c r="D173" s="1" t="s">
        <v>336</v>
      </c>
      <c r="E173" s="29" t="str">
        <f t="shared" ref="E173:E174" si="57">C173</f>
        <v>I have to wait.</v>
      </c>
    </row>
    <row r="174" spans="1:5" x14ac:dyDescent="0.25">
      <c r="A174" s="1" t="s">
        <v>33</v>
      </c>
      <c r="B174" s="1" t="str">
        <f t="shared" si="43"/>
        <v>8.1Phon</v>
      </c>
      <c r="C174" s="27" t="s">
        <v>172</v>
      </c>
      <c r="D174" s="1" t="s">
        <v>5</v>
      </c>
      <c r="E174" s="29" t="str">
        <f t="shared" si="57"/>
        <v>aɪ hæv tu: weɪt</v>
      </c>
    </row>
    <row r="175" spans="1:5" x14ac:dyDescent="0.25">
      <c r="A175" s="1" t="s">
        <v>34</v>
      </c>
      <c r="B175" s="1" t="str">
        <f t="shared" si="43"/>
        <v>8.2Viet</v>
      </c>
      <c r="C175" s="27" t="s">
        <v>506</v>
      </c>
      <c r="D175" s="1" t="s">
        <v>3</v>
      </c>
      <c r="E175" s="29" t="str">
        <f>A175&amp;". "&amp;C175</f>
        <v>8.2. Tôi phải thành thật.</v>
      </c>
    </row>
    <row r="176" spans="1:5" x14ac:dyDescent="0.25">
      <c r="A176" s="1" t="s">
        <v>34</v>
      </c>
      <c r="B176" s="1" t="str">
        <f t="shared" si="43"/>
        <v>8.2Anh</v>
      </c>
      <c r="C176" s="27" t="s">
        <v>173</v>
      </c>
      <c r="D176" s="1" t="s">
        <v>336</v>
      </c>
      <c r="E176" s="29" t="str">
        <f t="shared" ref="E176:E177" si="58">C176</f>
        <v>I have to be truthful.</v>
      </c>
    </row>
    <row r="177" spans="1:5" x14ac:dyDescent="0.25">
      <c r="A177" s="1" t="s">
        <v>34</v>
      </c>
      <c r="B177" s="1" t="str">
        <f t="shared" si="43"/>
        <v>8.2Phon</v>
      </c>
      <c r="C177" s="27" t="s">
        <v>174</v>
      </c>
      <c r="D177" s="1" t="s">
        <v>5</v>
      </c>
      <c r="E177" s="29" t="str">
        <f t="shared" si="58"/>
        <v>aɪ hæv tu: bi: ˈtru:θfəl</v>
      </c>
    </row>
    <row r="178" spans="1:5" x14ac:dyDescent="0.25">
      <c r="A178" s="1" t="s">
        <v>35</v>
      </c>
      <c r="B178" s="1" t="str">
        <f t="shared" si="43"/>
        <v>8.3Viet</v>
      </c>
      <c r="C178" s="27" t="s">
        <v>507</v>
      </c>
      <c r="D178" s="1" t="s">
        <v>3</v>
      </c>
      <c r="E178" s="29" t="str">
        <f>A178&amp;". "&amp;C178</f>
        <v>8.3. Tôi phải nói cho anh ta biết một bí mật.</v>
      </c>
    </row>
    <row r="179" spans="1:5" x14ac:dyDescent="0.25">
      <c r="A179" s="1" t="s">
        <v>35</v>
      </c>
      <c r="B179" s="1" t="str">
        <f t="shared" si="43"/>
        <v>8.3Anh</v>
      </c>
      <c r="C179" s="27" t="s">
        <v>175</v>
      </c>
      <c r="D179" s="1" t="s">
        <v>336</v>
      </c>
      <c r="E179" s="29" t="str">
        <f t="shared" ref="E179:E180" si="59">C179</f>
        <v>I have to tell him something confidential.</v>
      </c>
    </row>
    <row r="180" spans="1:5" x14ac:dyDescent="0.25">
      <c r="A180" s="1" t="s">
        <v>35</v>
      </c>
      <c r="B180" s="1" t="str">
        <f t="shared" si="43"/>
        <v>8.3Phon</v>
      </c>
      <c r="C180" s="27" t="s">
        <v>176</v>
      </c>
      <c r="D180" s="1" t="s">
        <v>5</v>
      </c>
      <c r="E180" s="29" t="str">
        <f t="shared" si="59"/>
        <v>aɪ hæv tu: tɛl hɪm ˈsʌmθɪŋ ˌka:nfəˈdɛnʃəl</v>
      </c>
    </row>
    <row r="181" spans="1:5" x14ac:dyDescent="0.25">
      <c r="A181" s="1" t="s">
        <v>45</v>
      </c>
      <c r="B181" s="1" t="str">
        <f t="shared" si="43"/>
        <v>8.4Viet</v>
      </c>
      <c r="C181" s="27" t="s">
        <v>508</v>
      </c>
      <c r="D181" s="1" t="s">
        <v>3</v>
      </c>
      <c r="E181" s="29" t="str">
        <f>A181&amp;". "&amp;C181</f>
        <v>8.4. Bạn phải nhanh lên.</v>
      </c>
    </row>
    <row r="182" spans="1:5" x14ac:dyDescent="0.25">
      <c r="A182" s="1" t="s">
        <v>45</v>
      </c>
      <c r="B182" s="1" t="str">
        <f t="shared" si="43"/>
        <v>8.4Anh</v>
      </c>
      <c r="C182" s="27" t="s">
        <v>177</v>
      </c>
      <c r="D182" s="1" t="s">
        <v>336</v>
      </c>
      <c r="E182" s="29" t="str">
        <f t="shared" ref="E182:E183" si="60">C182</f>
        <v>You have to move in a rush.</v>
      </c>
    </row>
    <row r="183" spans="1:5" x14ac:dyDescent="0.25">
      <c r="A183" s="1" t="s">
        <v>45</v>
      </c>
      <c r="B183" s="1" t="str">
        <f t="shared" si="43"/>
        <v>8.4Phon</v>
      </c>
      <c r="C183" s="27" t="s">
        <v>178</v>
      </c>
      <c r="D183" s="1" t="s">
        <v>5</v>
      </c>
      <c r="E183" s="29" t="str">
        <f t="shared" si="60"/>
        <v>ju: hæv tu: mu:v ɪn ə rʌʃ</v>
      </c>
    </row>
    <row r="184" spans="1:5" x14ac:dyDescent="0.25">
      <c r="A184" s="1" t="s">
        <v>370</v>
      </c>
      <c r="B184" s="1" t="str">
        <f t="shared" si="43"/>
        <v>8.5Viet</v>
      </c>
      <c r="C184" s="27" t="s">
        <v>509</v>
      </c>
      <c r="D184" s="1" t="s">
        <v>3</v>
      </c>
      <c r="E184" s="29" t="str">
        <f>A184&amp;". "&amp;C184</f>
        <v>8.5. Cậu phải quyết tâm vào.</v>
      </c>
    </row>
    <row r="185" spans="1:5" x14ac:dyDescent="0.25">
      <c r="A185" s="1" t="s">
        <v>370</v>
      </c>
      <c r="B185" s="1" t="str">
        <f t="shared" si="43"/>
        <v>8.5Anh</v>
      </c>
      <c r="C185" s="27" t="s">
        <v>179</v>
      </c>
      <c r="D185" s="1" t="s">
        <v>336</v>
      </c>
      <c r="E185" s="29" t="str">
        <f t="shared" ref="E185:E186" si="61">C185</f>
        <v>You have to make up your mind.</v>
      </c>
    </row>
    <row r="186" spans="1:5" x14ac:dyDescent="0.25">
      <c r="A186" s="1" t="s">
        <v>370</v>
      </c>
      <c r="B186" s="1" t="str">
        <f t="shared" si="43"/>
        <v>8.5Phon</v>
      </c>
      <c r="C186" s="27" t="s">
        <v>180</v>
      </c>
      <c r="D186" s="1" t="s">
        <v>5</v>
      </c>
      <c r="E186" s="29" t="str">
        <f t="shared" si="61"/>
        <v>ju: hæv tu: meɪk ʌp jʊr maɪnd</v>
      </c>
    </row>
    <row r="187" spans="1:5" x14ac:dyDescent="0.25">
      <c r="A187" s="1" t="s">
        <v>371</v>
      </c>
      <c r="B187" s="1" t="str">
        <f t="shared" si="43"/>
        <v>8.6Viet</v>
      </c>
      <c r="C187" s="27" t="s">
        <v>510</v>
      </c>
      <c r="D187" s="1" t="s">
        <v>3</v>
      </c>
      <c r="E187" s="29" t="str">
        <f>A187&amp;". "&amp;C187</f>
        <v>8.6. Cậu phải thừa nhận điều đó thôi.</v>
      </c>
    </row>
    <row r="188" spans="1:5" x14ac:dyDescent="0.25">
      <c r="A188" s="1" t="s">
        <v>371</v>
      </c>
      <c r="B188" s="1" t="str">
        <f t="shared" si="43"/>
        <v>8.6Anh</v>
      </c>
      <c r="C188" s="27" t="s">
        <v>181</v>
      </c>
      <c r="D188" s="1" t="s">
        <v>336</v>
      </c>
      <c r="E188" s="29" t="str">
        <f t="shared" ref="E188:E189" si="62">C188</f>
        <v>You have to admit that.</v>
      </c>
    </row>
    <row r="189" spans="1:5" x14ac:dyDescent="0.25">
      <c r="A189" s="1" t="s">
        <v>371</v>
      </c>
      <c r="B189" s="1" t="str">
        <f t="shared" si="43"/>
        <v>8.6Phon</v>
      </c>
      <c r="C189" s="27" t="s">
        <v>182</v>
      </c>
      <c r="D189" s="1" t="s">
        <v>5</v>
      </c>
      <c r="E189" s="29" t="str">
        <f t="shared" si="62"/>
        <v>ju: hæv tu: ədˈmɪt ðæt</v>
      </c>
    </row>
    <row r="190" spans="1:5" x14ac:dyDescent="0.25">
      <c r="A190" s="1" t="s">
        <v>372</v>
      </c>
      <c r="B190" s="1" t="str">
        <f t="shared" si="43"/>
        <v>8.7Viet</v>
      </c>
      <c r="C190" s="27" t="s">
        <v>511</v>
      </c>
      <c r="D190" s="1" t="s">
        <v>3</v>
      </c>
      <c r="E190" s="29" t="str">
        <f>A190&amp;". "&amp;C190</f>
        <v>8.7. Cậu không phải lo đâu.</v>
      </c>
    </row>
    <row r="191" spans="1:5" x14ac:dyDescent="0.25">
      <c r="A191" s="1" t="s">
        <v>372</v>
      </c>
      <c r="B191" s="1" t="str">
        <f t="shared" si="43"/>
        <v>8.7Anh</v>
      </c>
      <c r="C191" s="27" t="s">
        <v>183</v>
      </c>
      <c r="D191" s="1" t="s">
        <v>336</v>
      </c>
      <c r="E191" s="29" t="str">
        <f t="shared" ref="E191:E192" si="63">C191</f>
        <v>You don’t have to worry.</v>
      </c>
    </row>
    <row r="192" spans="1:5" x14ac:dyDescent="0.25">
      <c r="A192" s="1" t="s">
        <v>372</v>
      </c>
      <c r="B192" s="1" t="str">
        <f t="shared" si="43"/>
        <v>8.7Phon</v>
      </c>
      <c r="C192" s="27" t="s">
        <v>184</v>
      </c>
      <c r="D192" s="1" t="s">
        <v>5</v>
      </c>
      <c r="E192" s="29" t="str">
        <f t="shared" si="63"/>
        <v>ju: doʊnt hæv tu: ˈwɜ:ri</v>
      </c>
    </row>
    <row r="193" spans="1:5" x14ac:dyDescent="0.25">
      <c r="A193" s="1" t="s">
        <v>373</v>
      </c>
      <c r="B193" s="1" t="str">
        <f t="shared" si="43"/>
        <v>8.8Viet</v>
      </c>
      <c r="C193" s="27" t="s">
        <v>512</v>
      </c>
      <c r="D193" s="1" t="s">
        <v>3</v>
      </c>
      <c r="E193" s="29" t="str">
        <f>A193&amp;". "&amp;C193</f>
        <v>8.8. Cậu không phải giải thích cho anh ta.</v>
      </c>
    </row>
    <row r="194" spans="1:5" x14ac:dyDescent="0.25">
      <c r="A194" s="1" t="s">
        <v>373</v>
      </c>
      <c r="B194" s="1" t="str">
        <f t="shared" si="43"/>
        <v>8.8Anh</v>
      </c>
      <c r="C194" s="27" t="s">
        <v>185</v>
      </c>
      <c r="D194" s="1" t="s">
        <v>336</v>
      </c>
      <c r="E194" s="29" t="str">
        <f t="shared" ref="E194:E196" si="64">C194</f>
        <v>You don’t have to explain it to him.</v>
      </c>
    </row>
    <row r="195" spans="1:5" x14ac:dyDescent="0.25">
      <c r="A195" s="1" t="s">
        <v>373</v>
      </c>
      <c r="B195" s="1" t="str">
        <f t="shared" ref="B195:B258" si="65">A195&amp;D195</f>
        <v>8.8Phon</v>
      </c>
      <c r="C195" s="27" t="s">
        <v>186</v>
      </c>
      <c r="D195" s="1" t="s">
        <v>5</v>
      </c>
      <c r="E195" s="29" t="str">
        <f t="shared" si="64"/>
        <v>ju: doʊnt hæv tu: ɪkˈspleɪn ɪt tu: hɪm</v>
      </c>
    </row>
    <row r="196" spans="1:5" x14ac:dyDescent="0.25">
      <c r="A196" s="1" t="s">
        <v>374</v>
      </c>
      <c r="B196" s="1" t="str">
        <f t="shared" si="65"/>
        <v>9Struc</v>
      </c>
      <c r="C196" s="28" t="s">
        <v>187</v>
      </c>
      <c r="D196" s="1" t="s">
        <v>11</v>
      </c>
      <c r="E196" s="29" t="str">
        <f t="shared" si="64"/>
        <v>9. I GOTTA... /Tôi phải.../</v>
      </c>
    </row>
    <row r="197" spans="1:5" x14ac:dyDescent="0.25">
      <c r="A197" s="1" t="s">
        <v>36</v>
      </c>
      <c r="B197" s="1" t="str">
        <f t="shared" si="65"/>
        <v>9.1Viet</v>
      </c>
      <c r="C197" s="27" t="s">
        <v>513</v>
      </c>
      <c r="D197" s="1" t="s">
        <v>3</v>
      </c>
      <c r="E197" s="29" t="str">
        <f>A197&amp;". "&amp;C197</f>
        <v>9.1. Tôi phải đi đây.</v>
      </c>
    </row>
    <row r="198" spans="1:5" x14ac:dyDescent="0.25">
      <c r="A198" s="1" t="s">
        <v>36</v>
      </c>
      <c r="B198" s="1" t="str">
        <f t="shared" si="65"/>
        <v>9.1Anh</v>
      </c>
      <c r="C198" s="27" t="s">
        <v>188</v>
      </c>
      <c r="D198" s="1" t="s">
        <v>336</v>
      </c>
      <c r="E198" s="29" t="str">
        <f t="shared" ref="E198:E199" si="66">C198</f>
        <v>I gotta go.</v>
      </c>
    </row>
    <row r="199" spans="1:5" x14ac:dyDescent="0.25">
      <c r="A199" s="1" t="s">
        <v>36</v>
      </c>
      <c r="B199" s="1" t="str">
        <f t="shared" si="65"/>
        <v>9.1Phon</v>
      </c>
      <c r="C199" s="27" t="s">
        <v>189</v>
      </c>
      <c r="D199" s="1" t="s">
        <v>5</v>
      </c>
      <c r="E199" s="29" t="str">
        <f t="shared" si="66"/>
        <v>aɪ ˈga:tə goʊ</v>
      </c>
    </row>
    <row r="200" spans="1:5" x14ac:dyDescent="0.25">
      <c r="A200" s="1" t="s">
        <v>37</v>
      </c>
      <c r="B200" s="1" t="str">
        <f t="shared" si="65"/>
        <v>9.2Viet</v>
      </c>
      <c r="C200" s="27" t="s">
        <v>514</v>
      </c>
      <c r="D200" s="1" t="s">
        <v>3</v>
      </c>
      <c r="E200" s="29" t="str">
        <f>A200&amp;". "&amp;C200</f>
        <v>9.2. Tôi phải suy nghĩ về chuyện đó.</v>
      </c>
    </row>
    <row r="201" spans="1:5" x14ac:dyDescent="0.25">
      <c r="A201" s="1" t="s">
        <v>37</v>
      </c>
      <c r="B201" s="1" t="str">
        <f t="shared" si="65"/>
        <v>9.2Anh</v>
      </c>
      <c r="C201" s="27" t="s">
        <v>190</v>
      </c>
      <c r="D201" s="1" t="s">
        <v>336</v>
      </c>
      <c r="E201" s="29" t="str">
        <f t="shared" ref="E201:E202" si="67">C201</f>
        <v>I gotta think about it.</v>
      </c>
    </row>
    <row r="202" spans="1:5" x14ac:dyDescent="0.25">
      <c r="A202" s="1" t="s">
        <v>37</v>
      </c>
      <c r="B202" s="1" t="str">
        <f t="shared" si="65"/>
        <v>9.2Phon</v>
      </c>
      <c r="C202" s="27" t="s">
        <v>191</v>
      </c>
      <c r="D202" s="1" t="s">
        <v>5</v>
      </c>
      <c r="E202" s="29" t="str">
        <f t="shared" si="67"/>
        <v>aɪ ˈga:tə θɪŋk əˈbaʊt ɪt</v>
      </c>
    </row>
    <row r="203" spans="1:5" x14ac:dyDescent="0.25">
      <c r="A203" s="1" t="s">
        <v>38</v>
      </c>
      <c r="B203" s="1" t="str">
        <f t="shared" si="65"/>
        <v>9.3Viet</v>
      </c>
      <c r="C203" s="27" t="s">
        <v>515</v>
      </c>
      <c r="D203" s="1" t="s">
        <v>3</v>
      </c>
      <c r="E203" s="29" t="str">
        <f>A203&amp;". "&amp;C203</f>
        <v>9.3. Tôi phải đi bộ nhiều hơn để tăng cường sức khoẻ.</v>
      </c>
    </row>
    <row r="204" spans="1:5" x14ac:dyDescent="0.25">
      <c r="A204" s="1" t="s">
        <v>38</v>
      </c>
      <c r="B204" s="1" t="str">
        <f t="shared" si="65"/>
        <v>9.3Anh</v>
      </c>
      <c r="C204" s="27" t="s">
        <v>192</v>
      </c>
      <c r="D204" s="1" t="s">
        <v>336</v>
      </c>
      <c r="E204" s="29" t="str">
        <f t="shared" ref="E204:E205" si="68">C204</f>
        <v>I gotta walk more for my health.</v>
      </c>
    </row>
    <row r="205" spans="1:5" x14ac:dyDescent="0.25">
      <c r="A205" s="1" t="s">
        <v>38</v>
      </c>
      <c r="B205" s="1" t="str">
        <f t="shared" si="65"/>
        <v>9.3Phon</v>
      </c>
      <c r="C205" s="27" t="s">
        <v>193</v>
      </c>
      <c r="D205" s="1" t="s">
        <v>5</v>
      </c>
      <c r="E205" s="29" t="str">
        <f t="shared" si="68"/>
        <v>aɪ ˈga:tə wa:k mɔ:r fɔ:r maɪ hɛlθ</v>
      </c>
    </row>
    <row r="206" spans="1:5" x14ac:dyDescent="0.25">
      <c r="A206" s="1" t="s">
        <v>375</v>
      </c>
      <c r="B206" s="1" t="str">
        <f t="shared" si="65"/>
        <v>9.4Viet</v>
      </c>
      <c r="C206" s="27" t="s">
        <v>516</v>
      </c>
      <c r="D206" s="1" t="s">
        <v>3</v>
      </c>
      <c r="E206" s="29" t="str">
        <f>A206&amp;". "&amp;C206</f>
        <v>9.4. Tôi phải xin phép họ.</v>
      </c>
    </row>
    <row r="207" spans="1:5" x14ac:dyDescent="0.25">
      <c r="A207" s="1" t="s">
        <v>375</v>
      </c>
      <c r="B207" s="1" t="str">
        <f t="shared" si="65"/>
        <v>9.4Anh</v>
      </c>
      <c r="C207" s="27" t="s">
        <v>194</v>
      </c>
      <c r="D207" s="1" t="s">
        <v>336</v>
      </c>
      <c r="E207" s="29" t="str">
        <f t="shared" ref="E207:E209" si="69">C207</f>
        <v>I gotta get permission from them.</v>
      </c>
    </row>
    <row r="208" spans="1:5" x14ac:dyDescent="0.25">
      <c r="A208" s="1" t="s">
        <v>375</v>
      </c>
      <c r="B208" s="1" t="str">
        <f t="shared" si="65"/>
        <v>9.4Phon</v>
      </c>
      <c r="C208" s="27" t="s">
        <v>195</v>
      </c>
      <c r="D208" s="1" t="s">
        <v>5</v>
      </c>
      <c r="E208" s="29" t="str">
        <f t="shared" si="69"/>
        <v>aɪ ˈga:tə gɛt pərˈmɪʃən frʌm ðɛm</v>
      </c>
    </row>
    <row r="209" spans="1:5" x14ac:dyDescent="0.25">
      <c r="A209" s="1" t="s">
        <v>376</v>
      </c>
      <c r="B209" s="1" t="str">
        <f t="shared" si="65"/>
        <v>10Struc</v>
      </c>
      <c r="C209" s="28" t="s">
        <v>196</v>
      </c>
      <c r="D209" s="1" t="s">
        <v>11</v>
      </c>
      <c r="E209" s="29" t="str">
        <f t="shared" si="69"/>
        <v>10. I SHOULD... /Tôi nên.../</v>
      </c>
    </row>
    <row r="210" spans="1:5" x14ac:dyDescent="0.25">
      <c r="A210" s="1" t="s">
        <v>377</v>
      </c>
      <c r="B210" s="1" t="str">
        <f t="shared" si="65"/>
        <v>10.1Viet</v>
      </c>
      <c r="C210" s="27" t="s">
        <v>517</v>
      </c>
      <c r="D210" s="1" t="s">
        <v>3</v>
      </c>
      <c r="E210" s="29" t="str">
        <f>A210&amp;". "&amp;C210</f>
        <v>10.1. Tôi nên học nhiều hơn.</v>
      </c>
    </row>
    <row r="211" spans="1:5" x14ac:dyDescent="0.25">
      <c r="A211" s="1" t="s">
        <v>377</v>
      </c>
      <c r="B211" s="1" t="str">
        <f t="shared" si="65"/>
        <v>10.1Anh</v>
      </c>
      <c r="C211" s="27" t="s">
        <v>197</v>
      </c>
      <c r="D211" s="1" t="s">
        <v>336</v>
      </c>
      <c r="E211" s="29" t="str">
        <f t="shared" ref="E211:E212" si="70">C211</f>
        <v>I should study more.</v>
      </c>
    </row>
    <row r="212" spans="1:5" x14ac:dyDescent="0.25">
      <c r="A212" s="1" t="s">
        <v>377</v>
      </c>
      <c r="B212" s="1" t="str">
        <f t="shared" si="65"/>
        <v>10.1Phon</v>
      </c>
      <c r="C212" s="27" t="s">
        <v>198</v>
      </c>
      <c r="D212" s="1" t="s">
        <v>5</v>
      </c>
      <c r="E212" s="29" t="str">
        <f t="shared" si="70"/>
        <v>aɪ ʃʊd ˈstʌdi mɔ:r</v>
      </c>
    </row>
    <row r="213" spans="1:5" x14ac:dyDescent="0.25">
      <c r="A213" s="1" t="s">
        <v>378</v>
      </c>
      <c r="B213" s="1" t="str">
        <f t="shared" si="65"/>
        <v>10.2Viet</v>
      </c>
      <c r="C213" s="27" t="s">
        <v>518</v>
      </c>
      <c r="D213" s="1" t="s">
        <v>3</v>
      </c>
      <c r="E213" s="29" t="str">
        <f>A213&amp;". "&amp;C213</f>
        <v>10.2. Tôi nên quay lại trước 3 giờ.</v>
      </c>
    </row>
    <row r="214" spans="1:5" x14ac:dyDescent="0.25">
      <c r="A214" s="1" t="s">
        <v>378</v>
      </c>
      <c r="B214" s="1" t="str">
        <f t="shared" si="65"/>
        <v>10.2Anh</v>
      </c>
      <c r="C214" s="27" t="s">
        <v>199</v>
      </c>
      <c r="D214" s="1" t="s">
        <v>336</v>
      </c>
      <c r="E214" s="29" t="str">
        <f t="shared" ref="E214:E215" si="71">C214</f>
        <v>I should get back by three.</v>
      </c>
    </row>
    <row r="215" spans="1:5" x14ac:dyDescent="0.25">
      <c r="A215" s="1" t="s">
        <v>378</v>
      </c>
      <c r="B215" s="1" t="str">
        <f t="shared" si="65"/>
        <v>10.2Phon</v>
      </c>
      <c r="C215" s="27" t="s">
        <v>200</v>
      </c>
      <c r="D215" s="1" t="s">
        <v>5</v>
      </c>
      <c r="E215" s="29" t="str">
        <f t="shared" si="71"/>
        <v>aɪ ʃʊd gɛt bæk baɪ θri:</v>
      </c>
    </row>
    <row r="216" spans="1:5" x14ac:dyDescent="0.25">
      <c r="A216" s="1" t="s">
        <v>379</v>
      </c>
      <c r="B216" s="1" t="str">
        <f t="shared" si="65"/>
        <v>10.3Viet</v>
      </c>
      <c r="C216" s="27" t="s">
        <v>519</v>
      </c>
      <c r="D216" s="1" t="s">
        <v>3</v>
      </c>
      <c r="E216" s="29" t="str">
        <f>A216&amp;". "&amp;C216</f>
        <v>10.3. Tôi nên bắt đầu chuẩn bị.</v>
      </c>
    </row>
    <row r="217" spans="1:5" x14ac:dyDescent="0.25">
      <c r="A217" s="1" t="s">
        <v>379</v>
      </c>
      <c r="B217" s="1" t="str">
        <f t="shared" si="65"/>
        <v>10.3Anh</v>
      </c>
      <c r="C217" s="27" t="s">
        <v>201</v>
      </c>
      <c r="D217" s="1" t="s">
        <v>336</v>
      </c>
      <c r="E217" s="29" t="str">
        <f t="shared" ref="E217:E218" si="72">C217</f>
        <v>I should start getting ready.</v>
      </c>
    </row>
    <row r="218" spans="1:5" x14ac:dyDescent="0.25">
      <c r="A218" s="1" t="s">
        <v>379</v>
      </c>
      <c r="B218" s="1" t="str">
        <f t="shared" si="65"/>
        <v>10.3Phon</v>
      </c>
      <c r="C218" s="27" t="s">
        <v>202</v>
      </c>
      <c r="D218" s="1" t="s">
        <v>5</v>
      </c>
      <c r="E218" s="29" t="str">
        <f t="shared" si="72"/>
        <v>aɪ ʃʊd sta:rt ˈgɛtɪŋ ˈrɛdi</v>
      </c>
    </row>
    <row r="219" spans="1:5" x14ac:dyDescent="0.25">
      <c r="A219" s="1" t="s">
        <v>380</v>
      </c>
      <c r="B219" s="1" t="str">
        <f t="shared" si="65"/>
        <v>10.4Viet</v>
      </c>
      <c r="C219" s="27" t="s">
        <v>520</v>
      </c>
      <c r="D219" s="1" t="s">
        <v>3</v>
      </c>
      <c r="E219" s="29" t="str">
        <f>A219&amp;". "&amp;C219</f>
        <v>10.4. Cậu nên học cách đối mặt với nó.</v>
      </c>
    </row>
    <row r="220" spans="1:5" x14ac:dyDescent="0.25">
      <c r="A220" s="1" t="s">
        <v>380</v>
      </c>
      <c r="B220" s="1" t="str">
        <f t="shared" si="65"/>
        <v>10.4Anh</v>
      </c>
      <c r="C220" s="27" t="s">
        <v>203</v>
      </c>
      <c r="D220" s="1" t="s">
        <v>336</v>
      </c>
      <c r="E220" s="29" t="str">
        <f t="shared" ref="E220:E221" si="73">C220</f>
        <v>You should learn to cope with this.</v>
      </c>
    </row>
    <row r="221" spans="1:5" x14ac:dyDescent="0.25">
      <c r="A221" s="1" t="s">
        <v>380</v>
      </c>
      <c r="B221" s="1" t="str">
        <f t="shared" si="65"/>
        <v>10.4Phon</v>
      </c>
      <c r="C221" s="27" t="s">
        <v>204</v>
      </c>
      <c r="D221" s="1" t="s">
        <v>5</v>
      </c>
      <c r="E221" s="29" t="str">
        <f t="shared" si="73"/>
        <v>ju: ʃʊd lɜ:rn tu: koʊp wɪð ðɪs</v>
      </c>
    </row>
    <row r="222" spans="1:5" x14ac:dyDescent="0.25">
      <c r="A222" s="1" t="s">
        <v>381</v>
      </c>
      <c r="B222" s="1" t="str">
        <f t="shared" si="65"/>
        <v>10.5Viet</v>
      </c>
      <c r="C222" s="27" t="s">
        <v>521</v>
      </c>
      <c r="D222" s="1" t="s">
        <v>3</v>
      </c>
      <c r="E222" s="29" t="str">
        <f>A222&amp;". "&amp;C222</f>
        <v>10.5. Cậu nên bắt đầu làm ngay từ bây giờ.</v>
      </c>
    </row>
    <row r="223" spans="1:5" x14ac:dyDescent="0.25">
      <c r="A223" s="1" t="s">
        <v>381</v>
      </c>
      <c r="B223" s="1" t="str">
        <f t="shared" si="65"/>
        <v>10.5Anh</v>
      </c>
      <c r="C223" s="27" t="s">
        <v>205</v>
      </c>
      <c r="D223" s="1" t="s">
        <v>336</v>
      </c>
      <c r="E223" s="29" t="str">
        <f t="shared" ref="E223:E224" si="74">C223</f>
        <v>You should start working on it right now.</v>
      </c>
    </row>
    <row r="224" spans="1:5" x14ac:dyDescent="0.25">
      <c r="A224" s="1" t="s">
        <v>381</v>
      </c>
      <c r="B224" s="1" t="str">
        <f t="shared" si="65"/>
        <v>10.5Phon</v>
      </c>
      <c r="C224" s="27" t="s">
        <v>206</v>
      </c>
      <c r="D224" s="1" t="s">
        <v>5</v>
      </c>
      <c r="E224" s="29" t="str">
        <f t="shared" si="74"/>
        <v>ju: ʃʊd sta:rt ˈwɜ:rkɪŋ a:n ɪt raɪt naʊ</v>
      </c>
    </row>
    <row r="225" spans="1:5" x14ac:dyDescent="0.25">
      <c r="A225" s="1" t="s">
        <v>382</v>
      </c>
      <c r="B225" s="1" t="str">
        <f t="shared" si="65"/>
        <v>10.6Viet</v>
      </c>
      <c r="C225" s="27" t="s">
        <v>522</v>
      </c>
      <c r="D225" s="1" t="s">
        <v>3</v>
      </c>
      <c r="E225" s="29" t="str">
        <f>A225&amp;". "&amp;C225</f>
        <v>10.6. Cậu không nên hành xử như thế.</v>
      </c>
    </row>
    <row r="226" spans="1:5" x14ac:dyDescent="0.25">
      <c r="A226" s="1" t="s">
        <v>382</v>
      </c>
      <c r="B226" s="1" t="str">
        <f t="shared" si="65"/>
        <v>10.6Anh</v>
      </c>
      <c r="C226" s="27" t="s">
        <v>207</v>
      </c>
      <c r="D226" s="1" t="s">
        <v>336</v>
      </c>
      <c r="E226" s="29" t="str">
        <f t="shared" ref="E226:E227" si="75">C226</f>
        <v>You should not behave that way.</v>
      </c>
    </row>
    <row r="227" spans="1:5" x14ac:dyDescent="0.25">
      <c r="A227" s="1" t="s">
        <v>382</v>
      </c>
      <c r="B227" s="1" t="str">
        <f t="shared" si="65"/>
        <v>10.6Phon</v>
      </c>
      <c r="C227" s="27" t="s">
        <v>208</v>
      </c>
      <c r="D227" s="1" t="s">
        <v>5</v>
      </c>
      <c r="E227" s="29" t="str">
        <f t="shared" si="75"/>
        <v>ju: ʃʊd na:t bɪˈheɪv ðæt weɪ</v>
      </c>
    </row>
    <row r="228" spans="1:5" x14ac:dyDescent="0.25">
      <c r="A228" s="1" t="s">
        <v>383</v>
      </c>
      <c r="B228" s="1" t="str">
        <f t="shared" si="65"/>
        <v>10.7Viet</v>
      </c>
      <c r="C228" s="27" t="s">
        <v>523</v>
      </c>
      <c r="D228" s="1" t="s">
        <v>3</v>
      </c>
      <c r="E228" s="29" t="str">
        <f>A228&amp;". "&amp;C228</f>
        <v>10.7. Cậu không nên coi việc đó là hiển nhiên.</v>
      </c>
    </row>
    <row r="229" spans="1:5" x14ac:dyDescent="0.25">
      <c r="A229" s="1" t="s">
        <v>383</v>
      </c>
      <c r="B229" s="1" t="str">
        <f t="shared" si="65"/>
        <v>10.7Anh</v>
      </c>
      <c r="C229" s="27" t="s">
        <v>209</v>
      </c>
      <c r="D229" s="1" t="s">
        <v>336</v>
      </c>
      <c r="E229" s="29" t="str">
        <f t="shared" ref="E229:E230" si="76">C229</f>
        <v>You should not take it for granted.</v>
      </c>
    </row>
    <row r="230" spans="1:5" x14ac:dyDescent="0.25">
      <c r="A230" s="1" t="s">
        <v>383</v>
      </c>
      <c r="B230" s="1" t="str">
        <f t="shared" si="65"/>
        <v>10.7Phon</v>
      </c>
      <c r="C230" s="27" t="s">
        <v>210</v>
      </c>
      <c r="D230" s="1" t="s">
        <v>5</v>
      </c>
      <c r="E230" s="29" t="str">
        <f t="shared" si="76"/>
        <v>ju: ʃʊd na:t teɪk ɪt fɔ:r ˈgræntɪd</v>
      </c>
    </row>
    <row r="231" spans="1:5" x14ac:dyDescent="0.25">
      <c r="A231" s="1" t="s">
        <v>384</v>
      </c>
      <c r="B231" s="1" t="str">
        <f t="shared" si="65"/>
        <v>10.8Viet</v>
      </c>
      <c r="C231" s="27" t="s">
        <v>524</v>
      </c>
      <c r="D231" s="1" t="s">
        <v>3</v>
      </c>
      <c r="E231" s="29" t="str">
        <f>A231&amp;". "&amp;C231</f>
        <v>10.8. Cậu không nên vội đưa ra kết luận.</v>
      </c>
    </row>
    <row r="232" spans="1:5" x14ac:dyDescent="0.25">
      <c r="A232" s="1" t="s">
        <v>384</v>
      </c>
      <c r="B232" s="1" t="str">
        <f t="shared" si="65"/>
        <v>10.8Anh</v>
      </c>
      <c r="C232" s="27" t="s">
        <v>211</v>
      </c>
      <c r="D232" s="1" t="s">
        <v>336</v>
      </c>
      <c r="E232" s="29" t="str">
        <f t="shared" ref="E232:E234" si="77">C232</f>
        <v>You should not jump to conclusions.</v>
      </c>
    </row>
    <row r="233" spans="1:5" x14ac:dyDescent="0.25">
      <c r="A233" s="1" t="s">
        <v>384</v>
      </c>
      <c r="B233" s="1" t="str">
        <f t="shared" si="65"/>
        <v>10.8Phon</v>
      </c>
      <c r="C233" s="27" t="s">
        <v>212</v>
      </c>
      <c r="D233" s="1" t="s">
        <v>5</v>
      </c>
      <c r="E233" s="29" t="str">
        <f t="shared" si="77"/>
        <v>ju: ʃʊd na:t ʤʌmp tu: kənˈklu:ʒənz</v>
      </c>
    </row>
    <row r="234" spans="1:5" x14ac:dyDescent="0.25">
      <c r="A234" s="1" t="s">
        <v>385</v>
      </c>
      <c r="B234" s="1" t="str">
        <f t="shared" si="65"/>
        <v>11Struc</v>
      </c>
      <c r="C234" s="28" t="s">
        <v>213</v>
      </c>
      <c r="D234" s="1" t="s">
        <v>11</v>
      </c>
      <c r="E234" s="29" t="str">
        <f t="shared" si="77"/>
        <v>11. I AM SUPPOSED TO... /Việc phải làm đã được dự định từ trước/</v>
      </c>
    </row>
    <row r="235" spans="1:5" x14ac:dyDescent="0.25">
      <c r="A235" s="1" t="s">
        <v>386</v>
      </c>
      <c r="B235" s="1" t="str">
        <f t="shared" si="65"/>
        <v>11.1Viet</v>
      </c>
      <c r="C235" s="27" t="s">
        <v>525</v>
      </c>
      <c r="D235" s="1" t="s">
        <v>3</v>
      </c>
      <c r="E235" s="29" t="str">
        <f>A235&amp;". "&amp;C235</f>
        <v>11.1. Tôi phải gặp anh ấy lúc 3 giờ.</v>
      </c>
    </row>
    <row r="236" spans="1:5" x14ac:dyDescent="0.25">
      <c r="A236" s="1" t="s">
        <v>386</v>
      </c>
      <c r="B236" s="1" t="str">
        <f t="shared" si="65"/>
        <v>11.1Anh</v>
      </c>
      <c r="C236" s="27" t="s">
        <v>214</v>
      </c>
      <c r="D236" s="1" t="s">
        <v>336</v>
      </c>
      <c r="E236" s="29" t="str">
        <f t="shared" ref="E236:E237" si="78">C236</f>
        <v>I’m supposed to meet him at three.</v>
      </c>
    </row>
    <row r="237" spans="1:5" x14ac:dyDescent="0.25">
      <c r="A237" s="1" t="s">
        <v>386</v>
      </c>
      <c r="B237" s="1" t="str">
        <f t="shared" si="65"/>
        <v>11.1Phon</v>
      </c>
      <c r="C237" s="27" t="s">
        <v>215</v>
      </c>
      <c r="D237" s="1" t="s">
        <v>5</v>
      </c>
      <c r="E237" s="29" t="str">
        <f t="shared" si="78"/>
        <v>aɪm səˈpoʊzd tu: mi:t hɪm æt θri:</v>
      </c>
    </row>
    <row r="238" spans="1:5" x14ac:dyDescent="0.25">
      <c r="A238" s="1" t="s">
        <v>387</v>
      </c>
      <c r="B238" s="1" t="str">
        <f t="shared" si="65"/>
        <v>11.2Viet</v>
      </c>
      <c r="C238" s="27" t="s">
        <v>526</v>
      </c>
      <c r="D238" s="1" t="s">
        <v>3</v>
      </c>
      <c r="E238" s="29" t="str">
        <f>A238&amp;". "&amp;C238</f>
        <v>11.2. Cậu phải gặp anh ấy để ăn trưa.</v>
      </c>
    </row>
    <row r="239" spans="1:5" x14ac:dyDescent="0.25">
      <c r="A239" s="1" t="s">
        <v>387</v>
      </c>
      <c r="B239" s="1" t="str">
        <f t="shared" si="65"/>
        <v>11.2Anh</v>
      </c>
      <c r="C239" s="27" t="s">
        <v>216</v>
      </c>
      <c r="D239" s="1" t="s">
        <v>336</v>
      </c>
      <c r="E239" s="29" t="str">
        <f t="shared" ref="E239:E240" si="79">C239</f>
        <v>You are supposed to meet him for lunch.</v>
      </c>
    </row>
    <row r="240" spans="1:5" x14ac:dyDescent="0.25">
      <c r="A240" s="1" t="s">
        <v>387</v>
      </c>
      <c r="B240" s="1" t="str">
        <f t="shared" si="65"/>
        <v>11.2Phon</v>
      </c>
      <c r="C240" s="27" t="s">
        <v>217</v>
      </c>
      <c r="D240" s="1" t="s">
        <v>5</v>
      </c>
      <c r="E240" s="29" t="str">
        <f t="shared" si="79"/>
        <v>ju: a:r səˈpoʊzd tu: mi:t hɪm fɔ:r lʌnʧ</v>
      </c>
    </row>
    <row r="241" spans="1:5" x14ac:dyDescent="0.25">
      <c r="A241" s="1" t="s">
        <v>388</v>
      </c>
      <c r="B241" s="1" t="str">
        <f t="shared" si="65"/>
        <v>11.3Viet</v>
      </c>
      <c r="C241" s="27" t="s">
        <v>527</v>
      </c>
      <c r="D241" s="1" t="s">
        <v>3</v>
      </c>
      <c r="E241" s="29" t="str">
        <f>A241&amp;". "&amp;C241</f>
        <v>11.3. Tôi không được gọi cho anh ấy.</v>
      </c>
    </row>
    <row r="242" spans="1:5" x14ac:dyDescent="0.25">
      <c r="A242" s="1" t="s">
        <v>388</v>
      </c>
      <c r="B242" s="1" t="str">
        <f t="shared" si="65"/>
        <v>11.3Anh</v>
      </c>
      <c r="C242" s="27" t="s">
        <v>218</v>
      </c>
      <c r="D242" s="1" t="s">
        <v>336</v>
      </c>
      <c r="E242" s="29" t="str">
        <f t="shared" ref="E242:E243" si="80">C242</f>
        <v>I am not supposed to call him.</v>
      </c>
    </row>
    <row r="243" spans="1:5" x14ac:dyDescent="0.25">
      <c r="A243" s="1" t="s">
        <v>388</v>
      </c>
      <c r="B243" s="1" t="str">
        <f t="shared" si="65"/>
        <v>11.3Phon</v>
      </c>
      <c r="C243" s="27" t="s">
        <v>219</v>
      </c>
      <c r="D243" s="1" t="s">
        <v>5</v>
      </c>
      <c r="E243" s="29" t="str">
        <f t="shared" si="80"/>
        <v>aɪ æm na:t səˈpoʊzd tu: ka:l hɪm</v>
      </c>
    </row>
    <row r="244" spans="1:5" x14ac:dyDescent="0.25">
      <c r="A244" s="1" t="s">
        <v>389</v>
      </c>
      <c r="B244" s="1" t="str">
        <f t="shared" si="65"/>
        <v>11.4Viet</v>
      </c>
      <c r="C244" s="27" t="s">
        <v>528</v>
      </c>
      <c r="D244" s="1" t="s">
        <v>3</v>
      </c>
      <c r="E244" s="29" t="str">
        <f>A244&amp;". "&amp;C244</f>
        <v>11.4. Cậu không được chạm vào nó.</v>
      </c>
    </row>
    <row r="245" spans="1:5" x14ac:dyDescent="0.25">
      <c r="A245" s="1" t="s">
        <v>389</v>
      </c>
      <c r="B245" s="1" t="str">
        <f t="shared" si="65"/>
        <v>11.4Anh</v>
      </c>
      <c r="C245" s="27" t="s">
        <v>220</v>
      </c>
      <c r="D245" s="1" t="s">
        <v>336</v>
      </c>
      <c r="E245" s="29" t="str">
        <f t="shared" ref="E245:E246" si="81">C245</f>
        <v>You are not supposed to touch it.</v>
      </c>
    </row>
    <row r="246" spans="1:5" x14ac:dyDescent="0.25">
      <c r="A246" s="1" t="s">
        <v>389</v>
      </c>
      <c r="B246" s="1" t="str">
        <f t="shared" si="65"/>
        <v>11.4Phon</v>
      </c>
      <c r="C246" s="27" t="s">
        <v>221</v>
      </c>
      <c r="D246" s="1" t="s">
        <v>5</v>
      </c>
      <c r="E246" s="29" t="str">
        <f t="shared" si="81"/>
        <v>ju: a:r na:t səˈpoʊzd tu: tʌʧ ɪt</v>
      </c>
    </row>
    <row r="247" spans="1:5" x14ac:dyDescent="0.25">
      <c r="A247" s="1" t="s">
        <v>390</v>
      </c>
      <c r="B247" s="1" t="str">
        <f t="shared" si="65"/>
        <v>11.5Viet</v>
      </c>
      <c r="C247" s="27" t="s">
        <v>529</v>
      </c>
      <c r="D247" s="1" t="s">
        <v>3</v>
      </c>
      <c r="E247" s="29" t="str">
        <f>A247&amp;". "&amp;C247</f>
        <v>11.5. Nó vốn dĩ được cố định như vậy.</v>
      </c>
    </row>
    <row r="248" spans="1:5" x14ac:dyDescent="0.25">
      <c r="A248" s="1" t="s">
        <v>390</v>
      </c>
      <c r="B248" s="1" t="str">
        <f t="shared" si="65"/>
        <v>11.5Anh</v>
      </c>
      <c r="C248" s="27" t="s">
        <v>222</v>
      </c>
      <c r="D248" s="1" t="s">
        <v>336</v>
      </c>
      <c r="E248" s="29" t="str">
        <f t="shared" ref="E248:E249" si="82">C248</f>
        <v>It is supposed to be fixed that way.</v>
      </c>
    </row>
    <row r="249" spans="1:5" x14ac:dyDescent="0.25">
      <c r="A249" s="1" t="s">
        <v>390</v>
      </c>
      <c r="B249" s="1" t="str">
        <f t="shared" si="65"/>
        <v>11.5Phon</v>
      </c>
      <c r="C249" s="27" t="s">
        <v>223</v>
      </c>
      <c r="D249" s="1" t="s">
        <v>5</v>
      </c>
      <c r="E249" s="29" t="str">
        <f t="shared" si="82"/>
        <v>ɪt ɪz səˈpoʊzd tu: bi: fɪkst ðæt weɪ</v>
      </c>
    </row>
    <row r="250" spans="1:5" x14ac:dyDescent="0.25">
      <c r="A250" s="1" t="s">
        <v>391</v>
      </c>
      <c r="B250" s="1" t="str">
        <f t="shared" si="65"/>
        <v>11.6Viet</v>
      </c>
      <c r="C250" s="27" t="s">
        <v>530</v>
      </c>
      <c r="D250" s="1" t="s">
        <v>3</v>
      </c>
      <c r="E250" s="29" t="str">
        <f>A250&amp;". "&amp;C250</f>
        <v>11.6. Nó vốn dĩ là màu xanh.</v>
      </c>
    </row>
    <row r="251" spans="1:5" x14ac:dyDescent="0.25">
      <c r="A251" s="1" t="s">
        <v>391</v>
      </c>
      <c r="B251" s="1" t="str">
        <f t="shared" si="65"/>
        <v>11.6Anh</v>
      </c>
      <c r="C251" s="27" t="s">
        <v>224</v>
      </c>
      <c r="D251" s="1" t="s">
        <v>336</v>
      </c>
      <c r="E251" s="29" t="str">
        <f t="shared" ref="E251:E252" si="83">C251</f>
        <v>It is supposed to be blue.</v>
      </c>
    </row>
    <row r="252" spans="1:5" x14ac:dyDescent="0.25">
      <c r="A252" s="1" t="s">
        <v>391</v>
      </c>
      <c r="B252" s="1" t="str">
        <f t="shared" si="65"/>
        <v>11.6Phon</v>
      </c>
      <c r="C252" s="27" t="s">
        <v>225</v>
      </c>
      <c r="D252" s="1" t="s">
        <v>5</v>
      </c>
      <c r="E252" s="29" t="str">
        <f t="shared" si="83"/>
        <v>ɪt ɪz səˈpoʊzd tu: bi: blu:</v>
      </c>
    </row>
    <row r="253" spans="1:5" x14ac:dyDescent="0.25">
      <c r="A253" s="1" t="s">
        <v>392</v>
      </c>
      <c r="B253" s="1" t="str">
        <f t="shared" si="65"/>
        <v>11.7Viet</v>
      </c>
      <c r="C253" s="27" t="s">
        <v>531</v>
      </c>
      <c r="D253" s="1" t="s">
        <v>3</v>
      </c>
      <c r="E253" s="29" t="str">
        <f>A253&amp;". "&amp;C253</f>
        <v>11.7. Điều đó vốn mang ý nghĩa gì?</v>
      </c>
    </row>
    <row r="254" spans="1:5" x14ac:dyDescent="0.25">
      <c r="A254" s="1" t="s">
        <v>392</v>
      </c>
      <c r="B254" s="1" t="str">
        <f t="shared" si="65"/>
        <v>11.7Anh</v>
      </c>
      <c r="C254" s="27" t="s">
        <v>226</v>
      </c>
      <c r="D254" s="1" t="s">
        <v>336</v>
      </c>
      <c r="E254" s="29" t="str">
        <f t="shared" ref="E254:E255" si="84">C254</f>
        <v>What’s supposed to mean?</v>
      </c>
    </row>
    <row r="255" spans="1:5" x14ac:dyDescent="0.25">
      <c r="A255" s="1" t="s">
        <v>392</v>
      </c>
      <c r="B255" s="1" t="str">
        <f t="shared" si="65"/>
        <v>11.7Phon</v>
      </c>
      <c r="C255" s="27" t="s">
        <v>227</v>
      </c>
      <c r="D255" s="1" t="s">
        <v>5</v>
      </c>
      <c r="E255" s="29" t="str">
        <f t="shared" si="84"/>
        <v>wʌts səˈpoʊzd tu: mi:n</v>
      </c>
    </row>
    <row r="256" spans="1:5" x14ac:dyDescent="0.25">
      <c r="A256" s="1" t="s">
        <v>393</v>
      </c>
      <c r="B256" s="1" t="str">
        <f t="shared" si="65"/>
        <v>11.8Viet</v>
      </c>
      <c r="C256" s="27" t="s">
        <v>532</v>
      </c>
      <c r="D256" s="1" t="s">
        <v>3</v>
      </c>
      <c r="E256" s="29" t="str">
        <f>A256&amp;". "&amp;C256</f>
        <v>11.8. Đúng lẽ là không được cho vào ngăn đá.</v>
      </c>
    </row>
    <row r="257" spans="1:5" x14ac:dyDescent="0.25">
      <c r="A257" s="1" t="s">
        <v>393</v>
      </c>
      <c r="B257" s="1" t="str">
        <f t="shared" si="65"/>
        <v>11.8Anh</v>
      </c>
      <c r="C257" s="27" t="s">
        <v>228</v>
      </c>
      <c r="D257" s="1" t="s">
        <v>336</v>
      </c>
      <c r="E257" s="29" t="str">
        <f t="shared" ref="E257:E259" si="85">C257</f>
        <v>It is not supposed to be put in the freezer.</v>
      </c>
    </row>
    <row r="258" spans="1:5" x14ac:dyDescent="0.25">
      <c r="A258" s="1" t="s">
        <v>393</v>
      </c>
      <c r="B258" s="1" t="str">
        <f t="shared" si="65"/>
        <v>11.8Phon</v>
      </c>
      <c r="C258" s="27" t="s">
        <v>229</v>
      </c>
      <c r="D258" s="1" t="s">
        <v>5</v>
      </c>
      <c r="E258" s="29" t="str">
        <f t="shared" si="85"/>
        <v>ɪt ɪz na:t səˈpoʊzd tu: bi: pʊt ɪn ðə ˈfri:zər</v>
      </c>
    </row>
    <row r="259" spans="1:5" x14ac:dyDescent="0.25">
      <c r="A259" s="1" t="s">
        <v>394</v>
      </c>
      <c r="B259" s="1" t="str">
        <f t="shared" ref="B259:B322" si="86">A259&amp;D259</f>
        <v>12Struc</v>
      </c>
      <c r="C259" s="28" t="s">
        <v>230</v>
      </c>
      <c r="D259" s="1" t="s">
        <v>11</v>
      </c>
      <c r="E259" s="29" t="str">
        <f t="shared" si="85"/>
        <v>12. BETTER THAN... /Tốt hơn.../</v>
      </c>
    </row>
    <row r="260" spans="1:5" x14ac:dyDescent="0.25">
      <c r="A260" s="1" t="s">
        <v>395</v>
      </c>
      <c r="B260" s="1" t="str">
        <f t="shared" si="86"/>
        <v>12.1Viet</v>
      </c>
      <c r="C260" s="27" t="s">
        <v>533</v>
      </c>
      <c r="D260" s="1" t="s">
        <v>3</v>
      </c>
      <c r="E260" s="29" t="str">
        <f>A260&amp;". "&amp;C260</f>
        <v>12.1. Tôi xứng đáng được hơn thế này.</v>
      </c>
    </row>
    <row r="261" spans="1:5" x14ac:dyDescent="0.25">
      <c r="A261" s="1" t="s">
        <v>395</v>
      </c>
      <c r="B261" s="1" t="str">
        <f t="shared" si="86"/>
        <v>12.1Anh</v>
      </c>
      <c r="C261" s="27" t="s">
        <v>231</v>
      </c>
      <c r="D261" s="1" t="s">
        <v>336</v>
      </c>
      <c r="E261" s="29" t="str">
        <f t="shared" ref="E261:E262" si="87">C261</f>
        <v>I deserve better than this.</v>
      </c>
    </row>
    <row r="262" spans="1:5" x14ac:dyDescent="0.25">
      <c r="A262" s="1" t="s">
        <v>395</v>
      </c>
      <c r="B262" s="1" t="str">
        <f t="shared" si="86"/>
        <v>12.1Phon</v>
      </c>
      <c r="C262" s="27" t="s">
        <v>232</v>
      </c>
      <c r="D262" s="1" t="s">
        <v>5</v>
      </c>
      <c r="E262" s="29" t="str">
        <f t="shared" si="87"/>
        <v>aɪ dɪˈzɜ:rv ˈbɛtər ðæn ðɪs</v>
      </c>
    </row>
    <row r="263" spans="1:5" x14ac:dyDescent="0.25">
      <c r="A263" s="1" t="s">
        <v>396</v>
      </c>
      <c r="B263" s="1" t="str">
        <f t="shared" si="86"/>
        <v>12.2Viet</v>
      </c>
      <c r="C263" s="27" t="s">
        <v>534</v>
      </c>
      <c r="D263" s="1" t="s">
        <v>3</v>
      </c>
      <c r="E263" s="29" t="str">
        <f>A263&amp;". "&amp;C263</f>
        <v>12.2. Tôi nên khôn ngoan hơn.</v>
      </c>
    </row>
    <row r="264" spans="1:5" x14ac:dyDescent="0.25">
      <c r="A264" s="1" t="s">
        <v>396</v>
      </c>
      <c r="B264" s="1" t="str">
        <f t="shared" si="86"/>
        <v>12.2Anh</v>
      </c>
      <c r="C264" s="27" t="s">
        <v>233</v>
      </c>
      <c r="D264" s="1" t="s">
        <v>336</v>
      </c>
      <c r="E264" s="29" t="str">
        <f t="shared" ref="E264:E265" si="88">C264</f>
        <v>I should know better than that.</v>
      </c>
    </row>
    <row r="265" spans="1:5" x14ac:dyDescent="0.25">
      <c r="A265" s="1" t="s">
        <v>396</v>
      </c>
      <c r="B265" s="1" t="str">
        <f t="shared" si="86"/>
        <v>12.2Phon</v>
      </c>
      <c r="C265" s="27" t="s">
        <v>234</v>
      </c>
      <c r="D265" s="1" t="s">
        <v>5</v>
      </c>
      <c r="E265" s="29" t="str">
        <f t="shared" si="88"/>
        <v>aɪ ʃʊd noʊ ˈbɛtər ðæn ðæt</v>
      </c>
    </row>
    <row r="266" spans="1:5" x14ac:dyDescent="0.25">
      <c r="A266" s="1" t="s">
        <v>397</v>
      </c>
      <c r="B266" s="1" t="str">
        <f t="shared" si="86"/>
        <v>12.3Viet</v>
      </c>
      <c r="C266" s="27" t="s">
        <v>535</v>
      </c>
      <c r="D266" s="1" t="s">
        <v>3</v>
      </c>
      <c r="E266" s="29" t="str">
        <f>A266&amp;". "&amp;C266</f>
        <v>12.3. Tôi hiểu anh ấy rõ hơn cậu.</v>
      </c>
    </row>
    <row r="267" spans="1:5" x14ac:dyDescent="0.25">
      <c r="A267" s="1" t="s">
        <v>397</v>
      </c>
      <c r="B267" s="1" t="str">
        <f t="shared" si="86"/>
        <v>12.3Anh</v>
      </c>
      <c r="C267" s="27" t="s">
        <v>235</v>
      </c>
      <c r="D267" s="1" t="s">
        <v>336</v>
      </c>
      <c r="E267" s="29" t="str">
        <f t="shared" ref="E267:E268" si="89">C267</f>
        <v>I understand him better than you.</v>
      </c>
    </row>
    <row r="268" spans="1:5" x14ac:dyDescent="0.25">
      <c r="A268" s="1" t="s">
        <v>397</v>
      </c>
      <c r="B268" s="1" t="str">
        <f t="shared" si="86"/>
        <v>12.3Phon</v>
      </c>
      <c r="C268" s="27" t="s">
        <v>236</v>
      </c>
      <c r="D268" s="1" t="s">
        <v>5</v>
      </c>
      <c r="E268" s="29" t="str">
        <f t="shared" si="89"/>
        <v>aɪ ˌʌndərˈstænd hɪm ˈbɛtər ðæn ju:</v>
      </c>
    </row>
    <row r="269" spans="1:5" x14ac:dyDescent="0.25">
      <c r="A269" s="1" t="s">
        <v>398</v>
      </c>
      <c r="B269" s="1" t="str">
        <f t="shared" si="86"/>
        <v>12.4Viet</v>
      </c>
      <c r="C269" s="27" t="s">
        <v>536</v>
      </c>
      <c r="D269" s="1" t="s">
        <v>3</v>
      </c>
      <c r="E269" s="29" t="str">
        <f>A269&amp;". "&amp;C269</f>
        <v>12.4. Cậu trông khá hơn tôi đó.</v>
      </c>
    </row>
    <row r="270" spans="1:5" x14ac:dyDescent="0.25">
      <c r="A270" s="1" t="s">
        <v>398</v>
      </c>
      <c r="B270" s="1" t="str">
        <f t="shared" si="86"/>
        <v>12.4Anh</v>
      </c>
      <c r="C270" s="27" t="s">
        <v>237</v>
      </c>
      <c r="D270" s="1" t="s">
        <v>336</v>
      </c>
      <c r="E270" s="29" t="str">
        <f t="shared" ref="E270:E271" si="90">C270</f>
        <v>You look better than me.</v>
      </c>
    </row>
    <row r="271" spans="1:5" x14ac:dyDescent="0.25">
      <c r="A271" s="1" t="s">
        <v>398</v>
      </c>
      <c r="B271" s="1" t="str">
        <f t="shared" si="86"/>
        <v>12.4Phon</v>
      </c>
      <c r="C271" s="27" t="s">
        <v>238</v>
      </c>
      <c r="D271" s="1" t="s">
        <v>5</v>
      </c>
      <c r="E271" s="29" t="str">
        <f t="shared" si="90"/>
        <v>ju: lʊk ˈbɛtər ðæn mi:</v>
      </c>
    </row>
    <row r="272" spans="1:5" x14ac:dyDescent="0.25">
      <c r="A272" s="1" t="s">
        <v>399</v>
      </c>
      <c r="B272" s="1" t="str">
        <f t="shared" si="86"/>
        <v>12.5Viet</v>
      </c>
      <c r="C272" s="27" t="s">
        <v>537</v>
      </c>
      <c r="D272" s="1" t="s">
        <v>3</v>
      </c>
      <c r="E272" s="29" t="str">
        <f>A272&amp;". "&amp;C272</f>
        <v>12.5. Cậu biết rõ điều này hơn bất kì ai.</v>
      </c>
    </row>
    <row r="273" spans="1:5" x14ac:dyDescent="0.25">
      <c r="A273" s="1" t="s">
        <v>399</v>
      </c>
      <c r="B273" s="1" t="str">
        <f t="shared" si="86"/>
        <v>12.5Anh</v>
      </c>
      <c r="C273" s="27" t="s">
        <v>239</v>
      </c>
      <c r="D273" s="1" t="s">
        <v>336</v>
      </c>
      <c r="E273" s="29" t="str">
        <f t="shared" ref="E273:E274" si="91">C273</f>
        <v>You know this better than anybody.</v>
      </c>
    </row>
    <row r="274" spans="1:5" x14ac:dyDescent="0.25">
      <c r="A274" s="1" t="s">
        <v>399</v>
      </c>
      <c r="B274" s="1" t="str">
        <f t="shared" si="86"/>
        <v>12.5Phon</v>
      </c>
      <c r="C274" s="27" t="s">
        <v>240</v>
      </c>
      <c r="D274" s="1" t="s">
        <v>5</v>
      </c>
      <c r="E274" s="29" t="str">
        <f t="shared" si="91"/>
        <v>ju: noʊ ðɪs ˈbɛtər ðæn ˈenibaːdi</v>
      </c>
    </row>
    <row r="275" spans="1:5" x14ac:dyDescent="0.25">
      <c r="A275" s="1" t="s">
        <v>400</v>
      </c>
      <c r="B275" s="1" t="str">
        <f t="shared" si="86"/>
        <v>12.6Viet</v>
      </c>
      <c r="C275" s="27" t="s">
        <v>538</v>
      </c>
      <c r="D275" s="1" t="s">
        <v>3</v>
      </c>
      <c r="E275" s="29" t="str">
        <f>A275&amp;". "&amp;C275</f>
        <v>12.6. Tiếng Anh của cậu khá hơn cậu nghĩ đấy.</v>
      </c>
    </row>
    <row r="276" spans="1:5" x14ac:dyDescent="0.25">
      <c r="A276" s="1" t="s">
        <v>400</v>
      </c>
      <c r="B276" s="1" t="str">
        <f t="shared" si="86"/>
        <v>12.6Anh</v>
      </c>
      <c r="C276" s="27" t="s">
        <v>241</v>
      </c>
      <c r="D276" s="1" t="s">
        <v>336</v>
      </c>
      <c r="E276" s="29" t="str">
        <f t="shared" ref="E276:E277" si="92">C276</f>
        <v>Your English is better than you admit.</v>
      </c>
    </row>
    <row r="277" spans="1:5" x14ac:dyDescent="0.25">
      <c r="A277" s="1" t="s">
        <v>400</v>
      </c>
      <c r="B277" s="1" t="str">
        <f t="shared" si="86"/>
        <v>12.6Phon</v>
      </c>
      <c r="C277" s="27" t="s">
        <v>242</v>
      </c>
      <c r="D277" s="1" t="s">
        <v>5</v>
      </c>
      <c r="E277" s="29" t="str">
        <f t="shared" si="92"/>
        <v>jʊr ˈɪŋglɪʃ ɪz ˈbɛtər ðæn ju: ədˈmɪt</v>
      </c>
    </row>
    <row r="278" spans="1:5" x14ac:dyDescent="0.25">
      <c r="A278" s="1" t="s">
        <v>401</v>
      </c>
      <c r="B278" s="1" t="str">
        <f t="shared" si="86"/>
        <v>12.7Viet</v>
      </c>
      <c r="C278" s="27" t="s">
        <v>539</v>
      </c>
      <c r="D278" s="1" t="s">
        <v>3</v>
      </c>
      <c r="E278" s="29" t="str">
        <f>A278&amp;". "&amp;C278</f>
        <v>12.7. Ý tưởng của cậu hay hơn của anh ta.</v>
      </c>
    </row>
    <row r="279" spans="1:5" x14ac:dyDescent="0.25">
      <c r="A279" s="1" t="s">
        <v>401</v>
      </c>
      <c r="B279" s="1" t="str">
        <f t="shared" si="86"/>
        <v>12.7Anh</v>
      </c>
      <c r="C279" s="27" t="s">
        <v>243</v>
      </c>
      <c r="D279" s="1" t="s">
        <v>336</v>
      </c>
      <c r="E279" s="29" t="str">
        <f t="shared" ref="E279:E280" si="93">C279</f>
        <v>Your idea is better than his.</v>
      </c>
    </row>
    <row r="280" spans="1:5" x14ac:dyDescent="0.25">
      <c r="A280" s="1" t="s">
        <v>401</v>
      </c>
      <c r="B280" s="1" t="str">
        <f t="shared" si="86"/>
        <v>12.7Phon</v>
      </c>
      <c r="C280" s="27" t="s">
        <v>244</v>
      </c>
      <c r="D280" s="1" t="s">
        <v>5</v>
      </c>
      <c r="E280" s="29" t="str">
        <f t="shared" si="93"/>
        <v>jʊr aɪˈdi:ə ɪz ˈbɛtər ðæn hɪz</v>
      </c>
    </row>
    <row r="281" spans="1:5" x14ac:dyDescent="0.25">
      <c r="A281" s="1" t="s">
        <v>402</v>
      </c>
      <c r="B281" s="1" t="str">
        <f t="shared" si="86"/>
        <v>12.8Viet</v>
      </c>
      <c r="C281" s="27" t="s">
        <v>540</v>
      </c>
      <c r="D281" s="1" t="s">
        <v>3</v>
      </c>
      <c r="E281" s="29" t="str">
        <f>A281&amp;". "&amp;C281</f>
        <v>12.8. Không gì hơn một cốc bia lạnh trong một ngày nóng nực.</v>
      </c>
    </row>
    <row r="282" spans="1:5" x14ac:dyDescent="0.25">
      <c r="A282" s="1" t="s">
        <v>402</v>
      </c>
      <c r="B282" s="1" t="str">
        <f t="shared" si="86"/>
        <v>12.8Anh</v>
      </c>
      <c r="C282" s="27" t="s">
        <v>245</v>
      </c>
      <c r="D282" s="1" t="s">
        <v>336</v>
      </c>
      <c r="E282" s="29" t="str">
        <f t="shared" ref="E282:E284" si="94">C282</f>
        <v>There is nothing better than a cold beer on a hot day.</v>
      </c>
    </row>
    <row r="283" spans="1:5" x14ac:dyDescent="0.25">
      <c r="A283" s="1" t="s">
        <v>402</v>
      </c>
      <c r="B283" s="1" t="str">
        <f t="shared" si="86"/>
        <v>12.8Phon</v>
      </c>
      <c r="C283" s="27" t="s">
        <v>246</v>
      </c>
      <c r="D283" s="1" t="s">
        <v>5</v>
      </c>
      <c r="E283" s="29" t="str">
        <f t="shared" si="94"/>
        <v>ðɛr ɪz ˈnʌθɪŋ ˈbɛtər ðæn ə koʊld bɪr a:n ə ha:t deɪ</v>
      </c>
    </row>
    <row r="284" spans="1:5" x14ac:dyDescent="0.25">
      <c r="A284" s="1" t="s">
        <v>403</v>
      </c>
      <c r="B284" s="1" t="str">
        <f t="shared" si="86"/>
        <v>13Struc</v>
      </c>
      <c r="C284" s="28" t="s">
        <v>247</v>
      </c>
      <c r="D284" s="1" t="s">
        <v>11</v>
      </c>
      <c r="E284" s="29" t="str">
        <f t="shared" si="94"/>
        <v>13. AT/AROUND... /Vào lúc, vào khoảng.../</v>
      </c>
    </row>
    <row r="285" spans="1:5" x14ac:dyDescent="0.25">
      <c r="A285" s="1" t="s">
        <v>404</v>
      </c>
      <c r="B285" s="1" t="str">
        <f t="shared" si="86"/>
        <v>13.1Viet</v>
      </c>
      <c r="C285" s="27" t="s">
        <v>541</v>
      </c>
      <c r="D285" s="1" t="s">
        <v>3</v>
      </c>
      <c r="E285" s="29" t="str">
        <f>A285&amp;". "&amp;C285</f>
        <v>13.1. Gọi cho tôi lúc 1 giờ.</v>
      </c>
    </row>
    <row r="286" spans="1:5" x14ac:dyDescent="0.25">
      <c r="A286" s="1" t="s">
        <v>404</v>
      </c>
      <c r="B286" s="1" t="str">
        <f t="shared" si="86"/>
        <v>13.1Anh</v>
      </c>
      <c r="C286" s="27" t="s">
        <v>248</v>
      </c>
      <c r="D286" s="1" t="s">
        <v>336</v>
      </c>
      <c r="E286" s="29" t="str">
        <f t="shared" ref="E286:E287" si="95">C286</f>
        <v>Call me at one.</v>
      </c>
    </row>
    <row r="287" spans="1:5" x14ac:dyDescent="0.25">
      <c r="A287" s="1" t="s">
        <v>404</v>
      </c>
      <c r="B287" s="1" t="str">
        <f t="shared" si="86"/>
        <v>13.1Phon</v>
      </c>
      <c r="C287" s="27" t="s">
        <v>249</v>
      </c>
      <c r="D287" s="1" t="s">
        <v>5</v>
      </c>
      <c r="E287" s="29" t="str">
        <f t="shared" si="95"/>
        <v>ka:l mi: æt wʌn</v>
      </c>
    </row>
    <row r="288" spans="1:5" x14ac:dyDescent="0.25">
      <c r="A288" s="1" t="s">
        <v>405</v>
      </c>
      <c r="B288" s="1" t="str">
        <f t="shared" si="86"/>
        <v>13.2Viet</v>
      </c>
      <c r="C288" s="27" t="s">
        <v>542</v>
      </c>
      <c r="D288" s="1" t="s">
        <v>3</v>
      </c>
      <c r="E288" s="29" t="str">
        <f>A288&amp;". "&amp;C288</f>
        <v>13.2. Đến 4 giờ nhắc tôi nhé.</v>
      </c>
    </row>
    <row r="289" spans="1:5" x14ac:dyDescent="0.25">
      <c r="A289" s="1" t="s">
        <v>405</v>
      </c>
      <c r="B289" s="1" t="str">
        <f t="shared" si="86"/>
        <v>13.2Anh</v>
      </c>
      <c r="C289" s="27" t="s">
        <v>250</v>
      </c>
      <c r="D289" s="1" t="s">
        <v>336</v>
      </c>
      <c r="E289" s="29" t="str">
        <f t="shared" ref="E289:E290" si="96">C289</f>
        <v>Remind me at four.</v>
      </c>
    </row>
    <row r="290" spans="1:5" x14ac:dyDescent="0.25">
      <c r="A290" s="1" t="s">
        <v>405</v>
      </c>
      <c r="B290" s="1" t="str">
        <f t="shared" si="86"/>
        <v>13.2Phon</v>
      </c>
      <c r="C290" s="27" t="s">
        <v>251</v>
      </c>
      <c r="D290" s="1" t="s">
        <v>5</v>
      </c>
      <c r="E290" s="29" t="str">
        <f t="shared" si="96"/>
        <v>rɪˈmaɪnd mi: æt fɔ:r</v>
      </c>
    </row>
    <row r="291" spans="1:5" x14ac:dyDescent="0.25">
      <c r="A291" s="1" t="s">
        <v>406</v>
      </c>
      <c r="B291" s="1" t="str">
        <f t="shared" si="86"/>
        <v>13.3Viet</v>
      </c>
      <c r="C291" s="27" t="s">
        <v>543</v>
      </c>
      <c r="D291" s="1" t="s">
        <v>3</v>
      </c>
      <c r="E291" s="29" t="str">
        <f>A291&amp;". "&amp;C291</f>
        <v>13.3. Hẹn gặp cậu vào khoảng 2 giờ nhé.</v>
      </c>
    </row>
    <row r="292" spans="1:5" x14ac:dyDescent="0.25">
      <c r="A292" s="1" t="s">
        <v>406</v>
      </c>
      <c r="B292" s="1" t="str">
        <f t="shared" si="86"/>
        <v>13.3Anh</v>
      </c>
      <c r="C292" s="27" t="s">
        <v>252</v>
      </c>
      <c r="D292" s="1" t="s">
        <v>336</v>
      </c>
      <c r="E292" s="29" t="str">
        <f t="shared" ref="E292:E293" si="97">C292</f>
        <v>See you around two.</v>
      </c>
    </row>
    <row r="293" spans="1:5" x14ac:dyDescent="0.25">
      <c r="A293" s="1" t="s">
        <v>406</v>
      </c>
      <c r="B293" s="1" t="str">
        <f t="shared" si="86"/>
        <v>13.3Phon</v>
      </c>
      <c r="C293" s="27" t="s">
        <v>253</v>
      </c>
      <c r="D293" s="1" t="s">
        <v>5</v>
      </c>
      <c r="E293" s="29" t="str">
        <f t="shared" si="97"/>
        <v>si: ju: əˈraʊnd tu:</v>
      </c>
    </row>
    <row r="294" spans="1:5" x14ac:dyDescent="0.25">
      <c r="A294" s="1" t="s">
        <v>407</v>
      </c>
      <c r="B294" s="1" t="str">
        <f t="shared" si="86"/>
        <v>13.4Viet</v>
      </c>
      <c r="C294" s="27" t="s">
        <v>544</v>
      </c>
      <c r="D294" s="1" t="s">
        <v>3</v>
      </c>
      <c r="E294" s="29" t="str">
        <f>A294&amp;". "&amp;C294</f>
        <v>13.4. Khoảng 10 giờ thì về.</v>
      </c>
    </row>
    <row r="295" spans="1:5" x14ac:dyDescent="0.25">
      <c r="A295" s="1" t="s">
        <v>407</v>
      </c>
      <c r="B295" s="1" t="str">
        <f t="shared" si="86"/>
        <v>13.4Anh</v>
      </c>
      <c r="C295" s="27" t="s">
        <v>254</v>
      </c>
      <c r="D295" s="1" t="s">
        <v>336</v>
      </c>
      <c r="E295" s="29" t="str">
        <f t="shared" ref="E295:E296" si="98">C295</f>
        <v>Leave around ten.</v>
      </c>
    </row>
    <row r="296" spans="1:5" x14ac:dyDescent="0.25">
      <c r="A296" s="1" t="s">
        <v>407</v>
      </c>
      <c r="B296" s="1" t="str">
        <f t="shared" si="86"/>
        <v>13.4Phon</v>
      </c>
      <c r="C296" s="27" t="s">
        <v>255</v>
      </c>
      <c r="D296" s="1" t="s">
        <v>5</v>
      </c>
      <c r="E296" s="29" t="str">
        <f t="shared" si="98"/>
        <v>li:v əˈraʊnd tɛn</v>
      </c>
    </row>
    <row r="297" spans="1:5" x14ac:dyDescent="0.25">
      <c r="A297" s="1" t="s">
        <v>408</v>
      </c>
      <c r="B297" s="1" t="str">
        <f t="shared" si="86"/>
        <v>13.5Viet</v>
      </c>
      <c r="C297" s="27" t="s">
        <v>545</v>
      </c>
      <c r="D297" s="1" t="s">
        <v>3</v>
      </c>
      <c r="E297" s="29" t="str">
        <f>A297&amp;". "&amp;C297</f>
        <v>13.5. Tôi đã thấy buồn ngủ lúc 11 giờ.</v>
      </c>
    </row>
    <row r="298" spans="1:5" x14ac:dyDescent="0.25">
      <c r="A298" s="1" t="s">
        <v>408</v>
      </c>
      <c r="B298" s="1" t="str">
        <f t="shared" si="86"/>
        <v>13.5Anh</v>
      </c>
      <c r="C298" s="27" t="s">
        <v>256</v>
      </c>
      <c r="D298" s="1" t="s">
        <v>336</v>
      </c>
      <c r="E298" s="29" t="str">
        <f t="shared" ref="E298:E299" si="99">C298</f>
        <v>I fall asleep at eleven.</v>
      </c>
    </row>
    <row r="299" spans="1:5" x14ac:dyDescent="0.25">
      <c r="A299" s="1" t="s">
        <v>408</v>
      </c>
      <c r="B299" s="1" t="str">
        <f t="shared" si="86"/>
        <v>13.5Phon</v>
      </c>
      <c r="C299" s="27" t="s">
        <v>257</v>
      </c>
      <c r="D299" s="1" t="s">
        <v>5</v>
      </c>
      <c r="E299" s="29" t="str">
        <f t="shared" si="99"/>
        <v>aɪ fa:l əˈsli:p æt ɪˈlɛvən</v>
      </c>
    </row>
    <row r="300" spans="1:5" x14ac:dyDescent="0.25">
      <c r="A300" s="1" t="s">
        <v>409</v>
      </c>
      <c r="B300" s="1" t="str">
        <f t="shared" si="86"/>
        <v>13.6Viet</v>
      </c>
      <c r="C300" s="27" t="s">
        <v>546</v>
      </c>
      <c r="D300" s="1" t="s">
        <v>3</v>
      </c>
      <c r="E300" s="29" t="str">
        <f>A300&amp;". "&amp;C300</f>
        <v>13.6. Anh ấy rời đi vào khoảng thời gian ăn trưa.</v>
      </c>
    </row>
    <row r="301" spans="1:5" x14ac:dyDescent="0.25">
      <c r="A301" s="1" t="s">
        <v>409</v>
      </c>
      <c r="B301" s="1" t="str">
        <f t="shared" si="86"/>
        <v>13.6Anh</v>
      </c>
      <c r="C301" s="27" t="s">
        <v>258</v>
      </c>
      <c r="D301" s="1" t="s">
        <v>336</v>
      </c>
      <c r="E301" s="29" t="str">
        <f t="shared" ref="E301:E303" si="100">C301</f>
        <v>He left around lunchtime.</v>
      </c>
    </row>
    <row r="302" spans="1:5" x14ac:dyDescent="0.25">
      <c r="A302" s="1" t="s">
        <v>409</v>
      </c>
      <c r="B302" s="1" t="str">
        <f t="shared" si="86"/>
        <v>13.6Phon</v>
      </c>
      <c r="C302" s="27" t="s">
        <v>259</v>
      </c>
      <c r="D302" s="1" t="s">
        <v>5</v>
      </c>
      <c r="E302" s="29" t="str">
        <f t="shared" si="100"/>
        <v>hi: lɛft əˈraʊnd ˈlʌnʧtaɪm</v>
      </c>
    </row>
    <row r="303" spans="1:5" x14ac:dyDescent="0.25">
      <c r="A303" s="1" t="s">
        <v>410</v>
      </c>
      <c r="B303" s="1" t="str">
        <f t="shared" si="86"/>
        <v>14Struc</v>
      </c>
      <c r="C303" s="28" t="s">
        <v>260</v>
      </c>
      <c r="D303" s="1" t="s">
        <v>11</v>
      </c>
      <c r="E303" s="29" t="str">
        <f t="shared" si="100"/>
        <v xml:space="preserve">14. IN + TỪ CHỈ THỜI GIAN </v>
      </c>
    </row>
    <row r="304" spans="1:5" x14ac:dyDescent="0.25">
      <c r="A304" s="1" t="s">
        <v>411</v>
      </c>
      <c r="B304" s="1" t="str">
        <f t="shared" si="86"/>
        <v>14.6Viet</v>
      </c>
      <c r="C304" s="27" t="s">
        <v>547</v>
      </c>
      <c r="D304" s="1" t="s">
        <v>3</v>
      </c>
      <c r="E304" s="29" t="str">
        <f>A304&amp;". "&amp;C304</f>
        <v>14.6. Anh ấy sẽ khoẻ hơn trong tương lai.</v>
      </c>
    </row>
    <row r="305" spans="1:5" x14ac:dyDescent="0.25">
      <c r="A305" s="1" t="s">
        <v>411</v>
      </c>
      <c r="B305" s="1" t="str">
        <f t="shared" si="86"/>
        <v>14.6Anh</v>
      </c>
      <c r="C305" s="27" t="s">
        <v>261</v>
      </c>
      <c r="D305" s="1" t="s">
        <v>336</v>
      </c>
      <c r="E305" s="29" t="str">
        <f t="shared" ref="E305:E306" si="101">C305</f>
        <v>He will be better in the future.</v>
      </c>
    </row>
    <row r="306" spans="1:5" x14ac:dyDescent="0.25">
      <c r="A306" s="1" t="s">
        <v>412</v>
      </c>
      <c r="B306" s="1" t="str">
        <f t="shared" si="86"/>
        <v>14.hPhon</v>
      </c>
      <c r="C306" s="27" t="s">
        <v>262</v>
      </c>
      <c r="D306" s="1" t="s">
        <v>5</v>
      </c>
      <c r="E306" s="29" t="str">
        <f t="shared" si="101"/>
        <v>hi: wɪl bi: ˈbɛtər ɪn ðə ˈfju:ʧər</v>
      </c>
    </row>
    <row r="307" spans="1:5" x14ac:dyDescent="0.25">
      <c r="A307" s="1" t="s">
        <v>412</v>
      </c>
      <c r="B307" s="1" t="str">
        <f t="shared" si="86"/>
        <v>14.hViet</v>
      </c>
      <c r="C307" s="27" t="s">
        <v>548</v>
      </c>
      <c r="D307" s="1" t="s">
        <v>3</v>
      </c>
      <c r="E307" s="29" t="str">
        <f>A307&amp;". "&amp;C307</f>
        <v>14.h. Sắp tới sẽ có chuyện xảy ra.</v>
      </c>
    </row>
    <row r="308" spans="1:5" x14ac:dyDescent="0.25">
      <c r="A308" s="1" t="s">
        <v>412</v>
      </c>
      <c r="B308" s="1" t="str">
        <f t="shared" si="86"/>
        <v>14.hAnh</v>
      </c>
      <c r="C308" s="27" t="s">
        <v>263</v>
      </c>
      <c r="D308" s="1" t="s">
        <v>336</v>
      </c>
      <c r="E308" s="29" t="str">
        <f t="shared" ref="E308:E309" si="102">C308</f>
        <v>Things are coming up in the near future.</v>
      </c>
    </row>
    <row r="309" spans="1:5" x14ac:dyDescent="0.25">
      <c r="A309" s="1" t="s">
        <v>413</v>
      </c>
      <c r="B309" s="1" t="str">
        <f t="shared" si="86"/>
        <v>14.θPhon</v>
      </c>
      <c r="C309" s="27" t="s">
        <v>264</v>
      </c>
      <c r="D309" s="1" t="s">
        <v>5</v>
      </c>
      <c r="E309" s="29" t="str">
        <f t="shared" si="102"/>
        <v>θɪŋz a:r ˈkʌmɪŋ ʌp ɪn ðə nɪr ˈfju:ʧər</v>
      </c>
    </row>
    <row r="310" spans="1:5" x14ac:dyDescent="0.25">
      <c r="A310" s="1" t="s">
        <v>413</v>
      </c>
      <c r="B310" s="1" t="str">
        <f t="shared" si="86"/>
        <v>14.θViet</v>
      </c>
      <c r="C310" s="27" t="s">
        <v>549</v>
      </c>
      <c r="D310" s="1" t="s">
        <v>3</v>
      </c>
      <c r="E310" s="29" t="str">
        <f>A310&amp;". "&amp;C310</f>
        <v>14.θ. Tôi chưa từng trải qua chuyện đó trong đời.</v>
      </c>
    </row>
    <row r="311" spans="1:5" x14ac:dyDescent="0.25">
      <c r="A311" s="1" t="s">
        <v>413</v>
      </c>
      <c r="B311" s="1" t="str">
        <f t="shared" si="86"/>
        <v>14.θAnh</v>
      </c>
      <c r="C311" s="27" t="s">
        <v>265</v>
      </c>
      <c r="D311" s="1" t="s">
        <v>336</v>
      </c>
      <c r="E311" s="29" t="str">
        <f t="shared" ref="E311:E312" si="103">C311</f>
        <v>I have never experienced it in my life.</v>
      </c>
    </row>
    <row r="312" spans="1:5" x14ac:dyDescent="0.25">
      <c r="A312" s="1" t="s">
        <v>414</v>
      </c>
      <c r="B312" s="1" t="str">
        <f t="shared" si="86"/>
        <v>14.aPhon</v>
      </c>
      <c r="C312" s="27" t="s">
        <v>266</v>
      </c>
      <c r="D312" s="1" t="s">
        <v>5</v>
      </c>
      <c r="E312" s="29" t="str">
        <f t="shared" si="103"/>
        <v>aɪ hæv ˈnɛvər ɪkˈspɪriənst ɪt ɪn maɪ laɪf</v>
      </c>
    </row>
    <row r="313" spans="1:5" x14ac:dyDescent="0.25">
      <c r="A313" s="1" t="s">
        <v>414</v>
      </c>
      <c r="B313" s="1" t="str">
        <f t="shared" si="86"/>
        <v>14.aViet</v>
      </c>
      <c r="C313" s="27" t="s">
        <v>550</v>
      </c>
      <c r="D313" s="1" t="s">
        <v>3</v>
      </c>
      <c r="E313" s="29" t="str">
        <f>A313&amp;". "&amp;C313</f>
        <v>14.a. Tôi sẽ quay lại sau 30 phút.</v>
      </c>
    </row>
    <row r="314" spans="1:5" x14ac:dyDescent="0.25">
      <c r="A314" s="1" t="s">
        <v>414</v>
      </c>
      <c r="B314" s="1" t="str">
        <f t="shared" si="86"/>
        <v>14.aAnh</v>
      </c>
      <c r="C314" s="27" t="s">
        <v>267</v>
      </c>
      <c r="D314" s="1" t="s">
        <v>336</v>
      </c>
      <c r="E314" s="29" t="str">
        <f t="shared" ref="E314:E315" si="104">C314</f>
        <v>I will be back in 30 minutes.</v>
      </c>
    </row>
    <row r="315" spans="1:5" x14ac:dyDescent="0.25">
      <c r="A315" s="1" t="s">
        <v>414</v>
      </c>
      <c r="B315" s="1" t="str">
        <f t="shared" si="86"/>
        <v>14.aPhon</v>
      </c>
      <c r="C315" s="27" t="s">
        <v>268</v>
      </c>
      <c r="D315" s="1" t="s">
        <v>5</v>
      </c>
      <c r="E315" s="29" t="str">
        <f t="shared" si="104"/>
        <v>aɪ wɪl bi: bæk ɪn ˈθɜːrti ˈmɪnɪts</v>
      </c>
    </row>
    <row r="316" spans="1:5" x14ac:dyDescent="0.25">
      <c r="A316" s="1" t="s">
        <v>414</v>
      </c>
      <c r="B316" s="1" t="str">
        <f t="shared" si="86"/>
        <v>14.aViet</v>
      </c>
      <c r="C316" s="27" t="s">
        <v>551</v>
      </c>
      <c r="D316" s="1" t="s">
        <v>3</v>
      </c>
      <c r="E316" s="29" t="str">
        <f>A316&amp;". "&amp;C316</f>
        <v>14.a. 10 phút nữa họ sẽ đến nơi.</v>
      </c>
    </row>
    <row r="317" spans="1:5" x14ac:dyDescent="0.25">
      <c r="A317" s="1" t="s">
        <v>414</v>
      </c>
      <c r="B317" s="1" t="str">
        <f t="shared" si="86"/>
        <v>14.aAnh</v>
      </c>
      <c r="C317" s="27" t="s">
        <v>269</v>
      </c>
      <c r="D317" s="1" t="s">
        <v>336</v>
      </c>
      <c r="E317" s="29" t="str">
        <f t="shared" ref="E317:E319" si="105">C317</f>
        <v>They will arrive in 10 minutes.</v>
      </c>
    </row>
    <row r="318" spans="1:5" x14ac:dyDescent="0.25">
      <c r="A318" s="1" t="s">
        <v>415</v>
      </c>
      <c r="B318" s="1" t="str">
        <f t="shared" si="86"/>
        <v>14.ðPhon</v>
      </c>
      <c r="C318" s="27" t="s">
        <v>270</v>
      </c>
      <c r="D318" s="1" t="s">
        <v>5</v>
      </c>
      <c r="E318" s="29" t="str">
        <f t="shared" si="105"/>
        <v>ðeɪ wɪl əˈraɪv ɪn tɛn ˈmɪnɪts</v>
      </c>
    </row>
    <row r="319" spans="1:5" x14ac:dyDescent="0.25">
      <c r="A319" s="1" t="s">
        <v>416</v>
      </c>
      <c r="B319" s="1" t="str">
        <f t="shared" si="86"/>
        <v>15Struc</v>
      </c>
      <c r="C319" s="28" t="s">
        <v>271</v>
      </c>
      <c r="D319" s="1" t="s">
        <v>11</v>
      </c>
      <c r="E319" s="29" t="str">
        <f t="shared" si="105"/>
        <v>15. ON + THỨ/NGÀY/DỊP ĐẶC BIỆT</v>
      </c>
    </row>
    <row r="320" spans="1:5" x14ac:dyDescent="0.25">
      <c r="A320" s="1" t="s">
        <v>417</v>
      </c>
      <c r="B320" s="1" t="str">
        <f t="shared" si="86"/>
        <v>15.1Viet</v>
      </c>
      <c r="C320" s="27" t="s">
        <v>552</v>
      </c>
      <c r="D320" s="1" t="s">
        <v>3</v>
      </c>
      <c r="E320" s="29" t="str">
        <f>A320&amp;". "&amp;C320</f>
        <v>15.1. Tôi sẽ ở đó vào thứ 4.</v>
      </c>
    </row>
    <row r="321" spans="1:5" x14ac:dyDescent="0.25">
      <c r="A321" s="1" t="s">
        <v>417</v>
      </c>
      <c r="B321" s="1" t="str">
        <f t="shared" si="86"/>
        <v>15.1Anh</v>
      </c>
      <c r="C321" s="27" t="s">
        <v>272</v>
      </c>
      <c r="D321" s="1" t="s">
        <v>336</v>
      </c>
      <c r="E321" s="29" t="str">
        <f t="shared" ref="E321:E322" si="106">C321</f>
        <v>I will be there on Wednesday.</v>
      </c>
    </row>
    <row r="322" spans="1:5" x14ac:dyDescent="0.25">
      <c r="A322" s="1" t="s">
        <v>417</v>
      </c>
      <c r="B322" s="1" t="str">
        <f t="shared" si="86"/>
        <v>15.1Phon</v>
      </c>
      <c r="C322" s="27" t="s">
        <v>273</v>
      </c>
      <c r="D322" s="1" t="s">
        <v>5</v>
      </c>
      <c r="E322" s="29" t="str">
        <f t="shared" si="106"/>
        <v>aɪ wɪl bi: ðɛr a:n ˈwɛnzdeɪ</v>
      </c>
    </row>
    <row r="323" spans="1:5" x14ac:dyDescent="0.25">
      <c r="A323" s="1" t="s">
        <v>418</v>
      </c>
      <c r="B323" s="1" t="str">
        <f t="shared" ref="B323:B386" si="107">A323&amp;D323</f>
        <v>15.2Viet</v>
      </c>
      <c r="C323" s="27" t="s">
        <v>553</v>
      </c>
      <c r="D323" s="1" t="s">
        <v>3</v>
      </c>
      <c r="E323" s="29" t="str">
        <f>A323&amp;". "&amp;C323</f>
        <v>15.2. Cậu có thể đến vào thứ 3 không?</v>
      </c>
    </row>
    <row r="324" spans="1:5" x14ac:dyDescent="0.25">
      <c r="A324" s="1" t="s">
        <v>418</v>
      </c>
      <c r="B324" s="1" t="str">
        <f t="shared" si="107"/>
        <v>15.2Anh</v>
      </c>
      <c r="C324" s="27" t="s">
        <v>274</v>
      </c>
      <c r="D324" s="1" t="s">
        <v>336</v>
      </c>
      <c r="E324" s="29" t="str">
        <f t="shared" ref="E324:E325" si="108">C324</f>
        <v>Can you come on Tuesday?</v>
      </c>
    </row>
    <row r="325" spans="1:5" x14ac:dyDescent="0.25">
      <c r="A325" s="1" t="s">
        <v>418</v>
      </c>
      <c r="B325" s="1" t="str">
        <f t="shared" si="107"/>
        <v>15.2Phon</v>
      </c>
      <c r="C325" s="27" t="s">
        <v>275</v>
      </c>
      <c r="D325" s="1" t="s">
        <v>5</v>
      </c>
      <c r="E325" s="29" t="str">
        <f t="shared" si="108"/>
        <v>kæn ju: kʌm a:n ˈtuːzdeɪ</v>
      </c>
    </row>
    <row r="326" spans="1:5" x14ac:dyDescent="0.25">
      <c r="A326" s="1" t="s">
        <v>419</v>
      </c>
      <c r="B326" s="1" t="str">
        <f t="shared" si="107"/>
        <v>15.3Viet</v>
      </c>
      <c r="C326" s="27" t="s">
        <v>554</v>
      </c>
      <c r="D326" s="1" t="s">
        <v>3</v>
      </c>
      <c r="E326" s="29" t="str">
        <f>A326&amp;". "&amp;C326</f>
        <v>15.3. Tôi đã gặp anh ấy vào đêm giáng sinh.</v>
      </c>
    </row>
    <row r="327" spans="1:5" x14ac:dyDescent="0.25">
      <c r="A327" s="1" t="s">
        <v>419</v>
      </c>
      <c r="B327" s="1" t="str">
        <f t="shared" si="107"/>
        <v>15.3Anh</v>
      </c>
      <c r="C327" s="27" t="s">
        <v>276</v>
      </c>
      <c r="D327" s="1" t="s">
        <v>336</v>
      </c>
      <c r="E327" s="29" t="str">
        <f t="shared" ref="E327:E328" si="109">C327</f>
        <v>I met him on Christmas Eve.</v>
      </c>
    </row>
    <row r="328" spans="1:5" x14ac:dyDescent="0.25">
      <c r="A328" s="1" t="s">
        <v>419</v>
      </c>
      <c r="B328" s="1" t="str">
        <f t="shared" si="107"/>
        <v>15.3Phon</v>
      </c>
      <c r="C328" s="27" t="s">
        <v>277</v>
      </c>
      <c r="D328" s="1" t="s">
        <v>5</v>
      </c>
      <c r="E328" s="29" t="str">
        <f t="shared" si="109"/>
        <v>aɪ mɛt hɪm a:n ˈkrɪsməs i:v</v>
      </c>
    </row>
    <row r="329" spans="1:5" x14ac:dyDescent="0.25">
      <c r="A329" s="1" t="s">
        <v>420</v>
      </c>
      <c r="B329" s="1" t="str">
        <f t="shared" si="107"/>
        <v>15.4Viet</v>
      </c>
      <c r="C329" s="27" t="s">
        <v>555</v>
      </c>
      <c r="D329" s="1" t="s">
        <v>3</v>
      </c>
      <c r="E329" s="29" t="str">
        <f>A329&amp;". "&amp;C329</f>
        <v>15.4. Tôi sẽ 21 tuổi vào sinh nhật tới.</v>
      </c>
    </row>
    <row r="330" spans="1:5" x14ac:dyDescent="0.25">
      <c r="A330" s="1" t="s">
        <v>420</v>
      </c>
      <c r="B330" s="1" t="str">
        <f t="shared" si="107"/>
        <v>15.4Anh</v>
      </c>
      <c r="C330" s="27" t="s">
        <v>278</v>
      </c>
      <c r="D330" s="1" t="s">
        <v>336</v>
      </c>
      <c r="E330" s="29" t="str">
        <f t="shared" ref="E330:E332" si="110">C330</f>
        <v>I will be twenty-one on my next birthday.</v>
      </c>
    </row>
    <row r="331" spans="1:5" x14ac:dyDescent="0.25">
      <c r="A331" s="1" t="s">
        <v>420</v>
      </c>
      <c r="B331" s="1" t="str">
        <f t="shared" si="107"/>
        <v>15.4Phon</v>
      </c>
      <c r="C331" s="27" t="s">
        <v>279</v>
      </c>
      <c r="D331" s="1" t="s">
        <v>5</v>
      </c>
      <c r="E331" s="29" t="str">
        <f t="shared" si="110"/>
        <v>aɪ wɪl bi: ˈtwɛnti-wʌn a:n maɪ nɛkst ˈbɜ:rθdeɪ</v>
      </c>
    </row>
    <row r="332" spans="1:5" x14ac:dyDescent="0.25">
      <c r="A332" s="1" t="s">
        <v>421</v>
      </c>
      <c r="B332" s="1" t="str">
        <f t="shared" si="107"/>
        <v>16Struc</v>
      </c>
      <c r="C332" s="28" t="s">
        <v>280</v>
      </c>
      <c r="D332" s="1" t="s">
        <v>11</v>
      </c>
      <c r="E332" s="29" t="str">
        <f t="shared" si="110"/>
        <v>16. IN... /Ở trong.../</v>
      </c>
    </row>
    <row r="333" spans="1:5" x14ac:dyDescent="0.25">
      <c r="A333" s="1" t="s">
        <v>422</v>
      </c>
      <c r="B333" s="1" t="str">
        <f t="shared" si="107"/>
        <v>16.1Viet</v>
      </c>
      <c r="C333" s="27" t="s">
        <v>556</v>
      </c>
      <c r="D333" s="1" t="s">
        <v>3</v>
      </c>
      <c r="E333" s="29" t="str">
        <f>A333&amp;". "&amp;C333</f>
        <v>16.1. Tôi đã gặp anh ấy ở trong sảnh.</v>
      </c>
    </row>
    <row r="334" spans="1:5" x14ac:dyDescent="0.25">
      <c r="A334" s="1" t="s">
        <v>422</v>
      </c>
      <c r="B334" s="1" t="str">
        <f t="shared" si="107"/>
        <v>16.1Anh</v>
      </c>
      <c r="C334" s="27" t="s">
        <v>281</v>
      </c>
      <c r="D334" s="1" t="s">
        <v>336</v>
      </c>
      <c r="E334" s="29" t="str">
        <f t="shared" ref="E334:E335" si="111">C334</f>
        <v>I met him in the lobby.</v>
      </c>
    </row>
    <row r="335" spans="1:5" x14ac:dyDescent="0.25">
      <c r="A335" s="1" t="s">
        <v>422</v>
      </c>
      <c r="B335" s="1" t="str">
        <f t="shared" si="107"/>
        <v>16.1Phon</v>
      </c>
      <c r="C335" s="27" t="s">
        <v>282</v>
      </c>
      <c r="D335" s="1" t="s">
        <v>5</v>
      </c>
      <c r="E335" s="29" t="str">
        <f t="shared" si="111"/>
        <v>aɪ mɛt hɪm ɪn ðə ˈla:bi</v>
      </c>
    </row>
    <row r="336" spans="1:5" x14ac:dyDescent="0.25">
      <c r="A336" s="1" t="s">
        <v>423</v>
      </c>
      <c r="B336" s="1" t="str">
        <f t="shared" si="107"/>
        <v>16.2Viet</v>
      </c>
      <c r="C336" s="27" t="s">
        <v>557</v>
      </c>
      <c r="D336" s="1" t="s">
        <v>3</v>
      </c>
      <c r="E336" s="29" t="str">
        <f>A336&amp;". "&amp;C336</f>
        <v>16.2. Tôi không ăn ở trong xe.</v>
      </c>
    </row>
    <row r="337" spans="1:5" x14ac:dyDescent="0.25">
      <c r="A337" s="1" t="s">
        <v>423</v>
      </c>
      <c r="B337" s="1" t="str">
        <f t="shared" si="107"/>
        <v>16.2Anh</v>
      </c>
      <c r="C337" s="27" t="s">
        <v>283</v>
      </c>
      <c r="D337" s="1" t="s">
        <v>336</v>
      </c>
      <c r="E337" s="29" t="str">
        <f t="shared" ref="E337:E338" si="112">C337</f>
        <v>I don’t eat in my car.</v>
      </c>
    </row>
    <row r="338" spans="1:5" x14ac:dyDescent="0.25">
      <c r="A338" s="1" t="s">
        <v>423</v>
      </c>
      <c r="B338" s="1" t="str">
        <f t="shared" si="107"/>
        <v>16.2Phon</v>
      </c>
      <c r="C338" s="27" t="s">
        <v>284</v>
      </c>
      <c r="D338" s="1" t="s">
        <v>5</v>
      </c>
      <c r="E338" s="29" t="str">
        <f t="shared" si="112"/>
        <v>aɪ doʊnt it ɪn maɪ ka:r</v>
      </c>
    </row>
    <row r="339" spans="1:5" x14ac:dyDescent="0.25">
      <c r="A339" s="1" t="s">
        <v>424</v>
      </c>
      <c r="B339" s="1" t="str">
        <f t="shared" si="107"/>
        <v>16.3Viet</v>
      </c>
      <c r="C339" s="27" t="s">
        <v>558</v>
      </c>
      <c r="D339" s="1" t="s">
        <v>3</v>
      </c>
      <c r="E339" s="29" t="str">
        <f>A339&amp;". "&amp;C339</f>
        <v>16.3. Có gì đó trong mắt tôi.</v>
      </c>
    </row>
    <row r="340" spans="1:5" x14ac:dyDescent="0.25">
      <c r="A340" s="1" t="s">
        <v>424</v>
      </c>
      <c r="B340" s="1" t="str">
        <f t="shared" si="107"/>
        <v>16.3Anh</v>
      </c>
      <c r="C340" s="27" t="s">
        <v>285</v>
      </c>
      <c r="D340" s="1" t="s">
        <v>336</v>
      </c>
      <c r="E340" s="29" t="str">
        <f t="shared" ref="E340:E341" si="113">C340</f>
        <v>I have something in my eye.</v>
      </c>
    </row>
    <row r="341" spans="1:5" x14ac:dyDescent="0.25">
      <c r="A341" s="1" t="s">
        <v>424</v>
      </c>
      <c r="B341" s="1" t="str">
        <f t="shared" si="107"/>
        <v>16.3Phon</v>
      </c>
      <c r="C341" s="27" t="s">
        <v>286</v>
      </c>
      <c r="D341" s="1" t="s">
        <v>5</v>
      </c>
      <c r="E341" s="29" t="str">
        <f t="shared" si="113"/>
        <v>aɪ hæv ˈsʌmθɪŋ ɪn maɪ aɪ</v>
      </c>
    </row>
    <row r="342" spans="1:5" x14ac:dyDescent="0.25">
      <c r="A342" s="1" t="s">
        <v>425</v>
      </c>
      <c r="B342" s="1" t="str">
        <f t="shared" si="107"/>
        <v>16.4Viet</v>
      </c>
      <c r="C342" s="27" t="s">
        <v>559</v>
      </c>
      <c r="D342" s="1" t="s">
        <v>3</v>
      </c>
      <c r="E342" s="29" t="str">
        <f>A342&amp;". "&amp;C342</f>
        <v>16.4. Tôi đã thấy anh ấy đứng xếp hàng.</v>
      </c>
    </row>
    <row r="343" spans="1:5" x14ac:dyDescent="0.25">
      <c r="A343" s="1" t="s">
        <v>425</v>
      </c>
      <c r="B343" s="1" t="str">
        <f t="shared" si="107"/>
        <v>16.4Anh</v>
      </c>
      <c r="C343" s="27" t="s">
        <v>287</v>
      </c>
      <c r="D343" s="1" t="s">
        <v>336</v>
      </c>
      <c r="E343" s="29" t="str">
        <f t="shared" ref="E343:E344" si="114">C343</f>
        <v>I saw him standing in line.</v>
      </c>
    </row>
    <row r="344" spans="1:5" x14ac:dyDescent="0.25">
      <c r="A344" s="1" t="s">
        <v>425</v>
      </c>
      <c r="B344" s="1" t="str">
        <f t="shared" si="107"/>
        <v>16.4Phon</v>
      </c>
      <c r="C344" s="27" t="s">
        <v>288</v>
      </c>
      <c r="D344" s="1" t="s">
        <v>5</v>
      </c>
      <c r="E344" s="29" t="str">
        <f t="shared" si="114"/>
        <v>aɪ sɔ: hɪm ˈstændɪŋ ɪn laɪn</v>
      </c>
    </row>
    <row r="345" spans="1:5" x14ac:dyDescent="0.25">
      <c r="A345" s="1" t="s">
        <v>426</v>
      </c>
      <c r="B345" s="1" t="str">
        <f t="shared" si="107"/>
        <v>16.5Viet</v>
      </c>
      <c r="C345" s="27" t="s">
        <v>560</v>
      </c>
      <c r="D345" s="1" t="s">
        <v>3</v>
      </c>
      <c r="E345" s="29" t="str">
        <f>A345&amp;". "&amp;C345</f>
        <v>16.5. Tôi đang khó khăn về kinh tế.</v>
      </c>
    </row>
    <row r="346" spans="1:5" x14ac:dyDescent="0.25">
      <c r="A346" s="1" t="s">
        <v>426</v>
      </c>
      <c r="B346" s="1" t="str">
        <f t="shared" si="107"/>
        <v>16.5Anh</v>
      </c>
      <c r="C346" s="27" t="s">
        <v>289</v>
      </c>
      <c r="D346" s="1" t="s">
        <v>336</v>
      </c>
      <c r="E346" s="29" t="str">
        <f t="shared" ref="E346:E347" si="115">C346</f>
        <v>I am in bad shape economically.</v>
      </c>
    </row>
    <row r="347" spans="1:5" x14ac:dyDescent="0.25">
      <c r="A347" s="1" t="s">
        <v>426</v>
      </c>
      <c r="B347" s="1" t="str">
        <f t="shared" si="107"/>
        <v>16.5Phon</v>
      </c>
      <c r="C347" s="27" t="s">
        <v>290</v>
      </c>
      <c r="D347" s="1" t="s">
        <v>5</v>
      </c>
      <c r="E347" s="29" t="str">
        <f t="shared" si="115"/>
        <v>aɪ æm ɪn bæd ʃeɪp ekəˈnaːmɪkəli</v>
      </c>
    </row>
    <row r="348" spans="1:5" x14ac:dyDescent="0.25">
      <c r="A348" s="1" t="s">
        <v>427</v>
      </c>
      <c r="B348" s="1" t="str">
        <f t="shared" si="107"/>
        <v>16.6Viet</v>
      </c>
      <c r="C348" s="27" t="s">
        <v>561</v>
      </c>
      <c r="D348" s="1" t="s">
        <v>3</v>
      </c>
      <c r="E348" s="29" t="str">
        <f>A348&amp;". "&amp;C348</f>
        <v>16.6. Tôi đã rất hoang mang.</v>
      </c>
    </row>
    <row r="349" spans="1:5" x14ac:dyDescent="0.25">
      <c r="A349" s="1" t="s">
        <v>427</v>
      </c>
      <c r="B349" s="1" t="str">
        <f t="shared" si="107"/>
        <v>16.6Anh</v>
      </c>
      <c r="C349" s="27" t="s">
        <v>291</v>
      </c>
      <c r="D349" s="1" t="s">
        <v>336</v>
      </c>
      <c r="E349" s="29" t="str">
        <f t="shared" ref="E349:E350" si="116">C349</f>
        <v>I was in a panic.</v>
      </c>
    </row>
    <row r="350" spans="1:5" x14ac:dyDescent="0.25">
      <c r="A350" s="1" t="s">
        <v>427</v>
      </c>
      <c r="B350" s="1" t="str">
        <f t="shared" si="107"/>
        <v>16.6Phon</v>
      </c>
      <c r="C350" s="27" t="s">
        <v>292</v>
      </c>
      <c r="D350" s="1" t="s">
        <v>5</v>
      </c>
      <c r="E350" s="29" t="str">
        <f t="shared" si="116"/>
        <v>aɪ wʌz ɪn ə ˈpænɪk</v>
      </c>
    </row>
    <row r="351" spans="1:5" x14ac:dyDescent="0.25">
      <c r="A351" s="1" t="s">
        <v>428</v>
      </c>
      <c r="B351" s="1" t="str">
        <f t="shared" si="107"/>
        <v>16.7Viet</v>
      </c>
      <c r="C351" s="27" t="s">
        <v>562</v>
      </c>
      <c r="D351" s="1" t="s">
        <v>3</v>
      </c>
      <c r="E351" s="29" t="str">
        <f>A351&amp;". "&amp;C351</f>
        <v>16.7. Chúng tôi đã có khoảng thời gian rất vui ở Florida.</v>
      </c>
    </row>
    <row r="352" spans="1:5" x14ac:dyDescent="0.25">
      <c r="A352" s="1" t="s">
        <v>428</v>
      </c>
      <c r="B352" s="1" t="str">
        <f t="shared" si="107"/>
        <v>16.7Anh</v>
      </c>
      <c r="C352" s="27" t="s">
        <v>293</v>
      </c>
      <c r="D352" s="1" t="s">
        <v>336</v>
      </c>
      <c r="E352" s="29" t="str">
        <f t="shared" ref="E352:E353" si="117">C352</f>
        <v>We had a good time in Florida.</v>
      </c>
    </row>
    <row r="353" spans="1:5" x14ac:dyDescent="0.25">
      <c r="A353" s="1" t="s">
        <v>428</v>
      </c>
      <c r="B353" s="1" t="str">
        <f t="shared" si="107"/>
        <v>16.7Phon</v>
      </c>
      <c r="C353" s="27" t="s">
        <v>294</v>
      </c>
      <c r="D353" s="1" t="s">
        <v>5</v>
      </c>
      <c r="E353" s="29" t="str">
        <f t="shared" si="117"/>
        <v>wi: hæd ə gʊd taɪm ɪn ˈflɔːrɪdə</v>
      </c>
    </row>
    <row r="354" spans="1:5" x14ac:dyDescent="0.25">
      <c r="A354" s="1" t="s">
        <v>429</v>
      </c>
      <c r="B354" s="1" t="str">
        <f t="shared" si="107"/>
        <v>16.8Viet</v>
      </c>
      <c r="C354" s="27" t="s">
        <v>563</v>
      </c>
      <c r="D354" s="1" t="s">
        <v>3</v>
      </c>
      <c r="E354" s="29" t="str">
        <f>A354&amp;". "&amp;C354</f>
        <v>16.8. Anh ấy đang ở trong bệnh viện.</v>
      </c>
    </row>
    <row r="355" spans="1:5" x14ac:dyDescent="0.25">
      <c r="A355" s="1" t="s">
        <v>429</v>
      </c>
      <c r="B355" s="1" t="str">
        <f t="shared" si="107"/>
        <v>16.8Anh</v>
      </c>
      <c r="C355" s="27" t="s">
        <v>295</v>
      </c>
      <c r="D355" s="1" t="s">
        <v>336</v>
      </c>
      <c r="E355" s="29" t="str">
        <f t="shared" ref="E355:E356" si="118">C355</f>
        <v>He is in the hospital.</v>
      </c>
    </row>
    <row r="356" spans="1:5" x14ac:dyDescent="0.25">
      <c r="A356" s="1" t="s">
        <v>429</v>
      </c>
      <c r="B356" s="1" t="str">
        <f t="shared" si="107"/>
        <v>16.8Phon</v>
      </c>
      <c r="C356" s="27" t="s">
        <v>296</v>
      </c>
      <c r="D356" s="1" t="s">
        <v>5</v>
      </c>
      <c r="E356" s="29" t="str">
        <f t="shared" si="118"/>
        <v>hi: ɪz ɪn ðə ˈhaːspɪtəl</v>
      </c>
    </row>
    <row r="357" spans="1:5" x14ac:dyDescent="0.25">
      <c r="A357" s="1" t="s">
        <v>430</v>
      </c>
      <c r="B357" s="1" t="str">
        <f t="shared" si="107"/>
        <v>16.9Viet</v>
      </c>
      <c r="C357" s="27" t="s">
        <v>564</v>
      </c>
      <c r="D357" s="1" t="s">
        <v>3</v>
      </c>
      <c r="E357" s="29" t="str">
        <f>A357&amp;". "&amp;C357</f>
        <v>16.9. Tâm trạng cô ấy đang không tốt.</v>
      </c>
    </row>
    <row r="358" spans="1:5" x14ac:dyDescent="0.25">
      <c r="A358" s="1" t="s">
        <v>430</v>
      </c>
      <c r="B358" s="1" t="str">
        <f t="shared" si="107"/>
        <v>16.9Anh</v>
      </c>
      <c r="C358" s="27" t="s">
        <v>297</v>
      </c>
      <c r="D358" s="1" t="s">
        <v>336</v>
      </c>
      <c r="E358" s="29" t="str">
        <f t="shared" ref="E358:E360" si="119">C358</f>
        <v>She is in a bad mood.</v>
      </c>
    </row>
    <row r="359" spans="1:5" x14ac:dyDescent="0.25">
      <c r="A359" s="1" t="s">
        <v>430</v>
      </c>
      <c r="B359" s="1" t="str">
        <f t="shared" si="107"/>
        <v>16.9Phon</v>
      </c>
      <c r="C359" s="27" t="s">
        <v>298</v>
      </c>
      <c r="D359" s="1" t="s">
        <v>5</v>
      </c>
      <c r="E359" s="29" t="str">
        <f t="shared" si="119"/>
        <v>ʃi: ɪz ɪn ə bæd mu:d</v>
      </c>
    </row>
    <row r="360" spans="1:5" x14ac:dyDescent="0.25">
      <c r="A360" s="1" t="s">
        <v>431</v>
      </c>
      <c r="B360" s="1" t="str">
        <f t="shared" si="107"/>
        <v>17Struc</v>
      </c>
      <c r="C360" s="28" t="s">
        <v>299</v>
      </c>
      <c r="D360" s="1" t="s">
        <v>11</v>
      </c>
      <c r="E360" s="29" t="str">
        <f t="shared" si="119"/>
        <v>17. AT... /Ở/tại... /</v>
      </c>
    </row>
    <row r="361" spans="1:5" x14ac:dyDescent="0.25">
      <c r="A361" s="1" t="s">
        <v>432</v>
      </c>
      <c r="B361" s="1" t="str">
        <f t="shared" si="107"/>
        <v>17.1Viet</v>
      </c>
      <c r="C361" s="27" t="s">
        <v>565</v>
      </c>
      <c r="D361" s="1" t="s">
        <v>3</v>
      </c>
      <c r="E361" s="29" t="str">
        <f>A361&amp;". "&amp;C361</f>
        <v>17.1. Tôi bị đau đầu lúc ở buổi biểu diễn.</v>
      </c>
    </row>
    <row r="362" spans="1:5" x14ac:dyDescent="0.25">
      <c r="A362" s="1" t="s">
        <v>432</v>
      </c>
      <c r="B362" s="1" t="str">
        <f t="shared" si="107"/>
        <v>17.1Anh</v>
      </c>
      <c r="C362" s="27" t="s">
        <v>300</v>
      </c>
      <c r="D362" s="1" t="s">
        <v>336</v>
      </c>
      <c r="E362" s="29" t="str">
        <f t="shared" ref="E362:E363" si="120">C362</f>
        <v>I got a headache at the concert.</v>
      </c>
    </row>
    <row r="363" spans="1:5" x14ac:dyDescent="0.25">
      <c r="A363" s="1" t="s">
        <v>432</v>
      </c>
      <c r="B363" s="1" t="str">
        <f t="shared" si="107"/>
        <v>17.1Phon</v>
      </c>
      <c r="C363" s="27" t="s">
        <v>301</v>
      </c>
      <c r="D363" s="1" t="s">
        <v>5</v>
      </c>
      <c r="E363" s="29" t="str">
        <f t="shared" si="120"/>
        <v>aɪ ga:t ə ˈhɛdeɪk æt ðə ˈkaːnsərt</v>
      </c>
    </row>
    <row r="364" spans="1:5" x14ac:dyDescent="0.25">
      <c r="A364" s="1" t="s">
        <v>433</v>
      </c>
      <c r="B364" s="1" t="str">
        <f t="shared" si="107"/>
        <v>17.2Viet</v>
      </c>
      <c r="C364" s="27" t="s">
        <v>566</v>
      </c>
      <c r="D364" s="1" t="s">
        <v>3</v>
      </c>
      <c r="E364" s="29" t="str">
        <f>A364&amp;". "&amp;C364</f>
        <v>17.2. Tôi không ăn mặc như thế trong văn phòng.</v>
      </c>
    </row>
    <row r="365" spans="1:5" x14ac:dyDescent="0.25">
      <c r="A365" s="1" t="s">
        <v>433</v>
      </c>
      <c r="B365" s="1" t="str">
        <f t="shared" si="107"/>
        <v>17.2Anh</v>
      </c>
      <c r="C365" s="27" t="s">
        <v>302</v>
      </c>
      <c r="D365" s="1" t="s">
        <v>336</v>
      </c>
      <c r="E365" s="29" t="str">
        <f t="shared" ref="E365:E366" si="121">C365</f>
        <v>I don’t dress like that at the office.</v>
      </c>
    </row>
    <row r="366" spans="1:5" x14ac:dyDescent="0.25">
      <c r="A366" s="1" t="s">
        <v>433</v>
      </c>
      <c r="B366" s="1" t="str">
        <f t="shared" si="107"/>
        <v>17.2Phon</v>
      </c>
      <c r="C366" s="27" t="s">
        <v>303</v>
      </c>
      <c r="D366" s="1" t="s">
        <v>5</v>
      </c>
      <c r="E366" s="29" t="str">
        <f t="shared" si="121"/>
        <v>aɪ doʊnt drɛs laɪk ðæt æt ði: ˈa:fɪs</v>
      </c>
    </row>
    <row r="367" spans="1:5" x14ac:dyDescent="0.25">
      <c r="A367" s="1" t="s">
        <v>434</v>
      </c>
      <c r="B367" s="1" t="str">
        <f t="shared" si="107"/>
        <v>17.3Viet</v>
      </c>
      <c r="C367" s="27" t="s">
        <v>567</v>
      </c>
      <c r="D367" s="1" t="s">
        <v>3</v>
      </c>
      <c r="E367" s="29" t="str">
        <f>A367&amp;". "&amp;C367</f>
        <v>17.3. Hôm nay tôi đã có một ngày làm việc năng suất ở công ty.</v>
      </c>
    </row>
    <row r="368" spans="1:5" x14ac:dyDescent="0.25">
      <c r="A368" s="1" t="s">
        <v>434</v>
      </c>
      <c r="B368" s="1" t="str">
        <f t="shared" si="107"/>
        <v>17.3Anh</v>
      </c>
      <c r="C368" s="27" t="s">
        <v>304</v>
      </c>
      <c r="D368" s="1" t="s">
        <v>336</v>
      </c>
      <c r="E368" s="29" t="str">
        <f t="shared" ref="E368:E369" si="122">C368</f>
        <v>I had a productive day at work today.</v>
      </c>
    </row>
    <row r="369" spans="1:5" x14ac:dyDescent="0.25">
      <c r="A369" s="1" t="s">
        <v>434</v>
      </c>
      <c r="B369" s="1" t="str">
        <f t="shared" si="107"/>
        <v>17.3Phon</v>
      </c>
      <c r="C369" s="27" t="s">
        <v>305</v>
      </c>
      <c r="D369" s="1" t="s">
        <v>5</v>
      </c>
      <c r="E369" s="29" t="str">
        <f t="shared" si="122"/>
        <v>aɪ hæd ə prəˈdʌktɪv deɪ æt wɜ:rk təˈdeɪ</v>
      </c>
    </row>
    <row r="370" spans="1:5" x14ac:dyDescent="0.25">
      <c r="A370" s="1" t="s">
        <v>435</v>
      </c>
      <c r="B370" s="1" t="str">
        <f t="shared" si="107"/>
        <v>17.4Viet</v>
      </c>
      <c r="C370" s="27" t="s">
        <v>568</v>
      </c>
      <c r="D370" s="1" t="s">
        <v>3</v>
      </c>
      <c r="E370" s="29" t="str">
        <f>A370&amp;". "&amp;C370</f>
        <v>17.4. Cậu đã gọi điện đến chỗ làm của tôi vào tuần trước.</v>
      </c>
    </row>
    <row r="371" spans="1:5" x14ac:dyDescent="0.25">
      <c r="A371" s="1" t="s">
        <v>435</v>
      </c>
      <c r="B371" s="1" t="str">
        <f t="shared" si="107"/>
        <v>17.4Anh</v>
      </c>
      <c r="C371" s="27" t="s">
        <v>306</v>
      </c>
      <c r="D371" s="1" t="s">
        <v>336</v>
      </c>
      <c r="E371" s="29" t="str">
        <f t="shared" ref="E371:E372" si="123">C371</f>
        <v>You called me at work last week.</v>
      </c>
    </row>
    <row r="372" spans="1:5" x14ac:dyDescent="0.25">
      <c r="A372" s="1" t="s">
        <v>435</v>
      </c>
      <c r="B372" s="1" t="str">
        <f t="shared" si="107"/>
        <v>17.4Phon</v>
      </c>
      <c r="C372" s="27" t="s">
        <v>307</v>
      </c>
      <c r="D372" s="1" t="s">
        <v>5</v>
      </c>
      <c r="E372" s="29" t="str">
        <f t="shared" si="123"/>
        <v>ju: ka:ld mi: æt wɜ:rk læst wi:k</v>
      </c>
    </row>
    <row r="373" spans="1:5" x14ac:dyDescent="0.25">
      <c r="A373" s="1" t="s">
        <v>436</v>
      </c>
      <c r="B373" s="1" t="str">
        <f t="shared" si="107"/>
        <v>17.5Viet</v>
      </c>
      <c r="C373" s="27" t="s">
        <v>569</v>
      </c>
      <c r="D373" s="1" t="s">
        <v>3</v>
      </c>
      <c r="E373" s="29" t="str">
        <f>A373&amp;". "&amp;C373</f>
        <v>17.5. Cậu từng ăn tối ở nhà hàng đó rồi.</v>
      </c>
    </row>
    <row r="374" spans="1:5" x14ac:dyDescent="0.25">
      <c r="A374" s="1" t="s">
        <v>436</v>
      </c>
      <c r="B374" s="1" t="str">
        <f t="shared" si="107"/>
        <v>17.5Anh</v>
      </c>
      <c r="C374" s="27" t="s">
        <v>308</v>
      </c>
      <c r="D374" s="1" t="s">
        <v>336</v>
      </c>
      <c r="E374" s="29" t="str">
        <f t="shared" ref="E374:E375" si="124">C374</f>
        <v>You used to have dinner at the restaurant.</v>
      </c>
    </row>
    <row r="375" spans="1:5" x14ac:dyDescent="0.25">
      <c r="A375" s="1" t="s">
        <v>436</v>
      </c>
      <c r="B375" s="1" t="str">
        <f t="shared" si="107"/>
        <v>17.5Phon</v>
      </c>
      <c r="C375" s="27" t="s">
        <v>309</v>
      </c>
      <c r="D375" s="1" t="s">
        <v>5</v>
      </c>
      <c r="E375" s="29" t="str">
        <f t="shared" si="124"/>
        <v>ju: ju:zd tu: hæv ˈdɪnər æt ðə ˈrɛstra:nt</v>
      </c>
    </row>
    <row r="376" spans="1:5" x14ac:dyDescent="0.25">
      <c r="A376" s="1" t="s">
        <v>437</v>
      </c>
      <c r="B376" s="1" t="str">
        <f t="shared" si="107"/>
        <v>17.6Viet</v>
      </c>
      <c r="C376" s="27" t="s">
        <v>570</v>
      </c>
      <c r="D376" s="1" t="s">
        <v>3</v>
      </c>
      <c r="E376" s="29" t="str">
        <f>A376&amp;". "&amp;C376</f>
        <v>17.6. Cậu có thể gặp tôi ở cửa chính.</v>
      </c>
    </row>
    <row r="377" spans="1:5" x14ac:dyDescent="0.25">
      <c r="A377" s="1" t="s">
        <v>437</v>
      </c>
      <c r="B377" s="1" t="str">
        <f t="shared" si="107"/>
        <v>17.6Anh</v>
      </c>
      <c r="C377" s="27" t="s">
        <v>310</v>
      </c>
      <c r="D377" s="1" t="s">
        <v>336</v>
      </c>
      <c r="E377" s="29" t="str">
        <f t="shared" ref="E377:E378" si="125">C377</f>
        <v>You can meet me at the front entrance.</v>
      </c>
    </row>
    <row r="378" spans="1:5" x14ac:dyDescent="0.25">
      <c r="A378" s="1" t="s">
        <v>437</v>
      </c>
      <c r="B378" s="1" t="str">
        <f t="shared" si="107"/>
        <v>17.6Phon</v>
      </c>
      <c r="C378" s="27" t="s">
        <v>311</v>
      </c>
      <c r="D378" s="1" t="s">
        <v>5</v>
      </c>
      <c r="E378" s="29" t="str">
        <f t="shared" si="125"/>
        <v>ju: kæn mi:t mi: æt ðə frʌnt ˈɛntrəns</v>
      </c>
    </row>
    <row r="379" spans="1:5" x14ac:dyDescent="0.25">
      <c r="A379" s="1" t="s">
        <v>438</v>
      </c>
      <c r="B379" s="1" t="str">
        <f t="shared" si="107"/>
        <v>17.7Viet</v>
      </c>
      <c r="C379" s="27" t="s">
        <v>571</v>
      </c>
      <c r="D379" s="1" t="s">
        <v>3</v>
      </c>
      <c r="E379" s="29" t="str">
        <f>A379&amp;". "&amp;C379</f>
        <v>17.7. Anh ta ngồi ở chiếc bàn trong góc.</v>
      </c>
    </row>
    <row r="380" spans="1:5" x14ac:dyDescent="0.25">
      <c r="A380" s="1" t="s">
        <v>438</v>
      </c>
      <c r="B380" s="1" t="str">
        <f t="shared" si="107"/>
        <v>17.7Anh</v>
      </c>
      <c r="C380" s="27" t="s">
        <v>312</v>
      </c>
      <c r="D380" s="1" t="s">
        <v>336</v>
      </c>
      <c r="E380" s="29" t="str">
        <f t="shared" ref="E380:E382" si="126">C380</f>
        <v>He sat down at a corner table.</v>
      </c>
    </row>
    <row r="381" spans="1:5" x14ac:dyDescent="0.25">
      <c r="A381" s="1" t="s">
        <v>438</v>
      </c>
      <c r="B381" s="1" t="str">
        <f t="shared" si="107"/>
        <v>17.7Phon</v>
      </c>
      <c r="C381" s="27" t="s">
        <v>313</v>
      </c>
      <c r="D381" s="1" t="s">
        <v>5</v>
      </c>
      <c r="E381" s="29" t="str">
        <f t="shared" si="126"/>
        <v>hi: sæt daʊn æt ə ˈkɔ:rnər ˈteɪbəl</v>
      </c>
    </row>
    <row r="382" spans="1:5" x14ac:dyDescent="0.25">
      <c r="A382" s="1" t="s">
        <v>439</v>
      </c>
      <c r="B382" s="1" t="str">
        <f t="shared" si="107"/>
        <v>18Struc</v>
      </c>
      <c r="C382" s="28" t="s">
        <v>314</v>
      </c>
      <c r="D382" s="1" t="s">
        <v>11</v>
      </c>
      <c r="E382" s="29" t="str">
        <f t="shared" si="126"/>
        <v>18. ON... /Ở trên... /</v>
      </c>
    </row>
    <row r="383" spans="1:5" x14ac:dyDescent="0.25">
      <c r="A383" s="1" t="s">
        <v>440</v>
      </c>
      <c r="B383" s="1" t="str">
        <f t="shared" si="107"/>
        <v>18.1Viet</v>
      </c>
      <c r="C383" s="27" t="s">
        <v>572</v>
      </c>
      <c r="D383" s="1" t="s">
        <v>3</v>
      </c>
      <c r="E383" s="29" t="str">
        <f>A383&amp;". "&amp;C383</f>
        <v>18.1. Lúc đấy tôi đang ngồi trên ghế sofa.</v>
      </c>
    </row>
    <row r="384" spans="1:5" x14ac:dyDescent="0.25">
      <c r="A384" s="1" t="s">
        <v>440</v>
      </c>
      <c r="B384" s="1" t="str">
        <f t="shared" si="107"/>
        <v>18.1Anh</v>
      </c>
      <c r="C384" s="27" t="s">
        <v>315</v>
      </c>
      <c r="D384" s="1" t="s">
        <v>336</v>
      </c>
      <c r="E384" s="29" t="str">
        <f t="shared" ref="E384:E385" si="127">C384</f>
        <v>I was sitting on the sofa.</v>
      </c>
    </row>
    <row r="385" spans="1:5" x14ac:dyDescent="0.25">
      <c r="A385" s="1" t="s">
        <v>440</v>
      </c>
      <c r="B385" s="1" t="str">
        <f t="shared" si="107"/>
        <v>18.1Phon</v>
      </c>
      <c r="C385" s="27" t="s">
        <v>316</v>
      </c>
      <c r="D385" s="1" t="s">
        <v>5</v>
      </c>
      <c r="E385" s="29" t="str">
        <f t="shared" si="127"/>
        <v>aɪ wʌz ˈsɪtɪŋ a:n ðə ˈsoʊfə</v>
      </c>
    </row>
    <row r="386" spans="1:5" x14ac:dyDescent="0.25">
      <c r="A386" s="1" t="s">
        <v>441</v>
      </c>
      <c r="B386" s="1" t="str">
        <f t="shared" si="107"/>
        <v>18.2Viet</v>
      </c>
      <c r="C386" s="27" t="s">
        <v>573</v>
      </c>
      <c r="D386" s="1" t="s">
        <v>3</v>
      </c>
      <c r="E386" s="29" t="str">
        <f>A386&amp;". "&amp;C386</f>
        <v>18.2. Tôi bỏ nó trên bàn.</v>
      </c>
    </row>
    <row r="387" spans="1:5" x14ac:dyDescent="0.25">
      <c r="A387" s="1" t="s">
        <v>441</v>
      </c>
      <c r="B387" s="1" t="str">
        <f t="shared" ref="B387:B413" si="128">A387&amp;D387</f>
        <v>18.2Anh</v>
      </c>
      <c r="C387" s="27" t="s">
        <v>317</v>
      </c>
      <c r="D387" s="1" t="s">
        <v>336</v>
      </c>
      <c r="E387" s="29" t="str">
        <f t="shared" ref="E387:E388" si="129">C387</f>
        <v>I left it on the table.</v>
      </c>
    </row>
    <row r="388" spans="1:5" x14ac:dyDescent="0.25">
      <c r="A388" s="1" t="s">
        <v>441</v>
      </c>
      <c r="B388" s="1" t="str">
        <f t="shared" si="128"/>
        <v>18.2Phon</v>
      </c>
      <c r="C388" s="27" t="s">
        <v>318</v>
      </c>
      <c r="D388" s="1" t="s">
        <v>5</v>
      </c>
      <c r="E388" s="29" t="str">
        <f t="shared" si="129"/>
        <v>aɪ lɛft ɪt a:n ðə ˈteɪbəl</v>
      </c>
    </row>
    <row r="389" spans="1:5" x14ac:dyDescent="0.25">
      <c r="A389" s="1" t="s">
        <v>442</v>
      </c>
      <c r="B389" s="1" t="str">
        <f t="shared" si="128"/>
        <v>18.3Viet</v>
      </c>
      <c r="C389" s="27" t="s">
        <v>574</v>
      </c>
      <c r="D389" s="1" t="s">
        <v>3</v>
      </c>
      <c r="E389" s="29" t="str">
        <f>A389&amp;". "&amp;C389</f>
        <v>18.3. Treo nó lên trên tường.</v>
      </c>
    </row>
    <row r="390" spans="1:5" x14ac:dyDescent="0.25">
      <c r="A390" s="1" t="s">
        <v>442</v>
      </c>
      <c r="B390" s="1" t="str">
        <f t="shared" si="128"/>
        <v>18.3Anh</v>
      </c>
      <c r="C390" s="27" t="s">
        <v>319</v>
      </c>
      <c r="D390" s="1" t="s">
        <v>336</v>
      </c>
      <c r="E390" s="29" t="str">
        <f t="shared" ref="E390:E391" si="130">C390</f>
        <v>Put it on the wall.</v>
      </c>
    </row>
    <row r="391" spans="1:5" x14ac:dyDescent="0.25">
      <c r="A391" s="1" t="s">
        <v>442</v>
      </c>
      <c r="B391" s="1" t="str">
        <f t="shared" si="128"/>
        <v>18.3Phon</v>
      </c>
      <c r="C391" s="27" t="s">
        <v>320</v>
      </c>
      <c r="D391" s="1" t="s">
        <v>5</v>
      </c>
      <c r="E391" s="29" t="str">
        <f t="shared" si="130"/>
        <v>pʊt ɪt a:n ðə wa:l</v>
      </c>
    </row>
    <row r="392" spans="1:5" x14ac:dyDescent="0.25">
      <c r="A392" s="1" t="s">
        <v>443</v>
      </c>
      <c r="B392" s="1" t="str">
        <f t="shared" si="128"/>
        <v>18.4Viet</v>
      </c>
      <c r="C392" s="27" t="s">
        <v>575</v>
      </c>
      <c r="D392" s="1" t="s">
        <v>3</v>
      </c>
      <c r="E392" s="29" t="str">
        <f>A392&amp;". "&amp;C392</f>
        <v>18.4. Cái gì ở trên bàn vậy?</v>
      </c>
    </row>
    <row r="393" spans="1:5" x14ac:dyDescent="0.25">
      <c r="A393" s="1" t="s">
        <v>443</v>
      </c>
      <c r="B393" s="1" t="str">
        <f t="shared" si="128"/>
        <v>18.4Anh</v>
      </c>
      <c r="C393" s="27" t="s">
        <v>321</v>
      </c>
      <c r="D393" s="1" t="s">
        <v>336</v>
      </c>
      <c r="E393" s="29" t="str">
        <f t="shared" ref="E393:E394" si="131">C393</f>
        <v>What is it on the desk?</v>
      </c>
    </row>
    <row r="394" spans="1:5" x14ac:dyDescent="0.25">
      <c r="A394" s="1" t="s">
        <v>443</v>
      </c>
      <c r="B394" s="1" t="str">
        <f t="shared" si="128"/>
        <v>18.4Phon</v>
      </c>
      <c r="C394" s="27" t="s">
        <v>322</v>
      </c>
      <c r="D394" s="1" t="s">
        <v>5</v>
      </c>
      <c r="E394" s="29" t="str">
        <f t="shared" si="131"/>
        <v>wʌt ɪz ɪt a:n ðə dɛsk</v>
      </c>
    </row>
    <row r="395" spans="1:5" x14ac:dyDescent="0.25">
      <c r="A395" s="1" t="s">
        <v>444</v>
      </c>
      <c r="B395" s="1" t="str">
        <f t="shared" si="128"/>
        <v>18.5Viet</v>
      </c>
      <c r="C395" s="27" t="s">
        <v>576</v>
      </c>
      <c r="D395" s="1" t="s">
        <v>3</v>
      </c>
      <c r="E395" s="29" t="str">
        <f>A395&amp;". "&amp;C395</f>
        <v>18.5. Cô ấy nằm nghiêng.</v>
      </c>
    </row>
    <row r="396" spans="1:5" x14ac:dyDescent="0.25">
      <c r="A396" s="1" t="s">
        <v>444</v>
      </c>
      <c r="B396" s="1" t="str">
        <f t="shared" si="128"/>
        <v>18.5Anh</v>
      </c>
      <c r="C396" s="27" t="s">
        <v>323</v>
      </c>
      <c r="D396" s="1" t="s">
        <v>336</v>
      </c>
      <c r="E396" s="29" t="str">
        <f t="shared" ref="E396:E397" si="132">C396</f>
        <v>She lays on her side.</v>
      </c>
    </row>
    <row r="397" spans="1:5" x14ac:dyDescent="0.25">
      <c r="A397" s="1" t="s">
        <v>444</v>
      </c>
      <c r="B397" s="1" t="str">
        <f t="shared" si="128"/>
        <v>18.5Phon</v>
      </c>
      <c r="C397" s="27" t="s">
        <v>324</v>
      </c>
      <c r="D397" s="1" t="s">
        <v>5</v>
      </c>
      <c r="E397" s="29" t="str">
        <f t="shared" si="132"/>
        <v>ʃi: leɪz a:n hɜ:r saɪd</v>
      </c>
    </row>
    <row r="398" spans="1:5" x14ac:dyDescent="0.25">
      <c r="A398" s="1" t="s">
        <v>445</v>
      </c>
      <c r="B398" s="1" t="str">
        <f t="shared" si="128"/>
        <v>18.6Viet</v>
      </c>
      <c r="C398" s="27" t="s">
        <v>577</v>
      </c>
      <c r="D398" s="1" t="s">
        <v>3</v>
      </c>
      <c r="E398" s="29" t="str">
        <f>A398&amp;". "&amp;C398</f>
        <v>18.6. Anh ấy đã quỳ xuống.</v>
      </c>
    </row>
    <row r="399" spans="1:5" x14ac:dyDescent="0.25">
      <c r="A399" s="1" t="s">
        <v>445</v>
      </c>
      <c r="B399" s="1" t="str">
        <f t="shared" si="128"/>
        <v>18.6Anh</v>
      </c>
      <c r="C399" s="27" t="s">
        <v>325</v>
      </c>
      <c r="D399" s="1" t="s">
        <v>336</v>
      </c>
      <c r="E399" s="29" t="str">
        <f t="shared" ref="E399:E400" si="133">C399</f>
        <v>He was down on his knees.</v>
      </c>
    </row>
    <row r="400" spans="1:5" x14ac:dyDescent="0.25">
      <c r="A400" s="1" t="s">
        <v>445</v>
      </c>
      <c r="B400" s="1" t="str">
        <f t="shared" si="128"/>
        <v>18.6Phon</v>
      </c>
      <c r="C400" s="27" t="s">
        <v>326</v>
      </c>
      <c r="D400" s="1" t="s">
        <v>5</v>
      </c>
      <c r="E400" s="29" t="str">
        <f t="shared" si="133"/>
        <v>hi: wʌz daʊn a:n hɪz ni:z</v>
      </c>
    </row>
    <row r="401" spans="1:5" x14ac:dyDescent="0.25">
      <c r="A401" s="1" t="s">
        <v>446</v>
      </c>
      <c r="B401" s="1" t="str">
        <f t="shared" si="128"/>
        <v>18.7Viet</v>
      </c>
      <c r="C401" s="27" t="s">
        <v>578</v>
      </c>
      <c r="D401" s="1" t="s">
        <v>3</v>
      </c>
      <c r="E401" s="29" t="str">
        <f>A401&amp;". "&amp;C401</f>
        <v>18.7. Cậu có thể đứng bằng đầu không?</v>
      </c>
    </row>
    <row r="402" spans="1:5" x14ac:dyDescent="0.25">
      <c r="A402" s="1" t="s">
        <v>446</v>
      </c>
      <c r="B402" s="1" t="str">
        <f t="shared" si="128"/>
        <v>18.7Anh</v>
      </c>
      <c r="C402" s="27" t="s">
        <v>327</v>
      </c>
      <c r="D402" s="1" t="s">
        <v>336</v>
      </c>
      <c r="E402" s="29" t="str">
        <f t="shared" ref="E402:E404" si="134">C402</f>
        <v>Can you stand on your head?</v>
      </c>
    </row>
    <row r="403" spans="1:5" x14ac:dyDescent="0.25">
      <c r="A403" s="1" t="s">
        <v>446</v>
      </c>
      <c r="B403" s="1" t="str">
        <f t="shared" si="128"/>
        <v>18.7Phon</v>
      </c>
      <c r="C403" s="27" t="s">
        <v>328</v>
      </c>
      <c r="D403" s="1" t="s">
        <v>5</v>
      </c>
      <c r="E403" s="29" t="str">
        <f t="shared" si="134"/>
        <v>kæn ju: stænd a:n jʊr hɛd</v>
      </c>
    </row>
    <row r="404" spans="1:5" x14ac:dyDescent="0.25">
      <c r="A404" s="1" t="s">
        <v>447</v>
      </c>
      <c r="B404" s="1" t="str">
        <f t="shared" si="128"/>
        <v>19Struc</v>
      </c>
      <c r="C404" s="28" t="s">
        <v>329</v>
      </c>
      <c r="D404" s="1" t="s">
        <v>11</v>
      </c>
      <c r="E404" s="29" t="str">
        <f t="shared" si="134"/>
        <v>19. ON + NOUN... /Đang trong trạng thái... /</v>
      </c>
    </row>
    <row r="405" spans="1:5" x14ac:dyDescent="0.25">
      <c r="A405" s="1" t="s">
        <v>448</v>
      </c>
      <c r="B405" s="1" t="str">
        <f t="shared" si="128"/>
        <v>19.1Viet</v>
      </c>
      <c r="C405" s="27" t="s">
        <v>579</v>
      </c>
      <c r="D405" s="1" t="s">
        <v>3</v>
      </c>
      <c r="E405" s="29" t="str">
        <f>A405&amp;". "&amp;C405</f>
        <v>19.1. Nhà đang bị cháy.</v>
      </c>
    </row>
    <row r="406" spans="1:5" x14ac:dyDescent="0.25">
      <c r="A406" s="1" t="s">
        <v>448</v>
      </c>
      <c r="B406" s="1" t="str">
        <f t="shared" si="128"/>
        <v>19.1Anh</v>
      </c>
      <c r="C406" s="27" t="s">
        <v>330</v>
      </c>
      <c r="D406" s="1" t="s">
        <v>336</v>
      </c>
      <c r="E406" s="29" t="str">
        <f t="shared" ref="E406:E407" si="135">C406</f>
        <v>The house is on fire.</v>
      </c>
    </row>
    <row r="407" spans="1:5" x14ac:dyDescent="0.25">
      <c r="A407" s="1" t="s">
        <v>448</v>
      </c>
      <c r="B407" s="1" t="str">
        <f t="shared" si="128"/>
        <v>19.1Phon</v>
      </c>
      <c r="C407" s="27" t="s">
        <v>331</v>
      </c>
      <c r="D407" s="1" t="s">
        <v>5</v>
      </c>
      <c r="E407" s="29" t="str">
        <f t="shared" si="135"/>
        <v>ðə haʊs ɪz a:n ˈfaɪər</v>
      </c>
    </row>
    <row r="408" spans="1:5" x14ac:dyDescent="0.25">
      <c r="A408" s="1" t="s">
        <v>449</v>
      </c>
      <c r="B408" s="1" t="str">
        <f t="shared" si="128"/>
        <v>19.2Viet</v>
      </c>
      <c r="C408" s="27" t="s">
        <v>580</v>
      </c>
      <c r="D408" s="1" t="s">
        <v>3</v>
      </c>
      <c r="E408" s="29" t="str">
        <f>A408&amp;". "&amp;C408</f>
        <v>19.2. Tôi đang giảm cân.</v>
      </c>
    </row>
    <row r="409" spans="1:5" x14ac:dyDescent="0.25">
      <c r="A409" s="1" t="s">
        <v>449</v>
      </c>
      <c r="B409" s="1" t="str">
        <f t="shared" si="128"/>
        <v>19.2Anh</v>
      </c>
      <c r="C409" s="27" t="s">
        <v>332</v>
      </c>
      <c r="D409" s="1" t="s">
        <v>336</v>
      </c>
      <c r="E409" s="29" t="str">
        <f t="shared" ref="E409:E410" si="136">C409</f>
        <v>I am going on a diet.</v>
      </c>
    </row>
    <row r="410" spans="1:5" x14ac:dyDescent="0.25">
      <c r="A410" s="1" t="s">
        <v>449</v>
      </c>
      <c r="B410" s="1" t="str">
        <f t="shared" si="128"/>
        <v>19.2Phon</v>
      </c>
      <c r="C410" s="27" t="s">
        <v>333</v>
      </c>
      <c r="D410" s="1" t="s">
        <v>5</v>
      </c>
      <c r="E410" s="29" t="str">
        <f t="shared" si="136"/>
        <v>aɪ æm ˈgoʊɪŋ a:n ə ˈdaɪət</v>
      </c>
    </row>
    <row r="411" spans="1:5" x14ac:dyDescent="0.25">
      <c r="A411" s="1" t="s">
        <v>450</v>
      </c>
      <c r="B411" s="1" t="str">
        <f t="shared" si="128"/>
        <v>19.3Viet</v>
      </c>
      <c r="C411" s="27" t="s">
        <v>581</v>
      </c>
      <c r="D411" s="1" t="s">
        <v>3</v>
      </c>
      <c r="E411" s="29" t="str">
        <f>A411&amp;". "&amp;C411</f>
        <v>19.3. Anh ấy đang gặt hái được những thành công vang dội.</v>
      </c>
    </row>
    <row r="412" spans="1:5" x14ac:dyDescent="0.25">
      <c r="A412" s="1" t="s">
        <v>450</v>
      </c>
      <c r="B412" s="1" t="str">
        <f t="shared" si="128"/>
        <v>19.3Anh</v>
      </c>
      <c r="C412" s="27" t="s">
        <v>334</v>
      </c>
      <c r="D412" s="1" t="s">
        <v>336</v>
      </c>
      <c r="E412" s="29" t="str">
        <f t="shared" ref="E412:E413" si="137">C412</f>
        <v>He is setting the world on fire.</v>
      </c>
    </row>
    <row r="413" spans="1:5" x14ac:dyDescent="0.25">
      <c r="A413" s="1" t="s">
        <v>450</v>
      </c>
      <c r="B413" s="1" t="str">
        <f t="shared" si="128"/>
        <v>19.3Phon</v>
      </c>
      <c r="C413" s="27" t="s">
        <v>335</v>
      </c>
      <c r="D413" s="1" t="s">
        <v>5</v>
      </c>
      <c r="E413" s="29" t="str">
        <f t="shared" si="137"/>
        <v>hi: ɪz ˈsɛtɪŋ ðə wɜr:ld a:n ˈfaɪər</v>
      </c>
    </row>
  </sheetData>
  <autoFilter ref="A1:E413" xr:uid="{F0FEFE1B-A582-4851-A850-E4BF4217E78E}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C6718-A9E9-438B-B207-C9ED05A276B1}">
  <dimension ref="A1"/>
  <sheetViews>
    <sheetView workbookViewId="0">
      <selection activeCell="I12" sqref="I12:I13"/>
    </sheetView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Declarative sentences</vt:lpstr>
      <vt:lpstr>Viet</vt:lpstr>
      <vt:lpstr>Sum</vt:lpstr>
      <vt:lpstr>Ramdom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2023-04-28T06:54:49Z</dcterms:created>
  <dcterms:modified xsi:type="dcterms:W3CDTF">2023-07-05T16:49:18Z</dcterms:modified>
</cp:coreProperties>
</file>