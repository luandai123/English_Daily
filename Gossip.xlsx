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Gossip\"/>
    </mc:Choice>
  </mc:AlternateContent>
  <xr:revisionPtr revIDLastSave="0" documentId="13_ncr:1_{65F02FE4-7707-42C3-92CC-F747E6175ED2}" xr6:coauthVersionLast="47" xr6:coauthVersionMax="47" xr10:uidLastSave="{00000000-0000-0000-0000-000000000000}"/>
  <bookViews>
    <workbookView xWindow="-108" yWindow="-108" windowWidth="23256" windowHeight="12456" tabRatio="634" xr2:uid="{719E5D2F-C632-4960-9266-638D7C9B24E2}"/>
  </bookViews>
  <sheets>
    <sheet name="Gossip" sheetId="1" r:id="rId1"/>
    <sheet name="Viet" sheetId="5" r:id="rId2"/>
    <sheet name="Sum" sheetId="6" r:id="rId3"/>
    <sheet name="Ramdom" sheetId="2" r:id="rId4"/>
    <sheet name="Sheet1" sheetId="7" r:id="rId5"/>
    <sheet name="Sheet2" sheetId="10" r:id="rId6"/>
  </sheets>
  <definedNames>
    <definedName name="_xlnm._FilterDatabase" localSheetId="0" hidden="1">Gossip!$A$3:$H$62</definedName>
    <definedName name="_xlnm._FilterDatabase" localSheetId="3" hidden="1">Ramdom!$B$3:$F$295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C5" i="5" s="1"/>
  <c r="D6" i="5"/>
  <c r="C6" i="5" s="1"/>
  <c r="D7" i="5"/>
  <c r="C7" i="5" s="1"/>
  <c r="F4" i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D4" i="6" l="1"/>
  <c r="C4" i="6" s="1"/>
  <c r="D3" i="6" l="1"/>
  <c r="C3" i="6" s="1"/>
  <c r="D4" i="5"/>
  <c r="C4" i="5" s="1"/>
  <c r="D3" i="5"/>
  <c r="C3" i="5" s="1"/>
  <c r="G5" i="1"/>
  <c r="F5" i="1" s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C4" i="2" s="1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C34" i="2" s="1"/>
  <c r="C36" i="2" l="1"/>
  <c r="C35" i="2"/>
  <c r="C38" i="2"/>
  <c r="C39" i="2"/>
  <c r="C37" i="2"/>
  <c r="C40" i="2"/>
  <c r="C7" i="2"/>
  <c r="C10" i="2"/>
  <c r="C8" i="2"/>
  <c r="C6" i="2"/>
  <c r="C9" i="2"/>
  <c r="C11" i="2"/>
  <c r="C5" i="2"/>
  <c r="C13" i="2"/>
  <c r="C14" i="2"/>
  <c r="C12" i="2"/>
  <c r="C15" i="2"/>
  <c r="C16" i="2"/>
  <c r="C17" i="2"/>
  <c r="C18" i="2"/>
  <c r="C19" i="2"/>
  <c r="C20" i="2"/>
  <c r="C21" i="2"/>
  <c r="C22" i="2"/>
  <c r="C23" i="2"/>
  <c r="C25" i="2"/>
  <c r="C24" i="2"/>
  <c r="C26" i="2"/>
  <c r="C27" i="2"/>
  <c r="C28" i="2"/>
  <c r="C29" i="2"/>
  <c r="C30" i="2"/>
  <c r="C32" i="2"/>
  <c r="C31" i="2"/>
  <c r="C33" i="2"/>
  <c r="A42" i="2"/>
  <c r="B41" i="2"/>
  <c r="C41" i="2" s="1"/>
  <c r="A43" i="2" l="1"/>
  <c r="B42" i="2"/>
  <c r="C42" i="2" s="1"/>
  <c r="A44" i="2" l="1"/>
  <c r="B43" i="2"/>
  <c r="C43" i="2" s="1"/>
  <c r="A45" i="2" l="1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A76" i="2" l="1"/>
  <c r="B75" i="2"/>
  <c r="C75" i="2" s="1"/>
  <c r="A77" i="2" l="1"/>
  <c r="B76" i="2"/>
  <c r="C76" i="2" s="1"/>
  <c r="A78" i="2" l="1"/>
  <c r="B77" i="2"/>
  <c r="C77" i="2" s="1"/>
  <c r="A79" i="2" l="1"/>
  <c r="B78" i="2"/>
  <c r="C78" i="2" s="1"/>
  <c r="A80" i="2" l="1"/>
  <c r="B79" i="2"/>
  <c r="C79" i="2" s="1"/>
  <c r="A81" i="2" l="1"/>
  <c r="B80" i="2"/>
  <c r="C80" i="2" s="1"/>
  <c r="A82" i="2" l="1"/>
  <c r="B81" i="2"/>
  <c r="C81" i="2" s="1"/>
  <c r="A83" i="2" l="1"/>
  <c r="B82" i="2"/>
  <c r="C82" i="2" s="1"/>
  <c r="A84" i="2" l="1"/>
  <c r="B83" i="2"/>
  <c r="C83" i="2" s="1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A92" i="2" l="1"/>
  <c r="B91" i="2"/>
  <c r="C91" i="2" s="1"/>
  <c r="A93" i="2" l="1"/>
  <c r="B92" i="2"/>
  <c r="C92" i="2" s="1"/>
  <c r="A94" i="2" l="1"/>
  <c r="B93" i="2"/>
  <c r="C93" i="2" s="1"/>
  <c r="A95" i="2" l="1"/>
  <c r="B94" i="2"/>
  <c r="C94" i="2" s="1"/>
  <c r="A96" i="2" l="1"/>
  <c r="B95" i="2"/>
  <c r="C95" i="2" s="1"/>
  <c r="A97" i="2" l="1"/>
  <c r="B96" i="2"/>
  <c r="C96" i="2" s="1"/>
  <c r="A98" i="2" l="1"/>
  <c r="B97" i="2"/>
  <c r="C97" i="2" s="1"/>
  <c r="A99" i="2" l="1"/>
  <c r="B98" i="2"/>
  <c r="C98" i="2" s="1"/>
  <c r="A100" i="2" l="1"/>
  <c r="B99" i="2"/>
  <c r="C99" i="2" s="1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s="1"/>
  <c r="A136" i="2" l="1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<sst xmlns="http://schemas.openxmlformats.org/spreadsheetml/2006/main" count="276" uniqueCount="171">
  <si>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</si>
  <si>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</si>
  <si>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</si>
  <si>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</si>
  <si>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</si>
  <si>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</si>
  <si>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</si>
  <si>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</si>
  <si>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</si>
  <si>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</si>
  <si>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</si>
  <si>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</si>
  <si>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</si>
  <si>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</si>
  <si>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</si>
  <si>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</si>
  <si>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</si>
  <si>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</si>
  <si>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</si>
  <si>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</si>
  <si>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</si>
  <si>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</si>
  <si>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</si>
  <si>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</si>
  <si>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</si>
  <si>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</si>
  <si>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</si>
  <si>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01-05</t>
  </si>
  <si>
    <t>Man</t>
  </si>
  <si>
    <t>Woman</t>
  </si>
  <si>
    <t>1.4</t>
  </si>
  <si>
    <t>1.5</t>
  </si>
  <si>
    <t>2.4</t>
  </si>
  <si>
    <t>I don’t mean to gossip, but she talks too much.</t>
  </si>
  <si>
    <t>aɪ doʊnt mi:n tu: ˈga:sɪp bʌt ʃi: ta:ks tu: mʌʧ</t>
  </si>
  <si>
    <t>I don’t mean to gossip, but he is bossy.</t>
  </si>
  <si>
    <t>aɪ doʊnt mi:n tu: ˈga:sɪp bʌt hi: ɪz ˈba:si</t>
  </si>
  <si>
    <t>I don’t mean to gossip, but she bothers me a lot.</t>
  </si>
  <si>
    <t>aɪ doʊnt mi:n tu: ˈga:sɪp bʌt ʃi: ˈba:ðərz mi: ə la:t</t>
  </si>
  <si>
    <t>I don’t mean to gossip, but I just heard something interesting.</t>
  </si>
  <si>
    <t>aɪ doʊnt mi:n tu: ˈga:sɪp bʌt aɪ ʤʌst hɜ:rd ˈsʌmθɪŋ ˈɪntrəstɪŋ</t>
  </si>
  <si>
    <t>I don’t mean to gossip, but I heard that A is quitting.</t>
  </si>
  <si>
    <t>aɪ doʊnt mi:n tu: ˈga:sɪp bʌt aɪ hɜ:rd ðæt eɪ ɪz ˈkwɪtɪŋ</t>
  </si>
  <si>
    <t>Actually, the word around the office is that Tom is going to be fired.</t>
  </si>
  <si>
    <t>ˈækʧuəli ðə wɜ:rd əˈraʊnd ði: ˈa:fɪs ɪz ðæt ta:m ɪz ˈgoʊɪŋ tu: bi: ˈfaɪərd</t>
  </si>
  <si>
    <t>Actually, the word around the office is that Lan will be promoted.</t>
  </si>
  <si>
    <t>ˈækʧuəli ðə wɜ:rd əˈraʊnd ði: ˈa:fɪs ɪz ðæt læn wɪl bi: prəˈmoʊtɪd</t>
  </si>
  <si>
    <t>Actually, the word around the office is that April is getting fired.</t>
  </si>
  <si>
    <t>ˈækʧuəli ðə wɜ:rd əˈraʊnd ði: ˈa:fɪs ɪz ðæt ˈeɪprəl ɪz ˈgɛtɪŋ ˈfaɪərd</t>
  </si>
  <si>
    <t>Actually, the word around the office is that Mr. A is flirting Ms. B.</t>
  </si>
  <si>
    <t>ˈækʧuəli ðə wɜ:rd əˈraʊnd ði: ˈa:fɪs ɪz ðæt ˈmɪstər eɪ ɪz ˈflɜ:rtɪŋ mɪz bi:</t>
  </si>
  <si>
    <t>Have you heard the latest news about An?</t>
  </si>
  <si>
    <t>hæv ju: hɜ:rd ðə ˈleɪtɪst nu:z əˈbaʊt æn</t>
  </si>
  <si>
    <t>Have you heard the latest news about our new boss?</t>
  </si>
  <si>
    <t>hæv ju: hɜ:rd ðə ˈleɪtɪst nu:z əˈbaʊt aʊr nu: ba:s</t>
  </si>
  <si>
    <t>Have you heard the latest news about the marketing department?</t>
  </si>
  <si>
    <t>hæv ju: hɜ:rd ðə ˈleɪtɪst nu:z əˈbaʊt ðə ˈma:rkɪtɪŋ dɪˈpa:rtmənt</t>
  </si>
  <si>
    <t>You should double-check your sources.</t>
  </si>
  <si>
    <t>ju: ʃʊd ˌdʌbəlˈtʃek jʊr ˈsɔ:rsɪz</t>
  </si>
  <si>
    <t>I ask her to double-check her sources.</t>
  </si>
  <si>
    <t>aɪ æsk hɜ:r tu: ˌdʌbəlˈtʃek hɜ:r ˈsɔ:rsɪz</t>
  </si>
  <si>
    <t>Have you double-checked your sources?</t>
  </si>
  <si>
    <t>hæv ju: ˌdʌbəlˈtʃekt jʊr ˈsɔ:rsɪz</t>
  </si>
  <si>
    <t>I got it straight from the executive director.</t>
  </si>
  <si>
    <t>aɪ ga:t ɪt streɪt frʌm ði: ɪgˈzɛkjətɪv daɪˈrɛktər</t>
  </si>
  <si>
    <t>I got it straight from accountant.</t>
  </si>
  <si>
    <t>aɪ ga:t ɪt streɪt frʌm əˈkaʊntənt</t>
  </si>
  <si>
    <t>I got it straight from the departmental manager.</t>
  </si>
  <si>
    <t>aɪ ga:t ɪt streɪt frʌm ðə ˌdi:pa:rtˈmɛntəl ˈmænɪʤər</t>
  </si>
  <si>
    <t>I DON’T MEAN TO GOSSIP, BUT... /Tôi không muốn ngồi lê đôi mách, nhưng…/</t>
  </si>
  <si>
    <t>Tôi không muốn ngồi lê đôi mách, nhưng mà cô ta nói nhiều quá.</t>
  </si>
  <si>
    <t>Tôi không muốn ngồi lê đôi mách, nhưng mà anh ta hách dịch quá.</t>
  </si>
  <si>
    <t>Tôi không muốn ngồi lê đôi mách, nhưng mà cô ta làm phiền tôi quá.</t>
  </si>
  <si>
    <t>Tôi không muốn ngồi lê đôi mách, nhưng mà tôi vừa nghe nhiều điều khá thú vị.</t>
  </si>
  <si>
    <t>Tôi không muốn ngồi lê đôi mách, nhưng mà A sắp nghỉ việc rồi.</t>
  </si>
  <si>
    <t>ACTUALLY, THE WORD AROUND THE OFFICE IS THAT… /Cả văn phòng đều đồn là…/</t>
  </si>
  <si>
    <t>Cả văn phòng đều đồn là Tom sắp bị sa thải.</t>
  </si>
  <si>
    <t>Cả văn phòng đều đồn là Lan sẽ được thăng chức.</t>
  </si>
  <si>
    <t>Cả văn phòng đều đồn tháng 4 này là tháng sa thải.</t>
  </si>
  <si>
    <t>Cả văn phòng đều đồn là ông A đang tán cô B.</t>
  </si>
  <si>
    <t>HAVE YOU HEARD THE LATEST NEWS ABOUT…? /Bạn có nghe tin về… chưa?/</t>
  </si>
  <si>
    <t>Bạn có nghe tin về An chưa?</t>
  </si>
  <si>
    <t>Bạn có nghe tin về sếp mới của chúng ta chưa?</t>
  </si>
  <si>
    <t>Bạn có nghe tin về phòng Marketing chưa?</t>
  </si>
  <si>
    <t>DOUBLE-CHECK THE SOURCES /Kiểm tra lại nguồn thông tin/</t>
  </si>
  <si>
    <t>Bạn nên kiểm tra lại nguồn thông tin của bạn đi.</t>
  </si>
  <si>
    <t>Tôi yêu cầu cô ta kiểm tra lại nguồn thông tin.</t>
  </si>
  <si>
    <t>Bạn có kiểm tra lại nguồn thông tin chưa?</t>
  </si>
  <si>
    <t>I GOT IT STRAIGHT FROM THE... /Tôi nghe thẳng từ…/</t>
  </si>
  <si>
    <t>Tôi nghe từ chính giám đốc điều hành công ty.</t>
  </si>
  <si>
    <t>Tôi nghe từ chính kế toán.</t>
  </si>
  <si>
    <t>Tôi nghe từ chính trưởng phòng.</t>
  </si>
  <si>
    <t>1Struc</t>
  </si>
  <si>
    <t>1.1Viet</t>
  </si>
  <si>
    <t>1.1Eng</t>
  </si>
  <si>
    <t>1.1Phon</t>
  </si>
  <si>
    <t>1.2Viet</t>
  </si>
  <si>
    <t>1.2Eng</t>
  </si>
  <si>
    <t>1.2Phon</t>
  </si>
  <si>
    <t>1.3Viet</t>
  </si>
  <si>
    <t>1.3Eng</t>
  </si>
  <si>
    <t>1.3Phon</t>
  </si>
  <si>
    <t>1.4Viet</t>
  </si>
  <si>
    <t>1.4Eng</t>
  </si>
  <si>
    <t>1.4Phon</t>
  </si>
  <si>
    <t>1.5Viet</t>
  </si>
  <si>
    <t>1.5Eng</t>
  </si>
  <si>
    <t>1.5Phon</t>
  </si>
  <si>
    <t>2Struc</t>
  </si>
  <si>
    <t>2.1Viet</t>
  </si>
  <si>
    <t>2.1Eng</t>
  </si>
  <si>
    <t>2.1Phon</t>
  </si>
  <si>
    <t>2.2Viet</t>
  </si>
  <si>
    <t>2.2Eng</t>
  </si>
  <si>
    <t>2.2Phon</t>
  </si>
  <si>
    <t>2.3Viet</t>
  </si>
  <si>
    <t>2.3Eng</t>
  </si>
  <si>
    <t>2.3Phon</t>
  </si>
  <si>
    <t>2.4Viet</t>
  </si>
  <si>
    <t>2.4Eng</t>
  </si>
  <si>
    <t>2.4Phon</t>
  </si>
  <si>
    <t>3Struc</t>
  </si>
  <si>
    <t>3.1Viet</t>
  </si>
  <si>
    <t>3.1Eng</t>
  </si>
  <si>
    <t>3.1Phon</t>
  </si>
  <si>
    <t>3.2Viet</t>
  </si>
  <si>
    <t>3.2Eng</t>
  </si>
  <si>
    <t>3.2Phon</t>
  </si>
  <si>
    <t>3.3Viet</t>
  </si>
  <si>
    <t>3.3Eng</t>
  </si>
  <si>
    <t>3.3Phon</t>
  </si>
  <si>
    <t>4Struc</t>
  </si>
  <si>
    <t>4.1Viet</t>
  </si>
  <si>
    <t>4.1Eng</t>
  </si>
  <si>
    <t>4.1Phon</t>
  </si>
  <si>
    <t>4.2Viet</t>
  </si>
  <si>
    <t>4.2Eng</t>
  </si>
  <si>
    <t>4.2Phon</t>
  </si>
  <si>
    <t>4.3Viet</t>
  </si>
  <si>
    <t>4.3Eng</t>
  </si>
  <si>
    <t>4.3Phon</t>
  </si>
  <si>
    <t>5Struc</t>
  </si>
  <si>
    <t>5.1Viet</t>
  </si>
  <si>
    <t>5.1Eng</t>
  </si>
  <si>
    <t>5.1Phon</t>
  </si>
  <si>
    <t>5.2Viet</t>
  </si>
  <si>
    <t>5.2Eng</t>
  </si>
  <si>
    <t>5.2Phon</t>
  </si>
  <si>
    <t>5.3Viet</t>
  </si>
  <si>
    <t>5.3Eng</t>
  </si>
  <si>
    <t>5.3Phon</t>
  </si>
  <si>
    <t>TOPIC: GOSSIP</t>
  </si>
  <si>
    <t>https://drive.google.com/file/d/1FOwPz1qUjFzGUrPSJxXDEufdkIWjNSm6/view?usp=sharing</t>
  </si>
  <si>
    <t>https://drive.google.com/file/d/13V5pNLKDCtgLKZM6vxavg8rdIY94OBW-/view?usp=sharing</t>
  </si>
  <si>
    <t>https://drive.google.com/file/d/1ov_KwvJF8EepjVzPKo4WXWmuxJorTxZp/view?usp=sharing</t>
  </si>
  <si>
    <t>https://drive.google.com/file/d/1K4psT7ee-X5ISVCTmYlkspIrO8z0PB30/view?usp=sharing</t>
  </si>
  <si>
    <t>https://drive.google.com/file/d/1jToZDxSRMUZ6_o8dFm0Sf2D2MH08udRJ/view?usp=sharing</t>
  </si>
  <si>
    <t>https://drive.google.com/file/d/1v20LBoVMGNtdDD8a_l7qRaRt3JO3f2rJ/view?usp=sharing</t>
  </si>
  <si>
    <t>https://drive.google.com/file/d/1tnGlxy11wzdgoSc3p715ZocBiyl5O2k-/view?usp=sharing</t>
  </si>
  <si>
    <t>https://drive.google.com/file/d/14cMKMJn5mp1UJWQKurmGnUeFRk-oMOGW/view?usp=sharing</t>
  </si>
  <si>
    <t>https://drive.google.com/file/d/1ssTTF5CiL8i47gVXTpj4FVxYLj2v8mTg/view?usp=sharing</t>
  </si>
  <si>
    <t>https://drive.google.com/file/d/1bu7SYP34oits7fPnhghj0nDEh06Gjp0F/view?usp=sharing</t>
  </si>
  <si>
    <t>https://drive.google.com/file/d/1hOiA8nCxKjAQeybyV2L6qJuXJCIBVKVn/view?usp=sharing</t>
  </si>
  <si>
    <t>https://drive.google.com/file/d/1UTQpawb_S2EZ1PRqYzTEvvtZJFCxDCoY/view?usp=sharing</t>
  </si>
  <si>
    <t>https://drive.google.com/file/d/1O9_vhPnRrRQCHgB3_vgytBYuhxy1NY4-/view?usp=sharing</t>
  </si>
  <si>
    <t>https://drive.google.com/file/d/1-YBeZyZjKhTUx3xhRRGrMsNttwuJrf_h/view?usp=sharing</t>
  </si>
  <si>
    <t>https://drive.google.com/file/d/1msKM5SDT28ttjcxYggbOLwjHrJsOR48w/view?usp=sharing</t>
  </si>
  <si>
    <t>https://drive.google.com/file/d/1Lknkq49FPdhuqaCzsGFjaTh3lm1V-3xI/view?usp=sharing</t>
  </si>
  <si>
    <t>https://drive.google.com/file/d/1EsdZp9wHFGacPChRzI7FLMsnHKyr26NU/view?usp=sharing</t>
  </si>
  <si>
    <t>https://drive.google.com/file/d/1MwcwO0KkEBYY4ueb9F-sH2Rc4xiZmz68/view?usp=sharing</t>
  </si>
  <si>
    <t>https://drive.google.com/file/d/1wbF9IYVdTs9FO8sWJgxst-2b7QE78u1-/view?usp=drive_link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</si>
</sst>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msKM5SDT28ttjcxYggbOLwjHrJsOR48w/view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62"/>
  <sheetViews>
    <sheetView showGridLines="0" tabSelected="1" zoomScale="81" zoomScaleNormal="81" workbookViewId="0">
      <selection activeCell="F16" sqref="F16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8.8984375" style="15" customWidth="1"/>
    <col min="4" max="4" width="45.09765625" style="11" customWidth="1"/>
    <col min="5" max="5" width="8.8984375" style="15" customWidth="1"/>
    <col min="6" max="6" width="37.69921875" style="11" customWidth="1"/>
    <col min="7" max="7" width="7.296875" style="21" customWidth="1"/>
    <col min="8" max="8" width="79.5" style="21" bestFit="1" customWidth="1"/>
    <col min="9" max="16384" width="8.796875" style="21"/>
  </cols>
  <sheetData>
    <row r="2" spans="1:8" x14ac:dyDescent="0.25">
      <c r="B2" s="11" t="s">
        <v>151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15"/>
      <c r="B4" s="13">
        <v>1</v>
      </c>
      <c r="C4" s="14" t="s">
        <v>92</v>
      </c>
      <c r="D4" s="20" t="s">
        <v>69</v>
      </c>
      <c r="E4" s="14" t="s">
        <v>11</v>
      </c>
      <c r="F4" s="20" t="str">
        <f>IF(G4="","","https://docs.google.com/uc?export=download&amp;id="&amp;G4)</f>
        <v/>
      </c>
      <c r="G4" s="9"/>
      <c r="H4" s="21"/>
    </row>
    <row r="5" spans="1:8" x14ac:dyDescent="0.25">
      <c r="B5" s="24" t="s">
        <v>13</v>
      </c>
      <c r="C5" s="24" t="s">
        <v>93</v>
      </c>
      <c r="D5" s="25" t="s">
        <v>70</v>
      </c>
      <c r="E5" s="24" t="s">
        <v>3</v>
      </c>
      <c r="F5" s="20" t="str">
        <f t="shared" ref="F5:F62" si="0">IF(G5="","","https://docs.google.com/uc?export=download&amp;id="&amp;G5)</f>
        <v/>
      </c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">
        <v>94</v>
      </c>
      <c r="D6" s="25" t="s">
        <v>33</v>
      </c>
      <c r="E6" s="24" t="s">
        <v>4</v>
      </c>
      <c r="F6" s="20" t="str">
        <f t="shared" si="0"/>
        <v>https://docs.google.com/uc?export=download&amp;id=13V5pNLKDCtgLKZM6vxavg8rdIY94OBW-</v>
      </c>
      <c r="G6" s="23" t="str">
        <f t="shared" ref="G6:G62" si="1">IFERROR(LEFT(RIGHT(H6,LEN(H6)-32),LEN(RIGHT(H6,LEN(H6)-32))-17),"")</f>
        <v>13V5pNLKDCtgLKZM6vxavg8rdIY94OBW-</v>
      </c>
      <c r="H6" s="21" t="s">
        <v>153</v>
      </c>
    </row>
    <row r="7" spans="1:8" x14ac:dyDescent="0.25">
      <c r="B7" s="24" t="s">
        <v>13</v>
      </c>
      <c r="C7" s="24" t="s">
        <v>95</v>
      </c>
      <c r="D7" s="25" t="s">
        <v>34</v>
      </c>
      <c r="E7" s="24" t="s">
        <v>5</v>
      </c>
      <c r="F7" s="20" t="str">
        <f t="shared" si="0"/>
        <v/>
      </c>
      <c r="G7" s="23" t="str">
        <f t="shared" si="1"/>
        <v/>
      </c>
    </row>
    <row r="8" spans="1:8" x14ac:dyDescent="0.25">
      <c r="B8" s="24" t="s">
        <v>14</v>
      </c>
      <c r="C8" s="24" t="s">
        <v>96</v>
      </c>
      <c r="D8" s="25" t="s">
        <v>71</v>
      </c>
      <c r="E8" s="24" t="s">
        <v>3</v>
      </c>
      <c r="F8" s="20" t="str">
        <f t="shared" si="0"/>
        <v/>
      </c>
      <c r="G8" s="23" t="str">
        <f t="shared" si="1"/>
        <v/>
      </c>
    </row>
    <row r="9" spans="1:8" x14ac:dyDescent="0.25">
      <c r="A9" s="15">
        <v>2</v>
      </c>
      <c r="B9" s="24" t="s">
        <v>14</v>
      </c>
      <c r="C9" s="24" t="s">
        <v>97</v>
      </c>
      <c r="D9" s="25" t="s">
        <v>35</v>
      </c>
      <c r="E9" s="24" t="s">
        <v>4</v>
      </c>
      <c r="F9" s="20" t="str">
        <f t="shared" si="0"/>
        <v>https://docs.google.com/uc?export=download&amp;id=1ov_KwvJF8EepjVzPKo4WXWmuxJorTxZp</v>
      </c>
      <c r="G9" s="23" t="str">
        <f t="shared" si="1"/>
        <v>1ov_KwvJF8EepjVzPKo4WXWmuxJorTxZp</v>
      </c>
      <c r="H9" s="21" t="s">
        <v>154</v>
      </c>
    </row>
    <row r="10" spans="1:8" x14ac:dyDescent="0.25">
      <c r="B10" s="24" t="s">
        <v>14</v>
      </c>
      <c r="C10" s="24" t="s">
        <v>98</v>
      </c>
      <c r="D10" s="25" t="s">
        <v>36</v>
      </c>
      <c r="E10" s="24" t="s">
        <v>5</v>
      </c>
      <c r="F10" s="20" t="str">
        <f t="shared" si="0"/>
        <v/>
      </c>
      <c r="G10" s="23" t="str">
        <f t="shared" si="1"/>
        <v/>
      </c>
    </row>
    <row r="11" spans="1:8" x14ac:dyDescent="0.25">
      <c r="B11" s="24" t="s">
        <v>12</v>
      </c>
      <c r="C11" s="24" t="s">
        <v>99</v>
      </c>
      <c r="D11" s="25" t="s">
        <v>72</v>
      </c>
      <c r="E11" s="24" t="s">
        <v>3</v>
      </c>
      <c r="F11" s="20" t="str">
        <f t="shared" si="0"/>
        <v/>
      </c>
      <c r="G11" s="23" t="str">
        <f t="shared" si="1"/>
        <v/>
      </c>
    </row>
    <row r="12" spans="1:8" x14ac:dyDescent="0.25">
      <c r="A12" s="15">
        <v>3</v>
      </c>
      <c r="B12" s="24" t="s">
        <v>12</v>
      </c>
      <c r="C12" s="24" t="s">
        <v>100</v>
      </c>
      <c r="D12" s="25" t="s">
        <v>37</v>
      </c>
      <c r="E12" s="24" t="s">
        <v>4</v>
      </c>
      <c r="F12" s="20" t="str">
        <f t="shared" si="0"/>
        <v>https://docs.google.com/uc?export=download&amp;id=1K4psT7ee-X5ISVCTmYlkspIrO8z0PB30</v>
      </c>
      <c r="G12" s="23" t="str">
        <f t="shared" si="1"/>
        <v>1K4psT7ee-X5ISVCTmYlkspIrO8z0PB30</v>
      </c>
      <c r="H12" s="21" t="s">
        <v>155</v>
      </c>
    </row>
    <row r="13" spans="1:8" x14ac:dyDescent="0.25">
      <c r="B13" s="24" t="s">
        <v>12</v>
      </c>
      <c r="C13" s="24" t="s">
        <v>101</v>
      </c>
      <c r="D13" s="25" t="s">
        <v>38</v>
      </c>
      <c r="E13" s="24" t="s">
        <v>5</v>
      </c>
      <c r="F13" s="20" t="str">
        <f t="shared" si="0"/>
        <v/>
      </c>
      <c r="G13" s="23" t="str">
        <f t="shared" si="1"/>
        <v/>
      </c>
    </row>
    <row r="14" spans="1:8" x14ac:dyDescent="0.25">
      <c r="B14" s="24" t="s">
        <v>30</v>
      </c>
      <c r="C14" s="24" t="s">
        <v>102</v>
      </c>
      <c r="D14" s="25" t="s">
        <v>73</v>
      </c>
      <c r="E14" s="24" t="s">
        <v>3</v>
      </c>
      <c r="F14" s="20" t="str">
        <f t="shared" si="0"/>
        <v/>
      </c>
      <c r="G14" s="23" t="str">
        <f t="shared" si="1"/>
        <v/>
      </c>
    </row>
    <row r="15" spans="1:8" x14ac:dyDescent="0.25">
      <c r="A15" s="15">
        <v>4</v>
      </c>
      <c r="B15" s="24" t="s">
        <v>30</v>
      </c>
      <c r="C15" s="24" t="s">
        <v>103</v>
      </c>
      <c r="D15" s="25" t="s">
        <v>39</v>
      </c>
      <c r="E15" s="24" t="s">
        <v>4</v>
      </c>
      <c r="F15" s="20" t="str">
        <f t="shared" si="0"/>
        <v>https://docs.google.com/uc?export=download&amp;id=1jToZDxSRMUZ6_o8dFm0Sf2D2MH08udRJ</v>
      </c>
      <c r="G15" s="23" t="str">
        <f t="shared" si="1"/>
        <v>1jToZDxSRMUZ6_o8dFm0Sf2D2MH08udRJ</v>
      </c>
      <c r="H15" s="21" t="s">
        <v>156</v>
      </c>
    </row>
    <row r="16" spans="1:8" x14ac:dyDescent="0.25">
      <c r="B16" s="24" t="s">
        <v>30</v>
      </c>
      <c r="C16" s="24" t="s">
        <v>104</v>
      </c>
      <c r="D16" s="25" t="s">
        <v>40</v>
      </c>
      <c r="E16" s="24" t="s">
        <v>5</v>
      </c>
      <c r="F16" s="20" t="str">
        <f t="shared" si="0"/>
        <v/>
      </c>
      <c r="G16" s="23" t="str">
        <f t="shared" si="1"/>
        <v/>
      </c>
    </row>
    <row r="17" spans="1:8" s="10" customFormat="1" x14ac:dyDescent="0.25">
      <c r="A17" s="15"/>
      <c r="B17" s="24" t="s">
        <v>31</v>
      </c>
      <c r="C17" s="24" t="s">
        <v>105</v>
      </c>
      <c r="D17" s="25" t="s">
        <v>74</v>
      </c>
      <c r="E17" s="24" t="s">
        <v>3</v>
      </c>
      <c r="F17" s="20" t="str">
        <f t="shared" si="0"/>
        <v/>
      </c>
      <c r="G17" s="23" t="str">
        <f t="shared" si="1"/>
        <v/>
      </c>
      <c r="H17" s="21"/>
    </row>
    <row r="18" spans="1:8" x14ac:dyDescent="0.25">
      <c r="A18" s="15">
        <v>5</v>
      </c>
      <c r="B18" s="24" t="s">
        <v>31</v>
      </c>
      <c r="C18" s="24" t="s">
        <v>106</v>
      </c>
      <c r="D18" s="25" t="s">
        <v>41</v>
      </c>
      <c r="E18" s="24" t="s">
        <v>4</v>
      </c>
      <c r="F18" s="20" t="str">
        <f t="shared" si="0"/>
        <v>https://docs.google.com/uc?export=download&amp;id=1v20LBoVMGNtdDD8a_l7qRaRt3JO3f2rJ</v>
      </c>
      <c r="G18" s="23" t="str">
        <f t="shared" si="1"/>
        <v>1v20LBoVMGNtdDD8a_l7qRaRt3JO3f2rJ</v>
      </c>
      <c r="H18" s="21" t="s">
        <v>157</v>
      </c>
    </row>
    <row r="19" spans="1:8" x14ac:dyDescent="0.25">
      <c r="B19" s="24" t="s">
        <v>31</v>
      </c>
      <c r="C19" s="24" t="s">
        <v>107</v>
      </c>
      <c r="D19" s="25" t="s">
        <v>42</v>
      </c>
      <c r="E19" s="24" t="s">
        <v>5</v>
      </c>
      <c r="F19" s="20" t="str">
        <f t="shared" si="0"/>
        <v/>
      </c>
      <c r="G19" s="23" t="str">
        <f t="shared" si="1"/>
        <v/>
      </c>
    </row>
    <row r="20" spans="1:8" x14ac:dyDescent="0.25">
      <c r="B20" s="24">
        <v>2</v>
      </c>
      <c r="C20" s="24" t="s">
        <v>108</v>
      </c>
      <c r="D20" s="25" t="s">
        <v>75</v>
      </c>
      <c r="E20" s="24" t="s">
        <v>11</v>
      </c>
      <c r="F20" s="20" t="str">
        <f t="shared" si="0"/>
        <v/>
      </c>
      <c r="G20" s="23" t="str">
        <f t="shared" si="1"/>
        <v/>
      </c>
    </row>
    <row r="21" spans="1:8" x14ac:dyDescent="0.25">
      <c r="B21" s="24" t="s">
        <v>15</v>
      </c>
      <c r="C21" s="24" t="s">
        <v>109</v>
      </c>
      <c r="D21" s="25" t="s">
        <v>76</v>
      </c>
      <c r="E21" s="24" t="s">
        <v>3</v>
      </c>
      <c r="F21" s="20" t="str">
        <f t="shared" si="0"/>
        <v/>
      </c>
      <c r="G21" s="23" t="str">
        <f t="shared" si="1"/>
        <v/>
      </c>
    </row>
    <row r="22" spans="1:8" x14ac:dyDescent="0.25">
      <c r="A22" s="15">
        <v>6</v>
      </c>
      <c r="B22" s="24" t="s">
        <v>15</v>
      </c>
      <c r="C22" s="24" t="s">
        <v>110</v>
      </c>
      <c r="D22" s="25" t="s">
        <v>43</v>
      </c>
      <c r="E22" s="24" t="s">
        <v>4</v>
      </c>
      <c r="F22" s="20" t="str">
        <f t="shared" si="0"/>
        <v>https://docs.google.com/uc?export=download&amp;id=1tnGlxy11wzdgoSc3p715ZocBiyl5O2k-</v>
      </c>
      <c r="G22" s="23" t="str">
        <f t="shared" si="1"/>
        <v>1tnGlxy11wzdgoSc3p715ZocBiyl5O2k-</v>
      </c>
      <c r="H22" s="21" t="s">
        <v>158</v>
      </c>
    </row>
    <row r="23" spans="1:8" x14ac:dyDescent="0.25">
      <c r="B23" s="24" t="s">
        <v>15</v>
      </c>
      <c r="C23" s="24" t="s">
        <v>111</v>
      </c>
      <c r="D23" s="25" t="s">
        <v>44</v>
      </c>
      <c r="E23" s="24" t="s">
        <v>5</v>
      </c>
      <c r="F23" s="20" t="str">
        <f t="shared" si="0"/>
        <v/>
      </c>
      <c r="G23" s="23" t="str">
        <f t="shared" si="1"/>
        <v/>
      </c>
    </row>
    <row r="24" spans="1:8" x14ac:dyDescent="0.25">
      <c r="B24" s="24" t="s">
        <v>17</v>
      </c>
      <c r="C24" s="24" t="s">
        <v>112</v>
      </c>
      <c r="D24" s="25" t="s">
        <v>77</v>
      </c>
      <c r="E24" s="24" t="s">
        <v>3</v>
      </c>
      <c r="F24" s="20" t="str">
        <f t="shared" si="0"/>
        <v/>
      </c>
      <c r="G24" s="23" t="str">
        <f t="shared" si="1"/>
        <v/>
      </c>
    </row>
    <row r="25" spans="1:8" x14ac:dyDescent="0.25">
      <c r="A25" s="15">
        <v>7</v>
      </c>
      <c r="B25" s="24" t="s">
        <v>17</v>
      </c>
      <c r="C25" s="24" t="s">
        <v>113</v>
      </c>
      <c r="D25" s="25" t="s">
        <v>45</v>
      </c>
      <c r="E25" s="24" t="s">
        <v>4</v>
      </c>
      <c r="F25" s="20" t="str">
        <f t="shared" si="0"/>
        <v>https://docs.google.com/uc?export=download&amp;id=14cMKMJn5mp1UJWQKurmGnUeFRk-oMOGW</v>
      </c>
      <c r="G25" s="23" t="str">
        <f t="shared" si="1"/>
        <v>14cMKMJn5mp1UJWQKurmGnUeFRk-oMOGW</v>
      </c>
      <c r="H25" s="21" t="s">
        <v>159</v>
      </c>
    </row>
    <row r="26" spans="1:8" x14ac:dyDescent="0.25">
      <c r="B26" s="24" t="s">
        <v>17</v>
      </c>
      <c r="C26" s="24" t="s">
        <v>114</v>
      </c>
      <c r="D26" s="25" t="s">
        <v>46</v>
      </c>
      <c r="E26" s="24" t="s">
        <v>5</v>
      </c>
      <c r="F26" s="20" t="str">
        <f t="shared" si="0"/>
        <v/>
      </c>
      <c r="G26" s="23" t="str">
        <f t="shared" si="1"/>
        <v/>
      </c>
    </row>
    <row r="27" spans="1:8" x14ac:dyDescent="0.25">
      <c r="B27" s="24" t="s">
        <v>16</v>
      </c>
      <c r="C27" s="24" t="s">
        <v>115</v>
      </c>
      <c r="D27" s="25" t="s">
        <v>78</v>
      </c>
      <c r="E27" s="24" t="s">
        <v>3</v>
      </c>
      <c r="F27" s="20" t="str">
        <f t="shared" si="0"/>
        <v/>
      </c>
      <c r="G27" s="23" t="str">
        <f t="shared" si="1"/>
        <v/>
      </c>
    </row>
    <row r="28" spans="1:8" x14ac:dyDescent="0.25">
      <c r="A28" s="15">
        <v>8</v>
      </c>
      <c r="B28" s="24" t="s">
        <v>16</v>
      </c>
      <c r="C28" s="24" t="s">
        <v>116</v>
      </c>
      <c r="D28" s="25" t="s">
        <v>47</v>
      </c>
      <c r="E28" s="24" t="s">
        <v>4</v>
      </c>
      <c r="F28" s="20" t="str">
        <f t="shared" si="0"/>
        <v>https://docs.google.com/uc?export=download&amp;id=1ssTTF5CiL8i47gVXTpj4FVxYLj2v8mTg</v>
      </c>
      <c r="G28" s="23" t="str">
        <f t="shared" si="1"/>
        <v>1ssTTF5CiL8i47gVXTpj4FVxYLj2v8mTg</v>
      </c>
      <c r="H28" s="21" t="s">
        <v>160</v>
      </c>
    </row>
    <row r="29" spans="1:8" x14ac:dyDescent="0.25">
      <c r="B29" s="24" t="s">
        <v>16</v>
      </c>
      <c r="C29" s="24" t="s">
        <v>117</v>
      </c>
      <c r="D29" s="25" t="s">
        <v>48</v>
      </c>
      <c r="E29" s="24" t="s">
        <v>5</v>
      </c>
      <c r="F29" s="20" t="str">
        <f t="shared" si="0"/>
        <v/>
      </c>
      <c r="G29" s="23" t="str">
        <f t="shared" si="1"/>
        <v/>
      </c>
    </row>
    <row r="30" spans="1:8" s="10" customFormat="1" x14ac:dyDescent="0.25">
      <c r="A30" s="15"/>
      <c r="B30" s="24" t="s">
        <v>32</v>
      </c>
      <c r="C30" s="24" t="s">
        <v>118</v>
      </c>
      <c r="D30" s="25" t="s">
        <v>79</v>
      </c>
      <c r="E30" s="24" t="s">
        <v>3</v>
      </c>
      <c r="F30" s="20" t="str">
        <f t="shared" si="0"/>
        <v/>
      </c>
      <c r="G30" s="23" t="str">
        <f t="shared" si="1"/>
        <v/>
      </c>
      <c r="H30" s="21"/>
    </row>
    <row r="31" spans="1:8" x14ac:dyDescent="0.25">
      <c r="A31" s="15">
        <v>9</v>
      </c>
      <c r="B31" s="24" t="s">
        <v>32</v>
      </c>
      <c r="C31" s="24" t="s">
        <v>119</v>
      </c>
      <c r="D31" s="25" t="s">
        <v>49</v>
      </c>
      <c r="E31" s="24" t="s">
        <v>4</v>
      </c>
      <c r="F31" s="20" t="str">
        <f t="shared" si="0"/>
        <v>https://docs.google.com/uc?export=download&amp;id=1bu7SYP34oits7fPnhghj0nDEh06Gjp0F</v>
      </c>
      <c r="G31" s="23" t="str">
        <f t="shared" si="1"/>
        <v>1bu7SYP34oits7fPnhghj0nDEh06Gjp0F</v>
      </c>
      <c r="H31" s="21" t="s">
        <v>161</v>
      </c>
    </row>
    <row r="32" spans="1:8" x14ac:dyDescent="0.25">
      <c r="B32" s="24" t="s">
        <v>32</v>
      </c>
      <c r="C32" s="24" t="s">
        <v>120</v>
      </c>
      <c r="D32" s="25" t="s">
        <v>50</v>
      </c>
      <c r="E32" s="24" t="s">
        <v>5</v>
      </c>
      <c r="F32" s="20" t="str">
        <f t="shared" si="0"/>
        <v/>
      </c>
      <c r="G32" s="23" t="str">
        <f t="shared" si="1"/>
        <v/>
      </c>
    </row>
    <row r="33" spans="1:8" x14ac:dyDescent="0.25">
      <c r="B33" s="24">
        <v>3</v>
      </c>
      <c r="C33" s="24" t="s">
        <v>121</v>
      </c>
      <c r="D33" s="25" t="s">
        <v>80</v>
      </c>
      <c r="E33" s="24" t="s">
        <v>11</v>
      </c>
      <c r="F33" s="20" t="str">
        <f t="shared" si="0"/>
        <v/>
      </c>
      <c r="G33" s="23" t="str">
        <f t="shared" si="1"/>
        <v/>
      </c>
    </row>
    <row r="34" spans="1:8" x14ac:dyDescent="0.25">
      <c r="B34" s="24" t="s">
        <v>18</v>
      </c>
      <c r="C34" s="24" t="s">
        <v>122</v>
      </c>
      <c r="D34" s="25" t="s">
        <v>81</v>
      </c>
      <c r="E34" s="24" t="s">
        <v>3</v>
      </c>
      <c r="F34" s="20" t="str">
        <f t="shared" si="0"/>
        <v/>
      </c>
      <c r="G34" s="23" t="str">
        <f t="shared" si="1"/>
        <v/>
      </c>
    </row>
    <row r="35" spans="1:8" x14ac:dyDescent="0.25">
      <c r="A35" s="15">
        <v>10</v>
      </c>
      <c r="B35" s="24" t="s">
        <v>18</v>
      </c>
      <c r="C35" s="24" t="s">
        <v>123</v>
      </c>
      <c r="D35" s="25" t="s">
        <v>51</v>
      </c>
      <c r="E35" s="24" t="s">
        <v>4</v>
      </c>
      <c r="F35" s="20" t="str">
        <f t="shared" si="0"/>
        <v>https://docs.google.com/uc?export=download&amp;id=1hOiA8nCxKjAQeybyV2L6qJuXJCIBVKVn</v>
      </c>
      <c r="G35" s="23" t="str">
        <f t="shared" si="1"/>
        <v>1hOiA8nCxKjAQeybyV2L6qJuXJCIBVKVn</v>
      </c>
      <c r="H35" s="21" t="s">
        <v>162</v>
      </c>
    </row>
    <row r="36" spans="1:8" x14ac:dyDescent="0.25">
      <c r="B36" s="24" t="s">
        <v>18</v>
      </c>
      <c r="C36" s="24" t="s">
        <v>124</v>
      </c>
      <c r="D36" s="25" t="s">
        <v>52</v>
      </c>
      <c r="E36" s="24" t="s">
        <v>5</v>
      </c>
      <c r="F36" s="20" t="str">
        <f t="shared" si="0"/>
        <v/>
      </c>
      <c r="G36" s="23" t="str">
        <f t="shared" si="1"/>
        <v/>
      </c>
    </row>
    <row r="37" spans="1:8" x14ac:dyDescent="0.25">
      <c r="B37" s="24" t="s">
        <v>19</v>
      </c>
      <c r="C37" s="24" t="s">
        <v>125</v>
      </c>
      <c r="D37" s="25" t="s">
        <v>82</v>
      </c>
      <c r="E37" s="24" t="s">
        <v>3</v>
      </c>
      <c r="F37" s="20" t="str">
        <f t="shared" si="0"/>
        <v/>
      </c>
      <c r="G37" s="23" t="str">
        <f t="shared" si="1"/>
        <v/>
      </c>
    </row>
    <row r="38" spans="1:8" x14ac:dyDescent="0.25">
      <c r="A38" s="15">
        <v>11</v>
      </c>
      <c r="B38" s="24" t="s">
        <v>19</v>
      </c>
      <c r="C38" s="24" t="s">
        <v>126</v>
      </c>
      <c r="D38" s="25" t="s">
        <v>53</v>
      </c>
      <c r="E38" s="24" t="s">
        <v>4</v>
      </c>
      <c r="F38" s="20" t="str">
        <f t="shared" si="0"/>
        <v>https://docs.google.com/uc?export=download&amp;id=1UTQpawb_S2EZ1PRqYzTEvvtZJFCxDCoY</v>
      </c>
      <c r="G38" s="23" t="str">
        <f t="shared" si="1"/>
        <v>1UTQpawb_S2EZ1PRqYzTEvvtZJFCxDCoY</v>
      </c>
      <c r="H38" s="21" t="s">
        <v>163</v>
      </c>
    </row>
    <row r="39" spans="1:8" x14ac:dyDescent="0.25">
      <c r="B39" s="24" t="s">
        <v>19</v>
      </c>
      <c r="C39" s="24" t="s">
        <v>127</v>
      </c>
      <c r="D39" s="25" t="s">
        <v>54</v>
      </c>
      <c r="E39" s="24" t="s">
        <v>5</v>
      </c>
      <c r="F39" s="20" t="str">
        <f t="shared" si="0"/>
        <v/>
      </c>
      <c r="G39" s="23" t="str">
        <f t="shared" si="1"/>
        <v/>
      </c>
    </row>
    <row r="40" spans="1:8" x14ac:dyDescent="0.25">
      <c r="B40" s="24" t="s">
        <v>20</v>
      </c>
      <c r="C40" s="24" t="s">
        <v>128</v>
      </c>
      <c r="D40" s="25" t="s">
        <v>83</v>
      </c>
      <c r="E40" s="24" t="s">
        <v>3</v>
      </c>
      <c r="F40" s="20" t="str">
        <f t="shared" si="0"/>
        <v/>
      </c>
      <c r="G40" s="23" t="str">
        <f t="shared" si="1"/>
        <v/>
      </c>
    </row>
    <row r="41" spans="1:8" x14ac:dyDescent="0.25">
      <c r="A41" s="15">
        <v>12</v>
      </c>
      <c r="B41" s="24" t="s">
        <v>20</v>
      </c>
      <c r="C41" s="24" t="s">
        <v>129</v>
      </c>
      <c r="D41" s="25" t="s">
        <v>55</v>
      </c>
      <c r="E41" s="24" t="s">
        <v>4</v>
      </c>
      <c r="F41" s="20" t="str">
        <f t="shared" si="0"/>
        <v>https://docs.google.com/uc?export=download&amp;id=1O9_vhPnRrRQCHgB3_vgytBYuhxy1NY4-</v>
      </c>
      <c r="G41" s="23" t="str">
        <f t="shared" si="1"/>
        <v>1O9_vhPnRrRQCHgB3_vgytBYuhxy1NY4-</v>
      </c>
      <c r="H41" s="21" t="s">
        <v>164</v>
      </c>
    </row>
    <row r="42" spans="1:8" x14ac:dyDescent="0.25">
      <c r="B42" s="24" t="s">
        <v>20</v>
      </c>
      <c r="C42" s="24" t="s">
        <v>130</v>
      </c>
      <c r="D42" s="25" t="s">
        <v>56</v>
      </c>
      <c r="E42" s="24" t="s">
        <v>5</v>
      </c>
      <c r="F42" s="20" t="str">
        <f t="shared" si="0"/>
        <v/>
      </c>
      <c r="G42" s="23" t="str">
        <f t="shared" si="1"/>
        <v/>
      </c>
    </row>
    <row r="43" spans="1:8" x14ac:dyDescent="0.25">
      <c r="B43" s="24">
        <v>4</v>
      </c>
      <c r="C43" s="24" t="s">
        <v>131</v>
      </c>
      <c r="D43" s="25" t="s">
        <v>84</v>
      </c>
      <c r="E43" s="24" t="s">
        <v>11</v>
      </c>
      <c r="F43" s="20" t="str">
        <f t="shared" si="0"/>
        <v/>
      </c>
      <c r="G43" s="23" t="str">
        <f t="shared" si="1"/>
        <v/>
      </c>
    </row>
    <row r="44" spans="1:8" x14ac:dyDescent="0.25">
      <c r="B44" s="24" t="s">
        <v>21</v>
      </c>
      <c r="C44" s="24" t="s">
        <v>132</v>
      </c>
      <c r="D44" s="25" t="s">
        <v>85</v>
      </c>
      <c r="E44" s="24" t="s">
        <v>3</v>
      </c>
      <c r="F44" s="20" t="str">
        <f t="shared" si="0"/>
        <v/>
      </c>
      <c r="G44" s="23" t="str">
        <f t="shared" si="1"/>
        <v/>
      </c>
    </row>
    <row r="45" spans="1:8" x14ac:dyDescent="0.25">
      <c r="A45" s="15">
        <v>13</v>
      </c>
      <c r="B45" s="24" t="s">
        <v>21</v>
      </c>
      <c r="C45" s="24" t="s">
        <v>133</v>
      </c>
      <c r="D45" s="25" t="s">
        <v>57</v>
      </c>
      <c r="E45" s="24" t="s">
        <v>4</v>
      </c>
      <c r="F45" s="20" t="str">
        <f t="shared" si="0"/>
        <v>https://docs.google.com/uc?export=download&amp;id=1-YBeZyZjKhTUx3xhRRGrMsNttwuJrf_h</v>
      </c>
      <c r="G45" s="23" t="str">
        <f t="shared" si="1"/>
        <v>1-YBeZyZjKhTUx3xhRRGrMsNttwuJrf_h</v>
      </c>
      <c r="H45" s="21" t="s">
        <v>165</v>
      </c>
    </row>
    <row r="46" spans="1:8" x14ac:dyDescent="0.25">
      <c r="B46" s="24" t="s">
        <v>21</v>
      </c>
      <c r="C46" s="24" t="s">
        <v>134</v>
      </c>
      <c r="D46" s="25" t="s">
        <v>58</v>
      </c>
      <c r="E46" s="24" t="s">
        <v>5</v>
      </c>
      <c r="F46" s="20" t="str">
        <f t="shared" si="0"/>
        <v/>
      </c>
      <c r="G46" s="23" t="str">
        <f t="shared" si="1"/>
        <v/>
      </c>
    </row>
    <row r="47" spans="1:8" x14ac:dyDescent="0.25">
      <c r="B47" s="24" t="s">
        <v>22</v>
      </c>
      <c r="C47" s="24" t="s">
        <v>135</v>
      </c>
      <c r="D47" s="25" t="s">
        <v>86</v>
      </c>
      <c r="E47" s="24" t="s">
        <v>3</v>
      </c>
      <c r="F47" s="20" t="str">
        <f t="shared" si="0"/>
        <v/>
      </c>
      <c r="G47" s="23" t="str">
        <f t="shared" si="1"/>
        <v/>
      </c>
    </row>
    <row r="48" spans="1:8" x14ac:dyDescent="0.25">
      <c r="A48" s="15">
        <v>14</v>
      </c>
      <c r="B48" s="24" t="s">
        <v>22</v>
      </c>
      <c r="C48" s="24" t="s">
        <v>136</v>
      </c>
      <c r="D48" s="25" t="s">
        <v>59</v>
      </c>
      <c r="E48" s="24" t="s">
        <v>4</v>
      </c>
      <c r="F48" s="20" t="str">
        <f t="shared" si="0"/>
        <v>https://docs.google.com/uc?export=download&amp;id=1msKM5SDT28ttjcxYggbOLwjHrJsOR48w</v>
      </c>
      <c r="G48" s="23" t="str">
        <f t="shared" si="1"/>
        <v>1msKM5SDT28ttjcxYggbOLwjHrJsOR48w</v>
      </c>
      <c r="H48" s="26" t="s">
        <v>166</v>
      </c>
    </row>
    <row r="49" spans="1:8" x14ac:dyDescent="0.25">
      <c r="B49" s="24" t="s">
        <v>22</v>
      </c>
      <c r="C49" s="24" t="s">
        <v>137</v>
      </c>
      <c r="D49" s="25" t="s">
        <v>60</v>
      </c>
      <c r="E49" s="24" t="s">
        <v>5</v>
      </c>
      <c r="F49" s="20" t="str">
        <f t="shared" si="0"/>
        <v/>
      </c>
      <c r="G49" s="23" t="str">
        <f t="shared" si="1"/>
        <v/>
      </c>
    </row>
    <row r="50" spans="1:8" x14ac:dyDescent="0.25">
      <c r="B50" s="24" t="s">
        <v>23</v>
      </c>
      <c r="C50" s="24" t="s">
        <v>138</v>
      </c>
      <c r="D50" s="25" t="s">
        <v>87</v>
      </c>
      <c r="E50" s="24" t="s">
        <v>3</v>
      </c>
      <c r="F50" s="20" t="str">
        <f t="shared" si="0"/>
        <v/>
      </c>
      <c r="G50" s="23" t="str">
        <f t="shared" si="1"/>
        <v/>
      </c>
    </row>
    <row r="51" spans="1:8" x14ac:dyDescent="0.25">
      <c r="A51" s="15">
        <v>15</v>
      </c>
      <c r="B51" s="24" t="s">
        <v>23</v>
      </c>
      <c r="C51" s="24" t="s">
        <v>139</v>
      </c>
      <c r="D51" s="25" t="s">
        <v>61</v>
      </c>
      <c r="E51" s="24" t="s">
        <v>4</v>
      </c>
      <c r="F51" s="20" t="str">
        <f t="shared" si="0"/>
        <v>https://docs.google.com/uc?export=download&amp;id=1Lknkq49FPdhuqaCzsGFjaTh3lm1V-3xI</v>
      </c>
      <c r="G51" s="23" t="str">
        <f t="shared" si="1"/>
        <v>1Lknkq49FPdhuqaCzsGFjaTh3lm1V-3xI</v>
      </c>
      <c r="H51" s="21" t="s">
        <v>167</v>
      </c>
    </row>
    <row r="52" spans="1:8" x14ac:dyDescent="0.25">
      <c r="B52" s="24" t="s">
        <v>23</v>
      </c>
      <c r="C52" s="24" t="s">
        <v>140</v>
      </c>
      <c r="D52" s="25" t="s">
        <v>62</v>
      </c>
      <c r="E52" s="24" t="s">
        <v>5</v>
      </c>
      <c r="F52" s="20" t="str">
        <f t="shared" si="0"/>
        <v/>
      </c>
      <c r="G52" s="23" t="str">
        <f t="shared" si="1"/>
        <v/>
      </c>
    </row>
    <row r="53" spans="1:8" x14ac:dyDescent="0.25">
      <c r="B53" s="24">
        <v>5</v>
      </c>
      <c r="C53" s="24" t="s">
        <v>141</v>
      </c>
      <c r="D53" s="25" t="s">
        <v>88</v>
      </c>
      <c r="E53" s="24" t="s">
        <v>11</v>
      </c>
      <c r="F53" s="20" t="str">
        <f t="shared" si="0"/>
        <v/>
      </c>
      <c r="G53" s="23" t="str">
        <f t="shared" si="1"/>
        <v/>
      </c>
    </row>
    <row r="54" spans="1:8" x14ac:dyDescent="0.25">
      <c r="B54" s="24" t="s">
        <v>24</v>
      </c>
      <c r="C54" s="24" t="s">
        <v>142</v>
      </c>
      <c r="D54" s="25" t="s">
        <v>89</v>
      </c>
      <c r="E54" s="24" t="s">
        <v>3</v>
      </c>
      <c r="F54" s="20" t="str">
        <f t="shared" si="0"/>
        <v/>
      </c>
      <c r="G54" s="23" t="str">
        <f t="shared" si="1"/>
        <v/>
      </c>
    </row>
    <row r="55" spans="1:8" x14ac:dyDescent="0.25">
      <c r="A55" s="15">
        <v>16</v>
      </c>
      <c r="B55" s="24" t="s">
        <v>24</v>
      </c>
      <c r="C55" s="24" t="s">
        <v>143</v>
      </c>
      <c r="D55" s="25" t="s">
        <v>63</v>
      </c>
      <c r="E55" s="24" t="s">
        <v>4</v>
      </c>
      <c r="F55" s="20" t="str">
        <f t="shared" si="0"/>
        <v>https://docs.google.com/uc?export=download&amp;id=1EsdZp9wHFGacPChRzI7FLMsnHKyr26NU</v>
      </c>
      <c r="G55" s="23" t="str">
        <f t="shared" si="1"/>
        <v>1EsdZp9wHFGacPChRzI7FLMsnHKyr26NU</v>
      </c>
      <c r="H55" s="21" t="s">
        <v>168</v>
      </c>
    </row>
    <row r="56" spans="1:8" x14ac:dyDescent="0.25">
      <c r="B56" s="24" t="s">
        <v>24</v>
      </c>
      <c r="C56" s="24" t="s">
        <v>144</v>
      </c>
      <c r="D56" s="25" t="s">
        <v>64</v>
      </c>
      <c r="E56" s="24" t="s">
        <v>5</v>
      </c>
      <c r="F56" s="20" t="str">
        <f t="shared" si="0"/>
        <v/>
      </c>
      <c r="G56" s="23" t="str">
        <f t="shared" si="1"/>
        <v/>
      </c>
    </row>
    <row r="57" spans="1:8" x14ac:dyDescent="0.25">
      <c r="B57" s="24" t="s">
        <v>25</v>
      </c>
      <c r="C57" s="24" t="s">
        <v>145</v>
      </c>
      <c r="D57" s="25" t="s">
        <v>90</v>
      </c>
      <c r="E57" s="24" t="s">
        <v>3</v>
      </c>
      <c r="F57" s="20" t="str">
        <f t="shared" si="0"/>
        <v/>
      </c>
      <c r="G57" s="23" t="str">
        <f t="shared" si="1"/>
        <v/>
      </c>
    </row>
    <row r="58" spans="1:8" x14ac:dyDescent="0.25">
      <c r="A58" s="15">
        <v>17</v>
      </c>
      <c r="B58" s="24" t="s">
        <v>25</v>
      </c>
      <c r="C58" s="24" t="s">
        <v>146</v>
      </c>
      <c r="D58" s="25" t="s">
        <v>65</v>
      </c>
      <c r="E58" s="24" t="s">
        <v>4</v>
      </c>
      <c r="F58" s="20" t="str">
        <f t="shared" si="0"/>
        <v>https://docs.google.com/uc?export=download&amp;id=1MwcwO0KkEBYY4ueb9F-sH2Rc4xiZmz68</v>
      </c>
      <c r="G58" s="23" t="str">
        <f t="shared" si="1"/>
        <v>1MwcwO0KkEBYY4ueb9F-sH2Rc4xiZmz68</v>
      </c>
      <c r="H58" s="21" t="s">
        <v>169</v>
      </c>
    </row>
    <row r="59" spans="1:8" s="10" customFormat="1" x14ac:dyDescent="0.25">
      <c r="A59" s="15"/>
      <c r="B59" s="24" t="s">
        <v>25</v>
      </c>
      <c r="C59" s="24" t="s">
        <v>147</v>
      </c>
      <c r="D59" s="25" t="s">
        <v>66</v>
      </c>
      <c r="E59" s="24" t="s">
        <v>5</v>
      </c>
      <c r="F59" s="20" t="str">
        <f t="shared" si="0"/>
        <v/>
      </c>
      <c r="G59" s="23" t="str">
        <f t="shared" si="1"/>
        <v/>
      </c>
      <c r="H59" s="21"/>
    </row>
    <row r="60" spans="1:8" x14ac:dyDescent="0.25">
      <c r="B60" s="24" t="s">
        <v>26</v>
      </c>
      <c r="C60" s="24" t="s">
        <v>148</v>
      </c>
      <c r="D60" s="25" t="s">
        <v>91</v>
      </c>
      <c r="E60" s="24" t="s">
        <v>3</v>
      </c>
      <c r="F60" s="20" t="str">
        <f t="shared" si="0"/>
        <v/>
      </c>
      <c r="G60" s="23" t="str">
        <f t="shared" si="1"/>
        <v/>
      </c>
    </row>
    <row r="61" spans="1:8" x14ac:dyDescent="0.25">
      <c r="A61" s="15">
        <v>18</v>
      </c>
      <c r="B61" s="24" t="s">
        <v>26</v>
      </c>
      <c r="C61" s="24" t="s">
        <v>149</v>
      </c>
      <c r="D61" s="25" t="s">
        <v>67</v>
      </c>
      <c r="E61" s="24" t="s">
        <v>4</v>
      </c>
      <c r="F61" s="20" t="str">
        <f t="shared" si="0"/>
        <v>https://docs.google.com/uc?export=download&amp;id=1wbF9IYVdTs9FO8sWJgxst-2b7QE78u1-/vi</v>
      </c>
      <c r="G61" s="23" t="str">
        <f t="shared" si="1"/>
        <v>1wbF9IYVdTs9FO8sWJgxst-2b7QE78u1-/vi</v>
      </c>
      <c r="H61" s="21" t="s">
        <v>170</v>
      </c>
    </row>
    <row r="62" spans="1:8" x14ac:dyDescent="0.25">
      <c r="B62" s="24" t="s">
        <v>26</v>
      </c>
      <c r="C62" s="24" t="s">
        <v>150</v>
      </c>
      <c r="D62" s="25" t="s">
        <v>68</v>
      </c>
      <c r="E62" s="24" t="s">
        <v>5</v>
      </c>
      <c r="F62" s="20" t="str">
        <f t="shared" si="0"/>
        <v/>
      </c>
      <c r="G62" s="23" t="str">
        <f t="shared" si="1"/>
        <v/>
      </c>
    </row>
  </sheetData>
  <autoFilter ref="A3:H62" xr:uid="{409C9D1B-A452-401C-9733-8750E50DAAFC}"/>
  <conditionalFormatting sqref="I1:I1048576">
    <cfRule type="duplicateValues" dxfId="2" priority="5"/>
  </conditionalFormatting>
  <conditionalFormatting sqref="H1:H1048576">
    <cfRule type="duplicateValues" dxfId="1" priority="6"/>
  </conditionalFormatting>
  <hyperlinks>
    <hyperlink ref="H48" r:id="rId1" xr:uid="{AEA47B7D-713B-4510-BE28-66E93F89EBD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7"/>
  <sheetViews>
    <sheetView topLeftCell="A2" workbookViewId="0">
      <selection activeCell="C3" sqref="C3"/>
    </sheetView>
  </sheetViews>
  <sheetFormatPr defaultRowHeight="13.8" x14ac:dyDescent="0.25"/>
  <cols>
    <col min="2" max="2" width="12.19921875" style="1" bestFit="1" customWidth="1"/>
    <col min="3" max="3" width="75.8984375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27</v>
      </c>
      <c r="C3" s="6" t="str">
        <f>IF(D3="","","https://docs.google.com/uc?export=download&amp;id="&amp;D3)</f>
        <v>https://docs.google.com/uc?export=download&amp;id=1FOwPz1qUjFzGUrPSJxXDEufdkIWjNSm6</v>
      </c>
      <c r="D3" s="7" t="str">
        <f t="shared" ref="D3:D4" si="0">IFERROR(LEFT(RIGHT(E3,LEN(E3)-32),LEN(RIGHT(E3,LEN(E3)-32))-17),"")</f>
        <v>1FOwPz1qUjFzGUrPSJxXDEufdkIWjNSm6</v>
      </c>
      <c r="E3" s="7" t="s">
        <v>152</v>
      </c>
    </row>
    <row r="4" spans="2:5" x14ac:dyDescent="0.25">
      <c r="B4" s="8"/>
      <c r="C4" s="6" t="str">
        <f t="shared" ref="C4" si="1">IF(D4="","","https://docs.google.com/uc?export=download&amp;id="&amp;D4)</f>
        <v/>
      </c>
      <c r="D4" s="7" t="str">
        <f t="shared" si="0"/>
        <v/>
      </c>
      <c r="E4" s="7"/>
    </row>
    <row r="5" spans="2:5" x14ac:dyDescent="0.25">
      <c r="B5" s="8"/>
      <c r="C5" s="6" t="str">
        <f t="shared" ref="C5:C7" si="2">IF(D5="","","https://docs.google.com/uc?export=download&amp;id="&amp;D5)</f>
        <v/>
      </c>
      <c r="D5" s="7" t="str">
        <f t="shared" ref="D5:D7" si="3">IFERROR(LEFT(RIGHT(E5,LEN(E5)-32),LEN(RIGHT(E5,LEN(E5)-32))-17),"")</f>
        <v/>
      </c>
      <c r="E5" s="7"/>
    </row>
    <row r="6" spans="2:5" x14ac:dyDescent="0.25">
      <c r="B6" s="8"/>
      <c r="C6" s="6" t="str">
        <f t="shared" si="2"/>
        <v/>
      </c>
      <c r="D6" s="7" t="str">
        <f t="shared" si="3"/>
        <v/>
      </c>
      <c r="E6" s="7"/>
    </row>
    <row r="7" spans="2:5" x14ac:dyDescent="0.25">
      <c r="B7" s="8"/>
      <c r="C7" s="6" t="str">
        <f t="shared" si="2"/>
        <v/>
      </c>
      <c r="D7" s="7" t="str">
        <f t="shared" si="3"/>
        <v/>
      </c>
      <c r="E7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3" sqref="C3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29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28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J295"/>
  <sheetViews>
    <sheetView topLeftCell="C1" zoomScale="86" zoomScaleNormal="86" workbookViewId="0">
      <selection activeCell="F24" sqref="F24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0" ht="17.399999999999999" customHeight="1" x14ac:dyDescent="0.25">
      <c r="B1" t="s">
        <v>6</v>
      </c>
      <c r="C1" s="16">
        <v>1</v>
      </c>
      <c r="D1" s="3"/>
    </row>
    <row r="2" spans="1:10" x14ac:dyDescent="0.25">
      <c r="B2" t="s">
        <v>7</v>
      </c>
      <c r="C2" s="16">
        <v>18</v>
      </c>
      <c r="D2" s="3"/>
    </row>
    <row r="3" spans="1:10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0" x14ac:dyDescent="0.25">
      <c r="A4">
        <f>C1</f>
        <v>1</v>
      </c>
      <c r="B4">
        <f t="shared" ref="B4:B67" ca="1" si="0">IF(A4="","",RANDBETWEEN($C$1,$C$2))</f>
        <v>9</v>
      </c>
      <c r="C4" s="1">
        <f ca="1">IFERROR($C$1-1+_xlfn.RANK.EQ(B4,$B$4:$B$21)+COUNTIF(B$4:$B4,B4)-1,"")</f>
        <v>9</v>
      </c>
      <c r="D4" s="1" t="str">
        <f ca="1">IFERROR(VLOOKUP(C4,Gossip!A:B,2,0),"")</f>
        <v>2.4</v>
      </c>
      <c r="E4" t="str">
        <f ca="1">IFERROR(VLOOKUP(D4&amp;"Viet",Gossip!C:D,2,0),"")</f>
        <v>Cả văn phòng đều đồn là ông A đang tán cô B.</v>
      </c>
      <c r="F4" t="str">
        <f ca="1">IFERROR(VLOOKUP(D4&amp;"Eng",Gossip!C:D,2,0),"")</f>
        <v>Actually, the word around the office is that Mr. A is flirting Ms. B.</v>
      </c>
    </row>
    <row r="5" spans="1:10" x14ac:dyDescent="0.25">
      <c r="A5">
        <f>IFERROR(IF(A4+1&gt;$C$2,"",A4+1),"")</f>
        <v>2</v>
      </c>
      <c r="B5">
        <f t="shared" ca="1" si="0"/>
        <v>5</v>
      </c>
      <c r="C5" s="1">
        <f ca="1">IFERROR($C$1-1+_xlfn.RANK.EQ(B5,$B$4:$B$40)+COUNTIF(B$4:$B5,B5)-1,"")</f>
        <v>13</v>
      </c>
      <c r="D5" s="1" t="str">
        <f ca="1">IFERROR(VLOOKUP(C5,Gossip!A:B,2,0),"")</f>
        <v>4.1</v>
      </c>
      <c r="E5" t="str">
        <f ca="1">IFERROR(VLOOKUP(D5&amp;"Viet",Gossip!C:D,2,0),"")</f>
        <v>Bạn nên kiểm tra lại nguồn thông tin của bạn đi.</v>
      </c>
      <c r="F5" t="str">
        <f ca="1">IFERROR(VLOOKUP(D5&amp;"Eng",Gossip!C:D,2,0),"")</f>
        <v>You should double-check your sources.</v>
      </c>
    </row>
    <row r="6" spans="1:10" x14ac:dyDescent="0.25">
      <c r="A6">
        <f t="shared" ref="A6:A69" si="1">IFERROR(IF(A5+1&gt;$C$2,"",A5+1),"")</f>
        <v>3</v>
      </c>
      <c r="B6">
        <f t="shared" ca="1" si="0"/>
        <v>4</v>
      </c>
      <c r="C6" s="1">
        <f ca="1">IFERROR($C$1-1+_xlfn.RANK.EQ(B6,$B$4:$B$40)+COUNTIF(B$4:$B6,B6)-1,"")</f>
        <v>14</v>
      </c>
      <c r="D6" s="1" t="str">
        <f ca="1">IFERROR(VLOOKUP(C6,Gossip!A:B,2,0),"")</f>
        <v>4.2</v>
      </c>
      <c r="E6" t="str">
        <f ca="1">IFERROR(VLOOKUP(D6&amp;"Viet",Gossip!C:D,2,0),"")</f>
        <v>Tôi yêu cầu cô ta kiểm tra lại nguồn thông tin.</v>
      </c>
      <c r="F6" t="str">
        <f ca="1">IFERROR(VLOOKUP(D6&amp;"Eng",Gossip!C:D,2,0),"")</f>
        <v>I ask her to double-check her sources.</v>
      </c>
    </row>
    <row r="7" spans="1:10" x14ac:dyDescent="0.25">
      <c r="A7">
        <f t="shared" si="1"/>
        <v>4</v>
      </c>
      <c r="B7">
        <f t="shared" ca="1" si="0"/>
        <v>15</v>
      </c>
      <c r="C7" s="1">
        <f ca="1">IFERROR($C$1-1+_xlfn.RANK.EQ(B7,$B$4:$B$40)+COUNTIF(B$4:$B7,B7)-1,"")</f>
        <v>3</v>
      </c>
      <c r="D7" s="1" t="str">
        <f ca="1">IFERROR(VLOOKUP(C7,Gossip!A:B,2,0),"")</f>
        <v>1.3</v>
      </c>
      <c r="E7" t="str">
        <f ca="1">IFERROR(VLOOKUP(D7&amp;"Viet",Gossip!C:D,2,0),"")</f>
        <v>Tôi không muốn ngồi lê đôi mách, nhưng mà cô ta làm phiền tôi quá.</v>
      </c>
      <c r="F7" t="str">
        <f ca="1">IFERROR(VLOOKUP(D7&amp;"Eng",Gossip!C:D,2,0),"")</f>
        <v>I don’t mean to gossip, but she bothers me a lot.</v>
      </c>
    </row>
    <row r="8" spans="1:10" x14ac:dyDescent="0.25">
      <c r="A8">
        <f t="shared" si="1"/>
        <v>5</v>
      </c>
      <c r="B8">
        <f t="shared" ca="1" si="0"/>
        <v>9</v>
      </c>
      <c r="C8" s="1">
        <f ca="1">IFERROR($C$1-1+_xlfn.RANK.EQ(B8,$B$4:$B$40)+COUNTIF(B$4:$B8,B8)-1,"")</f>
        <v>10</v>
      </c>
      <c r="D8" s="1" t="str">
        <f ca="1">IFERROR(VLOOKUP(C8,Gossip!A:B,2,0),"")</f>
        <v>3.1</v>
      </c>
      <c r="E8" t="str">
        <f ca="1">IFERROR(VLOOKUP(D8&amp;"Viet",Gossip!C:D,2,0),"")</f>
        <v>Bạn có nghe tin về An chưa?</v>
      </c>
      <c r="F8" t="str">
        <f ca="1">IFERROR(VLOOKUP(D8&amp;"Eng",Gossip!C:D,2,0),"")</f>
        <v>Have you heard the latest news about An?</v>
      </c>
    </row>
    <row r="9" spans="1:10" x14ac:dyDescent="0.25">
      <c r="A9">
        <f t="shared" si="1"/>
        <v>6</v>
      </c>
      <c r="B9">
        <f t="shared" ca="1" si="0"/>
        <v>14</v>
      </c>
      <c r="C9" s="1">
        <f ca="1">IFERROR($C$1-1+_xlfn.RANK.EQ(B9,$B$4:$B$40)+COUNTIF(B$4:$B9,B9)-1,"")</f>
        <v>4</v>
      </c>
      <c r="D9" s="1" t="str">
        <f ca="1">IFERROR(VLOOKUP(C9,Gossip!A:B,2,0),"")</f>
        <v>1.4</v>
      </c>
      <c r="E9" t="str">
        <f ca="1">IFERROR(VLOOKUP(D9&amp;"Viet",Gossip!C:D,2,0),"")</f>
        <v>Tôi không muốn ngồi lê đôi mách, nhưng mà tôi vừa nghe nhiều điều khá thú vị.</v>
      </c>
      <c r="F9" t="str">
        <f ca="1">IFERROR(VLOOKUP(D9&amp;"Eng",Gossip!C:D,2,0),"")</f>
        <v>I don’t mean to gossip, but I just heard something interesting.</v>
      </c>
    </row>
    <row r="10" spans="1:10" x14ac:dyDescent="0.25">
      <c r="A10">
        <f t="shared" si="1"/>
        <v>7</v>
      </c>
      <c r="B10">
        <f t="shared" ca="1" si="0"/>
        <v>4</v>
      </c>
      <c r="C10" s="1">
        <f ca="1">IFERROR($C$1-1+_xlfn.RANK.EQ(B10,$B$4:$B$40)+COUNTIF(B$4:$B10,B10)-1,"")</f>
        <v>15</v>
      </c>
      <c r="D10" s="1" t="str">
        <f ca="1">IFERROR(VLOOKUP(C10,Gossip!A:B,2,0),"")</f>
        <v>4.3</v>
      </c>
      <c r="E10" t="str">
        <f ca="1">IFERROR(VLOOKUP(D10&amp;"Viet",Gossip!C:D,2,0),"")</f>
        <v>Bạn có kiểm tra lại nguồn thông tin chưa?</v>
      </c>
      <c r="F10" t="str">
        <f ca="1">IFERROR(VLOOKUP(D10&amp;"Eng",Gossip!C:D,2,0),"")</f>
        <v>Have you double-checked your sources?</v>
      </c>
    </row>
    <row r="11" spans="1:10" x14ac:dyDescent="0.25">
      <c r="A11">
        <f t="shared" si="1"/>
        <v>8</v>
      </c>
      <c r="B11">
        <f t="shared" ca="1" si="0"/>
        <v>2</v>
      </c>
      <c r="C11" s="1">
        <f ca="1">IFERROR($C$1-1+_xlfn.RANK.EQ(B11,$B$4:$B$40)+COUNTIF(B$4:$B11,B11)-1,"")</f>
        <v>18</v>
      </c>
      <c r="D11" s="1" t="str">
        <f ca="1">IFERROR(VLOOKUP(C11,Gossip!A:B,2,0),"")</f>
        <v>5.3</v>
      </c>
      <c r="E11" t="str">
        <f ca="1">IFERROR(VLOOKUP(D11&amp;"Viet",Gossip!C:D,2,0),"")</f>
        <v>Tôi nghe từ chính trưởng phòng.</v>
      </c>
      <c r="F11" t="str">
        <f ca="1">IFERROR(VLOOKUP(D11&amp;"Eng",Gossip!C:D,2,0),"")</f>
        <v>I got it straight from the departmental manager.</v>
      </c>
    </row>
    <row r="12" spans="1:10" x14ac:dyDescent="0.25">
      <c r="A12">
        <f t="shared" si="1"/>
        <v>9</v>
      </c>
      <c r="B12">
        <f t="shared" ca="1" si="0"/>
        <v>8</v>
      </c>
      <c r="C12" s="1">
        <f ca="1">IFERROR($C$1-1+_xlfn.RANK.EQ(B12,$B$4:$B$40)+COUNTIF(B$4:$B12,B12)-1,"")</f>
        <v>11</v>
      </c>
      <c r="D12" s="1" t="str">
        <f ca="1">IFERROR(VLOOKUP(C12,Gossip!A:B,2,0),"")</f>
        <v>3.2</v>
      </c>
      <c r="E12" t="str">
        <f ca="1">IFERROR(VLOOKUP(D12&amp;"Viet",Gossip!C:D,2,0),"")</f>
        <v>Bạn có nghe tin về sếp mới của chúng ta chưa?</v>
      </c>
      <c r="F12" t="str">
        <f ca="1">IFERROR(VLOOKUP(D12&amp;"Eng",Gossip!C:D,2,0),"")</f>
        <v>Have you heard the latest news about our new boss?</v>
      </c>
      <c r="J12" s="18"/>
    </row>
    <row r="13" spans="1:10" x14ac:dyDescent="0.25">
      <c r="A13">
        <f t="shared" si="1"/>
        <v>10</v>
      </c>
      <c r="B13">
        <f t="shared" ca="1" si="0"/>
        <v>13</v>
      </c>
      <c r="C13" s="1">
        <f ca="1">IFERROR($C$1-1+_xlfn.RANK.EQ(B13,$B$4:$B$40)+COUNTIF(B$4:$B13,B13)-1,"")</f>
        <v>5</v>
      </c>
      <c r="D13" s="1" t="str">
        <f ca="1">IFERROR(VLOOKUP(C13,Gossip!A:B,2,0),"")</f>
        <v>1.5</v>
      </c>
      <c r="E13" t="str">
        <f ca="1">IFERROR(VLOOKUP(D13&amp;"Viet",Gossip!C:D,2,0),"")</f>
        <v>Tôi không muốn ngồi lê đôi mách, nhưng mà A sắp nghỉ việc rồi.</v>
      </c>
      <c r="F13" t="str">
        <f ca="1">IFERROR(VLOOKUP(D13&amp;"Eng",Gossip!C:D,2,0),"")</f>
        <v>I don’t mean to gossip, but I heard that A is quitting.</v>
      </c>
    </row>
    <row r="14" spans="1:10" x14ac:dyDescent="0.25">
      <c r="A14">
        <f t="shared" si="1"/>
        <v>11</v>
      </c>
      <c r="B14">
        <f t="shared" ca="1" si="0"/>
        <v>13</v>
      </c>
      <c r="C14" s="1">
        <f ca="1">IFERROR($C$1-1+_xlfn.RANK.EQ(B14,$B$4:$B$40)+COUNTIF(B$4:$B14,B14)-1,"")</f>
        <v>6</v>
      </c>
      <c r="D14" s="1" t="str">
        <f ca="1">IFERROR(VLOOKUP(C14,Gossip!A:B,2,0),"")</f>
        <v>2.1</v>
      </c>
      <c r="E14" t="str">
        <f ca="1">IFERROR(VLOOKUP(D14&amp;"Viet",Gossip!C:D,2,0),"")</f>
        <v>Cả văn phòng đều đồn là Tom sắp bị sa thải.</v>
      </c>
      <c r="F14" t="str">
        <f ca="1">IFERROR(VLOOKUP(D14&amp;"Eng",Gossip!C:D,2,0),"")</f>
        <v>Actually, the word around the office is that Tom is going to be fired.</v>
      </c>
    </row>
    <row r="15" spans="1:10" x14ac:dyDescent="0.25">
      <c r="A15">
        <f t="shared" si="1"/>
        <v>12</v>
      </c>
      <c r="B15">
        <f t="shared" ca="1" si="0"/>
        <v>18</v>
      </c>
      <c r="C15" s="1">
        <f ca="1">IFERROR($C$1-1+_xlfn.RANK.EQ(B15,$B$4:$B$40)+COUNTIF(B$4:$B15,B15)-1,"")</f>
        <v>1</v>
      </c>
      <c r="D15" s="1" t="str">
        <f ca="1">IFERROR(VLOOKUP(C15,Gossip!A:B,2,0),"")</f>
        <v>1.1</v>
      </c>
      <c r="E15" t="str">
        <f ca="1">IFERROR(VLOOKUP(D15&amp;"Viet",Gossip!C:D,2,0),"")</f>
        <v>Tôi không muốn ngồi lê đôi mách, nhưng mà cô ta nói nhiều quá.</v>
      </c>
      <c r="F15" t="str">
        <f ca="1">IFERROR(VLOOKUP(D15&amp;"Eng",Gossip!C:D,2,0),"")</f>
        <v>I don’t mean to gossip, but she talks too much.</v>
      </c>
    </row>
    <row r="16" spans="1:10" x14ac:dyDescent="0.25">
      <c r="A16">
        <f t="shared" si="1"/>
        <v>13</v>
      </c>
      <c r="B16">
        <f t="shared" ca="1" si="0"/>
        <v>11</v>
      </c>
      <c r="C16" s="1">
        <f ca="1">IFERROR($C$1-1+_xlfn.RANK.EQ(B16,$B$4:$B$40)+COUNTIF(B$4:$B16,B16)-1,"")</f>
        <v>8</v>
      </c>
      <c r="D16" s="1" t="str">
        <f ca="1">IFERROR(VLOOKUP(C16,Gossip!A:B,2,0),"")</f>
        <v>2.3</v>
      </c>
      <c r="E16" t="str">
        <f ca="1">IFERROR(VLOOKUP(D16&amp;"Viet",Gossip!C:D,2,0),"")</f>
        <v>Cả văn phòng đều đồn tháng 4 này là tháng sa thải.</v>
      </c>
      <c r="F16" t="str">
        <f ca="1">IFERROR(VLOOKUP(D16&amp;"Eng",Gossip!C:D,2,0),"")</f>
        <v>Actually, the word around the office is that April is getting fired.</v>
      </c>
    </row>
    <row r="17" spans="1:6" x14ac:dyDescent="0.25">
      <c r="A17">
        <f t="shared" si="1"/>
        <v>14</v>
      </c>
      <c r="B17">
        <f t="shared" ca="1" si="0"/>
        <v>7</v>
      </c>
      <c r="C17" s="1">
        <f ca="1">IFERROR($C$1-1+_xlfn.RANK.EQ(B17,$B$4:$B$40)+COUNTIF(B$4:$B17,B17)-1,"")</f>
        <v>12</v>
      </c>
      <c r="D17" s="1" t="str">
        <f ca="1">IFERROR(VLOOKUP(C17,Gossip!A:B,2,0),"")</f>
        <v>3.3</v>
      </c>
      <c r="E17" t="str">
        <f ca="1">IFERROR(VLOOKUP(D17&amp;"Viet",Gossip!C:D,2,0),"")</f>
        <v>Bạn có nghe tin về phòng Marketing chưa?</v>
      </c>
      <c r="F17" t="str">
        <f ca="1">IFERROR(VLOOKUP(D17&amp;"Eng",Gossip!C:D,2,0),"")</f>
        <v>Have you heard the latest news about the marketing department?</v>
      </c>
    </row>
    <row r="18" spans="1:6" ht="12.6" customHeight="1" x14ac:dyDescent="0.25">
      <c r="A18">
        <f t="shared" si="1"/>
        <v>15</v>
      </c>
      <c r="B18">
        <f t="shared" ca="1" si="0"/>
        <v>4</v>
      </c>
      <c r="C18" s="1">
        <f ca="1">IFERROR($C$1-1+_xlfn.RANK.EQ(B18,$B$4:$B$40)+COUNTIF(B$4:$B18,B18)-1,"")</f>
        <v>16</v>
      </c>
      <c r="D18" s="1" t="str">
        <f ca="1">IFERROR(VLOOKUP(C18,Gossip!A:B,2,0),"")</f>
        <v>5.1</v>
      </c>
      <c r="E18" t="str">
        <f ca="1">IFERROR(VLOOKUP(D18&amp;"Viet",Gossip!C:D,2,0),"")</f>
        <v>Tôi nghe từ chính giám đốc điều hành công ty.</v>
      </c>
      <c r="F18" t="str">
        <f ca="1">IFERROR(VLOOKUP(D18&amp;"Eng",Gossip!C:D,2,0),"")</f>
        <v>I got it straight from the executive director.</v>
      </c>
    </row>
    <row r="19" spans="1:6" x14ac:dyDescent="0.25">
      <c r="A19">
        <f t="shared" si="1"/>
        <v>16</v>
      </c>
      <c r="B19">
        <f t="shared" ca="1" si="0"/>
        <v>12</v>
      </c>
      <c r="C19" s="1">
        <f ca="1">IFERROR($C$1-1+_xlfn.RANK.EQ(B19,$B$4:$B$40)+COUNTIF(B$4:$B19,B19)-1,"")</f>
        <v>7</v>
      </c>
      <c r="D19" s="1" t="str">
        <f ca="1">IFERROR(VLOOKUP(C19,Gossip!A:B,2,0),"")</f>
        <v>2.2</v>
      </c>
      <c r="E19" t="str">
        <f ca="1">IFERROR(VLOOKUP(D19&amp;"Viet",Gossip!C:D,2,0),"")</f>
        <v>Cả văn phòng đều đồn là Lan sẽ được thăng chức.</v>
      </c>
      <c r="F19" t="str">
        <f ca="1">IFERROR(VLOOKUP(D19&amp;"Eng",Gossip!C:D,2,0),"")</f>
        <v>Actually, the word around the office is that Lan will be promoted.</v>
      </c>
    </row>
    <row r="20" spans="1:6" x14ac:dyDescent="0.25">
      <c r="A20">
        <f t="shared" si="1"/>
        <v>17</v>
      </c>
      <c r="B20">
        <f t="shared" ca="1" si="0"/>
        <v>3</v>
      </c>
      <c r="C20" s="1">
        <f ca="1">IFERROR($C$1-1+_xlfn.RANK.EQ(B20,$B$4:$B$40)+COUNTIF(B$4:$B20,B20)-1,"")</f>
        <v>17</v>
      </c>
      <c r="D20" s="1" t="str">
        <f ca="1">IFERROR(VLOOKUP(C20,Gossip!A:B,2,0),"")</f>
        <v>5.2</v>
      </c>
      <c r="E20" t="str">
        <f ca="1">IFERROR(VLOOKUP(D20&amp;"Viet",Gossip!C:D,2,0),"")</f>
        <v>Tôi nghe từ chính kế toán.</v>
      </c>
      <c r="F20" t="str">
        <f ca="1">IFERROR(VLOOKUP(D20&amp;"Eng",Gossip!C:D,2,0),"")</f>
        <v>I got it straight from accountant.</v>
      </c>
    </row>
    <row r="21" spans="1:6" x14ac:dyDescent="0.25">
      <c r="A21">
        <f t="shared" si="1"/>
        <v>18</v>
      </c>
      <c r="B21">
        <f t="shared" ca="1" si="0"/>
        <v>16</v>
      </c>
      <c r="C21" s="1">
        <f ca="1">IFERROR($C$1-1+_xlfn.RANK.EQ(B21,$B$4:$B$40)+COUNTIF(B$4:$B21,B21)-1,"")</f>
        <v>2</v>
      </c>
      <c r="D21" s="1" t="str">
        <f ca="1">IFERROR(VLOOKUP(C21,Gossip!A:B,2,0),"")</f>
        <v>1.2</v>
      </c>
      <c r="E21" t="str">
        <f ca="1">IFERROR(VLOOKUP(D21&amp;"Viet",Gossip!C:D,2,0),"")</f>
        <v>Tôi không muốn ngồi lê đôi mách, nhưng mà anh ta hách dịch quá.</v>
      </c>
      <c r="F21" t="str">
        <f ca="1">IFERROR(VLOOKUP(D21&amp;"Eng",Gossip!C:D,2,0),"")</f>
        <v>I don’t mean to gossip, but he is bossy.</v>
      </c>
    </row>
    <row r="22" spans="1:6" x14ac:dyDescent="0.25">
      <c r="A22" t="str">
        <f t="shared" si="1"/>
        <v/>
      </c>
      <c r="B22" t="str">
        <f t="shared" ca="1" si="0"/>
        <v/>
      </c>
      <c r="C22" s="1" t="str">
        <f ca="1">IFERROR($C$1-1+_xlfn.RANK.EQ(B22,$B$4:$B$40)+COUNTIF(B$4:$B22,B22)-1,"")</f>
        <v/>
      </c>
      <c r="D22" s="1" t="str">
        <f ca="1">IFERROR(VLOOKUP(C22,Gossip!A:B,2,0),"")</f>
        <v/>
      </c>
      <c r="E22" t="str">
        <f ca="1">IFERROR(VLOOKUP(D22&amp;"Viet",Gossip!C:D,2,0),"")</f>
        <v/>
      </c>
      <c r="F22" t="str">
        <f ca="1">IFERROR(VLOOKUP(D22&amp;"Eng",Gossip!C:D,2,0),"")</f>
        <v/>
      </c>
    </row>
    <row r="23" spans="1:6" x14ac:dyDescent="0.25">
      <c r="A23" t="str">
        <f t="shared" si="1"/>
        <v/>
      </c>
      <c r="B23" t="str">
        <f t="shared" ca="1" si="0"/>
        <v/>
      </c>
      <c r="C23" s="1" t="str">
        <f ca="1">IFERROR($C$1-1+_xlfn.RANK.EQ(B23,$B$4:$B$40)+COUNTIF(B$4:$B23,B23)-1,"")</f>
        <v/>
      </c>
      <c r="D23" s="1" t="str">
        <f ca="1">IFERROR(VLOOKUP(C23,Gossip!A:B,2,0),"")</f>
        <v/>
      </c>
      <c r="E23" t="str">
        <f ca="1">IFERROR(VLOOKUP(D23&amp;"Viet",Gossip!C:D,2,0),"")</f>
        <v/>
      </c>
      <c r="F23" t="str">
        <f ca="1">IFERROR(VLOOKUP(D23&amp;"Eng",Gossip!C:D,2,0),"")</f>
        <v/>
      </c>
    </row>
    <row r="24" spans="1:6" x14ac:dyDescent="0.25">
      <c r="A24" t="str">
        <f t="shared" si="1"/>
        <v/>
      </c>
      <c r="B24" t="str">
        <f t="shared" ca="1" si="0"/>
        <v/>
      </c>
      <c r="C24" s="1" t="str">
        <f ca="1">IFERROR($C$1-1+_xlfn.RANK.EQ(B24,$B$4:$B$40)+COUNTIF(B$4:$B24,B24)-1,"")</f>
        <v/>
      </c>
      <c r="D24" s="1" t="str">
        <f ca="1">IFERROR(VLOOKUP(C24,Gossip!A:B,2,0),"")</f>
        <v/>
      </c>
      <c r="E24" t="str">
        <f ca="1">IFERROR(VLOOKUP(D24&amp;"Viet",Gossip!C:D,2,0),"")</f>
        <v/>
      </c>
      <c r="F24" t="str">
        <f ca="1">IFERROR(VLOOKUP(D24&amp;"Eng",Gossip!C:D,2,0),"")</f>
        <v/>
      </c>
    </row>
    <row r="25" spans="1:6" x14ac:dyDescent="0.25">
      <c r="A25" t="str">
        <f t="shared" si="1"/>
        <v/>
      </c>
      <c r="B25" t="str">
        <f t="shared" ca="1" si="0"/>
        <v/>
      </c>
      <c r="C25" s="1" t="str">
        <f ca="1">IFERROR($C$1-1+_xlfn.RANK.EQ(B25,$B$4:$B$40)+COUNTIF(B$4:$B25,B25)-1,"")</f>
        <v/>
      </c>
      <c r="D25" s="1" t="str">
        <f ca="1">IFERROR(VLOOKUP(C25,Gossip!A:B,2,0),"")</f>
        <v/>
      </c>
      <c r="E25" t="str">
        <f ca="1">IFERROR(VLOOKUP(D25&amp;"Viet",Gossip!C:D,2,0),"")</f>
        <v/>
      </c>
      <c r="F25" t="str">
        <f ca="1">IFERROR(VLOOKUP(D25&amp;"Eng",Gossip!C:D,2,0),"")</f>
        <v/>
      </c>
    </row>
    <row r="26" spans="1:6" x14ac:dyDescent="0.25">
      <c r="A26" t="str">
        <f t="shared" si="1"/>
        <v/>
      </c>
      <c r="B26" t="str">
        <f t="shared" ca="1" si="0"/>
        <v/>
      </c>
      <c r="C26" s="1" t="str">
        <f ca="1">IFERROR($C$1-1+_xlfn.RANK.EQ(B26,$B$4:$B$40)+COUNTIF(B$4:$B26,B26)-1,"")</f>
        <v/>
      </c>
      <c r="D26" s="1" t="str">
        <f ca="1">IFERROR(VLOOKUP(C26,Gossip!A:B,2,0),"")</f>
        <v/>
      </c>
      <c r="E26" t="str">
        <f ca="1">IFERROR(VLOOKUP(D26&amp;"Viet",Gossip!C:D,2,0),"")</f>
        <v/>
      </c>
      <c r="F26" t="str">
        <f ca="1">IFERROR(VLOOKUP(D26&amp;"Eng",Gossip!C:D,2,0),"")</f>
        <v/>
      </c>
    </row>
    <row r="27" spans="1:6" x14ac:dyDescent="0.25">
      <c r="A27" t="str">
        <f t="shared" si="1"/>
        <v/>
      </c>
      <c r="B27" t="str">
        <f t="shared" ca="1" si="0"/>
        <v/>
      </c>
      <c r="C27" s="1" t="str">
        <f ca="1">IFERROR($C$1-1+_xlfn.RANK.EQ(B27,$B$4:$B$40)+COUNTIF(B$4:$B27,B27)-1,"")</f>
        <v/>
      </c>
      <c r="D27" s="1" t="str">
        <f ca="1">IFERROR(VLOOKUP(C27,Gossip!A:B,2,0),"")</f>
        <v/>
      </c>
      <c r="E27" t="str">
        <f ca="1">IFERROR(VLOOKUP(D27&amp;"Viet",Gossip!C:D,2,0),"")</f>
        <v/>
      </c>
      <c r="F27" t="str">
        <f ca="1">IFERROR(VLOOKUP(D27&amp;"Eng",Gossip!C:D,2,0),"")</f>
        <v/>
      </c>
    </row>
    <row r="28" spans="1:6" x14ac:dyDescent="0.25">
      <c r="A28" t="str">
        <f t="shared" si="1"/>
        <v/>
      </c>
      <c r="B28" t="str">
        <f t="shared" ca="1" si="0"/>
        <v/>
      </c>
      <c r="C28" s="1" t="str">
        <f ca="1">IFERROR($C$1-1+_xlfn.RANK.EQ(B28,$B$4:$B$40)+COUNTIF(B$4:$B28,B28)-1,"")</f>
        <v/>
      </c>
      <c r="D28" s="1" t="str">
        <f ca="1">IFERROR(VLOOKUP(C28,Gossip!A:B,2,0),"")</f>
        <v/>
      </c>
      <c r="E28" t="str">
        <f ca="1">IFERROR(VLOOKUP(D28&amp;"Viet",Gossip!C:D,2,0),"")</f>
        <v/>
      </c>
      <c r="F28" t="str">
        <f ca="1">IFERROR(VLOOKUP(D28&amp;"Eng",Gossip!C:D,2,0),"")</f>
        <v/>
      </c>
    </row>
    <row r="29" spans="1:6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IFERROR($C$1-1+_xlfn.RANK.EQ(B29,$B$4:$B$40)+COUNTIF(B$4:$B29,B29)-1,"")</f>
        <v/>
      </c>
      <c r="D29" s="1" t="str">
        <f ca="1">IFERROR(VLOOKUP(C29,Gossip!A:B,2,0),"")</f>
        <v/>
      </c>
      <c r="E29" t="str">
        <f ca="1">IFERROR(VLOOKUP(D29&amp;"Viet",Gossip!C:D,2,0),"")</f>
        <v/>
      </c>
      <c r="F29" t="str">
        <f ca="1">IFERROR(VLOOKUP(D29&amp;"Eng",Gossip!C:D,2,0),"")</f>
        <v/>
      </c>
    </row>
    <row r="30" spans="1:6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IFERROR($C$1-1+_xlfn.RANK.EQ(B30,$B$4:$B$40)+COUNTIF(B$4:$B30,B30)-1,"")</f>
        <v/>
      </c>
      <c r="D30" s="1" t="str">
        <f ca="1">IFERROR(VLOOKUP(C30,Gossip!A:B,2,0),"")</f>
        <v/>
      </c>
      <c r="E30" t="str">
        <f ca="1">IFERROR(VLOOKUP(D30&amp;"Viet",Gossip!C:D,2,0),"")</f>
        <v/>
      </c>
      <c r="F30" t="str">
        <f ca="1">IFERROR(VLOOKUP(D30&amp;"Eng",Gossip!C:D,2,0),"")</f>
        <v/>
      </c>
    </row>
    <row r="31" spans="1:6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IFERROR($C$1-1+_xlfn.RANK.EQ(B31,$B$4:$B$40)+COUNTIF(B$4:$B31,B31)-1,"")</f>
        <v/>
      </c>
      <c r="D31" s="1" t="str">
        <f ca="1">IFERROR(VLOOKUP(C31,Gossip!A:B,2,0),"")</f>
        <v/>
      </c>
      <c r="E31" t="str">
        <f ca="1">IFERROR(VLOOKUP(D31&amp;"Viet",Gossip!C:D,2,0),"")</f>
        <v/>
      </c>
      <c r="F31" t="str">
        <f ca="1">IFERROR(VLOOKUP(D31&amp;"Eng",Gossip!C:D,2,0),"")</f>
        <v/>
      </c>
    </row>
    <row r="32" spans="1:6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IFERROR($C$1-1+_xlfn.RANK.EQ(B32,$B$4:$B$40)+COUNTIF(B$4:$B32,B32)-1,"")</f>
        <v/>
      </c>
      <c r="D32" s="1" t="str">
        <f ca="1">IFERROR(VLOOKUP(C32,Gossip!A:B,2,0),"")</f>
        <v/>
      </c>
      <c r="E32" t="str">
        <f ca="1">IFERROR(VLOOKUP(D32&amp;"Viet",Gossip!C:D,2,0),"")</f>
        <v/>
      </c>
      <c r="F32" t="str">
        <f ca="1">IFERROR(VLOOKUP(D32&amp;"Eng",Gossip!C:D,2,0),"")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IFERROR($C$1-1+_xlfn.RANK.EQ(B33,$B$4:$B$40)+COUNTIF(B$4:$B33,B33)-1,"")</f>
        <v/>
      </c>
      <c r="D33" s="1" t="str">
        <f ca="1">IFERROR(VLOOKUP(C33,Gossip!A:B,2,0),"")</f>
        <v/>
      </c>
      <c r="E33" t="str">
        <f ca="1">IFERROR(VLOOKUP(D33&amp;"Viet",Gossip!C:D,2,0),"")</f>
        <v/>
      </c>
      <c r="F33" t="str">
        <f ca="1">IFERROR(VLOOKUP(D33&amp;"Eng",Gossip!C:D,2,0),"")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IFERROR($C$1-1+_xlfn.RANK.EQ(B34,$B$4:$B$40)+COUNTIF(B$4:$B34,B34)-1,"")</f>
        <v/>
      </c>
      <c r="D34" s="1" t="str">
        <f ca="1">IFERROR(VLOOKUP(C34,Gossip!A:B,2,0),"")</f>
        <v/>
      </c>
      <c r="E34" t="str">
        <f ca="1">IFERROR(VLOOKUP(D34&amp;"Viet",Gossip!C:D,2,0),"")</f>
        <v/>
      </c>
      <c r="F34" t="str">
        <f ca="1">IFERROR(VLOOKUP(D34&amp;"Eng",Gossip!C:D,2,0),"")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IFERROR($C$1-1+_xlfn.RANK.EQ(B35,$B$4:$B$40)+COUNTIF(B$4:$B35,B35)-1,"")</f>
        <v/>
      </c>
      <c r="D35" s="1" t="str">
        <f ca="1">IFERROR(VLOOKUP(C35,Gossip!A:B,2,0),"")</f>
        <v/>
      </c>
      <c r="E35" t="str">
        <f ca="1">IFERROR(VLOOKUP(D35&amp;"Viet",Gossip!C:D,2,0),"")</f>
        <v/>
      </c>
      <c r="F35" t="str">
        <f ca="1">IFERROR(VLOOKUP(D35&amp;"Eng",Gossip!C:D,2,0),"")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IFERROR($C$1-1+_xlfn.RANK.EQ(B36,$B$4:$B$40)+COUNTIF(B$4:$B36,B36)-1,"")</f>
        <v/>
      </c>
      <c r="D36" s="1" t="str">
        <f ca="1">IFERROR(VLOOKUP(C36,Gossip!A:B,2,0),"")</f>
        <v/>
      </c>
      <c r="E36" t="str">
        <f ca="1">IFERROR(VLOOKUP(D36&amp;"Viet",Gossip!C:D,2,0),"")</f>
        <v/>
      </c>
      <c r="F36" t="str">
        <f ca="1">IFERROR(VLOOKUP(D36&amp;"Eng",Gossip!C:D,2,0),"")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IFERROR($C$1-1+_xlfn.RANK.EQ(B37,$B$4:$B$40)+COUNTIF(B$4:$B37,B37)-1,"")</f>
        <v/>
      </c>
      <c r="D37" s="1" t="str">
        <f ca="1">IFERROR(VLOOKUP(C37,Gossip!A:B,2,0),"")</f>
        <v/>
      </c>
      <c r="E37" t="str">
        <f ca="1">IFERROR(VLOOKUP(D37&amp;"Viet",Gossip!C:D,2,0),"")</f>
        <v/>
      </c>
      <c r="F37" t="str">
        <f ca="1">IFERROR(VLOOKUP(D37&amp;"Eng",Gossip!C:D,2,0),"")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IFERROR($C$1-1+_xlfn.RANK.EQ(B38,$B$4:$B$40)+COUNTIF(B$4:$B38,B38)-1,"")</f>
        <v/>
      </c>
      <c r="D38" s="1" t="str">
        <f ca="1">IFERROR(VLOOKUP(C38,Gossip!A:B,2,0),"")</f>
        <v/>
      </c>
      <c r="E38" t="str">
        <f ca="1">IFERROR(VLOOKUP(D38&amp;"Viet",Gossip!C:D,2,0),"")</f>
        <v/>
      </c>
      <c r="F38" t="str">
        <f ca="1">IFERROR(VLOOKUP(D38&amp;"Eng",Gossip!C:D,2,0),"")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IFERROR($C$1-1+_xlfn.RANK.EQ(B39,$B$4:$B$40)+COUNTIF(B$4:$B39,B39)-1,"")</f>
        <v/>
      </c>
      <c r="D39" s="1" t="str">
        <f ca="1">IFERROR(VLOOKUP(C39,Gossip!A:B,2,0),"")</f>
        <v/>
      </c>
      <c r="E39" t="str">
        <f ca="1">IFERROR(VLOOKUP(D39&amp;"Viet",Gossip!C:D,2,0),"")</f>
        <v/>
      </c>
      <c r="F39" t="str">
        <f ca="1">IFERROR(VLOOKUP(D39&amp;"Eng",Gossip!C:D,2,0),"")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IFERROR($C$1-1+_xlfn.RANK.EQ(B40,$B$4:$B$40)+COUNTIF(B$4:$B40,B40)-1,"")</f>
        <v/>
      </c>
      <c r="D40" s="1" t="str">
        <f ca="1">IFERROR(VLOOKUP(C40,Gossip!A:B,2,0),"")</f>
        <v/>
      </c>
      <c r="E40" t="str">
        <f ca="1">IFERROR(VLOOKUP(D40&amp;"Viet",Gossip!C:D,2,0),"")</f>
        <v/>
      </c>
      <c r="F40" t="str">
        <f ca="1">IFERROR(VLOOKUP(D40&amp;"Eng",Gossip!C:D,2,0),"")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IFERROR($C$1-1+_xlfn.RANK.EQ(B41,$B$4:$B$40)+COUNTIF(B$4:$B41,B41)-1,"")</f>
        <v/>
      </c>
      <c r="D41" s="1" t="str">
        <f ca="1">IFERROR(VLOOKUP(C41,Gossip!A:B,2,0),"")</f>
        <v/>
      </c>
      <c r="E41" t="str">
        <f ca="1">IFERROR(VLOOKUP(D41&amp;"Viet",Gossip!C:D,2,0),"")</f>
        <v/>
      </c>
      <c r="F41" t="str">
        <f ca="1">IFERROR(VLOOKUP(D41&amp;"Eng",Gossip!C:D,2,0),"")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IFERROR($C$1-1+_xlfn.RANK.EQ(B42,$B$4:$B$40)+COUNTIF(B$4:$B42,B42)-1,"")</f>
        <v/>
      </c>
      <c r="D42" s="1" t="str">
        <f ca="1">IFERROR(VLOOKUP(C42,Gossip!A:B,2,0),"")</f>
        <v/>
      </c>
      <c r="E42" t="str">
        <f ca="1">IFERROR(VLOOKUP(D42&amp;"Viet",Gossip!C:D,2,0),"")</f>
        <v/>
      </c>
      <c r="F42" t="str">
        <f ca="1">IFERROR(VLOOKUP(D42&amp;"Eng",Gossip!C:D,2,0),"")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IFERROR($C$1-1+_xlfn.RANK.EQ(B43,$B$4:$B$40)+COUNTIF(B$4:$B43,B43)-1,"")</f>
        <v/>
      </c>
      <c r="D43" s="1" t="str">
        <f ca="1">IFERROR(VLOOKUP(C43,Gossip!A:B,2,0),"")</f>
        <v/>
      </c>
      <c r="E43" t="str">
        <f ca="1">IFERROR(VLOOKUP(D43&amp;"Viet",Gossip!C:D,2,0),"")</f>
        <v/>
      </c>
      <c r="F43" t="str">
        <f ca="1">IFERROR(VLOOKUP(D43&amp;"Eng",Gossip!C:D,2,0),"")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IFERROR($C$1-1+_xlfn.RANK.EQ(B44,$B$4:$B$40)+COUNTIF(B$4:$B44,B44)-1,"")</f>
        <v/>
      </c>
      <c r="D44" s="1" t="str">
        <f ca="1">IFERROR(VLOOKUP(C44,Gossip!A:B,2,0),"")</f>
        <v/>
      </c>
      <c r="E44" t="str">
        <f ca="1">IFERROR(VLOOKUP(D44&amp;"Viet",Gossip!C:D,2,0),"")</f>
        <v/>
      </c>
      <c r="F44" t="str">
        <f ca="1">IFERROR(VLOOKUP(D44&amp;"Eng",Gossip!C:D,2,0),"")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IFERROR($C$1-1+_xlfn.RANK.EQ(B45,$B$4:$B$40)+COUNTIF(B$4:$B45,B45)-1,"")</f>
        <v/>
      </c>
      <c r="D45" s="1" t="str">
        <f ca="1">IFERROR(VLOOKUP(C45,Gossip!A:B,2,0),"")</f>
        <v/>
      </c>
      <c r="E45" t="str">
        <f ca="1">IFERROR(VLOOKUP(D45&amp;"Viet",Gossip!C:D,2,0),"")</f>
        <v/>
      </c>
      <c r="F45" t="str">
        <f ca="1">IFERROR(VLOOKUP(D45&amp;"Eng",Gossip!C:D,2,0),"")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IFERROR($C$1-1+_xlfn.RANK.EQ(B46,$B$4:$B$40)+COUNTIF(B$4:$B46,B46)-1,"")</f>
        <v/>
      </c>
      <c r="D46" s="1" t="str">
        <f ca="1">IFERROR(VLOOKUP(C46,Gossip!A:B,2,0),"")</f>
        <v/>
      </c>
      <c r="E46" t="str">
        <f ca="1">IFERROR(VLOOKUP(D46&amp;"Viet",Gossip!C:D,2,0),"")</f>
        <v/>
      </c>
      <c r="F46" t="str">
        <f ca="1">IFERROR(VLOOKUP(D46&amp;"Eng",Gossip!C:D,2,0),"")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IFERROR($C$1-1+_xlfn.RANK.EQ(B47,$B$4:$B$40)+COUNTIF(B$4:$B47,B47)-1,"")</f>
        <v/>
      </c>
      <c r="D47" s="1" t="str">
        <f ca="1">IFERROR(VLOOKUP(C47,Gossip!A:B,2,0),"")</f>
        <v/>
      </c>
      <c r="E47" t="str">
        <f ca="1">IFERROR(VLOOKUP(D47&amp;"Viet",Gossip!C:D,2,0),"")</f>
        <v/>
      </c>
      <c r="F47" t="str">
        <f ca="1">IFERROR(VLOOKUP(D47&amp;"Eng",Gossip!C:D,2,0),"")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IFERROR($C$1-1+_xlfn.RANK.EQ(B48,$B$4:$B$40)+COUNTIF(B$4:$B48,B48)-1,"")</f>
        <v/>
      </c>
      <c r="D48" s="1" t="str">
        <f ca="1">IFERROR(VLOOKUP(C48,Gossip!A:B,2,0),"")</f>
        <v/>
      </c>
      <c r="E48" t="str">
        <f ca="1">IFERROR(VLOOKUP(D48&amp;"Viet",Gossip!C:D,2,0),"")</f>
        <v/>
      </c>
      <c r="F48" t="str">
        <f ca="1">IFERROR(VLOOKUP(D48&amp;"Eng",Gossip!C:D,2,0),"")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IFERROR($C$1-1+_xlfn.RANK.EQ(B49,$B$4:$B$40)+COUNTIF(B$4:$B49,B49)-1,"")</f>
        <v/>
      </c>
      <c r="D49" s="1" t="str">
        <f ca="1">IFERROR(VLOOKUP(C49,Gossip!A:B,2,0),"")</f>
        <v/>
      </c>
      <c r="E49" t="str">
        <f ca="1">IFERROR(VLOOKUP(D49&amp;"Viet",Gossip!C:D,2,0),"")</f>
        <v/>
      </c>
      <c r="F49" t="str">
        <f ca="1">IFERROR(VLOOKUP(D49&amp;"Eng",Gossip!C:D,2,0),"")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IFERROR($C$1-1+_xlfn.RANK.EQ(B50,$B$4:$B$40)+COUNTIF(B$4:$B50,B50)-1,"")</f>
        <v/>
      </c>
      <c r="D50" s="1" t="str">
        <f ca="1">IFERROR(VLOOKUP(C50,Gossip!A:B,2,0),"")</f>
        <v/>
      </c>
      <c r="E50" t="str">
        <f ca="1">IFERROR(VLOOKUP(D50&amp;"Viet",Gossip!C:D,2,0),"")</f>
        <v/>
      </c>
      <c r="F50" t="str">
        <f ca="1">IFERROR(VLOOKUP(D50&amp;"Eng",Gossip!C:D,2,0),"")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IFERROR($C$1-1+_xlfn.RANK.EQ(B51,$B$4:$B$40)+COUNTIF(B$4:$B51,B51)-1,"")</f>
        <v/>
      </c>
      <c r="D51" s="1" t="str">
        <f ca="1">IFERROR(VLOOKUP(C51,Gossip!A:B,2,0),"")</f>
        <v/>
      </c>
      <c r="E51" t="str">
        <f ca="1">IFERROR(VLOOKUP(D51&amp;"Viet",Gossip!C:D,2,0),"")</f>
        <v/>
      </c>
      <c r="F51" t="str">
        <f ca="1">IFERROR(VLOOKUP(D51&amp;"Eng",Gossip!C:D,2,0),"")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IFERROR($C$1-1+_xlfn.RANK.EQ(B52,$B$4:$B$40)+COUNTIF(B$4:$B52,B52)-1,"")</f>
        <v/>
      </c>
      <c r="D52" s="1" t="str">
        <f ca="1">IFERROR(VLOOKUP(C52,Gossip!A:B,2,0),"")</f>
        <v/>
      </c>
      <c r="E52" t="str">
        <f ca="1">IFERROR(VLOOKUP(D52&amp;"Viet",Gossip!C:D,2,0),"")</f>
        <v/>
      </c>
      <c r="F52" t="str">
        <f ca="1">IFERROR(VLOOKUP(D52&amp;"Eng",Gossip!C:D,2,0),"")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IFERROR($C$1-1+_xlfn.RANK.EQ(B53,$B$4:$B$40)+COUNTIF(B$4:$B53,B53)-1,"")</f>
        <v/>
      </c>
      <c r="D53" s="1" t="str">
        <f ca="1">IFERROR(VLOOKUP(C53,Gossip!A:B,2,0),"")</f>
        <v/>
      </c>
      <c r="E53" t="str">
        <f ca="1">IFERROR(VLOOKUP(D53&amp;"Viet",Gossip!C:D,2,0),"")</f>
        <v/>
      </c>
      <c r="F53" t="str">
        <f ca="1">IFERROR(VLOOKUP(D53&amp;"Eng",Gossip!C:D,2,0),"")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IFERROR($C$1-1+_xlfn.RANK.EQ(B54,$B$4:$B$40)+COUNTIF(B$4:$B54,B54)-1,"")</f>
        <v/>
      </c>
      <c r="D54" s="1" t="str">
        <f ca="1">IFERROR(VLOOKUP(C54,Gossip!A:B,2,0),"")</f>
        <v/>
      </c>
      <c r="E54" t="str">
        <f ca="1">IFERROR(VLOOKUP(D54&amp;"Viet",Gossip!C:D,2,0),"")</f>
        <v/>
      </c>
      <c r="F54" t="str">
        <f ca="1">IFERROR(VLOOKUP(D54&amp;"Eng",Gossip!C:D,2,0),"")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IFERROR($C$1-1+_xlfn.RANK.EQ(B55,$B$4:$B$40)+COUNTIF(B$4:$B55,B55)-1,"")</f>
        <v/>
      </c>
      <c r="D55" s="1" t="str">
        <f ca="1">IFERROR(VLOOKUP(C55,Gossip!A:B,2,0),"")</f>
        <v/>
      </c>
      <c r="E55" t="str">
        <f ca="1">IFERROR(VLOOKUP(D55&amp;"Viet",Gossip!C:D,2,0),"")</f>
        <v/>
      </c>
      <c r="F55" t="str">
        <f ca="1">IFERROR(VLOOKUP(D55&amp;"Eng",Gossip!C:D,2,0),"")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IFERROR($C$1-1+_xlfn.RANK.EQ(B56,$B$4:$B$40)+COUNTIF(B$4:$B56,B56)-1,"")</f>
        <v/>
      </c>
      <c r="D56" s="1" t="str">
        <f ca="1">IFERROR(VLOOKUP(C56,Gossip!A:B,2,0),"")</f>
        <v/>
      </c>
      <c r="E56" t="str">
        <f ca="1">IFERROR(VLOOKUP(D56&amp;"Viet",Gossip!C:D,2,0),"")</f>
        <v/>
      </c>
      <c r="F56" t="str">
        <f ca="1">IFERROR(VLOOKUP(D56&amp;"Eng",Gossip!C:D,2,0),"")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IFERROR($C$1-1+_xlfn.RANK.EQ(B57,$B$4:$B$40)+COUNTIF(B$4:$B57,B57)-1,"")</f>
        <v/>
      </c>
      <c r="D57" s="1" t="str">
        <f ca="1">IFERROR(VLOOKUP(C57,Gossip!A:B,2,0),"")</f>
        <v/>
      </c>
      <c r="E57" t="str">
        <f ca="1">IFERROR(VLOOKUP(D57&amp;"Viet",Gossip!C:D,2,0),"")</f>
        <v/>
      </c>
      <c r="F57" t="str">
        <f ca="1">IFERROR(VLOOKUP(D57&amp;"Eng",Gossip!C:D,2,0),"")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IFERROR($C$1-1+_xlfn.RANK.EQ(B58,$B$4:$B$40)+COUNTIF(B$4:$B58,B58)-1,"")</f>
        <v/>
      </c>
      <c r="D58" s="1" t="str">
        <f ca="1">IFERROR(VLOOKUP(C58,Gossip!A:B,2,0),"")</f>
        <v/>
      </c>
      <c r="E58" t="str">
        <f ca="1">IFERROR(VLOOKUP(D58&amp;"Viet",Gossip!C:D,2,0),"")</f>
        <v/>
      </c>
      <c r="F58" t="str">
        <f ca="1">IFERROR(VLOOKUP(D58&amp;"Eng",Gossip!C:D,2,0),"")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IFERROR($C$1-1+_xlfn.RANK.EQ(B59,$B$4:$B$40)+COUNTIF(B$4:$B59,B59)-1,"")</f>
        <v/>
      </c>
      <c r="D59" s="1" t="str">
        <f ca="1">IFERROR(VLOOKUP(C59,Gossip!A:B,2,0),"")</f>
        <v/>
      </c>
      <c r="E59" t="str">
        <f ca="1">IFERROR(VLOOKUP(D59&amp;"Viet",Gossip!C:D,2,0),"")</f>
        <v/>
      </c>
      <c r="F59" t="str">
        <f ca="1">IFERROR(VLOOKUP(D59&amp;"Eng",Gossip!C:D,2,0),"")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IFERROR($C$1-1+_xlfn.RANK.EQ(B60,$B$4:$B$40)+COUNTIF(B$4:$B60,B60)-1,"")</f>
        <v/>
      </c>
      <c r="D60" s="1" t="str">
        <f ca="1">IFERROR(VLOOKUP(C60,Gossip!A:B,2,0),"")</f>
        <v/>
      </c>
      <c r="E60" t="str">
        <f ca="1">IFERROR(VLOOKUP(D60&amp;"Viet",Gossip!C:D,2,0),"")</f>
        <v/>
      </c>
      <c r="F60" t="str">
        <f ca="1">IFERROR(VLOOKUP(D60&amp;"Eng",Gossip!C:D,2,0),"")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IFERROR($C$1-1+_xlfn.RANK.EQ(B61,$B$4:$B$40)+COUNTIF(B$4:$B61,B61)-1,"")</f>
        <v/>
      </c>
      <c r="D61" s="1" t="str">
        <f ca="1">IFERROR(VLOOKUP(C61,Gossip!A:B,2,0),"")</f>
        <v/>
      </c>
      <c r="E61" t="str">
        <f ca="1">IFERROR(VLOOKUP(D61&amp;"Viet",Gossip!C:D,2,0),"")</f>
        <v/>
      </c>
      <c r="F61" t="str">
        <f ca="1">IFERROR(VLOOKUP(D61&amp;"Eng",Gossip!C:D,2,0),"")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IFERROR($C$1-1+_xlfn.RANK.EQ(B62,$B$4:$B$40)+COUNTIF(B$4:$B62,B62)-1,"")</f>
        <v/>
      </c>
      <c r="D62" s="1" t="str">
        <f ca="1">IFERROR(VLOOKUP(C62,Gossip!A:B,2,0),"")</f>
        <v/>
      </c>
      <c r="E62" t="str">
        <f ca="1">IFERROR(VLOOKUP(D62&amp;"Viet",Gossip!C:D,2,0),"")</f>
        <v/>
      </c>
      <c r="F62" t="str">
        <f ca="1">IFERROR(VLOOKUP(D62&amp;"Eng",Gossip!C:D,2,0),"")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IFERROR($C$1-1+_xlfn.RANK.EQ(B63,$B$4:$B$40)+COUNTIF(B$4:$B63,B63)-1,"")</f>
        <v/>
      </c>
      <c r="D63" s="1" t="str">
        <f ca="1">IFERROR(VLOOKUP(C63,Gossip!A:B,2,0),"")</f>
        <v/>
      </c>
      <c r="E63" t="str">
        <f ca="1">IFERROR(VLOOKUP(D63&amp;"Viet",Gossip!C:D,2,0),"")</f>
        <v/>
      </c>
      <c r="F63" t="str">
        <f ca="1">IFERROR(VLOOKUP(D63&amp;"Eng",Gossip!C:D,2,0),"")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IFERROR($C$1-1+_xlfn.RANK.EQ(B64,$B$4:$B$40)+COUNTIF(B$4:$B64,B64)-1,"")</f>
        <v/>
      </c>
      <c r="D64" s="1" t="str">
        <f ca="1">IFERROR(VLOOKUP(C64,Gossip!A:B,2,0),"")</f>
        <v/>
      </c>
      <c r="E64" t="str">
        <f ca="1">IFERROR(VLOOKUP(D64&amp;"Viet",Gossip!C:D,2,0),"")</f>
        <v/>
      </c>
      <c r="F64" t="str">
        <f ca="1">IFERROR(VLOOKUP(D64&amp;"Eng",Gossip!C:D,2,0),"")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IFERROR($C$1-1+_xlfn.RANK.EQ(B65,$B$4:$B$40)+COUNTIF(B$4:$B65,B65)-1,"")</f>
        <v/>
      </c>
      <c r="D65" s="1" t="str">
        <f ca="1">IFERROR(VLOOKUP(C65,Gossip!A:B,2,0),"")</f>
        <v/>
      </c>
      <c r="E65" t="str">
        <f ca="1">IFERROR(VLOOKUP(D65&amp;"Viet",Gossip!C:D,2,0),"")</f>
        <v/>
      </c>
      <c r="F65" t="str">
        <f ca="1">IFERROR(VLOOKUP(D65&amp;"Eng",Gossip!C:D,2,0),"")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IFERROR($C$1-1+_xlfn.RANK.EQ(B66,$B$4:$B$40)+COUNTIF(B$4:$B66,B66)-1,"")</f>
        <v/>
      </c>
      <c r="D66" s="1" t="str">
        <f ca="1">IFERROR(VLOOKUP(C66,Gossip!A:B,2,0),"")</f>
        <v/>
      </c>
      <c r="E66" t="str">
        <f ca="1">IFERROR(VLOOKUP(D66&amp;"Viet",Gossip!C:D,2,0),"")</f>
        <v/>
      </c>
      <c r="F66" t="str">
        <f ca="1">IFERROR(VLOOKUP(D66&amp;"Eng",Gossip!C:D,2,0),"")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IFERROR($C$1-1+_xlfn.RANK.EQ(B67,$B$4:$B$40)+COUNTIF(B$4:$B67,B67)-1,"")</f>
        <v/>
      </c>
      <c r="D67" s="1" t="str">
        <f ca="1">IFERROR(VLOOKUP(C67,Gossip!A:B,2,0),"")</f>
        <v/>
      </c>
      <c r="E67" t="str">
        <f ca="1">IFERROR(VLOOKUP(D67&amp;"Viet",Gossip!C:D,2,0),"")</f>
        <v/>
      </c>
      <c r="F67" t="str">
        <f ca="1">IFERROR(VLOOKUP(D67&amp;"Eng",Gossip!C:D,2,0),"")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IFERROR($C$1-1+_xlfn.RANK.EQ(B68,$B$4:$B$40)+COUNTIF(B$4:$B68,B68)-1,"")</f>
        <v/>
      </c>
      <c r="D68" s="1" t="str">
        <f ca="1">IFERROR(VLOOKUP(C68,Gossip!A:B,2,0),"")</f>
        <v/>
      </c>
      <c r="E68" t="str">
        <f ca="1">IFERROR(VLOOKUP(D68&amp;"Viet",Gossip!C:D,2,0),"")</f>
        <v/>
      </c>
      <c r="F68" t="str">
        <f ca="1">IFERROR(VLOOKUP(D68&amp;"Eng",Gossip!C:D,2,0),"")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IFERROR($C$1-1+_xlfn.RANK.EQ(B69,$B$4:$B$40)+COUNTIF(B$4:$B69,B69)-1,"")</f>
        <v/>
      </c>
      <c r="D69" s="1" t="str">
        <f ca="1">IFERROR(VLOOKUP(C69,Gossip!A:B,2,0),"")</f>
        <v/>
      </c>
      <c r="E69" t="str">
        <f ca="1">IFERROR(VLOOKUP(D69&amp;"Viet",Gossip!C:D,2,0),"")</f>
        <v/>
      </c>
      <c r="F69" t="str">
        <f ca="1">IFERROR(VLOOKUP(D69&amp;"Eng",Gossip!C:D,2,0),"")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IFERROR($C$1-1+_xlfn.RANK.EQ(B70,$B$4:$B$40)+COUNTIF(B$4:$B70,B70)-1,"")</f>
        <v/>
      </c>
      <c r="D70" s="1" t="str">
        <f ca="1">IFERROR(VLOOKUP(C70,Gossip!A:B,2,0),"")</f>
        <v/>
      </c>
      <c r="E70" t="str">
        <f ca="1">IFERROR(VLOOKUP(D70&amp;"Viet",Gossip!C:D,2,0),"")</f>
        <v/>
      </c>
      <c r="F70" t="str">
        <f ca="1">IFERROR(VLOOKUP(D70&amp;"Eng",Gossip!C:D,2,0),"")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IFERROR($C$1-1+_xlfn.RANK.EQ(B71,$B$4:$B$40)+COUNTIF(B$4:$B71,B71)-1,"")</f>
        <v/>
      </c>
      <c r="D71" s="1" t="str">
        <f ca="1">IFERROR(VLOOKUP(C71,Gossip!A:B,2,0),"")</f>
        <v/>
      </c>
      <c r="E71" t="str">
        <f ca="1">IFERROR(VLOOKUP(D71&amp;"Viet",Gossip!C:D,2,0),"")</f>
        <v/>
      </c>
      <c r="F71" t="str">
        <f ca="1">IFERROR(VLOOKUP(D71&amp;"Eng",Gossip!C:D,2,0),"")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IFERROR($C$1-1+_xlfn.RANK.EQ(B72,$B$4:$B$40)+COUNTIF(B$4:$B72,B72)-1,"")</f>
        <v/>
      </c>
      <c r="D72" s="1" t="str">
        <f ca="1">IFERROR(VLOOKUP(C72,Gossip!A:B,2,0),"")</f>
        <v/>
      </c>
      <c r="E72" t="str">
        <f ca="1">IFERROR(VLOOKUP(D72&amp;"Viet",Gossip!C:D,2,0),"")</f>
        <v/>
      </c>
      <c r="F72" t="str">
        <f ca="1">IFERROR(VLOOKUP(D72&amp;"Eng",Gossip!C:D,2,0),"")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IFERROR($C$1-1+_xlfn.RANK.EQ(B73,$B$4:$B$40)+COUNTIF(B$4:$B73,B73)-1,"")</f>
        <v/>
      </c>
      <c r="D73" s="1" t="str">
        <f ca="1">IFERROR(VLOOKUP(C73,Gossip!A:B,2,0),"")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IFERROR($C$1-1+_xlfn.RANK.EQ(B74,$B$4:$B$40)+COUNTIF(B$4:$B74,B74)-1,"")</f>
        <v/>
      </c>
      <c r="D74" s="1" t="str">
        <f ca="1">IFERROR(VLOOKUP(C74,Gossip!A:B,2,0),"")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IFERROR($C$1-1+_xlfn.RANK.EQ(B75,$B$4:$B$40)+COUNTIF(B$4:$B75,B75)-1,"")</f>
        <v/>
      </c>
      <c r="D75" s="1" t="str">
        <f ca="1">IFERROR(VLOOKUP(C75,Gossip!A:B,2,0),"")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IFERROR($C$1-1+_xlfn.RANK.EQ(B76,$B$4:$B$40)+COUNTIF(B$4:$B76,B76)-1,"")</f>
        <v/>
      </c>
      <c r="D76" s="1" t="str">
        <f ca="1">IFERROR(VLOOKUP(C76,Gossip!A:B,2,0),"")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IFERROR($C$1-1+_xlfn.RANK.EQ(B77,$B$4:$B$40)+COUNTIF(B$4:$B77,B77)-1,"")</f>
        <v/>
      </c>
      <c r="D77" s="1" t="str">
        <f ca="1">IFERROR(VLOOKUP(C77,Gossip!A:B,2,0),"")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IFERROR($C$1-1+_xlfn.RANK.EQ(B78,$B$4:$B$40)+COUNTIF(B$4:$B78,B78)-1,"")</f>
        <v/>
      </c>
      <c r="D78" s="1" t="str">
        <f ca="1">IFERROR(VLOOKUP(C78,Gossip!A:B,2,0),"")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IFERROR($C$1-1+_xlfn.RANK.EQ(B79,$B$4:$B$40)+COUNTIF(B$4:$B79,B79)-1,"")</f>
        <v/>
      </c>
      <c r="D79" s="1" t="str">
        <f ca="1">IFERROR(VLOOKUP(C79,Gossip!A:B,2,0),"")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IFERROR($C$1-1+_xlfn.RANK.EQ(B80,$B$4:$B$40)+COUNTIF(B$4:$B80,B80)-1,"")</f>
        <v/>
      </c>
      <c r="D80" s="1" t="str">
        <f ca="1">IFERROR(VLOOKUP(C80,Gossip!A:B,2,0),"")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IFERROR($C$1-1+_xlfn.RANK.EQ(B81,$B$4:$B$40)+COUNTIF(B$4:$B81,B81)-1,"")</f>
        <v/>
      </c>
      <c r="D81" s="1" t="str">
        <f ca="1">IFERROR(VLOOKUP(C81,Gossip!A:B,2,0),"")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IFERROR($C$1-1+_xlfn.RANK.EQ(B82,$B$4:$B$40)+COUNTIF(B$4:$B82,B82)-1,"")</f>
        <v/>
      </c>
      <c r="D82" s="1" t="str">
        <f ca="1">IFERROR(VLOOKUP(C82,Gossip!A:B,2,0),"")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IFERROR($C$1-1+_xlfn.RANK.EQ(B83,$B$4:$B$40)+COUNTIF(B$4:$B83,B83)-1,"")</f>
        <v/>
      </c>
      <c r="D83" s="1" t="str">
        <f ca="1">IFERROR(VLOOKUP(C83,Gossip!A:B,2,0),"")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IFERROR($C$1-1+_xlfn.RANK.EQ(B84,$B$4:$B$40)+COUNTIF(B$4:$B84,B84)-1,"")</f>
        <v/>
      </c>
      <c r="D84" s="1" t="str">
        <f ca="1">IFERROR(VLOOKUP(C84,Gossip!A:B,2,0),"")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IFERROR($C$1-1+_xlfn.RANK.EQ(B85,$B$4:$B$40)+COUNTIF(B$4:$B85,B85)-1,"")</f>
        <v/>
      </c>
      <c r="D85" s="1" t="str">
        <f ca="1">IFERROR(VLOOKUP(C85,Gossip!A:B,2,0),"")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IFERROR($C$1-1+_xlfn.RANK.EQ(B86,$B$4:$B$40)+COUNTIF(B$4:$B86,B86)-1,"")</f>
        <v/>
      </c>
      <c r="D86" s="1" t="str">
        <f ca="1">IFERROR(VLOOKUP(C86,Gossip!A:B,2,0),"")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IFERROR($C$1-1+_xlfn.RANK.EQ(B87,$B$4:$B$40)+COUNTIF(B$4:$B87,B87)-1,"")</f>
        <v/>
      </c>
      <c r="D87" s="1" t="str">
        <f ca="1">IFERROR(VLOOKUP(C87,Gossip!A:B,2,0),"")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IFERROR($C$1-1+_xlfn.RANK.EQ(B88,$B$4:$B$40)+COUNTIF(B$4:$B88,B88)-1,"")</f>
        <v/>
      </c>
      <c r="D88" s="1" t="str">
        <f ca="1">IFERROR(VLOOKUP(C88,Gossip!A:B,2,0),"")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IFERROR($C$1-1+_xlfn.RANK.EQ(B89,$B$4:$B$40)+COUNTIF(B$4:$B89,B89)-1,"")</f>
        <v/>
      </c>
      <c r="D89" s="1" t="str">
        <f ca="1">IFERROR(VLOOKUP(C89,Gossip!A:B,2,0),"")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IFERROR($C$1-1+_xlfn.RANK.EQ(B90,$B$4:$B$40)+COUNTIF(B$4:$B90,B90)-1,"")</f>
        <v/>
      </c>
      <c r="D90" s="1" t="str">
        <f ca="1">IFERROR(VLOOKUP(C90,Gossip!A:B,2,0),"")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IFERROR($C$1-1+_xlfn.RANK.EQ(B91,$B$4:$B$40)+COUNTIF(B$4:$B91,B91)-1,"")</f>
        <v/>
      </c>
      <c r="D91" s="1" t="str">
        <f ca="1">IFERROR(VLOOKUP(C91,Gossip!A:B,2,0),"")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IFERROR($C$1-1+_xlfn.RANK.EQ(B92,$B$4:$B$40)+COUNTIF(B$4:$B92,B92)-1,"")</f>
        <v/>
      </c>
      <c r="D92" s="1" t="str">
        <f ca="1">IFERROR(VLOOKUP(C92,Gossip!A:B,2,0),"")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IFERROR($C$1-1+_xlfn.RANK.EQ(B93,$B$4:$B$40)+COUNTIF(B$4:$B93,B93)-1,"")</f>
        <v/>
      </c>
      <c r="D93" s="1" t="str">
        <f ca="1">IFERROR(VLOOKUP(C93,Gossip!A:B,2,0),"")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IFERROR($C$1-1+_xlfn.RANK.EQ(B94,$B$4:$B$40)+COUNTIF(B$4:$B94,B94)-1,"")</f>
        <v/>
      </c>
      <c r="D94" s="1" t="str">
        <f ca="1">IFERROR(VLOOKUP(C94,Gossip!A:B,2,0),"")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IFERROR($C$1-1+_xlfn.RANK.EQ(B95,$B$4:$B$40)+COUNTIF(B$4:$B95,B95)-1,"")</f>
        <v/>
      </c>
      <c r="D95" s="1" t="str">
        <f ca="1">IFERROR(VLOOKUP(C95,Gossip!A:B,2,0),"")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IFERROR($C$1-1+_xlfn.RANK.EQ(B96,$B$4:$B$40)+COUNTIF(B$4:$B96,B96)-1,"")</f>
        <v/>
      </c>
      <c r="D96" s="1" t="str">
        <f ca="1">IFERROR(VLOOKUP(C96,Gossip!A:B,2,0),"")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IFERROR($C$1-1+_xlfn.RANK.EQ(B97,$B$4:$B$40)+COUNTIF(B$4:$B97,B97)-1,"")</f>
        <v/>
      </c>
      <c r="D97" s="1" t="str">
        <f ca="1">IFERROR(VLOOKUP(C97,Gossip!A:B,2,0),"")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IFERROR($C$1-1+_xlfn.RANK.EQ(B98,$B$4:$B$40)+COUNTIF(B$4:$B98,B98)-1,"")</f>
        <v/>
      </c>
      <c r="D98" s="1" t="str">
        <f ca="1">IFERROR(VLOOKUP(C98,Gossip!A:B,2,0),"")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IFERROR($C$1-1+_xlfn.RANK.EQ(B99,$B$4:$B$40)+COUNTIF(B$4:$B99,B99)-1,"")</f>
        <v/>
      </c>
      <c r="D99" s="1" t="str">
        <f ca="1">IFERROR(VLOOKUP(C99,Gossip!A:B,2,0),"")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IFERROR($C$1-1+_xlfn.RANK.EQ(B100,$B$4:$B$40)+COUNTIF(B$4:$B100,B100)-1,"")</f>
        <v/>
      </c>
      <c r="D100" s="1" t="str">
        <f ca="1">IFERROR(VLOOKUP(C100,Gossip!A:B,2,0),"")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IFERROR($C$1-1+_xlfn.RANK.EQ(B101,$B$4:$B$40)+COUNTIF(B$4:$B101,B101)-1,"")</f>
        <v/>
      </c>
      <c r="D101" s="1" t="str">
        <f ca="1">IFERROR(VLOOKUP(C101,Gossip!A:B,2,0),"")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IFERROR($C$1-1+_xlfn.RANK.EQ(B102,$B$4:$B$40)+COUNTIF(B$4:$B102,B102)-1,"")</f>
        <v/>
      </c>
      <c r="D102" s="1" t="str">
        <f ca="1">IFERROR(VLOOKUP(C102,Gossip!A:B,2,0),"")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IFERROR($C$1-1+_xlfn.RANK.EQ(B103,$B$4:$B$40)+COUNTIF(B$4:$B103,B103)-1,"")</f>
        <v/>
      </c>
      <c r="D103" s="1" t="str">
        <f ca="1">IFERROR(VLOOKUP(C103,Gossip!A:B,2,0),"")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IFERROR($C$1-1+_xlfn.RANK.EQ(B104,$B$4:$B$40)+COUNTIF(B$4:$B104,B104)-1,"")</f>
        <v/>
      </c>
      <c r="D104" s="1" t="str">
        <f ca="1">IFERROR(VLOOKUP(C104,Gossip!A:B,2,0),"")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IFERROR($C$1-1+_xlfn.RANK.EQ(B105,$B$4:$B$40)+COUNTIF(B$4:$B105,B105)-1,"")</f>
        <v/>
      </c>
      <c r="D105" s="1" t="str">
        <f ca="1">IFERROR(VLOOKUP(C105,Gossip!A:B,2,0),"")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IFERROR($C$1-1+_xlfn.RANK.EQ(B106,$B$4:$B$40)+COUNTIF(B$4:$B106,B106)-1,"")</f>
        <v/>
      </c>
      <c r="D106" s="1" t="str">
        <f ca="1">IFERROR(VLOOKUP(C106,Gossip!A:B,2,0),"")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IFERROR($C$1-1+_xlfn.RANK.EQ(B107,$B$4:$B$40)+COUNTIF(B$4:$B107,B107)-1,"")</f>
        <v/>
      </c>
      <c r="D107" s="1" t="str">
        <f ca="1">IFERROR(VLOOKUP(C107,Gossip!A:B,2,0),"")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IFERROR($C$1-1+_xlfn.RANK.EQ(B108,$B$4:$B$40)+COUNTIF(B$4:$B108,B108)-1,"")</f>
        <v/>
      </c>
      <c r="D108" s="1" t="str">
        <f ca="1">IFERROR(VLOOKUP(C108,Gossip!A:B,2,0),"")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IFERROR($C$1-1+_xlfn.RANK.EQ(B109,$B$4:$B$40)+COUNTIF(B$4:$B109,B109)-1,"")</f>
        <v/>
      </c>
      <c r="D109" s="1" t="str">
        <f ca="1">IFERROR(VLOOKUP(C109,Gossip!A:B,2,0),"")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IFERROR($C$1-1+_xlfn.RANK.EQ(B110,$B$4:$B$40)+COUNTIF(B$4:$B110,B110)-1,"")</f>
        <v/>
      </c>
      <c r="D110" s="1" t="str">
        <f ca="1">IFERROR(VLOOKUP(C110,Gossip!A:B,2,0),"")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IFERROR($C$1-1+_xlfn.RANK.EQ(B111,$B$4:$B$40)+COUNTIF(B$4:$B111,B111)-1,"")</f>
        <v/>
      </c>
      <c r="D111" s="1" t="str">
        <f ca="1">IFERROR(VLOOKUP(C111,Gossip!A:B,2,0),"")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IFERROR($C$1-1+_xlfn.RANK.EQ(B112,$B$4:$B$40)+COUNTIF(B$4:$B112,B112)-1,"")</f>
        <v/>
      </c>
      <c r="D112" s="1" t="str">
        <f ca="1">IFERROR(VLOOKUP(C112,Gossip!A:B,2,0),"")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IFERROR($C$1-1+_xlfn.RANK.EQ(B113,$B$4:$B$40)+COUNTIF(B$4:$B113,B113)-1,"")</f>
        <v/>
      </c>
      <c r="D113" s="1" t="str">
        <f ca="1">IFERROR(VLOOKUP(C113,Gossip!A:B,2,0),"")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IFERROR($C$1-1+_xlfn.RANK.EQ(B114,$B$4:$B$40)+COUNTIF(B$4:$B114,B114)-1,"")</f>
        <v/>
      </c>
      <c r="D114" s="1" t="str">
        <f ca="1">IFERROR(VLOOKUP(C114,Gossip!A:B,2,0),"")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IFERROR($C$1-1+_xlfn.RANK.EQ(B115,$B$4:$B$40)+COUNTIF(B$4:$B115,B115)-1,"")</f>
        <v/>
      </c>
      <c r="D115" s="1" t="str">
        <f ca="1">IFERROR(VLOOKUP(C115,Gossip!A:B,2,0),"")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IFERROR($C$1-1+_xlfn.RANK.EQ(B116,$B$4:$B$40)+COUNTIF(B$4:$B116,B116)-1,"")</f>
        <v/>
      </c>
      <c r="D116" s="1" t="str">
        <f ca="1">IFERROR(VLOOKUP(C116,Gossip!A:B,2,0),"")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IFERROR($C$1-1+_xlfn.RANK.EQ(B117,$B$4:$B$40)+COUNTIF(B$4:$B117,B117)-1,"")</f>
        <v/>
      </c>
      <c r="D117" s="1" t="str">
        <f ca="1">IFERROR(VLOOKUP(C117,Gossip!A:B,2,0),"")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IFERROR($C$1-1+_xlfn.RANK.EQ(B118,$B$4:$B$40)+COUNTIF(B$4:$B118,B118)-1,"")</f>
        <v/>
      </c>
      <c r="D118" s="1" t="str">
        <f ca="1">IFERROR(VLOOKUP(C118,Gossip!A:B,2,0),"")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IFERROR($C$1-1+_xlfn.RANK.EQ(B119,$B$4:$B$40)+COUNTIF(B$4:$B119,B119)-1,"")</f>
        <v/>
      </c>
      <c r="D119" s="1" t="str">
        <f ca="1">IFERROR(VLOOKUP(C119,Gossip!A:B,2,0),"")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IFERROR($C$1-1+_xlfn.RANK.EQ(B120,$B$4:$B$40)+COUNTIF(B$4:$B120,B120)-1,"")</f>
        <v/>
      </c>
      <c r="D120" s="1" t="str">
        <f ca="1">IFERROR(VLOOKUP(C120,Gossip!A:B,2,0),"")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IFERROR($C$1-1+_xlfn.RANK.EQ(B121,$B$4:$B$40)+COUNTIF(B$4:$B121,B121)-1,"")</f>
        <v/>
      </c>
      <c r="D121" s="1" t="str">
        <f ca="1">IFERROR(VLOOKUP(C121,Gossip!A:B,2,0),"")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IFERROR($C$1-1+_xlfn.RANK.EQ(B122,$B$4:$B$40)+COUNTIF(B$4:$B122,B122)-1,"")</f>
        <v/>
      </c>
      <c r="D122" s="1" t="str">
        <f ca="1">IFERROR(VLOOKUP(C122,Gossip!A:B,2,0),"")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IFERROR($C$1-1+_xlfn.RANK.EQ(B123,$B$4:$B$40)+COUNTIF(B$4:$B123,B123)-1,"")</f>
        <v/>
      </c>
      <c r="D123" s="1" t="str">
        <f ca="1">IFERROR(VLOOKUP(C123,Gossip!A:B,2,0),"")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IFERROR($C$1-1+_xlfn.RANK.EQ(B124,$B$4:$B$40)+COUNTIF(B$4:$B124,B124)-1,"")</f>
        <v/>
      </c>
      <c r="D124" s="1" t="str">
        <f ca="1">IFERROR(VLOOKUP(C124,Gossip!A:B,2,0),"")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IFERROR($C$1-1+_xlfn.RANK.EQ(B125,$B$4:$B$40)+COUNTIF(B$4:$B125,B125)-1,"")</f>
        <v/>
      </c>
      <c r="D125" s="1" t="str">
        <f ca="1">IFERROR(VLOOKUP(C125,Gossip!A:B,2,0),"")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IFERROR($C$1-1+_xlfn.RANK.EQ(B126,$B$4:$B$40)+COUNTIF(B$4:$B126,B126)-1,"")</f>
        <v/>
      </c>
      <c r="D126" s="1" t="str">
        <f ca="1">IFERROR(VLOOKUP(C126,Gossip!A:B,2,0),"")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IFERROR($C$1-1+_xlfn.RANK.EQ(B127,$B$4:$B$40)+COUNTIF(B$4:$B127,B127)-1,"")</f>
        <v/>
      </c>
      <c r="D127" s="1" t="str">
        <f ca="1">IFERROR(VLOOKUP(C127,Gossip!A:B,2,0),"")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IFERROR($C$1-1+_xlfn.RANK.EQ(B128,$B$4:$B$40)+COUNTIF(B$4:$B128,B128)-1,"")</f>
        <v/>
      </c>
      <c r="D128" s="1" t="str">
        <f ca="1">IFERROR(VLOOKUP(C128,Gossip!A:B,2,0),"")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IFERROR($C$1-1+_xlfn.RANK.EQ(B129,$B$4:$B$40)+COUNTIF(B$4:$B129,B129)-1,"")</f>
        <v/>
      </c>
      <c r="D129" s="1" t="str">
        <f ca="1">IFERROR(VLOOKUP(C129,Gossip!A:B,2,0),"")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IFERROR($C$1-1+_xlfn.RANK.EQ(B130,$B$4:$B$40)+COUNTIF(B$4:$B130,B130)-1,"")</f>
        <v/>
      </c>
      <c r="D130" s="1" t="str">
        <f ca="1">IFERROR(VLOOKUP(C130,Gossip!A:B,2,0),"")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IFERROR($C$1-1+_xlfn.RANK.EQ(B131,$B$4:$B$40)+COUNTIF(B$4:$B131,B131)-1,"")</f>
        <v/>
      </c>
      <c r="D131" s="1" t="str">
        <f ca="1">IFERROR(VLOOKUP(C131,Gossip!A:B,2,0),"")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IFERROR($C$1-1+_xlfn.RANK.EQ(B132,$B$4:$B$40)+COUNTIF(B$4:$B132,B132)-1,"")</f>
        <v/>
      </c>
      <c r="D132" s="1" t="str">
        <f ca="1">IFERROR(VLOOKUP(C132,Gossip!A:B,2,0),"")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IFERROR($C$1-1+_xlfn.RANK.EQ(B133,$B$4:$B$40)+COUNTIF(B$4:$B133,B133)-1,"")</f>
        <v/>
      </c>
      <c r="D133" s="1" t="str">
        <f ca="1">IFERROR(VLOOKUP(C133,Gossip!A:B,2,0),"")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IFERROR($C$1-1+_xlfn.RANK.EQ(B134,$B$4:$B$40)+COUNTIF(B$4:$B134,B134)-1,"")</f>
        <v/>
      </c>
      <c r="D134" s="1" t="str">
        <f ca="1">IFERROR(VLOOKUP(C134,Gossip!A:B,2,0),"")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IFERROR($C$1-1+_xlfn.RANK.EQ(B135,$B$4:$B$40)+COUNTIF(B$4:$B135,B135)-1,"")</f>
        <v/>
      </c>
      <c r="D135" s="1" t="str">
        <f ca="1">IFERROR(VLOOKUP(C135,Gossip!A:B,2,0),"")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IFERROR($C$1-1+_xlfn.RANK.EQ(B136,$B$4:$B$40)+COUNTIF(B$4:$B136,B136)-1,"")</f>
        <v/>
      </c>
      <c r="D136" s="1" t="str">
        <f ca="1">IFERROR(VLOOKUP(C136,Gossip!A:B,2,0),"")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IFERROR($C$1-1+_xlfn.RANK.EQ(B137,$B$4:$B$40)+COUNTIF(B$4:$B137,B137)-1,"")</f>
        <v/>
      </c>
      <c r="D137" s="1" t="str">
        <f ca="1">IFERROR(VLOOKUP(C137,Gossip!A:B,2,0),"")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IFERROR($C$1-1+_xlfn.RANK.EQ(B138,$B$4:$B$40)+COUNTIF(B$4:$B138,B138)-1,"")</f>
        <v/>
      </c>
      <c r="D138" s="1" t="str">
        <f ca="1">IFERROR(VLOOKUP(C138,Gossip!A:B,2,0),"")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IFERROR($C$1-1+_xlfn.RANK.EQ(B139,$B$4:$B$40)+COUNTIF(B$4:$B139,B139)-1,"")</f>
        <v/>
      </c>
      <c r="D139" s="1" t="str">
        <f ca="1">IFERROR(VLOOKUP(C139,Gossip!A:B,2,0),"")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IFERROR($C$1-1+_xlfn.RANK.EQ(B140,$B$4:$B$40)+COUNTIF(B$4:$B140,B140)-1,"")</f>
        <v/>
      </c>
      <c r="D140" s="1" t="str">
        <f ca="1">IFERROR(VLOOKUP(C140,Gossip!A:B,2,0),"")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IFERROR($C$1-1+_xlfn.RANK.EQ(B141,$B$4:$B$40)+COUNTIF(B$4:$B141,B141)-1,"")</f>
        <v/>
      </c>
      <c r="D141" s="1" t="str">
        <f ca="1">IFERROR(VLOOKUP(C141,Gossip!A:B,2,0),"")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IFERROR($C$1-1+_xlfn.RANK.EQ(B142,$B$4:$B$40)+COUNTIF(B$4:$B142,B142)-1,"")</f>
        <v/>
      </c>
      <c r="D142" s="1" t="str">
        <f ca="1">IFERROR(VLOOKUP(C142,Gossip!A:B,2,0),"")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:E1"/>
  <sheetViews>
    <sheetView zoomScale="96" zoomScaleNormal="96" workbookViewId="0">
      <selection sqref="A1:XFD1048576"/>
    </sheetView>
  </sheetViews>
  <sheetFormatPr defaultRowHeight="13.8" x14ac:dyDescent="0.25"/>
  <cols>
    <col min="1" max="5" width="8.796875" style="1"/>
  </cols>
  <sheetData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6718-A9E9-438B-B207-C9ED05A276B1}">
  <dimension ref="A1"/>
  <sheetViews>
    <sheetView topLeftCell="A11" workbookViewId="0">
      <selection activeCell="D20" sqref="D20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Gossip</vt:lpstr>
      <vt:lpstr>Viet</vt:lpstr>
      <vt:lpstr>Sum</vt:lpstr>
      <vt:lpstr>Ramdom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2023-07-08T03:28:39Z</dcterms:modified>
</cp:coreProperties>
</file>