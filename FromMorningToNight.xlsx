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From morning to night\"/>
    </mc:Choice>
  </mc:AlternateContent>
  <xr:revisionPtr revIDLastSave="0" documentId="13_ncr:1_{F81E3996-2B91-4398-8F39-24199FC7B087}" xr6:coauthVersionLast="47" xr6:coauthVersionMax="47" xr10:uidLastSave="{00000000-0000-0000-0000-000000000000}"/>
  <bookViews>
    <workbookView xWindow="-108" yWindow="-108" windowWidth="23256" windowHeight="12456" tabRatio="608" activeTab="1" xr2:uid="{719E5D2F-C632-4960-9266-638D7C9B24E2}"/>
  </bookViews>
  <sheets>
    <sheet name="From morning to night" sheetId="1" r:id="rId1"/>
    <sheet name="Viet" sheetId="5" r:id="rId2"/>
    <sheet name="Ramdom" sheetId="2" r:id="rId3"/>
    <sheet name="Sheet1" sheetId="3" r:id="rId4"/>
  </sheets>
  <definedNames>
    <definedName name="_xlnm._FilterDatabase" localSheetId="0" hidden="1">'From morning to night'!$B$3:$I$210</definedName>
    <definedName name="_xlnm._FilterDatabase" localSheetId="2" hidden="1">Ramdom!$B$3:$E$295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C12" i="5"/>
  <c r="C13" i="5"/>
  <c r="F124" i="1"/>
  <c r="C4" i="5"/>
  <c r="C5" i="5"/>
  <c r="C6" i="5"/>
  <c r="C7" i="5"/>
  <c r="C8" i="5"/>
  <c r="C9" i="5"/>
  <c r="C3" i="5"/>
  <c r="D10" i="5"/>
  <c r="C10" i="5" s="1"/>
  <c r="D11" i="5"/>
  <c r="D12" i="5"/>
  <c r="D13" i="5"/>
  <c r="D4" i="5"/>
  <c r="D5" i="5"/>
  <c r="D6" i="5"/>
  <c r="D7" i="5"/>
  <c r="D8" i="5"/>
  <c r="D9" i="5"/>
  <c r="D3" i="5"/>
  <c r="G117" i="1"/>
  <c r="F117" i="1" s="1"/>
  <c r="G118" i="1"/>
  <c r="F118" i="1" s="1"/>
  <c r="G119" i="1"/>
  <c r="F119" i="1" s="1"/>
  <c r="G120" i="1"/>
  <c r="F120" i="1" s="1"/>
  <c r="G121" i="1"/>
  <c r="F121" i="1" s="1"/>
  <c r="G139" i="1"/>
  <c r="F139" i="1" s="1"/>
  <c r="G140" i="1"/>
  <c r="F140" i="1" s="1"/>
  <c r="G141" i="1"/>
  <c r="F141" i="1" s="1"/>
  <c r="G142" i="1"/>
  <c r="F142" i="1" s="1"/>
  <c r="G143" i="1"/>
  <c r="F143" i="1" s="1"/>
  <c r="G123" i="1"/>
  <c r="F123" i="1" s="1"/>
  <c r="G124" i="1"/>
  <c r="G125" i="1"/>
  <c r="F125" i="1" s="1"/>
  <c r="G126" i="1"/>
  <c r="F126" i="1" s="1"/>
  <c r="G127" i="1"/>
  <c r="F127" i="1" s="1"/>
  <c r="G128" i="1"/>
  <c r="F128" i="1" s="1"/>
  <c r="G129" i="1"/>
  <c r="F129" i="1" s="1"/>
  <c r="G130" i="1"/>
  <c r="F130" i="1" s="1"/>
  <c r="G131" i="1"/>
  <c r="F131" i="1" s="1"/>
  <c r="G132" i="1"/>
  <c r="F132" i="1" s="1"/>
  <c r="G133" i="1"/>
  <c r="F133" i="1" s="1"/>
  <c r="G134" i="1"/>
  <c r="F134" i="1" s="1"/>
  <c r="G135" i="1"/>
  <c r="F135" i="1" s="1"/>
  <c r="G136" i="1"/>
  <c r="F136" i="1" s="1"/>
  <c r="G137" i="1"/>
  <c r="F137" i="1" s="1"/>
  <c r="G138" i="1"/>
  <c r="F138" i="1" s="1"/>
  <c r="G122" i="1"/>
  <c r="F122" i="1" s="1"/>
  <c r="G144" i="1"/>
  <c r="F144" i="1" s="1"/>
  <c r="G35" i="1"/>
  <c r="F35" i="1" s="1"/>
  <c r="G38" i="1"/>
  <c r="F38" i="1" s="1"/>
  <c r="G41" i="1"/>
  <c r="F41" i="1" s="1"/>
  <c r="G44" i="1"/>
  <c r="F44" i="1" s="1"/>
  <c r="G47" i="1"/>
  <c r="F47" i="1" s="1"/>
  <c r="G50" i="1"/>
  <c r="F50" i="1" s="1"/>
  <c r="G53" i="1"/>
  <c r="F53" i="1" s="1"/>
  <c r="G56" i="1"/>
  <c r="F56" i="1" s="1"/>
  <c r="G59" i="1"/>
  <c r="F59" i="1" s="1"/>
  <c r="G62" i="1"/>
  <c r="F62" i="1" s="1"/>
  <c r="G65" i="1"/>
  <c r="F65" i="1" s="1"/>
  <c r="G68" i="1"/>
  <c r="F68" i="1" s="1"/>
  <c r="G71" i="1"/>
  <c r="F71" i="1" s="1"/>
  <c r="G74" i="1"/>
  <c r="F74" i="1" s="1"/>
  <c r="G77" i="1"/>
  <c r="F77" i="1" s="1"/>
  <c r="G80" i="1"/>
  <c r="F80" i="1" s="1"/>
  <c r="G83" i="1"/>
  <c r="F83" i="1" s="1"/>
  <c r="G86" i="1"/>
  <c r="F86" i="1" s="1"/>
  <c r="G89" i="1"/>
  <c r="F89" i="1" s="1"/>
  <c r="G92" i="1"/>
  <c r="F92" i="1" s="1"/>
  <c r="G95" i="1"/>
  <c r="F95" i="1" s="1"/>
  <c r="G98" i="1"/>
  <c r="F98" i="1" s="1"/>
  <c r="G101" i="1"/>
  <c r="F101" i="1" s="1"/>
  <c r="G104" i="1"/>
  <c r="F104" i="1" s="1"/>
  <c r="G107" i="1"/>
  <c r="F107" i="1" s="1"/>
  <c r="G110" i="1"/>
  <c r="F110" i="1" s="1"/>
  <c r="G113" i="1"/>
  <c r="F113" i="1" s="1"/>
  <c r="G116" i="1"/>
  <c r="F116" i="1" s="1"/>
  <c r="G146" i="1"/>
  <c r="F146" i="1" s="1"/>
  <c r="G149" i="1"/>
  <c r="F149" i="1" s="1"/>
  <c r="G152" i="1"/>
  <c r="F152" i="1" s="1"/>
  <c r="G155" i="1"/>
  <c r="F155" i="1" s="1"/>
  <c r="G158" i="1"/>
  <c r="F158" i="1" s="1"/>
  <c r="G161" i="1"/>
  <c r="F161" i="1" s="1"/>
  <c r="G164" i="1"/>
  <c r="F164" i="1" s="1"/>
  <c r="G167" i="1"/>
  <c r="F167" i="1" s="1"/>
  <c r="G170" i="1"/>
  <c r="F170" i="1" s="1"/>
  <c r="G173" i="1"/>
  <c r="F173" i="1" s="1"/>
  <c r="G176" i="1"/>
  <c r="F176" i="1" s="1"/>
  <c r="G179" i="1"/>
  <c r="F179" i="1" s="1"/>
  <c r="G182" i="1"/>
  <c r="F182" i="1" s="1"/>
  <c r="G185" i="1"/>
  <c r="F185" i="1" s="1"/>
  <c r="G188" i="1"/>
  <c r="F188" i="1" s="1"/>
  <c r="G191" i="1"/>
  <c r="F191" i="1" s="1"/>
  <c r="G194" i="1"/>
  <c r="F194" i="1" s="1"/>
  <c r="G197" i="1"/>
  <c r="F197" i="1" s="1"/>
  <c r="G200" i="1"/>
  <c r="F200" i="1" s="1"/>
  <c r="G203" i="1"/>
  <c r="F203" i="1" s="1"/>
  <c r="G206" i="1"/>
  <c r="F206" i="1" s="1"/>
  <c r="G209" i="1"/>
  <c r="F209" i="1" s="1"/>
  <c r="G60" i="1"/>
  <c r="F60" i="1" s="1"/>
  <c r="G61" i="1"/>
  <c r="F61" i="1" s="1"/>
  <c r="G63" i="1"/>
  <c r="F63" i="1" s="1"/>
  <c r="G64" i="1"/>
  <c r="F64" i="1" s="1"/>
  <c r="G66" i="1"/>
  <c r="F66" i="1" s="1"/>
  <c r="G67" i="1"/>
  <c r="F67" i="1" s="1"/>
  <c r="G69" i="1"/>
  <c r="F69" i="1" s="1"/>
  <c r="G70" i="1"/>
  <c r="F70" i="1" s="1"/>
  <c r="G72" i="1"/>
  <c r="F72" i="1" s="1"/>
  <c r="G73" i="1"/>
  <c r="F73" i="1" s="1"/>
  <c r="G75" i="1"/>
  <c r="F75" i="1" s="1"/>
  <c r="G76" i="1"/>
  <c r="F76" i="1" s="1"/>
  <c r="G78" i="1"/>
  <c r="F78" i="1" s="1"/>
  <c r="G79" i="1"/>
  <c r="F79" i="1" s="1"/>
  <c r="G32" i="1"/>
  <c r="F32" i="1" s="1"/>
  <c r="G29" i="1"/>
  <c r="F29" i="1" s="1"/>
  <c r="G26" i="1"/>
  <c r="F26" i="1" s="1"/>
  <c r="G23" i="1"/>
  <c r="F23" i="1" s="1"/>
  <c r="G20" i="1"/>
  <c r="F20" i="1" s="1"/>
  <c r="G17" i="1"/>
  <c r="F17" i="1" s="1"/>
  <c r="G14" i="1"/>
  <c r="F14" i="1" s="1"/>
  <c r="G11" i="1"/>
  <c r="F11" i="1" s="1"/>
  <c r="G8" i="1"/>
  <c r="F8" i="1" s="1"/>
  <c r="G5" i="1"/>
  <c r="F5" i="1" s="1"/>
  <c r="G6" i="1"/>
  <c r="F6" i="1" s="1"/>
  <c r="G7" i="1"/>
  <c r="F7" i="1" s="1"/>
  <c r="G9" i="1"/>
  <c r="F9" i="1" s="1"/>
  <c r="G10" i="1"/>
  <c r="F10" i="1" s="1"/>
  <c r="G12" i="1"/>
  <c r="F12" i="1" s="1"/>
  <c r="G13" i="1"/>
  <c r="F13" i="1" s="1"/>
  <c r="G15" i="1"/>
  <c r="F15" i="1" s="1"/>
  <c r="G16" i="1"/>
  <c r="F16" i="1" s="1"/>
  <c r="G18" i="1"/>
  <c r="F18" i="1" s="1"/>
  <c r="G19" i="1"/>
  <c r="F19" i="1" s="1"/>
  <c r="G21" i="1"/>
  <c r="F21" i="1" s="1"/>
  <c r="G22" i="1"/>
  <c r="F22" i="1" s="1"/>
  <c r="G24" i="1"/>
  <c r="F24" i="1" s="1"/>
  <c r="G25" i="1"/>
  <c r="F25" i="1" s="1"/>
  <c r="G27" i="1"/>
  <c r="F27" i="1" s="1"/>
  <c r="G28" i="1"/>
  <c r="F28" i="1" s="1"/>
  <c r="G30" i="1"/>
  <c r="F30" i="1" s="1"/>
  <c r="G31" i="1"/>
  <c r="F31" i="1" s="1"/>
  <c r="G33" i="1"/>
  <c r="F33" i="1" s="1"/>
  <c r="G34" i="1"/>
  <c r="F34" i="1" s="1"/>
  <c r="G36" i="1"/>
  <c r="F36" i="1" s="1"/>
  <c r="G37" i="1"/>
  <c r="F37" i="1" s="1"/>
  <c r="G39" i="1"/>
  <c r="F39" i="1" s="1"/>
  <c r="G40" i="1"/>
  <c r="F40" i="1" s="1"/>
  <c r="G42" i="1"/>
  <c r="F42" i="1" s="1"/>
  <c r="G43" i="1"/>
  <c r="F43" i="1" s="1"/>
  <c r="G45" i="1"/>
  <c r="F45" i="1" s="1"/>
  <c r="G46" i="1"/>
  <c r="F46" i="1" s="1"/>
  <c r="G48" i="1"/>
  <c r="F48" i="1" s="1"/>
  <c r="G49" i="1"/>
  <c r="F49" i="1" s="1"/>
  <c r="G51" i="1"/>
  <c r="F51" i="1" s="1"/>
  <c r="G52" i="1"/>
  <c r="F52" i="1" s="1"/>
  <c r="G54" i="1"/>
  <c r="F54" i="1" s="1"/>
  <c r="G55" i="1"/>
  <c r="F55" i="1" s="1"/>
  <c r="G57" i="1"/>
  <c r="F57" i="1" s="1"/>
  <c r="G58" i="1"/>
  <c r="F58" i="1" s="1"/>
  <c r="G81" i="1"/>
  <c r="F81" i="1" s="1"/>
  <c r="G82" i="1"/>
  <c r="F82" i="1" s="1"/>
  <c r="G84" i="1"/>
  <c r="F84" i="1" s="1"/>
  <c r="G85" i="1"/>
  <c r="F85" i="1" s="1"/>
  <c r="G87" i="1"/>
  <c r="F87" i="1" s="1"/>
  <c r="G88" i="1"/>
  <c r="F88" i="1" s="1"/>
  <c r="G90" i="1"/>
  <c r="F90" i="1" s="1"/>
  <c r="G91" i="1"/>
  <c r="F91" i="1" s="1"/>
  <c r="G93" i="1"/>
  <c r="F93" i="1" s="1"/>
  <c r="G94" i="1"/>
  <c r="F94" i="1" s="1"/>
  <c r="G96" i="1"/>
  <c r="F96" i="1" s="1"/>
  <c r="G97" i="1"/>
  <c r="F97" i="1" s="1"/>
  <c r="G99" i="1"/>
  <c r="F99" i="1" s="1"/>
  <c r="G100" i="1"/>
  <c r="F100" i="1" s="1"/>
  <c r="G102" i="1"/>
  <c r="F102" i="1" s="1"/>
  <c r="G103" i="1"/>
  <c r="F103" i="1" s="1"/>
  <c r="G105" i="1"/>
  <c r="F105" i="1" s="1"/>
  <c r="G106" i="1"/>
  <c r="F106" i="1" s="1"/>
  <c r="G108" i="1"/>
  <c r="F108" i="1" s="1"/>
  <c r="G109" i="1"/>
  <c r="F109" i="1" s="1"/>
  <c r="G111" i="1"/>
  <c r="F111" i="1" s="1"/>
  <c r="G112" i="1"/>
  <c r="F112" i="1" s="1"/>
  <c r="G114" i="1"/>
  <c r="F114" i="1" s="1"/>
  <c r="G115" i="1"/>
  <c r="F115" i="1" s="1"/>
  <c r="G145" i="1"/>
  <c r="F145" i="1" s="1"/>
  <c r="G147" i="1"/>
  <c r="F147" i="1" s="1"/>
  <c r="G148" i="1"/>
  <c r="F148" i="1" s="1"/>
  <c r="G150" i="1"/>
  <c r="F150" i="1" s="1"/>
  <c r="G151" i="1"/>
  <c r="F151" i="1" s="1"/>
  <c r="G153" i="1"/>
  <c r="F153" i="1" s="1"/>
  <c r="G154" i="1"/>
  <c r="F154" i="1" s="1"/>
  <c r="G156" i="1"/>
  <c r="F156" i="1" s="1"/>
  <c r="G157" i="1"/>
  <c r="F157" i="1" s="1"/>
  <c r="G159" i="1"/>
  <c r="F159" i="1" s="1"/>
  <c r="G160" i="1"/>
  <c r="F160" i="1" s="1"/>
  <c r="G162" i="1"/>
  <c r="F162" i="1" s="1"/>
  <c r="G163" i="1"/>
  <c r="F163" i="1" s="1"/>
  <c r="G165" i="1"/>
  <c r="F165" i="1" s="1"/>
  <c r="G166" i="1"/>
  <c r="F166" i="1" s="1"/>
  <c r="G168" i="1"/>
  <c r="F168" i="1" s="1"/>
  <c r="G169" i="1"/>
  <c r="F169" i="1" s="1"/>
  <c r="G171" i="1"/>
  <c r="F171" i="1" s="1"/>
  <c r="G172" i="1"/>
  <c r="F172" i="1" s="1"/>
  <c r="G174" i="1"/>
  <c r="F174" i="1" s="1"/>
  <c r="G175" i="1"/>
  <c r="F175" i="1" s="1"/>
  <c r="G177" i="1"/>
  <c r="F177" i="1" s="1"/>
  <c r="G178" i="1"/>
  <c r="F178" i="1" s="1"/>
  <c r="G180" i="1"/>
  <c r="F180" i="1" s="1"/>
  <c r="G181" i="1"/>
  <c r="F181" i="1" s="1"/>
  <c r="G183" i="1"/>
  <c r="F183" i="1" s="1"/>
  <c r="G184" i="1"/>
  <c r="F184" i="1" s="1"/>
  <c r="G186" i="1"/>
  <c r="F186" i="1" s="1"/>
  <c r="G187" i="1"/>
  <c r="F187" i="1" s="1"/>
  <c r="G189" i="1"/>
  <c r="F189" i="1" s="1"/>
  <c r="G190" i="1"/>
  <c r="F190" i="1" s="1"/>
  <c r="G192" i="1"/>
  <c r="F192" i="1" s="1"/>
  <c r="G193" i="1"/>
  <c r="F193" i="1" s="1"/>
  <c r="G195" i="1"/>
  <c r="F195" i="1" s="1"/>
  <c r="G196" i="1"/>
  <c r="F196" i="1" s="1"/>
  <c r="G198" i="1"/>
  <c r="F198" i="1" s="1"/>
  <c r="G199" i="1"/>
  <c r="F199" i="1" s="1"/>
  <c r="G201" i="1"/>
  <c r="F201" i="1" s="1"/>
  <c r="G202" i="1"/>
  <c r="F202" i="1" s="1"/>
  <c r="G204" i="1"/>
  <c r="F204" i="1" s="1"/>
  <c r="G205" i="1"/>
  <c r="F205" i="1" s="1"/>
  <c r="G207" i="1"/>
  <c r="F207" i="1" s="1"/>
  <c r="G208" i="1"/>
  <c r="F208" i="1" s="1"/>
  <c r="G210" i="1"/>
  <c r="F210" i="1" s="1"/>
  <c r="G4" i="1"/>
  <c r="F4" i="1" s="1"/>
  <c r="A4" i="2"/>
  <c r="A5" i="2" s="1"/>
  <c r="B4" i="2" s="1"/>
  <c r="C208" i="1"/>
  <c r="C205" i="1"/>
  <c r="C202" i="1"/>
  <c r="C199" i="1"/>
  <c r="C196" i="1"/>
  <c r="C193" i="1"/>
  <c r="C190" i="1"/>
  <c r="C187" i="1"/>
  <c r="C184" i="1"/>
  <c r="C181" i="1"/>
  <c r="C178" i="1"/>
  <c r="C175" i="1"/>
  <c r="C172" i="1"/>
  <c r="C169" i="1"/>
  <c r="C166" i="1"/>
  <c r="C163" i="1"/>
  <c r="C160" i="1"/>
  <c r="C157" i="1"/>
  <c r="C154" i="1"/>
  <c r="C151" i="1"/>
  <c r="C148" i="1"/>
  <c r="C145" i="1"/>
  <c r="C142" i="1"/>
  <c r="C139" i="1"/>
  <c r="C136" i="1"/>
  <c r="C133" i="1"/>
  <c r="C130" i="1"/>
  <c r="C127" i="1"/>
  <c r="C124" i="1"/>
  <c r="C121" i="1"/>
  <c r="C118" i="1"/>
  <c r="C115" i="1"/>
  <c r="C112" i="1"/>
  <c r="C109" i="1"/>
  <c r="C106" i="1"/>
  <c r="C103" i="1"/>
  <c r="C100" i="1"/>
  <c r="C97" i="1"/>
  <c r="C94" i="1"/>
  <c r="C91" i="1"/>
  <c r="C88" i="1"/>
  <c r="C85" i="1"/>
  <c r="C82" i="1"/>
  <c r="C79" i="1"/>
  <c r="C76" i="1"/>
  <c r="C73" i="1"/>
  <c r="C70" i="1"/>
  <c r="C67" i="1"/>
  <c r="C64" i="1"/>
  <c r="C61" i="1"/>
  <c r="C58" i="1"/>
  <c r="C55" i="1"/>
  <c r="C52" i="1"/>
  <c r="C49" i="1"/>
  <c r="C46" i="1"/>
  <c r="C43" i="1"/>
  <c r="C40" i="1"/>
  <c r="C37" i="1"/>
  <c r="C34" i="1"/>
  <c r="C31" i="1"/>
  <c r="C28" i="1"/>
  <c r="C25" i="1"/>
  <c r="C22" i="1"/>
  <c r="C19" i="1"/>
  <c r="C16" i="1"/>
  <c r="C13" i="1"/>
  <c r="C10" i="1"/>
  <c r="C7" i="1"/>
  <c r="C4" i="1"/>
  <c r="B5" i="1"/>
  <c r="B6" i="1" s="1"/>
  <c r="C6" i="1" s="1"/>
  <c r="B8" i="1"/>
  <c r="B9" i="1" s="1"/>
  <c r="C9" i="1" s="1"/>
  <c r="B11" i="1"/>
  <c r="B12" i="1" s="1"/>
  <c r="C12" i="1" s="1"/>
  <c r="B14" i="1"/>
  <c r="B15" i="1" s="1"/>
  <c r="C15" i="1" s="1"/>
  <c r="B17" i="1"/>
  <c r="B18" i="1" s="1"/>
  <c r="C18" i="1" s="1"/>
  <c r="B20" i="1"/>
  <c r="B21" i="1" s="1"/>
  <c r="C21" i="1" s="1"/>
  <c r="B23" i="1"/>
  <c r="B24" i="1" s="1"/>
  <c r="C24" i="1" s="1"/>
  <c r="B26" i="1"/>
  <c r="B27" i="1" s="1"/>
  <c r="C27" i="1" s="1"/>
  <c r="B29" i="1"/>
  <c r="B30" i="1" s="1"/>
  <c r="C30" i="1" s="1"/>
  <c r="B32" i="1"/>
  <c r="B33" i="1" s="1"/>
  <c r="C33" i="1" s="1"/>
  <c r="B35" i="1"/>
  <c r="B36" i="1" s="1"/>
  <c r="C36" i="1" s="1"/>
  <c r="B38" i="1"/>
  <c r="C38" i="1" s="1"/>
  <c r="B41" i="1"/>
  <c r="B42" i="1" s="1"/>
  <c r="C42" i="1" s="1"/>
  <c r="B44" i="1"/>
  <c r="B45" i="1" s="1"/>
  <c r="C45" i="1" s="1"/>
  <c r="B47" i="1"/>
  <c r="B48" i="1" s="1"/>
  <c r="C48" i="1" s="1"/>
  <c r="B50" i="1"/>
  <c r="B51" i="1" s="1"/>
  <c r="C51" i="1" s="1"/>
  <c r="B53" i="1"/>
  <c r="B54" i="1" s="1"/>
  <c r="C54" i="1" s="1"/>
  <c r="B56" i="1"/>
  <c r="B57" i="1" s="1"/>
  <c r="C57" i="1" s="1"/>
  <c r="B59" i="1"/>
  <c r="B60" i="1" s="1"/>
  <c r="C60" i="1" s="1"/>
  <c r="B62" i="1"/>
  <c r="B63" i="1" s="1"/>
  <c r="C63" i="1" s="1"/>
  <c r="B65" i="1"/>
  <c r="B66" i="1" s="1"/>
  <c r="C66" i="1" s="1"/>
  <c r="B68" i="1"/>
  <c r="B69" i="1" s="1"/>
  <c r="C69" i="1" s="1"/>
  <c r="B71" i="1"/>
  <c r="B72" i="1" s="1"/>
  <c r="C72" i="1" s="1"/>
  <c r="B74" i="1"/>
  <c r="B75" i="1" s="1"/>
  <c r="C75" i="1" s="1"/>
  <c r="B77" i="1"/>
  <c r="B78" i="1" s="1"/>
  <c r="C78" i="1" s="1"/>
  <c r="B80" i="1"/>
  <c r="B81" i="1" s="1"/>
  <c r="C81" i="1" s="1"/>
  <c r="B83" i="1"/>
  <c r="B84" i="1" s="1"/>
  <c r="C84" i="1" s="1"/>
  <c r="B86" i="1"/>
  <c r="C86" i="1" s="1"/>
  <c r="B89" i="1"/>
  <c r="B90" i="1" s="1"/>
  <c r="C90" i="1" s="1"/>
  <c r="B92" i="1"/>
  <c r="B93" i="1" s="1"/>
  <c r="C93" i="1" s="1"/>
  <c r="B95" i="1"/>
  <c r="B96" i="1" s="1"/>
  <c r="C96" i="1" s="1"/>
  <c r="B98" i="1"/>
  <c r="B99" i="1" s="1"/>
  <c r="C99" i="1" s="1"/>
  <c r="B101" i="1"/>
  <c r="B102" i="1" s="1"/>
  <c r="C102" i="1" s="1"/>
  <c r="B104" i="1"/>
  <c r="B105" i="1" s="1"/>
  <c r="C105" i="1" s="1"/>
  <c r="B107" i="1"/>
  <c r="B108" i="1" s="1"/>
  <c r="C108" i="1" s="1"/>
  <c r="B110" i="1"/>
  <c r="B111" i="1" s="1"/>
  <c r="C111" i="1" s="1"/>
  <c r="B113" i="1"/>
  <c r="B114" i="1" s="1"/>
  <c r="C114" i="1" s="1"/>
  <c r="B116" i="1"/>
  <c r="B117" i="1" s="1"/>
  <c r="C117" i="1" s="1"/>
  <c r="B119" i="1"/>
  <c r="B120" i="1" s="1"/>
  <c r="C120" i="1" s="1"/>
  <c r="B122" i="1"/>
  <c r="B123" i="1" s="1"/>
  <c r="C123" i="1" s="1"/>
  <c r="B125" i="1"/>
  <c r="B126" i="1" s="1"/>
  <c r="C126" i="1" s="1"/>
  <c r="B128" i="1"/>
  <c r="B129" i="1" s="1"/>
  <c r="C129" i="1" s="1"/>
  <c r="B131" i="1"/>
  <c r="B132" i="1" s="1"/>
  <c r="C132" i="1" s="1"/>
  <c r="B134" i="1"/>
  <c r="B135" i="1" s="1"/>
  <c r="C135" i="1" s="1"/>
  <c r="B137" i="1"/>
  <c r="B138" i="1" s="1"/>
  <c r="C138" i="1" s="1"/>
  <c r="B140" i="1"/>
  <c r="B141" i="1" s="1"/>
  <c r="C141" i="1" s="1"/>
  <c r="B143" i="1"/>
  <c r="B144" i="1" s="1"/>
  <c r="C144" i="1" s="1"/>
  <c r="B146" i="1"/>
  <c r="B147" i="1" s="1"/>
  <c r="C147" i="1" s="1"/>
  <c r="B149" i="1"/>
  <c r="B150" i="1" s="1"/>
  <c r="C150" i="1" s="1"/>
  <c r="B152" i="1"/>
  <c r="B153" i="1" s="1"/>
  <c r="C153" i="1" s="1"/>
  <c r="B155" i="1"/>
  <c r="B156" i="1" s="1"/>
  <c r="C156" i="1" s="1"/>
  <c r="B158" i="1"/>
  <c r="B159" i="1" s="1"/>
  <c r="C159" i="1" s="1"/>
  <c r="B161" i="1"/>
  <c r="B162" i="1" s="1"/>
  <c r="C162" i="1" s="1"/>
  <c r="B164" i="1"/>
  <c r="B165" i="1" s="1"/>
  <c r="C165" i="1" s="1"/>
  <c r="B167" i="1"/>
  <c r="B168" i="1" s="1"/>
  <c r="C168" i="1" s="1"/>
  <c r="B170" i="1"/>
  <c r="B171" i="1" s="1"/>
  <c r="C171" i="1" s="1"/>
  <c r="B173" i="1"/>
  <c r="B174" i="1" s="1"/>
  <c r="C174" i="1" s="1"/>
  <c r="B176" i="1"/>
  <c r="B177" i="1" s="1"/>
  <c r="C177" i="1" s="1"/>
  <c r="B179" i="1"/>
  <c r="B180" i="1" s="1"/>
  <c r="C180" i="1" s="1"/>
  <c r="B182" i="1"/>
  <c r="B183" i="1" s="1"/>
  <c r="C183" i="1" s="1"/>
  <c r="B185" i="1"/>
  <c r="B186" i="1" s="1"/>
  <c r="C186" i="1" s="1"/>
  <c r="B188" i="1"/>
  <c r="B189" i="1" s="1"/>
  <c r="C189" i="1" s="1"/>
  <c r="B191" i="1"/>
  <c r="B192" i="1" s="1"/>
  <c r="C192" i="1" s="1"/>
  <c r="B194" i="1"/>
  <c r="B195" i="1" s="1"/>
  <c r="C195" i="1" s="1"/>
  <c r="B197" i="1"/>
  <c r="B198" i="1" s="1"/>
  <c r="C198" i="1" s="1"/>
  <c r="B200" i="1"/>
  <c r="B201" i="1" s="1"/>
  <c r="C201" i="1" s="1"/>
  <c r="B203" i="1"/>
  <c r="B204" i="1" s="1"/>
  <c r="C204" i="1" s="1"/>
  <c r="B206" i="1"/>
  <c r="B207" i="1" s="1"/>
  <c r="C207" i="1" s="1"/>
  <c r="B209" i="1"/>
  <c r="B210" i="1" s="1"/>
  <c r="C210" i="1" s="1"/>
  <c r="C5" i="1" l="1"/>
  <c r="B39" i="1"/>
  <c r="C39" i="1" s="1"/>
  <c r="B87" i="1"/>
  <c r="C87" i="1" s="1"/>
  <c r="C173" i="1"/>
  <c r="C155" i="1"/>
  <c r="C35" i="1"/>
  <c r="C53" i="1"/>
  <c r="C11" i="1"/>
  <c r="C107" i="1"/>
  <c r="C125" i="1"/>
  <c r="C197" i="1"/>
  <c r="C26" i="1"/>
  <c r="C77" i="1"/>
  <c r="C14" i="1"/>
  <c r="C59" i="1"/>
  <c r="C131" i="1"/>
  <c r="C149" i="1"/>
  <c r="C29" i="1"/>
  <c r="C83" i="1"/>
  <c r="C101" i="1"/>
  <c r="C20" i="1"/>
  <c r="C44" i="1"/>
  <c r="C68" i="1"/>
  <c r="C92" i="1"/>
  <c r="C116" i="1"/>
  <c r="C140" i="1"/>
  <c r="C164" i="1"/>
  <c r="C188" i="1"/>
  <c r="C62" i="1"/>
  <c r="C110" i="1"/>
  <c r="C134" i="1"/>
  <c r="C158" i="1"/>
  <c r="C182" i="1"/>
  <c r="C206" i="1"/>
  <c r="C23" i="1"/>
  <c r="C47" i="1"/>
  <c r="C71" i="1"/>
  <c r="C95" i="1"/>
  <c r="C119" i="1"/>
  <c r="C143" i="1"/>
  <c r="C167" i="1"/>
  <c r="C191" i="1"/>
  <c r="C8" i="1"/>
  <c r="C32" i="1"/>
  <c r="C56" i="1"/>
  <c r="C80" i="1"/>
  <c r="C104" i="1"/>
  <c r="C128" i="1"/>
  <c r="C152" i="1"/>
  <c r="C176" i="1"/>
  <c r="C200" i="1"/>
  <c r="C17" i="1"/>
  <c r="C41" i="1"/>
  <c r="C65" i="1"/>
  <c r="C89" i="1"/>
  <c r="C113" i="1"/>
  <c r="C137" i="1"/>
  <c r="C161" i="1"/>
  <c r="C185" i="1"/>
  <c r="C209" i="1"/>
  <c r="C50" i="1"/>
  <c r="C74" i="1"/>
  <c r="C98" i="1"/>
  <c r="C122" i="1"/>
  <c r="C146" i="1"/>
  <c r="C170" i="1"/>
  <c r="C194" i="1"/>
  <c r="C179" i="1"/>
  <c r="C203" i="1"/>
  <c r="A6" i="2"/>
  <c r="B6" i="2" l="1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A35" i="2" l="1"/>
  <c r="B34" i="2"/>
  <c r="A36" i="2" l="1"/>
  <c r="B35" i="2"/>
  <c r="A37" i="2" l="1"/>
  <c r="B36" i="2"/>
  <c r="A38" i="2" l="1"/>
  <c r="B37" i="2"/>
  <c r="A39" i="2" l="1"/>
  <c r="B38" i="2"/>
  <c r="A40" i="2" l="1"/>
  <c r="B39" i="2"/>
  <c r="A41" i="2" l="1"/>
  <c r="B40" i="2"/>
  <c r="A42" i="2" l="1"/>
  <c r="B41" i="2"/>
  <c r="A43" i="2" l="1"/>
  <c r="B42" i="2"/>
  <c r="A44" i="2" l="1"/>
  <c r="B43" i="2"/>
  <c r="A45" i="2" l="1"/>
  <c r="B44" i="2"/>
  <c r="A46" i="2" l="1"/>
  <c r="B45" i="2"/>
  <c r="A47" i="2" l="1"/>
  <c r="B46" i="2"/>
  <c r="A48" i="2" l="1"/>
  <c r="B47" i="2"/>
  <c r="A49" i="2" l="1"/>
  <c r="B48" i="2"/>
  <c r="A50" i="2" l="1"/>
  <c r="B49" i="2"/>
  <c r="A51" i="2" l="1"/>
  <c r="B50" i="2"/>
  <c r="A52" i="2" l="1"/>
  <c r="B51" i="2"/>
  <c r="A53" i="2" l="1"/>
  <c r="B52" i="2"/>
  <c r="A54" i="2" l="1"/>
  <c r="B53" i="2"/>
  <c r="A55" i="2" l="1"/>
  <c r="B54" i="2"/>
  <c r="A56" i="2" l="1"/>
  <c r="B55" i="2"/>
  <c r="A57" i="2" l="1"/>
  <c r="B56" i="2"/>
  <c r="A58" i="2" l="1"/>
  <c r="B57" i="2"/>
  <c r="A59" i="2" l="1"/>
  <c r="B58" i="2"/>
  <c r="A60" i="2" l="1"/>
  <c r="B59" i="2"/>
  <c r="A61" i="2" l="1"/>
  <c r="B60" i="2"/>
  <c r="A62" i="2" l="1"/>
  <c r="B61" i="2"/>
  <c r="A63" i="2" l="1"/>
  <c r="B62" i="2"/>
  <c r="A64" i="2" l="1"/>
  <c r="B63" i="2"/>
  <c r="A65" i="2" l="1"/>
  <c r="B64" i="2"/>
  <c r="A66" i="2" l="1"/>
  <c r="B65" i="2"/>
  <c r="A67" i="2" l="1"/>
  <c r="B66" i="2"/>
  <c r="A68" i="2" l="1"/>
  <c r="B67" i="2"/>
  <c r="A69" i="2" l="1"/>
  <c r="B68" i="2"/>
  <c r="A70" i="2" l="1"/>
  <c r="B69" i="2"/>
  <c r="A71" i="2" l="1"/>
  <c r="B70" i="2"/>
  <c r="A72" i="2" l="1"/>
  <c r="B71" i="2"/>
  <c r="A73" i="2" l="1"/>
  <c r="B72" i="2"/>
  <c r="C43" i="2" l="1"/>
  <c r="C45" i="2"/>
  <c r="C44" i="2"/>
  <c r="C46" i="2"/>
  <c r="C48" i="2"/>
  <c r="C47" i="2"/>
  <c r="C49" i="2"/>
  <c r="C50" i="2"/>
  <c r="C51" i="2"/>
  <c r="C52" i="2"/>
  <c r="C53" i="2"/>
  <c r="C54" i="2"/>
  <c r="C56" i="2"/>
  <c r="C55" i="2"/>
  <c r="C58" i="2"/>
  <c r="C57" i="2"/>
  <c r="C59" i="2"/>
  <c r="C61" i="2"/>
  <c r="C60" i="2"/>
  <c r="C62" i="2"/>
  <c r="C64" i="2"/>
  <c r="C63" i="2"/>
  <c r="C65" i="2"/>
  <c r="C67" i="2"/>
  <c r="C66" i="2"/>
  <c r="C70" i="2"/>
  <c r="C68" i="2"/>
  <c r="E68" i="2" s="1"/>
  <c r="C71" i="2"/>
  <c r="C69" i="2"/>
  <c r="C22" i="2"/>
  <c r="C24" i="2"/>
  <c r="C23" i="2"/>
  <c r="C25" i="2"/>
  <c r="C26" i="2"/>
  <c r="C27" i="2"/>
  <c r="C28" i="2"/>
  <c r="C29" i="2"/>
  <c r="C30" i="2"/>
  <c r="C32" i="2"/>
  <c r="C33" i="2"/>
  <c r="C31" i="2"/>
  <c r="C35" i="2"/>
  <c r="C34" i="2"/>
  <c r="C36" i="2"/>
  <c r="C37" i="2"/>
  <c r="C38" i="2"/>
  <c r="C40" i="2"/>
  <c r="C39" i="2"/>
  <c r="C41" i="2"/>
  <c r="C42" i="2"/>
  <c r="C10" i="2"/>
  <c r="C72" i="2"/>
  <c r="C4" i="2"/>
  <c r="C7" i="2"/>
  <c r="C8" i="2"/>
  <c r="C6" i="2"/>
  <c r="C9" i="2"/>
  <c r="C5" i="2"/>
  <c r="C12" i="2"/>
  <c r="C15" i="2"/>
  <c r="C13" i="2"/>
  <c r="C11" i="2"/>
  <c r="C14" i="2"/>
  <c r="C17" i="2"/>
  <c r="C16" i="2"/>
  <c r="C19" i="2"/>
  <c r="C18" i="2"/>
  <c r="C20" i="2"/>
  <c r="C21" i="2"/>
  <c r="A74" i="2"/>
  <c r="B73" i="2"/>
  <c r="D44" i="2" l="1"/>
  <c r="E44" i="2"/>
  <c r="D26" i="2"/>
  <c r="E26" i="2"/>
  <c r="D65" i="2"/>
  <c r="E65" i="2"/>
  <c r="D57" i="2"/>
  <c r="E57" i="2"/>
  <c r="D49" i="2"/>
  <c r="E49" i="2"/>
  <c r="D41" i="2"/>
  <c r="E41" i="2"/>
  <c r="D33" i="2"/>
  <c r="E33" i="2"/>
  <c r="D25" i="2"/>
  <c r="E25" i="2"/>
  <c r="D17" i="2"/>
  <c r="E17" i="2"/>
  <c r="D9" i="2"/>
  <c r="E9" i="2"/>
  <c r="D51" i="2"/>
  <c r="E51" i="2"/>
  <c r="D11" i="2"/>
  <c r="E11" i="2"/>
  <c r="D64" i="2"/>
  <c r="E64" i="2"/>
  <c r="D56" i="2"/>
  <c r="E56" i="2"/>
  <c r="D48" i="2"/>
  <c r="E48" i="2"/>
  <c r="D39" i="2"/>
  <c r="E39" i="2"/>
  <c r="D32" i="2"/>
  <c r="E32" i="2"/>
  <c r="D23" i="2"/>
  <c r="E23" i="2"/>
  <c r="D15" i="2"/>
  <c r="E15" i="2"/>
  <c r="D8" i="2"/>
  <c r="E8" i="2"/>
  <c r="D18" i="2"/>
  <c r="E18" i="2"/>
  <c r="D71" i="2"/>
  <c r="E71" i="2"/>
  <c r="D62" i="2"/>
  <c r="E62" i="2"/>
  <c r="D54" i="2"/>
  <c r="E54" i="2"/>
  <c r="D46" i="2"/>
  <c r="E46" i="2"/>
  <c r="D40" i="2"/>
  <c r="E40" i="2"/>
  <c r="D31" i="2"/>
  <c r="E31" i="2"/>
  <c r="D24" i="2"/>
  <c r="E24" i="2"/>
  <c r="D14" i="2"/>
  <c r="E14" i="2"/>
  <c r="D6" i="2"/>
  <c r="E6" i="2"/>
  <c r="D70" i="2"/>
  <c r="E70" i="2"/>
  <c r="D63" i="2"/>
  <c r="E63" i="2"/>
  <c r="D55" i="2"/>
  <c r="E55" i="2"/>
  <c r="D47" i="2"/>
  <c r="E47" i="2"/>
  <c r="D38" i="2"/>
  <c r="E38" i="2"/>
  <c r="D30" i="2"/>
  <c r="E30" i="2"/>
  <c r="D22" i="2"/>
  <c r="E22" i="2"/>
  <c r="D16" i="2"/>
  <c r="E16" i="2"/>
  <c r="D4" i="2"/>
  <c r="E4" i="2"/>
  <c r="D69" i="2"/>
  <c r="E69" i="2"/>
  <c r="D36" i="2"/>
  <c r="E36" i="2"/>
  <c r="D66" i="2"/>
  <c r="E66" i="2"/>
  <c r="D61" i="2"/>
  <c r="E61" i="2"/>
  <c r="D53" i="2"/>
  <c r="E53" i="2"/>
  <c r="D45" i="2"/>
  <c r="E45" i="2"/>
  <c r="D37" i="2"/>
  <c r="E37" i="2"/>
  <c r="D29" i="2"/>
  <c r="E29" i="2"/>
  <c r="D21" i="2"/>
  <c r="E21" i="2"/>
  <c r="D13" i="2"/>
  <c r="E13" i="2"/>
  <c r="D7" i="2"/>
  <c r="E7" i="2"/>
  <c r="D58" i="2"/>
  <c r="E58" i="2"/>
  <c r="D67" i="2"/>
  <c r="E67" i="2"/>
  <c r="D60" i="2"/>
  <c r="E60" i="2"/>
  <c r="D52" i="2"/>
  <c r="E52" i="2"/>
  <c r="D43" i="2"/>
  <c r="E43" i="2"/>
  <c r="D34" i="2"/>
  <c r="E34" i="2"/>
  <c r="D27" i="2"/>
  <c r="E27" i="2"/>
  <c r="D20" i="2"/>
  <c r="E20" i="2"/>
  <c r="D12" i="2"/>
  <c r="E12" i="2"/>
  <c r="D72" i="2"/>
  <c r="E72" i="2"/>
  <c r="D59" i="2"/>
  <c r="E59" i="2"/>
  <c r="D50" i="2"/>
  <c r="E50" i="2"/>
  <c r="D42" i="2"/>
  <c r="E42" i="2"/>
  <c r="D35" i="2"/>
  <c r="E35" i="2"/>
  <c r="D28" i="2"/>
  <c r="E28" i="2"/>
  <c r="D19" i="2"/>
  <c r="E19" i="2"/>
  <c r="D5" i="2"/>
  <c r="E5" i="2"/>
  <c r="D10" i="2"/>
  <c r="E10" i="2"/>
  <c r="D68" i="2"/>
  <c r="A75" i="2"/>
  <c r="B74" i="2"/>
  <c r="A76" i="2" l="1"/>
  <c r="B75" i="2"/>
  <c r="A77" i="2" l="1"/>
  <c r="B76" i="2"/>
  <c r="A78" i="2" l="1"/>
  <c r="B77" i="2"/>
  <c r="A79" i="2" l="1"/>
  <c r="B78" i="2"/>
  <c r="A80" i="2" l="1"/>
  <c r="B79" i="2"/>
  <c r="A81" i="2" l="1"/>
  <c r="B80" i="2"/>
  <c r="A82" i="2" l="1"/>
  <c r="B81" i="2"/>
  <c r="A83" i="2" l="1"/>
  <c r="B82" i="2"/>
  <c r="A84" i="2" l="1"/>
  <c r="B83" i="2"/>
  <c r="A85" i="2" l="1"/>
  <c r="B84" i="2"/>
  <c r="A86" i="2" l="1"/>
  <c r="B85" i="2"/>
  <c r="A87" i="2" l="1"/>
  <c r="B86" i="2"/>
  <c r="A88" i="2" l="1"/>
  <c r="B87" i="2"/>
  <c r="A89" i="2" l="1"/>
  <c r="B88" i="2"/>
  <c r="A90" i="2" l="1"/>
  <c r="B89" i="2"/>
  <c r="A91" i="2" l="1"/>
  <c r="B90" i="2"/>
  <c r="A92" i="2" l="1"/>
  <c r="B91" i="2"/>
  <c r="A93" i="2" l="1"/>
  <c r="B92" i="2"/>
  <c r="A94" i="2" l="1"/>
  <c r="B93" i="2"/>
  <c r="A95" i="2" l="1"/>
  <c r="B94" i="2"/>
  <c r="A96" i="2" l="1"/>
  <c r="B95" i="2"/>
  <c r="A97" i="2" l="1"/>
  <c r="B96" i="2"/>
  <c r="A98" i="2" l="1"/>
  <c r="B97" i="2"/>
  <c r="A99" i="2" l="1"/>
  <c r="B98" i="2"/>
  <c r="A100" i="2" l="1"/>
  <c r="B99" i="2"/>
  <c r="A101" i="2" l="1"/>
  <c r="B100" i="2"/>
  <c r="A102" i="2" l="1"/>
  <c r="B101" i="2"/>
  <c r="A103" i="2" l="1"/>
  <c r="B102" i="2"/>
  <c r="A104" i="2" l="1"/>
  <c r="B103" i="2"/>
  <c r="A105" i="2" l="1"/>
  <c r="B104" i="2"/>
  <c r="A106" i="2" l="1"/>
  <c r="B105" i="2"/>
  <c r="A107" i="2" l="1"/>
  <c r="B106" i="2"/>
  <c r="A108" i="2" l="1"/>
  <c r="B107" i="2"/>
  <c r="A109" i="2" l="1"/>
  <c r="B108" i="2"/>
  <c r="A110" i="2" l="1"/>
  <c r="B109" i="2"/>
  <c r="A111" i="2" l="1"/>
  <c r="B110" i="2"/>
  <c r="A112" i="2" l="1"/>
  <c r="B111" i="2"/>
  <c r="A113" i="2" l="1"/>
  <c r="B112" i="2"/>
  <c r="A114" i="2" l="1"/>
  <c r="B113" i="2"/>
  <c r="A115" i="2" l="1"/>
  <c r="B114" i="2"/>
  <c r="A116" i="2" l="1"/>
  <c r="B115" i="2"/>
  <c r="A117" i="2" l="1"/>
  <c r="B116" i="2"/>
  <c r="A118" i="2" l="1"/>
  <c r="B117" i="2"/>
  <c r="A119" i="2" l="1"/>
  <c r="B118" i="2"/>
  <c r="A120" i="2" l="1"/>
  <c r="B119" i="2"/>
  <c r="A121" i="2" l="1"/>
  <c r="B120" i="2"/>
  <c r="A122" i="2" l="1"/>
  <c r="B121" i="2"/>
  <c r="A123" i="2" l="1"/>
  <c r="B122" i="2"/>
  <c r="A124" i="2" l="1"/>
  <c r="B123" i="2"/>
  <c r="A125" i="2" l="1"/>
  <c r="B124" i="2"/>
  <c r="A126" i="2" l="1"/>
  <c r="B125" i="2"/>
  <c r="A127" i="2" l="1"/>
  <c r="B126" i="2"/>
  <c r="A128" i="2" l="1"/>
  <c r="B127" i="2"/>
  <c r="A129" i="2" l="1"/>
  <c r="B128" i="2"/>
  <c r="A130" i="2" l="1"/>
  <c r="B129" i="2"/>
  <c r="A131" i="2" l="1"/>
  <c r="B130" i="2"/>
  <c r="A132" i="2" l="1"/>
  <c r="B131" i="2"/>
  <c r="A133" i="2" l="1"/>
  <c r="B132" i="2"/>
  <c r="A134" i="2" l="1"/>
  <c r="B133" i="2"/>
  <c r="A135" i="2" l="1"/>
  <c r="B134" i="2"/>
  <c r="A136" i="2" l="1"/>
  <c r="B135" i="2"/>
  <c r="A137" i="2" l="1"/>
  <c r="B136" i="2"/>
  <c r="A138" i="2" l="1"/>
  <c r="B137" i="2"/>
  <c r="A139" i="2" l="1"/>
  <c r="B138" i="2"/>
  <c r="A140" i="2" l="1"/>
  <c r="B139" i="2"/>
  <c r="A141" i="2" l="1"/>
  <c r="B140" i="2"/>
  <c r="A142" i="2" l="1"/>
  <c r="B141" i="2"/>
  <c r="A143" i="2" l="1"/>
  <c r="B142" i="2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A244" i="2" l="1"/>
  <c r="B243" i="2"/>
  <c r="A245" i="2" l="1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7" i="2"/>
  <c r="A259" i="2" l="1"/>
  <c r="B258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A267" i="2" l="1"/>
  <c r="B266" i="2"/>
  <c r="A268" i="2" l="1"/>
  <c r="B267" i="2"/>
  <c r="A269" i="2" l="1"/>
  <c r="B268" i="2"/>
  <c r="A270" i="2" l="1"/>
  <c r="B269" i="2"/>
  <c r="A271" i="2" l="1"/>
  <c r="B270" i="2"/>
  <c r="A272" i="2" l="1"/>
  <c r="B271" i="2"/>
  <c r="A273" i="2" l="1"/>
  <c r="B272" i="2"/>
  <c r="A274" i="2" l="1"/>
  <c r="B273" i="2"/>
  <c r="A275" i="2" l="1"/>
  <c r="B274" i="2"/>
  <c r="A276" i="2" l="1"/>
  <c r="B275" i="2"/>
  <c r="A277" i="2" l="1"/>
  <c r="B276" i="2"/>
  <c r="A278" i="2" l="1"/>
  <c r="B277" i="2"/>
  <c r="A279" i="2" l="1"/>
  <c r="B278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A288" i="2" l="1"/>
  <c r="B287" i="2"/>
  <c r="A289" i="2" l="1"/>
  <c r="B288" i="2"/>
  <c r="A290" i="2" l="1"/>
  <c r="B289" i="2"/>
  <c r="A291" i="2" l="1"/>
  <c r="B290" i="2"/>
  <c r="A292" i="2" l="1"/>
  <c r="B291" i="2"/>
  <c r="A293" i="2" l="1"/>
  <c r="B292" i="2"/>
  <c r="A294" i="2" l="1"/>
  <c r="B293" i="2"/>
  <c r="A295" i="2" l="1"/>
  <c r="B295" i="2" s="1"/>
  <c r="B294" i="2"/>
</calcChain>
</file>

<file path=xl/sharedStrings.xml><?xml version="1.0" encoding="utf-8"?>
<sst xmlns="http://schemas.openxmlformats.org/spreadsheetml/2006/main" count="516" uniqueCount="304">
  <si>
    <t>I wake up.</t>
  </si>
  <si>
    <t>aɪ weɪk ʌp</t>
  </si>
  <si>
    <t>I turn off the alarm clock.</t>
  </si>
  <si>
    <t>aɪ tɜ:rn a:f ði: əˈla:rm kla:k</t>
  </si>
  <si>
    <t>I turn over in bed.</t>
  </si>
  <si>
    <t>aɪ tɜ:rn ˈoʊvər ɪn bɛd</t>
  </si>
  <si>
    <t>I stay in bed for 15 more minutes, I still feel sleepy.</t>
  </si>
  <si>
    <t>aɪ steɪ ɪn bɛd fɔ:r fɪfˈti:n mɔ:r ˈmɪnɪts aɪ stɪl fi:l ˈsli:pi</t>
  </si>
  <si>
    <t>I fall back to sleep again.</t>
  </si>
  <si>
    <t>aɪ fa:l bæk tu: sli:p əˈgɛn</t>
  </si>
  <si>
    <t>I get up.</t>
  </si>
  <si>
    <t>aɪ gɛt ʌp</t>
  </si>
  <si>
    <t>I take out eye booger.</t>
  </si>
  <si>
    <t>aɪ teɪk aʊt aɪ ˈbʊɡər</t>
  </si>
  <si>
    <t>I get out of bed.</t>
  </si>
  <si>
    <t>aɪ gɛt aʊt ʌv bɛd</t>
  </si>
  <si>
    <t>I make the bed.</t>
  </si>
  <si>
    <t>aɪ meɪk ðə bɛd</t>
  </si>
  <si>
    <t>aɪ ˈevər fərˈget ˈmeɪkɪŋ maɪ oʊn bed</t>
  </si>
  <si>
    <t>I turn the faucet on (off).</t>
  </si>
  <si>
    <t>aɪ tɜ:rn ðə ˈfa:sət a:n (a:f)</t>
  </si>
  <si>
    <t>I dry my hands.</t>
  </si>
  <si>
    <t>aɪ draɪ maɪ hændz</t>
  </si>
  <si>
    <t>I take a shower.</t>
  </si>
  <si>
    <t>aɪ teɪk ə ˈʃaʊər</t>
  </si>
  <si>
    <t>I peel the dead skin.</t>
  </si>
  <si>
    <t>aɪ piːl ðə ded skɪn</t>
  </si>
  <si>
    <t>I dry my body.</t>
  </si>
  <si>
    <t>aɪ draɪ maɪ ˈba:di</t>
  </si>
  <si>
    <t>I brush my teeth.</t>
  </si>
  <si>
    <t>aɪ brʌʃ maɪ ti:θ</t>
  </si>
  <si>
    <t>I rinse out my mouth.</t>
  </si>
  <si>
    <t>aɪ rɪns aʊt maɪ maʊθ</t>
  </si>
  <si>
    <t>I smooth down my messy hair.</t>
  </si>
  <si>
    <t>aɪ smu:ð daʊn maɪ ˈmɛsi hɛr</t>
  </si>
  <si>
    <t>I blow-dry my hair.</t>
  </si>
  <si>
    <t>aɪ ˈbloʊ-draɪ maɪ hɛr</t>
  </si>
  <si>
    <t>I clean out my ears.</t>
  </si>
  <si>
    <t>aɪ kli:n aʊt maɪ ɪrz</t>
  </si>
  <si>
    <t>I clip my nails.</t>
  </si>
  <si>
    <t>aɪ klɪp maɪ neɪlz</t>
  </si>
  <si>
    <t>I boil some water.</t>
  </si>
  <si>
    <t>aɪ bɔɪl sʌm ˈwa:tər</t>
  </si>
  <si>
    <t>I make coffee.</t>
  </si>
  <si>
    <t>aɪ meɪk ˈka:fi</t>
  </si>
  <si>
    <t>I always need black coffee to start a new day.</t>
  </si>
  <si>
    <t>aɪ ˈa:lweɪz ni:d blæk ˈka:fi tu: sta:rt ə nu: deɪ</t>
  </si>
  <si>
    <t>I feel terrible when I skip breakfast.</t>
  </si>
  <si>
    <t>aɪ fi:l ˈtɛrəbəl wɛn aɪ skɪp ˈbrɛkfəst</t>
  </si>
  <si>
    <t>I check my facebook.</t>
  </si>
  <si>
    <t>aɪ ʧɛk maɪ ˈfeɪsbʊk</t>
  </si>
  <si>
    <t>I put on some lotion.</t>
  </si>
  <si>
    <t>aɪ pʊt a:n sʌm ˈloʊʃən</t>
  </si>
  <si>
    <t>I have a meeting with the clients today, so I have to dress neatly.</t>
  </si>
  <si>
    <t>aɪ hæv ə ˈmi:tɪŋ wɪð ðə ˈklaɪənts təˈdeɪ soʊ aɪ hæv tu: drɛs ˈni:tli</t>
  </si>
  <si>
    <t>I can’t decide what to wear.</t>
  </si>
  <si>
    <t>aɪ kænt dɪˈsaɪd wʌt tu: wɛr</t>
  </si>
  <si>
    <t>I can’t go out without wearing make-up.</t>
  </si>
  <si>
    <t>aɪ kænt goʊ aʊt wɪˈðaʊt ˈwɛrɪŋ ˈmeɪkʌp</t>
  </si>
  <si>
    <t>I choose my clothes.</t>
  </si>
  <si>
    <t>aɪ ʧu:z maɪ kloʊðz</t>
  </si>
  <si>
    <t>I put on my shirt.</t>
  </si>
  <si>
    <t>aɪ pʊt a:n maɪ ʃɜ:rt</t>
  </si>
  <si>
    <t>I do my hair.</t>
  </si>
  <si>
    <t>aɪ du: maɪ hɛr</t>
  </si>
  <si>
    <t>I wear perfume.</t>
  </si>
  <si>
    <t>aɪ wɛr pərˈfjuːm</t>
  </si>
  <si>
    <t>I close the door and lock it.</t>
  </si>
  <si>
    <t>aɪ kloʊz ðə dɔ:r ænd la:k ɪt</t>
  </si>
  <si>
    <t>I go to school on foot.</t>
  </si>
  <si>
    <t>aɪ goʊ tu: sku:l a:n fʊt</t>
  </si>
  <si>
    <t>I ride my motorbike to work.</t>
  </si>
  <si>
    <t>aɪ raɪd maɪ ˈmoʊtərbaɪk tu: wɜ:rk</t>
  </si>
  <si>
    <t>I wait for the light to change.</t>
  </si>
  <si>
    <t>aɪ weɪt fɔ:r ðə laɪt tu: ʧeɪnʤ</t>
  </si>
  <si>
    <t>I get stuck in the traffic jam.</t>
  </si>
  <si>
    <t>aɪ gɛt stʌk ɪn ðə ˈtræfɪk ʤæm</t>
  </si>
  <si>
    <t>I get to my workplace at 8:30.</t>
  </si>
  <si>
    <t>aɪ gɛt tu: maɪ ˈwɜ:rkpleɪs æt eɪt ˈθɜ:rti</t>
  </si>
  <si>
    <t>I have lunch at 12 p.m.</t>
  </si>
  <si>
    <t>aɪ hæv lʌnʧ æt twelv piːˈem</t>
  </si>
  <si>
    <t>Sometimes, I lose track of time because I am so engrossed in my work.</t>
  </si>
  <si>
    <t>ˈsʌmtaɪmz aɪ luːz træk ʌv taɪm bɪˈkəz aɪ æm soʊ ɪnˈɡroʊst ɪn maɪ wɜːrk</t>
  </si>
  <si>
    <t>I finish my work at 5:00 p.m.</t>
  </si>
  <si>
    <t>aɪ ˈfɪnɪʃ maɪ wɜ:rk æt faɪv piːˈem</t>
  </si>
  <si>
    <t>I get home around 6 p.m.</t>
  </si>
  <si>
    <t>aɪ gɛt hoʊm əˈraʊnd sɪks piːˈem</t>
  </si>
  <si>
    <t>I take off my make-up.</t>
  </si>
  <si>
    <t>aɪ teɪk a:f maɪ ˈmeɪkʌp</t>
  </si>
  <si>
    <t>I shampoo my hair.</t>
  </si>
  <si>
    <t>aɪ ʃæmˈpu: maɪ hɛr</t>
  </si>
  <si>
    <t>I make dinner with what’s left.</t>
  </si>
  <si>
    <t>aɪ meɪk ˈdɪnər wɪð wʌts lɛft</t>
  </si>
  <si>
    <t>I set the table.</t>
  </si>
  <si>
    <t>aɪ set ðə ˈteɪbəl</t>
  </si>
  <si>
    <t>I am not picky about food.</t>
  </si>
  <si>
    <t>aɪ æm naːt ˈpɪki əˈbaʊt fuːd</t>
  </si>
  <si>
    <t>I often arrive on time for dinner.</t>
  </si>
  <si>
    <t>aɪ ˈaːftən əˈraɪv aːn taɪm fɔːr ˈdɪnər</t>
  </si>
  <si>
    <t>Sometimes I am home late because there is a flash gathering after work.</t>
  </si>
  <si>
    <t>ˈsʌmtaɪmz aɪ æm hoʊm leɪt bɪˈkəz ðer ɪz ə flæʃ ˈɡæðərɪŋ ˈæftər wɜːrk</t>
  </si>
  <si>
    <t>Sometimes I might skip dinner on purpose, but I always make sure to eat breakfast.</t>
  </si>
  <si>
    <t>ˈsʌmtaɪmz aɪ maɪt skɪp ˈdɪnər aːn ˈpɜːrpəs bʌt aɪ ˈaːlweɪz meɪk ʃʊr tu: iːt ˈbrekfəst</t>
  </si>
  <si>
    <t>I take a walk in the park.</t>
  </si>
  <si>
    <t>aɪ teɪk ə wa:k ɪn ðə pa:rk</t>
  </si>
  <si>
    <t>I surf the Internet.</t>
  </si>
  <si>
    <t>aɪ sɜ:rf ði: ˈɪntərnɛt</t>
  </si>
  <si>
    <t>I watch videos on youtube.</t>
  </si>
  <si>
    <t>aɪ wa:ʧ ˈvɪdioʊz a:n ˈjuːtuːb</t>
  </si>
  <si>
    <t>I put my laundry in the washing machine.</t>
  </si>
  <si>
    <t>aɪ pʊt maɪ ˈla:ndri ɪn ðə ˈwa:ʃɪŋ məˈʃi:n</t>
  </si>
  <si>
    <t>I do the laundry.</t>
  </si>
  <si>
    <t>aɪ du: ðə ˈlaːndri</t>
  </si>
  <si>
    <t>I clean up the mess in my room.</t>
  </si>
  <si>
    <t>aɪ kli:n ʌp ðə mɛs ɪn maɪ ru:m</t>
  </si>
  <si>
    <t>I iron the clothes.</t>
  </si>
  <si>
    <t>aɪ ˈaɪərn ðə kloʊðz</t>
  </si>
  <si>
    <t>I fold the clothes.</t>
  </si>
  <si>
    <t>aɪ foʊld ðə kloʊðz</t>
  </si>
  <si>
    <t>I mop the floor.</t>
  </si>
  <si>
    <t>aɪ ma:p ðə flɔ:r</t>
  </si>
  <si>
    <t>I take out the trash.</t>
  </si>
  <si>
    <t>aɪ teɪk aʊt ðə træʃ</t>
  </si>
  <si>
    <t>I do yoga.</t>
  </si>
  <si>
    <t>aɪ du: ˈjoʊgə</t>
  </si>
  <si>
    <t>I do the gym.</t>
  </si>
  <si>
    <t>aɪ du: ðə ʤɪm</t>
  </si>
  <si>
    <t>I apply a mask on my face.</t>
  </si>
  <si>
    <t>aɪ əˈplaɪ ə mæsk a:n maɪ feɪs</t>
  </si>
  <si>
    <t>I set the alarm clock for 6 a.m.</t>
  </si>
  <si>
    <t>aɪ set ði: əˈla:rm kla:k fɔːr sɪks eɪˈem</t>
  </si>
  <si>
    <t>aɪ æm wɔ:rn aʊt ænd na:d ʌv a:n ðə kaʊʧ</t>
  </si>
  <si>
    <t>I fall asleep as soon as my head hits the pillow.</t>
  </si>
  <si>
    <t>aɪ fa:l əˈsli:p æz su:n æz maɪ hɛd hɪts ðə ˈpɪloʊ</t>
  </si>
  <si>
    <t>Everyday I just go back and forth to work.</t>
  </si>
  <si>
    <t>ˈɛvrideɪ aɪ ʤʌst goʊ bæk ænd fɔ:rθ tu: wɜ:rk</t>
  </si>
  <si>
    <t>Tôi thức giấc</t>
  </si>
  <si>
    <t>Tôi tắt chuông báo thức</t>
  </si>
  <si>
    <t>Tôi trở mình trên giường</t>
  </si>
  <si>
    <t>Tôi nán lại giường thêm 15 phút nữa, tôi vẫn còn buồn ngủ</t>
  </si>
  <si>
    <t>Tôi ngủ lại</t>
  </si>
  <si>
    <t>Tôi thức dậy (ra khỏi giường)</t>
  </si>
  <si>
    <t>Tôi lau gỉ mắt đi</t>
  </si>
  <si>
    <t>Tôi ra khỏi giường</t>
  </si>
  <si>
    <t>Tôi dọn giường</t>
  </si>
  <si>
    <t>Tôi không bao giờ quên dọn giường.</t>
  </si>
  <si>
    <t>Tôi vặn/khoá vòi nước.</t>
  </si>
  <si>
    <t>Tôi lau khô tay.</t>
  </si>
  <si>
    <t>Tôi đi tắm.</t>
  </si>
  <si>
    <t>Tôi tẩy da chết.</t>
  </si>
  <si>
    <t>Tôi lau khô người.</t>
  </si>
  <si>
    <t>Tôi đánh răng.</t>
  </si>
  <si>
    <t>Tôi súc miệng.</t>
  </si>
  <si>
    <t>Tôi chải mái tóc rối bù của mình.</t>
  </si>
  <si>
    <t>Tôi sấy tóc.</t>
  </si>
  <si>
    <t>Tôi lấy ráy tai.</t>
  </si>
  <si>
    <t>Tôi cắt móng tay.</t>
  </si>
  <si>
    <t>Tôi đun nước.</t>
  </si>
  <si>
    <t>Tôi pha cà phê.</t>
  </si>
  <si>
    <t>Tôi luôn cần cà phê để khởi đầu ngày mới.</t>
  </si>
  <si>
    <t>Tôi thấy khó chịu kinh khủng khi bỏ bữa sáng.</t>
  </si>
  <si>
    <t>Tôi lên facebook.</t>
  </si>
  <si>
    <t>Tôi thoa kem dưỡng da.</t>
  </si>
  <si>
    <t>Hôm nay tôi gặp khách hàng nên phải ăn mặc chỉnh tề.</t>
  </si>
  <si>
    <t>Tôi không thể quyết định nên mặc gì</t>
  </si>
  <si>
    <t>Tôi không thể ra ngoài nếu không trang điểm.</t>
  </si>
  <si>
    <t>Tôi chọn trang phục.</t>
  </si>
  <si>
    <t>Tôi mặc sơ mi vào.</t>
  </si>
  <si>
    <t>Tôi tạo kiểu tóc.</t>
  </si>
  <si>
    <t>Tôi xịt nước hoa.</t>
  </si>
  <si>
    <t>Tôi đóng cửa rồi khóa lại.</t>
  </si>
  <si>
    <t>Tôi đi bộ đi học.</t>
  </si>
  <si>
    <t>Tôi lái xe máy đến chỗ làm.</t>
  </si>
  <si>
    <t>Tôi chờ đèn giao thông đổi màu.</t>
  </si>
  <si>
    <t>Tôi bị kẹt xe.</t>
  </si>
  <si>
    <t>Tôi đến chỗ làm lúc 8:30.</t>
  </si>
  <si>
    <t>Tôi ăn trưa lúc 12 p.m.</t>
  </si>
  <si>
    <t>Nhiều khi tôi quên mất thời gian vì mải mê với công việc.</t>
  </si>
  <si>
    <t>Tôi xong việc lúc 5 p.m.</t>
  </si>
  <si>
    <t>Ngày nào mình cũng chỉ đi từ nhà đến chỗ làm rồi về.</t>
  </si>
  <si>
    <t>Tôi về nhà lúc 6 p.m.</t>
  </si>
  <si>
    <t>Tôi tẩy trang.</t>
  </si>
  <si>
    <t>Tôi gội đầu.</t>
  </si>
  <si>
    <t>Tôi nấu bữa tối bằng những thứ còn lại.</t>
  </si>
  <si>
    <t>Tôi dọn cơm.</t>
  </si>
  <si>
    <t>Tôi không kén ăn.</t>
  </si>
  <si>
    <t>Tôi thường về đúng giờ cơm tối.</t>
  </si>
  <si>
    <t>Thỉnh thoảng tôi về muộn vì có buổi gặp mặt đột xuất.</t>
  </si>
  <si>
    <t>Thỉnh thoảng tôi cố tình bỏ bữa tối, nhưng nhất định phải ăn sáng.</t>
  </si>
  <si>
    <t>Tôi đi bộ trong công viên.</t>
  </si>
  <si>
    <t>Tôi lướt web.</t>
  </si>
  <si>
    <t>Tôi xem video trên Youtube.</t>
  </si>
  <si>
    <t>Tôi cho đồ vào máy giặt.</t>
  </si>
  <si>
    <t>Tôi giặt đồ.</t>
  </si>
  <si>
    <t>Tôi dọn dẹp đống lộn xộn trong phòng.</t>
  </si>
  <si>
    <t>Tôi ủi đồ.</t>
  </si>
  <si>
    <t>Tôi gấp quần áo.</t>
  </si>
  <si>
    <t>Tôi lau nhà.</t>
  </si>
  <si>
    <t>Tôi đi đổ rác.</t>
  </si>
  <si>
    <t>Tôi tập Yoga.</t>
  </si>
  <si>
    <t>Tôi tập thể hình.</t>
  </si>
  <si>
    <t>Tôi đắp mặt nạ.</t>
  </si>
  <si>
    <t>Tôi đặt báo thức lúc 6 giờ sáng.</t>
  </si>
  <si>
    <t>Tôi ngủ ngay khi vừa ngả đầu xuống gối.</t>
  </si>
  <si>
    <t>Sentence</t>
  </si>
  <si>
    <t>No</t>
  </si>
  <si>
    <t>Type</t>
  </si>
  <si>
    <t>Viet</t>
  </si>
  <si>
    <t>TOPIC: FROM MORNING TO NIGHT</t>
  </si>
  <si>
    <t>Eng</t>
  </si>
  <si>
    <t>Phon</t>
  </si>
  <si>
    <t>From</t>
  </si>
  <si>
    <t>To</t>
  </si>
  <si>
    <t>ID</t>
  </si>
  <si>
    <t>Link</t>
  </si>
  <si>
    <t>https://drive.google.com/file/d/1FxbjxA9BgvCrOr8rCv4JpRWehtS5sgHH/view?usp=sharing</t>
  </si>
  <si>
    <t>Copy Google drive to …</t>
  </si>
  <si>
    <t>https://drive.google.com/file/d/1hvqm3TEVfUOCcLnddpob1BU9dPbaK50k/view?usp=sharing</t>
  </si>
  <si>
    <t>I never forget making my own bed.</t>
  </si>
  <si>
    <t>https://drive.google.com/file/d/1oX0PvuKwzf8d9uwtw1099TFv2OVH046g/view?usp=sharing</t>
  </si>
  <si>
    <t>https://drive.google.com/file/d/1BkGEBwYoN1QSh6xGss8vTm13lYBXLcVS/view?usp=sharing</t>
  </si>
  <si>
    <t>https://drive.google.com/file/d/11WPMpHjSKgFks6cBHaMwWlRHtnmNTMSd/view?usp=sharing</t>
  </si>
  <si>
    <t>https://drive.google.com/file/d/1iBRvVGFV_u7YRHgiL8wyPv0Q0OQaStB7/view?usp=sharing</t>
  </si>
  <si>
    <t>https://drive.google.com/file/d/1QrTpKdig-NrlsiiZ-9ZE-GX5ldmQAozF/view?usp=sharing</t>
  </si>
  <si>
    <t>https://drive.google.com/file/d/1CqvhN2g_ZzJYU2d023Pc5OfAZgxETuaZ/view?usp=sharing</t>
  </si>
  <si>
    <t>https://drive.google.com/file/d/1pnlQWZJdbLtPdfCjyXv4TCMYOwdCStCX/view?usp=sharing</t>
  </si>
  <si>
    <t>https://drive.google.com/file/d/14RHYD9kXBnQYYJfQt1qEQ7fX-1yMFYxr/view?usp=sharing</t>
  </si>
  <si>
    <t>https://drive.google.com/file/d/1QqQIVcN_NG8p6_eo2PHdHug0Ay5j5cUo/view?usp=sharing</t>
  </si>
  <si>
    <t>https://drive.google.com/file/d/1y9-LDHn1ppcUToUEEWS6x1bmhuzoTyb9/view?usp=sharing</t>
  </si>
  <si>
    <t>https://drive.google.com/file/d/1J3C2pBfYxoVkablM8vtJJbDcZifw5Hcm/view?usp=sharing</t>
  </si>
  <si>
    <t>https://drive.google.com/file/d/1Fg85oI62WdvTwaR8_I8WHK_fd6HIBowy/view?usp=sharing</t>
  </si>
  <si>
    <t>https://drive.google.com/file/d/1_1dZaMK8fDMl9x1kDG6lBOTrsgvXRPHI/view?usp=sharing</t>
  </si>
  <si>
    <t>https://drive.google.com/file/d/1xhkJoUZ7k4dDwtopi6-Qyj-C6tgxjvRK/view?usp=sharing</t>
  </si>
  <si>
    <t>https://drive.google.com/file/d/1KdHzk3pAt4ClFOUGFgwFRndX1v38Z7Qf/view?usp=sharing</t>
  </si>
  <si>
    <t>https://drive.google.com/file/d/1TfIp-S6YCgImD8a8-BiKUuK4sibltR1_/view?usp=sharing</t>
  </si>
  <si>
    <t>https://drive.google.com/file/d/1SrBik1knvUPHNWq_ycHF4iz4g7BjDx6_/view?usp=sharing</t>
  </si>
  <si>
    <t>https://drive.google.com/file/d/1BP7dKxPc_skWywbbCeLyMYC-iKfX8PVv/view?usp=sharing</t>
  </si>
  <si>
    <t>https://drive.google.com/file/d/1mAA3O6VifcQaoOlQJGk9DX4GhjyCkHpS/view?usp=sharing</t>
  </si>
  <si>
    <t>https://drive.google.com/file/d/1wKMI_H4Pdsmfzen7SEAQiSN09md25TdG/view?usp=sharing</t>
  </si>
  <si>
    <t>https://drive.google.com/file/d/1_VmbL67N6Jzqa-CEYApmsLr_-95sXH77/view?usp=sharing</t>
  </si>
  <si>
    <t>https://drive.google.com/file/d/1e6JFUOudrCngOrqRSk_ZbggKIQp_tDlV/view?usp=sharing</t>
  </si>
  <si>
    <t>https://drive.google.com/file/d/1K77qtOkUPJc6GS_R18zeZBE1ILqMH4Y3/view?usp=sharing</t>
  </si>
  <si>
    <t>https://drive.google.com/file/d/1JHtsIPjQtQxMeyX0M8OprDAGaCJBfA6J/view?usp=sharing</t>
  </si>
  <si>
    <t>https://drive.google.com/file/d/1UPGkXf9dPds8OyAqVd2DolOopikZnLb_/view?usp=sharing</t>
  </si>
  <si>
    <t>https://drive.google.com/file/d/1RqWdWYvti08CIdIt_oEz7-sP0Q5zYofM/view?usp=sharing</t>
  </si>
  <si>
    <t>https://drive.google.com/file/d/1AgedmDJsCXNTJQP-d947_ncssa_Q6NMx/view?usp=sharing</t>
  </si>
  <si>
    <t>https://drive.google.com/file/d/1GHpUxLEwddu3zd4nVll1lI17sE0dMPJL/view?usp=sharing</t>
  </si>
  <si>
    <t>https://drive.google.com/file/d/1ZWiFKhNZt0jwcrYIs1h2dEduK90cMTPa/view?usp=sharing</t>
  </si>
  <si>
    <t>https://drive.google.com/file/d/1st7IuxSrkkCQmbzZicQ4Cs9H_uRO60dT/view?usp=sharing</t>
  </si>
  <si>
    <t>https://drive.google.com/file/d/1ENR1D6-OLet_oaNNY8obafUFVgevNRJP/view?usp=sharing</t>
  </si>
  <si>
    <t>https://drive.google.com/file/d/1u0s__3y8qqHjwEb0jm-a7JMbxo5YyZBG/view?usp=sharing</t>
  </si>
  <si>
    <t>https://drive.google.com/file/d/1ld5a9AXvIesTPlgb0oJsqiJr2UTNpzn8/view?usp=sharing</t>
  </si>
  <si>
    <t>https://drive.google.com/file/d/1J9iqHa6tO6oG51LuwDgWtItFlWTD6iuD/view?usp=sharing</t>
  </si>
  <si>
    <t>https://drive.google.com/file/d/1n2VlxP9afsq2YPcU7NPIjbDVcHaCxUPc/view?usp=sharing</t>
  </si>
  <si>
    <t>https://drive.google.com/file/d/1AokjTfTHaTqlGeQpy5VOGVjn5Bg72ZyT/view?usp=sharing</t>
  </si>
  <si>
    <t>https://drive.google.com/file/d/1Q3C1mvfpj_8xnOZEGGrbQV_RCc-Pu6ZY/view?usp=sharing</t>
  </si>
  <si>
    <t>https://drive.google.com/file/d/126OqDq_TPRMR0-HSV5pC61TbniGoZIxs/view?usp=sharing</t>
  </si>
  <si>
    <t>https://drive.google.com/file/d/1izxWF36fLGKush3KhW-Rtlhj-dr01uFg/view?usp=sharing</t>
  </si>
  <si>
    <t>https://drive.google.com/file/d/1L8LigPskDX5b1knZDbB0xndjDpZSYX2d/view?usp=sharing</t>
  </si>
  <si>
    <t>https://drive.google.com/file/d/1ZDU3xHGfXBMjAMXe6Lh0wNmcokxoaTq2/view?usp=sharing</t>
  </si>
  <si>
    <t>https://drive.google.com/file/d/1Np79Em_gY2cOCbMcpVAr7KfemxFBTvkf/view?usp=sharing</t>
  </si>
  <si>
    <t>https://drive.google.com/file/d/1LnviRkmf_NY_nyyyQfyqDl7q5m41_mrA/view?usp=sharing</t>
  </si>
  <si>
    <t>https://drive.google.com/file/d/1NPfeRJvEjBLTj_T8Ju4FiP2RBFCG9D1o/view?usp=sharing</t>
  </si>
  <si>
    <t>https://drive.google.com/file/d/1cXcTA7rrrwYVZuQwvyH_yR_OUYGFfRYd/view?usp=sharing</t>
  </si>
  <si>
    <t>https://drive.google.com/file/d/121PIR3MFQ_Mre66D9_rNsrBZaYs6pfLK/view?usp=sharing</t>
  </si>
  <si>
    <t>https://drive.google.com/file/d/1gHU_SVQBZaBYmEMDFstKSRyWtXEeQUTg/view?usp=sharing</t>
  </si>
  <si>
    <t>https://drive.google.com/file/d/10Xxm5a90T7-BwGQHKA1HyIlWJQ5JQ6fJ/view?usp=sharing</t>
  </si>
  <si>
    <t>https://drive.google.com/file/d/1T6dkt8fRMOkDnE6R_8btoNaWew08fIER/view?usp=sharing</t>
  </si>
  <si>
    <t>https://drive.google.com/file/d/13RTkk0qTaIZIc4Z4lQzzD20Fe8BQCCNh/view?usp=sharing</t>
  </si>
  <si>
    <t>https://drive.google.com/file/d/13NoDQutjIrAX48kDQUOMQXpC9-3Vc31k/view?usp=sharing</t>
  </si>
  <si>
    <t>https://drive.google.com/file/d/1pSWohgkrsV8MryrIyGNtWTnx9LUHGXq-/view?usp=sharing</t>
  </si>
  <si>
    <t>https://drive.google.com/file/d/1fZEK_yiGHf8_Y5io9Bo3Ye-Isoj2Rw0n/view?usp=sharing</t>
  </si>
  <si>
    <t>https://drive.google.com/file/d/1zpCgInRwiEcGv5Kz-DQ-QXcGHHtxRwTA/view?usp=sharing</t>
  </si>
  <si>
    <t>https://drive.google.com/file/d/1v9mZOaF57CIGETl_tsWqVkVDPKlsT8mo/view?usp=sharing</t>
  </si>
  <si>
    <t>https://drive.google.com/file/d/1dRSjg_wDxsPUN-UWgBYPptp29ifvaCJi/view?usp=sharing</t>
  </si>
  <si>
    <t>https://drive.google.com/file/d/1Kkt7FFT1rFJhrbltdAHj7ErrqJgXpp3_/view?usp=sharing</t>
  </si>
  <si>
    <t>https://drive.google.com/file/d/1_FMhbdarWQKAHAb56O8v7ehaByBXJR_q/view?usp=sharing</t>
  </si>
  <si>
    <t>https://drive.google.com/file/d/1Cog1InQLjafdo3ZSGQNsl_eDQVuHV7Qx/view?usp=sharing</t>
  </si>
  <si>
    <t>https://drive.google.com/file/d/1RAvepte5sVrCeaG-QnIFH_aAFTKIh4Xj/view?usp=sharing</t>
  </si>
  <si>
    <t>https://drive.google.com/file/d/1yqfwLrTXz3Rupn5kNi_-91Tng1le0zq7/view?usp=sharing</t>
  </si>
  <si>
    <t>https://drive.google.com/file/d/1RmP10k-doEnSPyl5bQNyfrmZpmKD9Ko1/view?usp=sharing</t>
  </si>
  <si>
    <t>https://drive.google.com/file/d/1wTuv6aUy5jgAHwAPy_QZCLu7djjG4IFV/view?usp=sharing</t>
  </si>
  <si>
    <t>https://drive.google.com/file/d/1fq2lGXM9DSESU_9wOKWizVrVkK2TJ80Q/view?usp=sharing</t>
  </si>
  <si>
    <t>https://drive.google.com/file/d/12u9Xk_FohGWqsseLTLYqmA_BNBrgS_dB/view?usp=sharing</t>
  </si>
  <si>
    <t>https://drive.google.com/file/d/1cUpi53cX2E-gO40F4qIO0E1JhrljXpMp/view?usp=sharing</t>
  </si>
  <si>
    <t>01-10</t>
  </si>
  <si>
    <t>11-20</t>
  </si>
  <si>
    <t>31-40</t>
  </si>
  <si>
    <t>21-30</t>
  </si>
  <si>
    <t>41-50</t>
  </si>
  <si>
    <t>51-60</t>
  </si>
  <si>
    <t>61-69</t>
  </si>
  <si>
    <t>https://drive.google.com/file/d/1ndpvRnnqmfiCaBhFYLcxI5-Z7y4ZX8P4/view?usp=sharing</t>
  </si>
  <si>
    <t>https://drive.google.com/file/d/1ZsTPpEIrmiswPVaYqc9hq67Dh-_tYw9P/view?usp=sharing</t>
  </si>
  <si>
    <t>https://drive.google.com/file/d/1kZt8G3Ur6-OxKdzqWQMTrg-0BYGw7TbN/view?usp=sharing</t>
  </si>
  <si>
    <t>https://drive.google.com/file/d/1NohrN30XVWtJq8ooXLVZWtZtaj4fkH4R/view?usp=sharing</t>
  </si>
  <si>
    <t>https://drive.google.com/file/d/18QAHiw7kPXfrtkFX4oeNND29dAy_FLuR/view?usp=sharing</t>
  </si>
  <si>
    <t>https://drive.google.com/file/d/12RabXvVqEXD6eKB6CmRqe5QiFlKk_oZR/view?usp=sharing</t>
  </si>
  <si>
    <t>https://drive.google.com/file/d/1gb97azDSY0J_c29t8FCBs_2_bWILFjn6/view?usp=sharing</t>
  </si>
  <si>
    <t>https://drive.google.com/file/d/1bz0BXELm31vLT3gPuBjukMu3qry07fhy/view?usp=sharing</t>
  </si>
  <si>
    <t>I am worn out and nod off on the couch.</t>
  </si>
  <si>
    <t>Tôi mệt mỏi và ngủ gật trên ghế sô pha.</t>
  </si>
  <si>
    <t>01-69</t>
  </si>
  <si>
    <t>https://drive.google.com/file/d/1FTvAp4Al8Yuf9KMiYWchbvvDmqSIJYec/view?usp=sharing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</si>
</sst>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0" fillId="5" borderId="0" xfId="0" applyFill="1"/>
    <xf numFmtId="0" fontId="0" fillId="3" borderId="0" xfId="0" applyFill="1"/>
    <xf numFmtId="0" fontId="2" fillId="0" borderId="0" xfId="1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SrBik1knvUPHNWq_ycHF4iz4g7BjDx6_/view?usp=sharing" TargetMode="External"/><Relationship Id="rId13" Type="http://schemas.openxmlformats.org/officeDocument/2006/relationships/hyperlink" Target="https://drive.google.com/file/d/1fZEK_yiGHf8_Y5io9Bo3Ye-Isoj2Rw0n/view?usp=sharing" TargetMode="External"/><Relationship Id="rId3" Type="http://schemas.openxmlformats.org/officeDocument/2006/relationships/hyperlink" Target="https://drive.google.com/file/d/1Fg85oI62WdvTwaR8_I8WHK_fd6HIBowy/view?usp=sharing" TargetMode="External"/><Relationship Id="rId7" Type="http://schemas.openxmlformats.org/officeDocument/2006/relationships/hyperlink" Target="https://drive.google.com/file/d/1TfIp-S6YCgImD8a8-BiKUuK4sibltR1_/view?usp=sharing" TargetMode="External"/><Relationship Id="rId12" Type="http://schemas.openxmlformats.org/officeDocument/2006/relationships/hyperlink" Target="https://drive.google.com/file/d/1NPfeRJvEjBLTj_T8Ju4FiP2RBFCG9D1o/view?usp=sharing" TargetMode="External"/><Relationship Id="rId2" Type="http://schemas.openxmlformats.org/officeDocument/2006/relationships/hyperlink" Target="https://drive.google.com/file/d/1J3C2pBfYxoVkablM8vtJJbDcZifw5Hcm/view?usp=sharing" TargetMode="External"/><Relationship Id="rId1" Type="http://schemas.openxmlformats.org/officeDocument/2006/relationships/hyperlink" Target="https://drive.google.com/file/d/1y9-LDHn1ppcUToUEEWS6x1bmhuzoTyb9/view?usp=sharing" TargetMode="External"/><Relationship Id="rId6" Type="http://schemas.openxmlformats.org/officeDocument/2006/relationships/hyperlink" Target="https://drive.google.com/file/d/1QqQIVcN_NG8p6_eo2PHdHug0Ay5j5cUo/view?usp=sharing" TargetMode="External"/><Relationship Id="rId11" Type="http://schemas.openxmlformats.org/officeDocument/2006/relationships/hyperlink" Target="https://drive.google.com/file/d/1K77qtOkUPJc6GS_R18zeZBE1ILqMH4Y3/view?usp=sharing" TargetMode="External"/><Relationship Id="rId5" Type="http://schemas.openxmlformats.org/officeDocument/2006/relationships/hyperlink" Target="https://drive.google.com/file/d/1mAA3O6VifcQaoOlQJGk9DX4GhjyCkHpS/view?usp=sharing" TargetMode="External"/><Relationship Id="rId10" Type="http://schemas.openxmlformats.org/officeDocument/2006/relationships/hyperlink" Target="https://drive.google.com/file/d/1_VmbL67N6Jzqa-CEYApmsLr_-95sXH77/view?usp=sharing" TargetMode="External"/><Relationship Id="rId4" Type="http://schemas.openxmlformats.org/officeDocument/2006/relationships/hyperlink" Target="https://drive.google.com/file/d/1_1dZaMK8fDMl9x1kDG6lBOTrsgvXRPHI/view?usp=sharing" TargetMode="External"/><Relationship Id="rId9" Type="http://schemas.openxmlformats.org/officeDocument/2006/relationships/hyperlink" Target="https://drive.google.com/file/d/1BP7dKxPc_skWywbbCeLyMYC-iKfX8PVv/view?usp=sharing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8QAHiw7kPXfrtkFX4oeNND29dAy_FLuR/view?usp=sharing" TargetMode="External"/><Relationship Id="rId2" Type="http://schemas.openxmlformats.org/officeDocument/2006/relationships/hyperlink" Target="https://drive.google.com/file/d/1NohrN30XVWtJq8ooXLVZWtZtaj4fkH4R/view?usp=sharing" TargetMode="External"/><Relationship Id="rId1" Type="http://schemas.openxmlformats.org/officeDocument/2006/relationships/hyperlink" Target="https://drive.google.com/file/d/1kZt8G3Ur6-OxKdzqWQMTrg-0BYGw7TbN/view?usp=sharing" TargetMode="External"/><Relationship Id="rId5" Type="http://schemas.openxmlformats.org/officeDocument/2006/relationships/hyperlink" Target="https://drive.google.com/file/d/1gb97azDSY0J_c29t8FCBs_2_bWILFjn6/view?usp=sharing" TargetMode="External"/><Relationship Id="rId4" Type="http://schemas.openxmlformats.org/officeDocument/2006/relationships/hyperlink" Target="https://drive.google.com/file/d/12RabXvVqEXD6eKB6CmRqe5QiFlKk_oZR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dimension ref="B2:I210"/>
  <sheetViews>
    <sheetView showGridLines="0" zoomScale="81" zoomScaleNormal="81" workbookViewId="0">
      <selection activeCell="D20" sqref="D20"/>
    </sheetView>
  </sheetViews>
  <sheetFormatPr defaultRowHeight="13.8" x14ac:dyDescent="0.25"/>
  <cols>
    <col min="1" max="1" width="3.59765625" customWidth="1"/>
    <col min="2" max="3" width="7.3984375" style="22" customWidth="1"/>
    <col min="4" max="4" width="54.8984375" bestFit="1" customWidth="1"/>
    <col min="5" max="5" width="10.69921875" style="1" customWidth="1"/>
    <col min="6" max="6" width="101.69921875" style="14" customWidth="1"/>
    <col min="7" max="7" width="26.09765625" customWidth="1"/>
    <col min="8" max="8" width="75.19921875" bestFit="1" customWidth="1"/>
  </cols>
  <sheetData>
    <row r="2" spans="2:9" x14ac:dyDescent="0.25">
      <c r="B2" s="9" t="s">
        <v>208</v>
      </c>
      <c r="C2" s="9"/>
    </row>
    <row r="3" spans="2:9" x14ac:dyDescent="0.25">
      <c r="B3" s="23" t="s">
        <v>205</v>
      </c>
      <c r="C3" s="23" t="s">
        <v>213</v>
      </c>
      <c r="D3" s="5" t="s">
        <v>204</v>
      </c>
      <c r="E3" s="4" t="s">
        <v>206</v>
      </c>
      <c r="F3" s="15" t="s">
        <v>214</v>
      </c>
      <c r="G3" s="1" t="s">
        <v>213</v>
      </c>
      <c r="H3" s="11" t="s">
        <v>216</v>
      </c>
    </row>
    <row r="4" spans="2:9" x14ac:dyDescent="0.25">
      <c r="B4" s="25">
        <v>1</v>
      </c>
      <c r="C4" s="25" t="str">
        <f>B4&amp;E4</f>
        <v>1Viet</v>
      </c>
      <c r="D4" s="10" t="s">
        <v>136</v>
      </c>
      <c r="E4" s="6" t="s">
        <v>207</v>
      </c>
      <c r="F4" s="16" t="str">
        <f>IF(G4="","","https://docs.google.com/uc?export=download&amp;id="&amp;G4&amp;"""")</f>
        <v/>
      </c>
      <c r="G4" s="13" t="str">
        <f>IFERROR(LEFT(RIGHT(H4,LEN(H4)-32),LEN(RIGHT(H4,LEN(H4)-32))-17),"")</f>
        <v/>
      </c>
    </row>
    <row r="5" spans="2:9" x14ac:dyDescent="0.25">
      <c r="B5" s="24">
        <f t="shared" ref="B5:B6" si="0">+B4</f>
        <v>1</v>
      </c>
      <c r="C5" s="24" t="str">
        <f t="shared" ref="C5:C68" si="1">B5&amp;E5</f>
        <v>1Eng</v>
      </c>
      <c r="D5" s="7" t="s">
        <v>0</v>
      </c>
      <c r="E5" s="8" t="s">
        <v>209</v>
      </c>
      <c r="F5" s="18" t="str">
        <f>IF(G5="","","https://docs.google.com/uc?export=download&amp;id="&amp;G5)</f>
        <v>https://docs.google.com/uc?export=download&amp;id=1FxbjxA9BgvCrOr8rCv4JpRWehtS5sgHH</v>
      </c>
      <c r="G5" s="13" t="str">
        <f t="shared" ref="G5:G68" si="2">IFERROR(LEFT(RIGHT(H5,LEN(H5)-32),LEN(RIGHT(H5,LEN(H5)-32))-17),"")</f>
        <v>1FxbjxA9BgvCrOr8rCv4JpRWehtS5sgHH</v>
      </c>
      <c r="H5" t="s">
        <v>215</v>
      </c>
    </row>
    <row r="6" spans="2:9" x14ac:dyDescent="0.25">
      <c r="B6" s="26">
        <f t="shared" si="0"/>
        <v>1</v>
      </c>
      <c r="C6" s="26" t="str">
        <f t="shared" si="1"/>
        <v>1Phon</v>
      </c>
      <c r="D6" s="3" t="s">
        <v>1</v>
      </c>
      <c r="E6" s="2" t="s">
        <v>210</v>
      </c>
      <c r="F6" s="17" t="str">
        <f t="shared" ref="F6:F69" si="3">IF(G6="","","https://docs.google.com/uc?export=download&amp;id="&amp;G6)</f>
        <v/>
      </c>
      <c r="G6" s="13" t="str">
        <f t="shared" si="2"/>
        <v/>
      </c>
    </row>
    <row r="7" spans="2:9" x14ac:dyDescent="0.25">
      <c r="B7" s="25">
        <v>2</v>
      </c>
      <c r="C7" s="25" t="str">
        <f t="shared" si="1"/>
        <v>2Viet</v>
      </c>
      <c r="D7" s="10" t="s">
        <v>137</v>
      </c>
      <c r="E7" s="6" t="s">
        <v>207</v>
      </c>
      <c r="F7" s="16" t="str">
        <f t="shared" si="3"/>
        <v/>
      </c>
      <c r="G7" s="13" t="str">
        <f t="shared" si="2"/>
        <v/>
      </c>
    </row>
    <row r="8" spans="2:9" x14ac:dyDescent="0.25">
      <c r="B8" s="24">
        <f t="shared" ref="B8:B9" si="4">+B7</f>
        <v>2</v>
      </c>
      <c r="C8" s="24" t="str">
        <f t="shared" si="1"/>
        <v>2Eng</v>
      </c>
      <c r="D8" s="7" t="s">
        <v>2</v>
      </c>
      <c r="E8" s="8" t="s">
        <v>209</v>
      </c>
      <c r="F8" s="18" t="str">
        <f t="shared" si="3"/>
        <v>https://docs.google.com/uc?export=download&amp;id=1hvqm3TEVfUOCcLnddpob1BU9dPbaK50k</v>
      </c>
      <c r="G8" s="13" t="str">
        <f t="shared" si="2"/>
        <v>1hvqm3TEVfUOCcLnddpob1BU9dPbaK50k</v>
      </c>
      <c r="H8" t="s">
        <v>217</v>
      </c>
      <c r="I8" s="13"/>
    </row>
    <row r="9" spans="2:9" x14ac:dyDescent="0.25">
      <c r="B9" s="26">
        <f t="shared" si="4"/>
        <v>2</v>
      </c>
      <c r="C9" s="26" t="str">
        <f t="shared" si="1"/>
        <v>2Phon</v>
      </c>
      <c r="D9" s="3" t="s">
        <v>3</v>
      </c>
      <c r="E9" s="2" t="s">
        <v>210</v>
      </c>
      <c r="F9" s="17" t="str">
        <f t="shared" si="3"/>
        <v/>
      </c>
      <c r="G9" s="13" t="str">
        <f t="shared" si="2"/>
        <v/>
      </c>
    </row>
    <row r="10" spans="2:9" x14ac:dyDescent="0.25">
      <c r="B10" s="25">
        <v>3</v>
      </c>
      <c r="C10" s="25" t="str">
        <f t="shared" si="1"/>
        <v>3Viet</v>
      </c>
      <c r="D10" s="10" t="s">
        <v>138</v>
      </c>
      <c r="E10" s="6" t="s">
        <v>207</v>
      </c>
      <c r="F10" s="16" t="str">
        <f t="shared" si="3"/>
        <v/>
      </c>
      <c r="G10" s="13" t="str">
        <f t="shared" si="2"/>
        <v/>
      </c>
      <c r="H10" s="13"/>
    </row>
    <row r="11" spans="2:9" x14ac:dyDescent="0.25">
      <c r="B11" s="24">
        <f t="shared" ref="B11:B12" si="5">+B10</f>
        <v>3</v>
      </c>
      <c r="C11" s="24" t="str">
        <f t="shared" si="1"/>
        <v>3Eng</v>
      </c>
      <c r="D11" s="7" t="s">
        <v>4</v>
      </c>
      <c r="E11" s="8" t="s">
        <v>209</v>
      </c>
      <c r="F11" s="18" t="str">
        <f t="shared" si="3"/>
        <v>https://docs.google.com/uc?export=download&amp;id=1oX0PvuKwzf8d9uwtw1099TFv2OVH046g</v>
      </c>
      <c r="G11" s="13" t="str">
        <f t="shared" si="2"/>
        <v>1oX0PvuKwzf8d9uwtw1099TFv2OVH046g</v>
      </c>
      <c r="H11" t="s">
        <v>219</v>
      </c>
    </row>
    <row r="12" spans="2:9" x14ac:dyDescent="0.25">
      <c r="B12" s="26">
        <f t="shared" si="5"/>
        <v>3</v>
      </c>
      <c r="C12" s="26" t="str">
        <f t="shared" si="1"/>
        <v>3Phon</v>
      </c>
      <c r="D12" s="3" t="s">
        <v>5</v>
      </c>
      <c r="E12" s="2" t="s">
        <v>210</v>
      </c>
      <c r="F12" s="17" t="str">
        <f t="shared" si="3"/>
        <v/>
      </c>
      <c r="G12" s="13" t="str">
        <f t="shared" si="2"/>
        <v/>
      </c>
    </row>
    <row r="13" spans="2:9" x14ac:dyDescent="0.25">
      <c r="B13" s="25">
        <v>4</v>
      </c>
      <c r="C13" s="25" t="str">
        <f t="shared" si="1"/>
        <v>4Viet</v>
      </c>
      <c r="D13" s="10" t="s">
        <v>139</v>
      </c>
      <c r="E13" s="6" t="s">
        <v>207</v>
      </c>
      <c r="F13" s="16" t="str">
        <f t="shared" si="3"/>
        <v/>
      </c>
      <c r="G13" s="13" t="str">
        <f t="shared" si="2"/>
        <v/>
      </c>
    </row>
    <row r="14" spans="2:9" x14ac:dyDescent="0.25">
      <c r="B14" s="24">
        <f t="shared" ref="B14:B15" si="6">+B13</f>
        <v>4</v>
      </c>
      <c r="C14" s="24" t="str">
        <f t="shared" si="1"/>
        <v>4Eng</v>
      </c>
      <c r="D14" s="7" t="s">
        <v>6</v>
      </c>
      <c r="E14" s="8" t="s">
        <v>209</v>
      </c>
      <c r="F14" s="18" t="str">
        <f t="shared" si="3"/>
        <v>https://docs.google.com/uc?export=download&amp;id=1BkGEBwYoN1QSh6xGss8vTm13lYBXLcVS</v>
      </c>
      <c r="G14" s="13" t="str">
        <f t="shared" si="2"/>
        <v>1BkGEBwYoN1QSh6xGss8vTm13lYBXLcVS</v>
      </c>
      <c r="H14" t="s">
        <v>220</v>
      </c>
    </row>
    <row r="15" spans="2:9" x14ac:dyDescent="0.25">
      <c r="B15" s="26">
        <f t="shared" si="6"/>
        <v>4</v>
      </c>
      <c r="C15" s="26" t="str">
        <f t="shared" si="1"/>
        <v>4Phon</v>
      </c>
      <c r="D15" s="3" t="s">
        <v>7</v>
      </c>
      <c r="E15" s="2" t="s">
        <v>210</v>
      </c>
      <c r="F15" s="17" t="str">
        <f t="shared" si="3"/>
        <v/>
      </c>
      <c r="G15" s="13" t="str">
        <f t="shared" si="2"/>
        <v/>
      </c>
    </row>
    <row r="16" spans="2:9" x14ac:dyDescent="0.25">
      <c r="B16" s="25">
        <v>5</v>
      </c>
      <c r="C16" s="25" t="str">
        <f t="shared" si="1"/>
        <v>5Viet</v>
      </c>
      <c r="D16" s="10" t="s">
        <v>140</v>
      </c>
      <c r="E16" s="6" t="s">
        <v>207</v>
      </c>
      <c r="F16" s="16" t="str">
        <f t="shared" si="3"/>
        <v/>
      </c>
      <c r="G16" s="13" t="str">
        <f t="shared" si="2"/>
        <v/>
      </c>
    </row>
    <row r="17" spans="2:8" x14ac:dyDescent="0.25">
      <c r="B17" s="24">
        <f t="shared" ref="B17:B18" si="7">+B16</f>
        <v>5</v>
      </c>
      <c r="C17" s="24" t="str">
        <f t="shared" si="1"/>
        <v>5Eng</v>
      </c>
      <c r="D17" s="7" t="s">
        <v>8</v>
      </c>
      <c r="E17" s="8" t="s">
        <v>209</v>
      </c>
      <c r="F17" s="18" t="str">
        <f t="shared" si="3"/>
        <v>https://docs.google.com/uc?export=download&amp;id=11WPMpHjSKgFks6cBHaMwWlRHtnmNTMSd</v>
      </c>
      <c r="G17" s="13" t="str">
        <f t="shared" si="2"/>
        <v>11WPMpHjSKgFks6cBHaMwWlRHtnmNTMSd</v>
      </c>
      <c r="H17" t="s">
        <v>221</v>
      </c>
    </row>
    <row r="18" spans="2:8" x14ac:dyDescent="0.25">
      <c r="B18" s="26">
        <f t="shared" si="7"/>
        <v>5</v>
      </c>
      <c r="C18" s="26" t="str">
        <f t="shared" si="1"/>
        <v>5Phon</v>
      </c>
      <c r="D18" s="3" t="s">
        <v>9</v>
      </c>
      <c r="E18" s="2" t="s">
        <v>210</v>
      </c>
      <c r="F18" s="17" t="str">
        <f t="shared" si="3"/>
        <v/>
      </c>
      <c r="G18" s="13" t="str">
        <f t="shared" si="2"/>
        <v/>
      </c>
    </row>
    <row r="19" spans="2:8" x14ac:dyDescent="0.25">
      <c r="B19" s="25">
        <v>6</v>
      </c>
      <c r="C19" s="25" t="str">
        <f t="shared" si="1"/>
        <v>6Viet</v>
      </c>
      <c r="D19" s="10" t="s">
        <v>141</v>
      </c>
      <c r="E19" s="6" t="s">
        <v>207</v>
      </c>
      <c r="F19" s="16" t="str">
        <f t="shared" si="3"/>
        <v/>
      </c>
      <c r="G19" s="13" t="str">
        <f t="shared" si="2"/>
        <v/>
      </c>
    </row>
    <row r="20" spans="2:8" x14ac:dyDescent="0.25">
      <c r="B20" s="24">
        <f t="shared" ref="B20:B21" si="8">+B19</f>
        <v>6</v>
      </c>
      <c r="C20" s="24" t="str">
        <f t="shared" si="1"/>
        <v>6Eng</v>
      </c>
      <c r="D20" s="7" t="s">
        <v>10</v>
      </c>
      <c r="E20" s="8" t="s">
        <v>209</v>
      </c>
      <c r="F20" s="18" t="str">
        <f t="shared" si="3"/>
        <v>https://docs.google.com/uc?export=download&amp;id=1iBRvVGFV_u7YRHgiL8wyPv0Q0OQaStB7</v>
      </c>
      <c r="G20" s="13" t="str">
        <f t="shared" si="2"/>
        <v>1iBRvVGFV_u7YRHgiL8wyPv0Q0OQaStB7</v>
      </c>
      <c r="H20" t="s">
        <v>222</v>
      </c>
    </row>
    <row r="21" spans="2:8" x14ac:dyDescent="0.25">
      <c r="B21" s="26">
        <f t="shared" si="8"/>
        <v>6</v>
      </c>
      <c r="C21" s="26" t="str">
        <f t="shared" si="1"/>
        <v>6Phon</v>
      </c>
      <c r="D21" s="3" t="s">
        <v>11</v>
      </c>
      <c r="E21" s="2" t="s">
        <v>210</v>
      </c>
      <c r="F21" s="17" t="str">
        <f t="shared" si="3"/>
        <v/>
      </c>
      <c r="G21" s="13" t="str">
        <f t="shared" si="2"/>
        <v/>
      </c>
    </row>
    <row r="22" spans="2:8" x14ac:dyDescent="0.25">
      <c r="B22" s="25">
        <v>7</v>
      </c>
      <c r="C22" s="25" t="str">
        <f t="shared" si="1"/>
        <v>7Viet</v>
      </c>
      <c r="D22" s="10" t="s">
        <v>142</v>
      </c>
      <c r="E22" s="6" t="s">
        <v>207</v>
      </c>
      <c r="F22" s="16" t="str">
        <f t="shared" si="3"/>
        <v/>
      </c>
      <c r="G22" s="13" t="str">
        <f t="shared" si="2"/>
        <v/>
      </c>
    </row>
    <row r="23" spans="2:8" x14ac:dyDescent="0.25">
      <c r="B23" s="24">
        <f t="shared" ref="B23:B24" si="9">+B22</f>
        <v>7</v>
      </c>
      <c r="C23" s="24" t="str">
        <f t="shared" si="1"/>
        <v>7Eng</v>
      </c>
      <c r="D23" s="7" t="s">
        <v>12</v>
      </c>
      <c r="E23" s="8" t="s">
        <v>209</v>
      </c>
      <c r="F23" s="18" t="str">
        <f t="shared" si="3"/>
        <v>https://docs.google.com/uc?export=download&amp;id=1QrTpKdig-NrlsiiZ-9ZE-GX5ldmQAozF</v>
      </c>
      <c r="G23" s="13" t="str">
        <f t="shared" si="2"/>
        <v>1QrTpKdig-NrlsiiZ-9ZE-GX5ldmQAozF</v>
      </c>
      <c r="H23" t="s">
        <v>223</v>
      </c>
    </row>
    <row r="24" spans="2:8" x14ac:dyDescent="0.25">
      <c r="B24" s="26">
        <f t="shared" si="9"/>
        <v>7</v>
      </c>
      <c r="C24" s="26" t="str">
        <f t="shared" si="1"/>
        <v>7Phon</v>
      </c>
      <c r="D24" s="3" t="s">
        <v>13</v>
      </c>
      <c r="E24" s="2" t="s">
        <v>210</v>
      </c>
      <c r="F24" s="17" t="str">
        <f t="shared" si="3"/>
        <v/>
      </c>
      <c r="G24" s="13" t="str">
        <f t="shared" si="2"/>
        <v/>
      </c>
    </row>
    <row r="25" spans="2:8" x14ac:dyDescent="0.25">
      <c r="B25" s="25">
        <v>8</v>
      </c>
      <c r="C25" s="25" t="str">
        <f t="shared" si="1"/>
        <v>8Viet</v>
      </c>
      <c r="D25" s="10" t="s">
        <v>143</v>
      </c>
      <c r="E25" s="6" t="s">
        <v>207</v>
      </c>
      <c r="F25" s="16" t="str">
        <f t="shared" si="3"/>
        <v/>
      </c>
      <c r="G25" s="13" t="str">
        <f t="shared" si="2"/>
        <v/>
      </c>
    </row>
    <row r="26" spans="2:8" x14ac:dyDescent="0.25">
      <c r="B26" s="24">
        <f t="shared" ref="B26:B27" si="10">+B25</f>
        <v>8</v>
      </c>
      <c r="C26" s="24" t="str">
        <f t="shared" si="1"/>
        <v>8Eng</v>
      </c>
      <c r="D26" s="7" t="s">
        <v>14</v>
      </c>
      <c r="E26" s="8" t="s">
        <v>209</v>
      </c>
      <c r="F26" s="18" t="str">
        <f t="shared" si="3"/>
        <v>https://docs.google.com/uc?export=download&amp;id=1CqvhN2g_ZzJYU2d023Pc5OfAZgxETuaZ</v>
      </c>
      <c r="G26" s="13" t="str">
        <f t="shared" si="2"/>
        <v>1CqvhN2g_ZzJYU2d023Pc5OfAZgxETuaZ</v>
      </c>
      <c r="H26" t="s">
        <v>224</v>
      </c>
    </row>
    <row r="27" spans="2:8" x14ac:dyDescent="0.25">
      <c r="B27" s="26">
        <f t="shared" si="10"/>
        <v>8</v>
      </c>
      <c r="C27" s="26" t="str">
        <f t="shared" si="1"/>
        <v>8Phon</v>
      </c>
      <c r="D27" s="3" t="s">
        <v>15</v>
      </c>
      <c r="E27" s="2" t="s">
        <v>210</v>
      </c>
      <c r="F27" s="17" t="str">
        <f t="shared" si="3"/>
        <v/>
      </c>
      <c r="G27" s="13" t="str">
        <f t="shared" si="2"/>
        <v/>
      </c>
    </row>
    <row r="28" spans="2:8" x14ac:dyDescent="0.25">
      <c r="B28" s="25">
        <v>9</v>
      </c>
      <c r="C28" s="25" t="str">
        <f t="shared" si="1"/>
        <v>9Viet</v>
      </c>
      <c r="D28" s="10" t="s">
        <v>144</v>
      </c>
      <c r="E28" s="6" t="s">
        <v>207</v>
      </c>
      <c r="F28" s="16" t="str">
        <f t="shared" si="3"/>
        <v/>
      </c>
      <c r="G28" s="13" t="str">
        <f t="shared" si="2"/>
        <v/>
      </c>
    </row>
    <row r="29" spans="2:8" x14ac:dyDescent="0.25">
      <c r="B29" s="24">
        <f t="shared" ref="B29:B30" si="11">+B28</f>
        <v>9</v>
      </c>
      <c r="C29" s="24" t="str">
        <f t="shared" si="1"/>
        <v>9Eng</v>
      </c>
      <c r="D29" s="7" t="s">
        <v>16</v>
      </c>
      <c r="E29" s="8" t="s">
        <v>209</v>
      </c>
      <c r="F29" s="18" t="str">
        <f t="shared" si="3"/>
        <v>https://docs.google.com/uc?export=download&amp;id=1pnlQWZJdbLtPdfCjyXv4TCMYOwdCStCX</v>
      </c>
      <c r="G29" s="13" t="str">
        <f t="shared" si="2"/>
        <v>1pnlQWZJdbLtPdfCjyXv4TCMYOwdCStCX</v>
      </c>
      <c r="H29" t="s">
        <v>225</v>
      </c>
    </row>
    <row r="30" spans="2:8" x14ac:dyDescent="0.25">
      <c r="B30" s="26">
        <f t="shared" si="11"/>
        <v>9</v>
      </c>
      <c r="C30" s="26" t="str">
        <f t="shared" si="1"/>
        <v>9Phon</v>
      </c>
      <c r="D30" s="3" t="s">
        <v>17</v>
      </c>
      <c r="E30" s="2" t="s">
        <v>210</v>
      </c>
      <c r="F30" s="17" t="str">
        <f t="shared" si="3"/>
        <v/>
      </c>
      <c r="G30" s="13" t="str">
        <f t="shared" si="2"/>
        <v/>
      </c>
    </row>
    <row r="31" spans="2:8" x14ac:dyDescent="0.25">
      <c r="B31" s="25">
        <v>10</v>
      </c>
      <c r="C31" s="25" t="str">
        <f t="shared" si="1"/>
        <v>10Viet</v>
      </c>
      <c r="D31" s="10" t="s">
        <v>145</v>
      </c>
      <c r="E31" s="6" t="s">
        <v>207</v>
      </c>
      <c r="F31" s="16" t="str">
        <f t="shared" si="3"/>
        <v/>
      </c>
      <c r="G31" s="13" t="str">
        <f t="shared" si="2"/>
        <v/>
      </c>
    </row>
    <row r="32" spans="2:8" x14ac:dyDescent="0.25">
      <c r="B32" s="24">
        <f t="shared" ref="B32:B33" si="12">+B31</f>
        <v>10</v>
      </c>
      <c r="C32" s="24" t="str">
        <f t="shared" si="1"/>
        <v>10Eng</v>
      </c>
      <c r="D32" s="7" t="s">
        <v>218</v>
      </c>
      <c r="E32" s="8" t="s">
        <v>209</v>
      </c>
      <c r="F32" s="18" t="str">
        <f t="shared" si="3"/>
        <v>https://docs.google.com/uc?export=download&amp;id=14RHYD9kXBnQYYJfQt1qEQ7fX-1yMFYxr</v>
      </c>
      <c r="G32" s="13" t="str">
        <f t="shared" si="2"/>
        <v>14RHYD9kXBnQYYJfQt1qEQ7fX-1yMFYxr</v>
      </c>
      <c r="H32" t="s">
        <v>226</v>
      </c>
    </row>
    <row r="33" spans="2:8" x14ac:dyDescent="0.25">
      <c r="B33" s="26">
        <f t="shared" si="12"/>
        <v>10</v>
      </c>
      <c r="C33" s="26" t="str">
        <f t="shared" si="1"/>
        <v>10Phon</v>
      </c>
      <c r="D33" s="3" t="s">
        <v>18</v>
      </c>
      <c r="E33" s="2" t="s">
        <v>210</v>
      </c>
      <c r="F33" s="17" t="str">
        <f t="shared" si="3"/>
        <v/>
      </c>
      <c r="G33" s="13" t="str">
        <f t="shared" si="2"/>
        <v/>
      </c>
    </row>
    <row r="34" spans="2:8" x14ac:dyDescent="0.25">
      <c r="B34" s="25">
        <v>11</v>
      </c>
      <c r="C34" s="25" t="str">
        <f t="shared" si="1"/>
        <v>11Viet</v>
      </c>
      <c r="D34" s="10" t="s">
        <v>146</v>
      </c>
      <c r="E34" s="6" t="s">
        <v>207</v>
      </c>
      <c r="F34" s="16" t="str">
        <f t="shared" si="3"/>
        <v/>
      </c>
      <c r="G34" s="13" t="str">
        <f t="shared" si="2"/>
        <v/>
      </c>
    </row>
    <row r="35" spans="2:8" x14ac:dyDescent="0.25">
      <c r="B35" s="24">
        <f t="shared" ref="B35:B36" si="13">+B34</f>
        <v>11</v>
      </c>
      <c r="C35" s="24" t="str">
        <f t="shared" si="1"/>
        <v>11Eng</v>
      </c>
      <c r="D35" s="7" t="s">
        <v>19</v>
      </c>
      <c r="E35" s="8" t="s">
        <v>209</v>
      </c>
      <c r="F35" s="18" t="str">
        <f t="shared" si="3"/>
        <v>https://docs.google.com/uc?export=download&amp;id=1wKMI_H4Pdsmfzen7SEAQiSN09md25TdG</v>
      </c>
      <c r="G35" s="13" t="str">
        <f t="shared" ref="G35:G47" si="14">IFERROR(LEFT(RIGHT(H35,LEN(H35)-32),LEN(RIGHT(H35,LEN(H35)-32))-17),"")</f>
        <v>1wKMI_H4Pdsmfzen7SEAQiSN09md25TdG</v>
      </c>
      <c r="H35" t="s">
        <v>238</v>
      </c>
    </row>
    <row r="36" spans="2:8" x14ac:dyDescent="0.25">
      <c r="B36" s="26">
        <f t="shared" si="13"/>
        <v>11</v>
      </c>
      <c r="C36" s="24" t="str">
        <f t="shared" si="1"/>
        <v>11Phon</v>
      </c>
      <c r="D36" s="3" t="s">
        <v>20</v>
      </c>
      <c r="E36" s="2" t="s">
        <v>210</v>
      </c>
      <c r="F36" s="17" t="str">
        <f t="shared" si="3"/>
        <v/>
      </c>
      <c r="G36" s="13" t="str">
        <f t="shared" si="14"/>
        <v/>
      </c>
    </row>
    <row r="37" spans="2:8" x14ac:dyDescent="0.25">
      <c r="B37" s="25">
        <v>12</v>
      </c>
      <c r="C37" s="24" t="str">
        <f t="shared" si="1"/>
        <v>12Viet</v>
      </c>
      <c r="D37" s="10" t="s">
        <v>147</v>
      </c>
      <c r="E37" s="6" t="s">
        <v>207</v>
      </c>
      <c r="F37" s="16" t="str">
        <f t="shared" si="3"/>
        <v/>
      </c>
      <c r="G37" s="13" t="str">
        <f t="shared" si="14"/>
        <v/>
      </c>
    </row>
    <row r="38" spans="2:8" x14ac:dyDescent="0.25">
      <c r="B38" s="24">
        <f t="shared" ref="B38:B39" si="15">+B37</f>
        <v>12</v>
      </c>
      <c r="C38" s="24" t="str">
        <f t="shared" si="1"/>
        <v>12Eng</v>
      </c>
      <c r="D38" s="7" t="s">
        <v>21</v>
      </c>
      <c r="E38" s="8" t="s">
        <v>209</v>
      </c>
      <c r="F38" s="18" t="str">
        <f t="shared" si="3"/>
        <v>https://docs.google.com/uc?export=download&amp;id=1_VmbL67N6Jzqa-CEYApmsLr_-95sXH77</v>
      </c>
      <c r="G38" s="13" t="str">
        <f t="shared" si="14"/>
        <v>1_VmbL67N6Jzqa-CEYApmsLr_-95sXH77</v>
      </c>
      <c r="H38" s="13" t="s">
        <v>239</v>
      </c>
    </row>
    <row r="39" spans="2:8" x14ac:dyDescent="0.25">
      <c r="B39" s="26">
        <f t="shared" si="15"/>
        <v>12</v>
      </c>
      <c r="C39" s="24" t="str">
        <f t="shared" si="1"/>
        <v>12Phon</v>
      </c>
      <c r="D39" s="3" t="s">
        <v>22</v>
      </c>
      <c r="E39" s="2" t="s">
        <v>210</v>
      </c>
      <c r="F39" s="17" t="str">
        <f t="shared" si="3"/>
        <v/>
      </c>
      <c r="G39" s="13" t="str">
        <f t="shared" si="14"/>
        <v/>
      </c>
    </row>
    <row r="40" spans="2:8" x14ac:dyDescent="0.25">
      <c r="B40" s="25">
        <v>13</v>
      </c>
      <c r="C40" s="24" t="str">
        <f t="shared" si="1"/>
        <v>13Viet</v>
      </c>
      <c r="D40" s="10" t="s">
        <v>148</v>
      </c>
      <c r="E40" s="6" t="s">
        <v>207</v>
      </c>
      <c r="F40" s="16" t="str">
        <f t="shared" si="3"/>
        <v/>
      </c>
      <c r="G40" s="13" t="str">
        <f t="shared" si="14"/>
        <v/>
      </c>
    </row>
    <row r="41" spans="2:8" x14ac:dyDescent="0.25">
      <c r="B41" s="24">
        <f t="shared" ref="B41:B42" si="16">+B40</f>
        <v>13</v>
      </c>
      <c r="C41" s="24" t="str">
        <f t="shared" si="1"/>
        <v>13Eng</v>
      </c>
      <c r="D41" s="7" t="s">
        <v>23</v>
      </c>
      <c r="E41" s="8" t="s">
        <v>209</v>
      </c>
      <c r="F41" s="18" t="str">
        <f t="shared" si="3"/>
        <v>https://docs.google.com/uc?export=download&amp;id=1e6JFUOudrCngOrqRSk_ZbggKIQp_tDlV</v>
      </c>
      <c r="G41" s="13" t="str">
        <f t="shared" si="14"/>
        <v>1e6JFUOudrCngOrqRSk_ZbggKIQp_tDlV</v>
      </c>
      <c r="H41" t="s">
        <v>240</v>
      </c>
    </row>
    <row r="42" spans="2:8" x14ac:dyDescent="0.25">
      <c r="B42" s="26">
        <f t="shared" si="16"/>
        <v>13</v>
      </c>
      <c r="C42" s="24" t="str">
        <f t="shared" si="1"/>
        <v>13Phon</v>
      </c>
      <c r="D42" s="3" t="s">
        <v>24</v>
      </c>
      <c r="E42" s="2" t="s">
        <v>210</v>
      </c>
      <c r="F42" s="17" t="str">
        <f t="shared" si="3"/>
        <v/>
      </c>
      <c r="G42" s="13" t="str">
        <f t="shared" si="14"/>
        <v/>
      </c>
    </row>
    <row r="43" spans="2:8" x14ac:dyDescent="0.25">
      <c r="B43" s="25">
        <v>14</v>
      </c>
      <c r="C43" s="24" t="str">
        <f t="shared" si="1"/>
        <v>14Viet</v>
      </c>
      <c r="D43" s="10" t="s">
        <v>149</v>
      </c>
      <c r="E43" s="6" t="s">
        <v>207</v>
      </c>
      <c r="F43" s="16" t="str">
        <f t="shared" si="3"/>
        <v/>
      </c>
      <c r="G43" s="13" t="str">
        <f t="shared" si="14"/>
        <v/>
      </c>
    </row>
    <row r="44" spans="2:8" x14ac:dyDescent="0.25">
      <c r="B44" s="24">
        <f t="shared" ref="B44:B45" si="17">+B43</f>
        <v>14</v>
      </c>
      <c r="C44" s="24" t="str">
        <f t="shared" si="1"/>
        <v>14Eng</v>
      </c>
      <c r="D44" s="7" t="s">
        <v>25</v>
      </c>
      <c r="E44" s="8" t="s">
        <v>209</v>
      </c>
      <c r="F44" s="18" t="str">
        <f t="shared" si="3"/>
        <v>https://docs.google.com/uc?export=download&amp;id=1K77qtOkUPJc6GS_R18zeZBE1ILqMH4Y3</v>
      </c>
      <c r="G44" s="13" t="str">
        <f t="shared" si="14"/>
        <v>1K77qtOkUPJc6GS_R18zeZBE1ILqMH4Y3</v>
      </c>
      <c r="H44" s="13" t="s">
        <v>241</v>
      </c>
    </row>
    <row r="45" spans="2:8" x14ac:dyDescent="0.25">
      <c r="B45" s="26">
        <f t="shared" si="17"/>
        <v>14</v>
      </c>
      <c r="C45" s="24" t="str">
        <f t="shared" si="1"/>
        <v>14Phon</v>
      </c>
      <c r="D45" s="3" t="s">
        <v>26</v>
      </c>
      <c r="E45" s="2" t="s">
        <v>210</v>
      </c>
      <c r="F45" s="17" t="str">
        <f t="shared" si="3"/>
        <v/>
      </c>
      <c r="G45" s="13" t="str">
        <f t="shared" si="14"/>
        <v/>
      </c>
    </row>
    <row r="46" spans="2:8" x14ac:dyDescent="0.25">
      <c r="B46" s="25">
        <v>15</v>
      </c>
      <c r="C46" s="24" t="str">
        <f t="shared" si="1"/>
        <v>15Viet</v>
      </c>
      <c r="D46" s="10" t="s">
        <v>150</v>
      </c>
      <c r="E46" s="6" t="s">
        <v>207</v>
      </c>
      <c r="F46" s="16" t="str">
        <f t="shared" si="3"/>
        <v/>
      </c>
      <c r="G46" s="13" t="str">
        <f t="shared" si="14"/>
        <v/>
      </c>
    </row>
    <row r="47" spans="2:8" x14ac:dyDescent="0.25">
      <c r="B47" s="24">
        <f t="shared" ref="B47:B48" si="18">+B46</f>
        <v>15</v>
      </c>
      <c r="C47" s="24" t="str">
        <f t="shared" si="1"/>
        <v>15Eng</v>
      </c>
      <c r="D47" s="7" t="s">
        <v>27</v>
      </c>
      <c r="E47" s="8" t="s">
        <v>209</v>
      </c>
      <c r="F47" s="18" t="str">
        <f t="shared" si="3"/>
        <v>https://docs.google.com/uc?export=download&amp;id=1JHtsIPjQtQxMeyX0M8OprDAGaCJBfA6J</v>
      </c>
      <c r="G47" s="13" t="str">
        <f t="shared" si="14"/>
        <v>1JHtsIPjQtQxMeyX0M8OprDAGaCJBfA6J</v>
      </c>
      <c r="H47" t="s">
        <v>242</v>
      </c>
    </row>
    <row r="48" spans="2:8" x14ac:dyDescent="0.25">
      <c r="B48" s="26">
        <f t="shared" si="18"/>
        <v>15</v>
      </c>
      <c r="C48" s="24" t="str">
        <f t="shared" si="1"/>
        <v>15Phon</v>
      </c>
      <c r="D48" s="3" t="s">
        <v>28</v>
      </c>
      <c r="E48" s="2" t="s">
        <v>210</v>
      </c>
      <c r="F48" s="17" t="str">
        <f t="shared" si="3"/>
        <v/>
      </c>
      <c r="G48" s="13" t="str">
        <f t="shared" si="2"/>
        <v/>
      </c>
    </row>
    <row r="49" spans="2:8" x14ac:dyDescent="0.25">
      <c r="B49" s="25">
        <v>16</v>
      </c>
      <c r="C49" s="24" t="str">
        <f t="shared" si="1"/>
        <v>16Viet</v>
      </c>
      <c r="D49" s="10" t="s">
        <v>151</v>
      </c>
      <c r="E49" s="6" t="s">
        <v>207</v>
      </c>
      <c r="F49" s="16" t="str">
        <f t="shared" si="3"/>
        <v/>
      </c>
      <c r="G49" s="13" t="str">
        <f t="shared" si="2"/>
        <v/>
      </c>
    </row>
    <row r="50" spans="2:8" x14ac:dyDescent="0.25">
      <c r="B50" s="24">
        <f t="shared" ref="B50:B51" si="19">+B49</f>
        <v>16</v>
      </c>
      <c r="C50" s="24" t="str">
        <f t="shared" si="1"/>
        <v>16Eng</v>
      </c>
      <c r="D50" s="7" t="s">
        <v>29</v>
      </c>
      <c r="E50" s="8" t="s">
        <v>209</v>
      </c>
      <c r="F50" s="18" t="str">
        <f t="shared" si="3"/>
        <v>https://docs.google.com/uc?export=download&amp;id=1UPGkXf9dPds8OyAqVd2DolOopikZnLb_</v>
      </c>
      <c r="G50" s="13" t="str">
        <f>IFERROR(LEFT(RIGHT(H50,LEN(H50)-32),LEN(RIGHT(H50,LEN(H50)-32))-17),"")</f>
        <v>1UPGkXf9dPds8OyAqVd2DolOopikZnLb_</v>
      </c>
      <c r="H50" t="s">
        <v>243</v>
      </c>
    </row>
    <row r="51" spans="2:8" x14ac:dyDescent="0.25">
      <c r="B51" s="26">
        <f t="shared" si="19"/>
        <v>16</v>
      </c>
      <c r="C51" s="24" t="str">
        <f t="shared" si="1"/>
        <v>16Phon</v>
      </c>
      <c r="D51" s="3" t="s">
        <v>30</v>
      </c>
      <c r="E51" s="2" t="s">
        <v>210</v>
      </c>
      <c r="F51" s="17" t="str">
        <f t="shared" si="3"/>
        <v/>
      </c>
      <c r="G51" s="13" t="str">
        <f t="shared" si="2"/>
        <v/>
      </c>
    </row>
    <row r="52" spans="2:8" x14ac:dyDescent="0.25">
      <c r="B52" s="25">
        <v>17</v>
      </c>
      <c r="C52" s="24" t="str">
        <f t="shared" si="1"/>
        <v>17Viet</v>
      </c>
      <c r="D52" s="10" t="s">
        <v>152</v>
      </c>
      <c r="E52" s="6" t="s">
        <v>207</v>
      </c>
      <c r="F52" s="16" t="str">
        <f t="shared" si="3"/>
        <v/>
      </c>
      <c r="G52" s="13" t="str">
        <f t="shared" si="2"/>
        <v/>
      </c>
    </row>
    <row r="53" spans="2:8" x14ac:dyDescent="0.25">
      <c r="B53" s="24">
        <f t="shared" ref="B53:B54" si="20">+B52</f>
        <v>17</v>
      </c>
      <c r="C53" s="24" t="str">
        <f t="shared" si="1"/>
        <v>17Eng</v>
      </c>
      <c r="D53" s="7" t="s">
        <v>31</v>
      </c>
      <c r="E53" s="8" t="s">
        <v>209</v>
      </c>
      <c r="F53" s="18" t="str">
        <f t="shared" si="3"/>
        <v>https://docs.google.com/uc?export=download&amp;id=1RqWdWYvti08CIdIt_oEz7-sP0Q5zYofM</v>
      </c>
      <c r="G53" s="13" t="str">
        <f>IFERROR(LEFT(RIGHT(H53,LEN(H53)-32),LEN(RIGHT(H53,LEN(H53)-32))-17),"")</f>
        <v>1RqWdWYvti08CIdIt_oEz7-sP0Q5zYofM</v>
      </c>
      <c r="H53" t="s">
        <v>244</v>
      </c>
    </row>
    <row r="54" spans="2:8" x14ac:dyDescent="0.25">
      <c r="B54" s="26">
        <f t="shared" si="20"/>
        <v>17</v>
      </c>
      <c r="C54" s="24" t="str">
        <f t="shared" si="1"/>
        <v>17Phon</v>
      </c>
      <c r="D54" s="3" t="s">
        <v>32</v>
      </c>
      <c r="E54" s="2" t="s">
        <v>210</v>
      </c>
      <c r="F54" s="17" t="str">
        <f t="shared" si="3"/>
        <v/>
      </c>
      <c r="G54" s="13" t="str">
        <f t="shared" si="2"/>
        <v/>
      </c>
    </row>
    <row r="55" spans="2:8" x14ac:dyDescent="0.25">
      <c r="B55" s="25">
        <v>18</v>
      </c>
      <c r="C55" s="24" t="str">
        <f t="shared" si="1"/>
        <v>18Viet</v>
      </c>
      <c r="D55" s="10" t="s">
        <v>153</v>
      </c>
      <c r="E55" s="6" t="s">
        <v>207</v>
      </c>
      <c r="F55" s="16" t="str">
        <f t="shared" si="3"/>
        <v/>
      </c>
      <c r="G55" s="13" t="str">
        <f t="shared" si="2"/>
        <v/>
      </c>
    </row>
    <row r="56" spans="2:8" x14ac:dyDescent="0.25">
      <c r="B56" s="24">
        <f t="shared" ref="B56:B57" si="21">+B55</f>
        <v>18</v>
      </c>
      <c r="C56" s="24" t="str">
        <f t="shared" si="1"/>
        <v>18Eng</v>
      </c>
      <c r="D56" s="7" t="s">
        <v>33</v>
      </c>
      <c r="E56" s="8" t="s">
        <v>209</v>
      </c>
      <c r="F56" s="18" t="str">
        <f t="shared" si="3"/>
        <v>https://docs.google.com/uc?export=download&amp;id=1AgedmDJsCXNTJQP-d947_ncssa_Q6NMx</v>
      </c>
      <c r="G56" s="13" t="str">
        <f>IFERROR(LEFT(RIGHT(H56,LEN(H56)-32),LEN(RIGHT(H56,LEN(H56)-32))-17),"")</f>
        <v>1AgedmDJsCXNTJQP-d947_ncssa_Q6NMx</v>
      </c>
      <c r="H56" t="s">
        <v>245</v>
      </c>
    </row>
    <row r="57" spans="2:8" x14ac:dyDescent="0.25">
      <c r="B57" s="26">
        <f t="shared" si="21"/>
        <v>18</v>
      </c>
      <c r="C57" s="24" t="str">
        <f t="shared" si="1"/>
        <v>18Phon</v>
      </c>
      <c r="D57" s="3" t="s">
        <v>34</v>
      </c>
      <c r="E57" s="2" t="s">
        <v>210</v>
      </c>
      <c r="F57" s="17" t="str">
        <f t="shared" si="3"/>
        <v/>
      </c>
      <c r="G57" s="13" t="str">
        <f t="shared" si="2"/>
        <v/>
      </c>
    </row>
    <row r="58" spans="2:8" x14ac:dyDescent="0.25">
      <c r="B58" s="25">
        <v>19</v>
      </c>
      <c r="C58" s="24" t="str">
        <f t="shared" si="1"/>
        <v>19Viet</v>
      </c>
      <c r="D58" s="10" t="s">
        <v>154</v>
      </c>
      <c r="E58" s="6" t="s">
        <v>207</v>
      </c>
      <c r="F58" s="16" t="str">
        <f t="shared" si="3"/>
        <v/>
      </c>
      <c r="G58" s="13" t="str">
        <f t="shared" si="2"/>
        <v/>
      </c>
    </row>
    <row r="59" spans="2:8" x14ac:dyDescent="0.25">
      <c r="B59" s="24">
        <f t="shared" ref="B59:B60" si="22">+B58</f>
        <v>19</v>
      </c>
      <c r="C59" s="24" t="str">
        <f t="shared" si="1"/>
        <v>19Eng</v>
      </c>
      <c r="D59" s="7" t="s">
        <v>35</v>
      </c>
      <c r="E59" s="8" t="s">
        <v>209</v>
      </c>
      <c r="F59" s="18" t="str">
        <f t="shared" si="3"/>
        <v>https://docs.google.com/uc?export=download&amp;id=1GHpUxLEwddu3zd4nVll1lI17sE0dMPJL</v>
      </c>
      <c r="G59" s="13" t="str">
        <f>IFERROR(LEFT(RIGHT(H59,LEN(H59)-32),LEN(RIGHT(H59,LEN(H59)-32))-17),"")</f>
        <v>1GHpUxLEwddu3zd4nVll1lI17sE0dMPJL</v>
      </c>
      <c r="H59" t="s">
        <v>246</v>
      </c>
    </row>
    <row r="60" spans="2:8" x14ac:dyDescent="0.25">
      <c r="B60" s="26">
        <f t="shared" si="22"/>
        <v>19</v>
      </c>
      <c r="C60" s="24" t="str">
        <f t="shared" si="1"/>
        <v>19Phon</v>
      </c>
      <c r="D60" s="3" t="s">
        <v>36</v>
      </c>
      <c r="E60" s="2" t="s">
        <v>210</v>
      </c>
      <c r="F60" s="17" t="str">
        <f t="shared" si="3"/>
        <v/>
      </c>
      <c r="G60" s="13" t="str">
        <f t="shared" si="2"/>
        <v/>
      </c>
    </row>
    <row r="61" spans="2:8" x14ac:dyDescent="0.25">
      <c r="B61" s="25">
        <v>20</v>
      </c>
      <c r="C61" s="24" t="str">
        <f t="shared" si="1"/>
        <v>20Viet</v>
      </c>
      <c r="D61" s="10" t="s">
        <v>155</v>
      </c>
      <c r="E61" s="6" t="s">
        <v>207</v>
      </c>
      <c r="F61" s="16" t="str">
        <f t="shared" si="3"/>
        <v/>
      </c>
      <c r="G61" s="13" t="str">
        <f t="shared" si="2"/>
        <v/>
      </c>
    </row>
    <row r="62" spans="2:8" x14ac:dyDescent="0.25">
      <c r="B62" s="24">
        <f t="shared" ref="B62:B63" si="23">+B61</f>
        <v>20</v>
      </c>
      <c r="C62" s="24" t="str">
        <f t="shared" si="1"/>
        <v>20Eng</v>
      </c>
      <c r="D62" s="7" t="s">
        <v>37</v>
      </c>
      <c r="E62" s="8" t="s">
        <v>209</v>
      </c>
      <c r="F62" s="18" t="str">
        <f t="shared" si="3"/>
        <v>https://docs.google.com/uc?export=download&amp;id=1ZWiFKhNZt0jwcrYIs1h2dEduK90cMTPa</v>
      </c>
      <c r="G62" s="13" t="str">
        <f>IFERROR(LEFT(RIGHT(H62,LEN(H62)-32),LEN(RIGHT(H62,LEN(H62)-32))-17),"")</f>
        <v>1ZWiFKhNZt0jwcrYIs1h2dEduK90cMTPa</v>
      </c>
      <c r="H62" t="s">
        <v>247</v>
      </c>
    </row>
    <row r="63" spans="2:8" x14ac:dyDescent="0.25">
      <c r="B63" s="26">
        <f t="shared" si="23"/>
        <v>20</v>
      </c>
      <c r="C63" s="24" t="str">
        <f t="shared" si="1"/>
        <v>20Phon</v>
      </c>
      <c r="D63" s="3" t="s">
        <v>38</v>
      </c>
      <c r="E63" s="2" t="s">
        <v>210</v>
      </c>
      <c r="F63" s="17" t="str">
        <f t="shared" si="3"/>
        <v/>
      </c>
      <c r="G63" s="13" t="str">
        <f t="shared" si="2"/>
        <v/>
      </c>
    </row>
    <row r="64" spans="2:8" x14ac:dyDescent="0.25">
      <c r="B64" s="25">
        <v>21</v>
      </c>
      <c r="C64" s="24" t="str">
        <f t="shared" si="1"/>
        <v>21Viet</v>
      </c>
      <c r="D64" s="10" t="s">
        <v>156</v>
      </c>
      <c r="E64" s="6" t="s">
        <v>207</v>
      </c>
      <c r="F64" s="16" t="str">
        <f t="shared" si="3"/>
        <v/>
      </c>
      <c r="G64" s="13" t="str">
        <f t="shared" si="2"/>
        <v/>
      </c>
    </row>
    <row r="65" spans="2:8" x14ac:dyDescent="0.25">
      <c r="B65" s="24">
        <f t="shared" ref="B65:B66" si="24">+B64</f>
        <v>21</v>
      </c>
      <c r="C65" s="24" t="str">
        <f t="shared" si="1"/>
        <v>21Eng</v>
      </c>
      <c r="D65" s="7" t="s">
        <v>39</v>
      </c>
      <c r="E65" s="8" t="s">
        <v>209</v>
      </c>
      <c r="F65" s="18" t="str">
        <f t="shared" si="3"/>
        <v>https://docs.google.com/uc?export=download&amp;id=1st7IuxSrkkCQmbzZicQ4Cs9H_uRO60dT</v>
      </c>
      <c r="G65" s="13" t="str">
        <f>IFERROR(LEFT(RIGHT(H65,LEN(H65)-32),LEN(RIGHT(H65,LEN(H65)-32))-17),"")</f>
        <v>1st7IuxSrkkCQmbzZicQ4Cs9H_uRO60dT</v>
      </c>
      <c r="H65" t="s">
        <v>248</v>
      </c>
    </row>
    <row r="66" spans="2:8" x14ac:dyDescent="0.25">
      <c r="B66" s="26">
        <f t="shared" si="24"/>
        <v>21</v>
      </c>
      <c r="C66" s="26" t="str">
        <f t="shared" si="1"/>
        <v>21Phon</v>
      </c>
      <c r="D66" s="3" t="s">
        <v>40</v>
      </c>
      <c r="E66" s="2" t="s">
        <v>210</v>
      </c>
      <c r="F66" s="17" t="str">
        <f t="shared" si="3"/>
        <v/>
      </c>
      <c r="G66" s="13" t="str">
        <f t="shared" si="2"/>
        <v/>
      </c>
    </row>
    <row r="67" spans="2:8" x14ac:dyDescent="0.25">
      <c r="B67" s="25">
        <v>22</v>
      </c>
      <c r="C67" s="25" t="str">
        <f t="shared" si="1"/>
        <v>22Viet</v>
      </c>
      <c r="D67" s="10" t="s">
        <v>157</v>
      </c>
      <c r="E67" s="6" t="s">
        <v>207</v>
      </c>
      <c r="F67" s="16" t="str">
        <f t="shared" si="3"/>
        <v/>
      </c>
      <c r="G67" s="13" t="str">
        <f t="shared" si="2"/>
        <v/>
      </c>
    </row>
    <row r="68" spans="2:8" x14ac:dyDescent="0.25">
      <c r="B68" s="24">
        <f t="shared" ref="B68:B69" si="25">+B67</f>
        <v>22</v>
      </c>
      <c r="C68" s="24" t="str">
        <f t="shared" si="1"/>
        <v>22Eng</v>
      </c>
      <c r="D68" s="7" t="s">
        <v>41</v>
      </c>
      <c r="E68" s="8" t="s">
        <v>209</v>
      </c>
      <c r="F68" s="18" t="str">
        <f t="shared" si="3"/>
        <v>https://docs.google.com/uc?export=download&amp;id=1ENR1D6-OLet_oaNNY8obafUFVgevNRJP</v>
      </c>
      <c r="G68" s="13" t="str">
        <f t="shared" si="2"/>
        <v>1ENR1D6-OLet_oaNNY8obafUFVgevNRJP</v>
      </c>
      <c r="H68" t="s">
        <v>249</v>
      </c>
    </row>
    <row r="69" spans="2:8" x14ac:dyDescent="0.25">
      <c r="B69" s="26">
        <f t="shared" si="25"/>
        <v>22</v>
      </c>
      <c r="C69" s="26" t="str">
        <f t="shared" ref="C69:C132" si="26">B69&amp;E69</f>
        <v>22Phon</v>
      </c>
      <c r="D69" s="3" t="s">
        <v>42</v>
      </c>
      <c r="E69" s="2" t="s">
        <v>210</v>
      </c>
      <c r="F69" s="17" t="str">
        <f t="shared" si="3"/>
        <v/>
      </c>
      <c r="G69" s="13" t="str">
        <f t="shared" ref="G69:G121" si="27">IFERROR(LEFT(RIGHT(H69,LEN(H69)-32),LEN(RIGHT(H69,LEN(H69)-32))-17),"")</f>
        <v/>
      </c>
    </row>
    <row r="70" spans="2:8" x14ac:dyDescent="0.25">
      <c r="B70" s="25">
        <v>23</v>
      </c>
      <c r="C70" s="25" t="str">
        <f t="shared" si="26"/>
        <v>23Viet</v>
      </c>
      <c r="D70" s="10" t="s">
        <v>158</v>
      </c>
      <c r="E70" s="6" t="s">
        <v>207</v>
      </c>
      <c r="F70" s="16" t="str">
        <f t="shared" ref="F70:F133" si="28">IF(G70="","","https://docs.google.com/uc?export=download&amp;id="&amp;G70)</f>
        <v/>
      </c>
      <c r="G70" s="13" t="str">
        <f t="shared" si="27"/>
        <v/>
      </c>
    </row>
    <row r="71" spans="2:8" x14ac:dyDescent="0.25">
      <c r="B71" s="24">
        <f t="shared" ref="B71:B72" si="29">+B70</f>
        <v>23</v>
      </c>
      <c r="C71" s="24" t="str">
        <f t="shared" si="26"/>
        <v>23Eng</v>
      </c>
      <c r="D71" s="7" t="s">
        <v>43</v>
      </c>
      <c r="E71" s="8" t="s">
        <v>209</v>
      </c>
      <c r="F71" s="18" t="str">
        <f t="shared" si="28"/>
        <v>https://docs.google.com/uc?export=download&amp;id=1u0s__3y8qqHjwEb0jm-a7JMbxo5YyZBG</v>
      </c>
      <c r="G71" s="13" t="str">
        <f t="shared" si="27"/>
        <v>1u0s__3y8qqHjwEb0jm-a7JMbxo5YyZBG</v>
      </c>
      <c r="H71" t="s">
        <v>250</v>
      </c>
    </row>
    <row r="72" spans="2:8" x14ac:dyDescent="0.25">
      <c r="B72" s="26">
        <f t="shared" si="29"/>
        <v>23</v>
      </c>
      <c r="C72" s="26" t="str">
        <f t="shared" si="26"/>
        <v>23Phon</v>
      </c>
      <c r="D72" s="3" t="s">
        <v>44</v>
      </c>
      <c r="E72" s="2" t="s">
        <v>210</v>
      </c>
      <c r="F72" s="17" t="str">
        <f t="shared" si="28"/>
        <v/>
      </c>
      <c r="G72" s="13" t="str">
        <f t="shared" si="27"/>
        <v/>
      </c>
    </row>
    <row r="73" spans="2:8" x14ac:dyDescent="0.25">
      <c r="B73" s="25">
        <v>24</v>
      </c>
      <c r="C73" s="25" t="str">
        <f t="shared" si="26"/>
        <v>24Viet</v>
      </c>
      <c r="D73" s="10" t="s">
        <v>159</v>
      </c>
      <c r="E73" s="6" t="s">
        <v>207</v>
      </c>
      <c r="F73" s="16" t="str">
        <f t="shared" si="28"/>
        <v/>
      </c>
      <c r="G73" s="13" t="str">
        <f t="shared" si="27"/>
        <v/>
      </c>
    </row>
    <row r="74" spans="2:8" x14ac:dyDescent="0.25">
      <c r="B74" s="24">
        <f t="shared" ref="B74:B75" si="30">+B73</f>
        <v>24</v>
      </c>
      <c r="C74" s="24" t="str">
        <f t="shared" si="26"/>
        <v>24Eng</v>
      </c>
      <c r="D74" s="7" t="s">
        <v>45</v>
      </c>
      <c r="E74" s="8" t="s">
        <v>209</v>
      </c>
      <c r="F74" s="18" t="str">
        <f t="shared" si="28"/>
        <v>https://docs.google.com/uc?export=download&amp;id=1ld5a9AXvIesTPlgb0oJsqiJr2UTNpzn8</v>
      </c>
      <c r="G74" s="13" t="str">
        <f t="shared" si="27"/>
        <v>1ld5a9AXvIesTPlgb0oJsqiJr2UTNpzn8</v>
      </c>
      <c r="H74" t="s">
        <v>251</v>
      </c>
    </row>
    <row r="75" spans="2:8" x14ac:dyDescent="0.25">
      <c r="B75" s="26">
        <f t="shared" si="30"/>
        <v>24</v>
      </c>
      <c r="C75" s="26" t="str">
        <f t="shared" si="26"/>
        <v>24Phon</v>
      </c>
      <c r="D75" s="3" t="s">
        <v>46</v>
      </c>
      <c r="E75" s="2" t="s">
        <v>210</v>
      </c>
      <c r="F75" s="17" t="str">
        <f t="shared" si="28"/>
        <v/>
      </c>
      <c r="G75" s="13" t="str">
        <f t="shared" si="27"/>
        <v/>
      </c>
    </row>
    <row r="76" spans="2:8" x14ac:dyDescent="0.25">
      <c r="B76" s="25">
        <v>25</v>
      </c>
      <c r="C76" s="25" t="str">
        <f t="shared" si="26"/>
        <v>25Viet</v>
      </c>
      <c r="D76" s="10" t="s">
        <v>160</v>
      </c>
      <c r="E76" s="6" t="s">
        <v>207</v>
      </c>
      <c r="F76" s="16" t="str">
        <f t="shared" si="28"/>
        <v/>
      </c>
      <c r="G76" s="13" t="str">
        <f t="shared" si="27"/>
        <v/>
      </c>
    </row>
    <row r="77" spans="2:8" x14ac:dyDescent="0.25">
      <c r="B77" s="24">
        <f t="shared" ref="B77:B78" si="31">+B76</f>
        <v>25</v>
      </c>
      <c r="C77" s="24" t="str">
        <f t="shared" si="26"/>
        <v>25Eng</v>
      </c>
      <c r="D77" s="7" t="s">
        <v>47</v>
      </c>
      <c r="E77" s="8" t="s">
        <v>209</v>
      </c>
      <c r="F77" s="18" t="str">
        <f t="shared" si="28"/>
        <v>https://docs.google.com/uc?export=download&amp;id=1J9iqHa6tO6oG51LuwDgWtItFlWTD6iuD</v>
      </c>
      <c r="G77" s="13" t="str">
        <f t="shared" si="27"/>
        <v>1J9iqHa6tO6oG51LuwDgWtItFlWTD6iuD</v>
      </c>
      <c r="H77" t="s">
        <v>252</v>
      </c>
    </row>
    <row r="78" spans="2:8" x14ac:dyDescent="0.25">
      <c r="B78" s="26">
        <f t="shared" si="31"/>
        <v>25</v>
      </c>
      <c r="C78" s="26" t="str">
        <f t="shared" si="26"/>
        <v>25Phon</v>
      </c>
      <c r="D78" s="3" t="s">
        <v>48</v>
      </c>
      <c r="E78" s="2" t="s">
        <v>210</v>
      </c>
      <c r="F78" s="17" t="str">
        <f t="shared" si="28"/>
        <v/>
      </c>
      <c r="G78" s="13" t="str">
        <f t="shared" si="27"/>
        <v/>
      </c>
    </row>
    <row r="79" spans="2:8" x14ac:dyDescent="0.25">
      <c r="B79" s="25">
        <v>26</v>
      </c>
      <c r="C79" s="25" t="str">
        <f t="shared" si="26"/>
        <v>26Viet</v>
      </c>
      <c r="D79" s="10" t="s">
        <v>161</v>
      </c>
      <c r="E79" s="6" t="s">
        <v>207</v>
      </c>
      <c r="F79" s="16" t="str">
        <f t="shared" si="28"/>
        <v/>
      </c>
      <c r="G79" s="13" t="str">
        <f t="shared" si="27"/>
        <v/>
      </c>
    </row>
    <row r="80" spans="2:8" x14ac:dyDescent="0.25">
      <c r="B80" s="24">
        <f t="shared" ref="B80:B81" si="32">+B79</f>
        <v>26</v>
      </c>
      <c r="C80" s="24" t="str">
        <f t="shared" si="26"/>
        <v>26Eng</v>
      </c>
      <c r="D80" s="7" t="s">
        <v>49</v>
      </c>
      <c r="E80" s="8" t="s">
        <v>209</v>
      </c>
      <c r="F80" s="18" t="str">
        <f t="shared" si="28"/>
        <v>https://docs.google.com/uc?export=download&amp;id=1n2VlxP9afsq2YPcU7NPIjbDVcHaCxUPc</v>
      </c>
      <c r="G80" s="13" t="str">
        <f t="shared" si="27"/>
        <v>1n2VlxP9afsq2YPcU7NPIjbDVcHaCxUPc</v>
      </c>
      <c r="H80" t="s">
        <v>253</v>
      </c>
    </row>
    <row r="81" spans="2:8" x14ac:dyDescent="0.25">
      <c r="B81" s="26">
        <f t="shared" si="32"/>
        <v>26</v>
      </c>
      <c r="C81" s="26" t="str">
        <f t="shared" si="26"/>
        <v>26Phon</v>
      </c>
      <c r="D81" s="3" t="s">
        <v>50</v>
      </c>
      <c r="E81" s="2" t="s">
        <v>210</v>
      </c>
      <c r="F81" s="17" t="str">
        <f t="shared" si="28"/>
        <v/>
      </c>
      <c r="G81" s="13" t="str">
        <f t="shared" si="27"/>
        <v/>
      </c>
    </row>
    <row r="82" spans="2:8" x14ac:dyDescent="0.25">
      <c r="B82" s="25">
        <v>27</v>
      </c>
      <c r="C82" s="25" t="str">
        <f t="shared" si="26"/>
        <v>27Viet</v>
      </c>
      <c r="D82" s="10" t="s">
        <v>162</v>
      </c>
      <c r="E82" s="6" t="s">
        <v>207</v>
      </c>
      <c r="F82" s="16" t="str">
        <f t="shared" si="28"/>
        <v/>
      </c>
      <c r="G82" s="13" t="str">
        <f t="shared" si="27"/>
        <v/>
      </c>
    </row>
    <row r="83" spans="2:8" x14ac:dyDescent="0.25">
      <c r="B83" s="24">
        <f t="shared" ref="B83:B84" si="33">+B82</f>
        <v>27</v>
      </c>
      <c r="C83" s="24" t="str">
        <f t="shared" si="26"/>
        <v>27Eng</v>
      </c>
      <c r="D83" s="7" t="s">
        <v>51</v>
      </c>
      <c r="E83" s="8" t="s">
        <v>209</v>
      </c>
      <c r="F83" s="18" t="str">
        <f t="shared" si="28"/>
        <v>https://docs.google.com/uc?export=download&amp;id=1AokjTfTHaTqlGeQpy5VOGVjn5Bg72ZyT</v>
      </c>
      <c r="G83" s="13" t="str">
        <f t="shared" si="27"/>
        <v>1AokjTfTHaTqlGeQpy5VOGVjn5Bg72ZyT</v>
      </c>
      <c r="H83" t="s">
        <v>254</v>
      </c>
    </row>
    <row r="84" spans="2:8" x14ac:dyDescent="0.25">
      <c r="B84" s="26">
        <f t="shared" si="33"/>
        <v>27</v>
      </c>
      <c r="C84" s="26" t="str">
        <f t="shared" si="26"/>
        <v>27Phon</v>
      </c>
      <c r="D84" s="3" t="s">
        <v>52</v>
      </c>
      <c r="E84" s="2" t="s">
        <v>210</v>
      </c>
      <c r="F84" s="17" t="str">
        <f t="shared" si="28"/>
        <v/>
      </c>
      <c r="G84" s="13" t="str">
        <f t="shared" si="27"/>
        <v/>
      </c>
    </row>
    <row r="85" spans="2:8" x14ac:dyDescent="0.25">
      <c r="B85" s="25">
        <v>28</v>
      </c>
      <c r="C85" s="25" t="str">
        <f t="shared" si="26"/>
        <v>28Viet</v>
      </c>
      <c r="D85" s="10" t="s">
        <v>163</v>
      </c>
      <c r="E85" s="6" t="s">
        <v>207</v>
      </c>
      <c r="F85" s="16" t="str">
        <f t="shared" si="28"/>
        <v/>
      </c>
      <c r="G85" s="13" t="str">
        <f t="shared" si="27"/>
        <v/>
      </c>
    </row>
    <row r="86" spans="2:8" x14ac:dyDescent="0.25">
      <c r="B86" s="24">
        <f t="shared" ref="B86:B87" si="34">+B85</f>
        <v>28</v>
      </c>
      <c r="C86" s="24" t="str">
        <f t="shared" si="26"/>
        <v>28Eng</v>
      </c>
      <c r="D86" s="7" t="s">
        <v>53</v>
      </c>
      <c r="E86" s="8" t="s">
        <v>209</v>
      </c>
      <c r="F86" s="18" t="str">
        <f t="shared" si="28"/>
        <v>https://docs.google.com/uc?export=download&amp;id=1Q3C1mvfpj_8xnOZEGGrbQV_RCc-Pu6ZY</v>
      </c>
      <c r="G86" s="13" t="str">
        <f t="shared" si="27"/>
        <v>1Q3C1mvfpj_8xnOZEGGrbQV_RCc-Pu6ZY</v>
      </c>
      <c r="H86" t="s">
        <v>255</v>
      </c>
    </row>
    <row r="87" spans="2:8" x14ac:dyDescent="0.25">
      <c r="B87" s="26">
        <f t="shared" si="34"/>
        <v>28</v>
      </c>
      <c r="C87" s="26" t="str">
        <f t="shared" si="26"/>
        <v>28Phon</v>
      </c>
      <c r="D87" s="3" t="s">
        <v>54</v>
      </c>
      <c r="E87" s="2" t="s">
        <v>210</v>
      </c>
      <c r="F87" s="17" t="str">
        <f t="shared" si="28"/>
        <v/>
      </c>
      <c r="G87" s="13" t="str">
        <f t="shared" si="27"/>
        <v/>
      </c>
    </row>
    <row r="88" spans="2:8" x14ac:dyDescent="0.25">
      <c r="B88" s="25">
        <v>29</v>
      </c>
      <c r="C88" s="25" t="str">
        <f t="shared" si="26"/>
        <v>29Viet</v>
      </c>
      <c r="D88" s="10" t="s">
        <v>164</v>
      </c>
      <c r="E88" s="6" t="s">
        <v>207</v>
      </c>
      <c r="F88" s="16" t="str">
        <f t="shared" si="28"/>
        <v/>
      </c>
      <c r="G88" s="13" t="str">
        <f t="shared" si="27"/>
        <v/>
      </c>
    </row>
    <row r="89" spans="2:8" x14ac:dyDescent="0.25">
      <c r="B89" s="24">
        <f t="shared" ref="B89:B90" si="35">+B88</f>
        <v>29</v>
      </c>
      <c r="C89" s="24" t="str">
        <f t="shared" si="26"/>
        <v>29Eng</v>
      </c>
      <c r="D89" s="7" t="s">
        <v>55</v>
      </c>
      <c r="E89" s="8" t="s">
        <v>209</v>
      </c>
      <c r="F89" s="18" t="str">
        <f t="shared" si="28"/>
        <v>https://docs.google.com/uc?export=download&amp;id=126OqDq_TPRMR0-HSV5pC61TbniGoZIxs</v>
      </c>
      <c r="G89" s="13" t="str">
        <f>IFERROR(LEFT(RIGHT(H89,LEN(H89)-32),LEN(RIGHT(H89,LEN(H89)-32))-17),"")</f>
        <v>126OqDq_TPRMR0-HSV5pC61TbniGoZIxs</v>
      </c>
      <c r="H89" t="s">
        <v>256</v>
      </c>
    </row>
    <row r="90" spans="2:8" x14ac:dyDescent="0.25">
      <c r="B90" s="26">
        <f t="shared" si="35"/>
        <v>29</v>
      </c>
      <c r="C90" s="26" t="str">
        <f t="shared" si="26"/>
        <v>29Phon</v>
      </c>
      <c r="D90" s="3" t="s">
        <v>56</v>
      </c>
      <c r="E90" s="2" t="s">
        <v>210</v>
      </c>
      <c r="F90" s="17" t="str">
        <f t="shared" si="28"/>
        <v/>
      </c>
      <c r="G90" s="13" t="str">
        <f t="shared" si="27"/>
        <v/>
      </c>
    </row>
    <row r="91" spans="2:8" x14ac:dyDescent="0.25">
      <c r="B91" s="25">
        <v>30</v>
      </c>
      <c r="C91" s="25" t="str">
        <f t="shared" si="26"/>
        <v>30Viet</v>
      </c>
      <c r="D91" s="10" t="s">
        <v>165</v>
      </c>
      <c r="E91" s="6" t="s">
        <v>207</v>
      </c>
      <c r="F91" s="16" t="str">
        <f t="shared" si="28"/>
        <v/>
      </c>
      <c r="G91" s="13" t="str">
        <f t="shared" si="27"/>
        <v/>
      </c>
    </row>
    <row r="92" spans="2:8" x14ac:dyDescent="0.25">
      <c r="B92" s="24">
        <f t="shared" ref="B92:B93" si="36">+B91</f>
        <v>30</v>
      </c>
      <c r="C92" s="24" t="str">
        <f t="shared" si="26"/>
        <v>30Eng</v>
      </c>
      <c r="D92" s="7" t="s">
        <v>57</v>
      </c>
      <c r="E92" s="8" t="s">
        <v>209</v>
      </c>
      <c r="F92" s="18" t="str">
        <f t="shared" si="28"/>
        <v>https://docs.google.com/uc?export=download&amp;id=1izxWF36fLGKush3KhW-Rtlhj-dr01uFg</v>
      </c>
      <c r="G92" s="13" t="str">
        <f t="shared" si="27"/>
        <v>1izxWF36fLGKush3KhW-Rtlhj-dr01uFg</v>
      </c>
      <c r="H92" t="s">
        <v>257</v>
      </c>
    </row>
    <row r="93" spans="2:8" x14ac:dyDescent="0.25">
      <c r="B93" s="26">
        <f t="shared" si="36"/>
        <v>30</v>
      </c>
      <c r="C93" s="26" t="str">
        <f t="shared" si="26"/>
        <v>30Phon</v>
      </c>
      <c r="D93" s="3" t="s">
        <v>58</v>
      </c>
      <c r="E93" s="2" t="s">
        <v>210</v>
      </c>
      <c r="F93" s="17" t="str">
        <f t="shared" si="28"/>
        <v/>
      </c>
      <c r="G93" s="13" t="str">
        <f t="shared" si="27"/>
        <v/>
      </c>
    </row>
    <row r="94" spans="2:8" x14ac:dyDescent="0.25">
      <c r="B94" s="25">
        <v>31</v>
      </c>
      <c r="C94" s="25" t="str">
        <f t="shared" si="26"/>
        <v>31Viet</v>
      </c>
      <c r="D94" s="10" t="s">
        <v>166</v>
      </c>
      <c r="E94" s="6" t="s">
        <v>207</v>
      </c>
      <c r="F94" s="16" t="str">
        <f t="shared" si="28"/>
        <v/>
      </c>
      <c r="G94" s="13" t="str">
        <f t="shared" si="27"/>
        <v/>
      </c>
    </row>
    <row r="95" spans="2:8" x14ac:dyDescent="0.25">
      <c r="B95" s="24">
        <f t="shared" ref="B95:B96" si="37">+B94</f>
        <v>31</v>
      </c>
      <c r="C95" s="24" t="str">
        <f t="shared" si="26"/>
        <v>31Eng</v>
      </c>
      <c r="D95" s="7" t="s">
        <v>59</v>
      </c>
      <c r="E95" s="8" t="s">
        <v>209</v>
      </c>
      <c r="F95" s="18" t="str">
        <f t="shared" si="28"/>
        <v>https://docs.google.com/uc?export=download&amp;id=1L8LigPskDX5b1knZDbB0xndjDpZSYX2d</v>
      </c>
      <c r="G95" s="13" t="str">
        <f t="shared" si="27"/>
        <v>1L8LigPskDX5b1knZDbB0xndjDpZSYX2d</v>
      </c>
      <c r="H95" t="s">
        <v>258</v>
      </c>
    </row>
    <row r="96" spans="2:8" x14ac:dyDescent="0.25">
      <c r="B96" s="26">
        <f t="shared" si="37"/>
        <v>31</v>
      </c>
      <c r="C96" s="26" t="str">
        <f t="shared" si="26"/>
        <v>31Phon</v>
      </c>
      <c r="D96" s="3" t="s">
        <v>60</v>
      </c>
      <c r="E96" s="2" t="s">
        <v>210</v>
      </c>
      <c r="F96" s="17" t="str">
        <f t="shared" si="28"/>
        <v/>
      </c>
      <c r="G96" s="13" t="str">
        <f t="shared" si="27"/>
        <v/>
      </c>
    </row>
    <row r="97" spans="2:8" x14ac:dyDescent="0.25">
      <c r="B97" s="25">
        <v>32</v>
      </c>
      <c r="C97" s="25" t="str">
        <f t="shared" si="26"/>
        <v>32Viet</v>
      </c>
      <c r="D97" s="10" t="s">
        <v>167</v>
      </c>
      <c r="E97" s="6" t="s">
        <v>207</v>
      </c>
      <c r="F97" s="16" t="str">
        <f t="shared" si="28"/>
        <v/>
      </c>
      <c r="G97" s="13" t="str">
        <f t="shared" si="27"/>
        <v/>
      </c>
    </row>
    <row r="98" spans="2:8" x14ac:dyDescent="0.25">
      <c r="B98" s="24">
        <f t="shared" ref="B98:B99" si="38">+B97</f>
        <v>32</v>
      </c>
      <c r="C98" s="24" t="str">
        <f t="shared" si="26"/>
        <v>32Eng</v>
      </c>
      <c r="D98" s="7" t="s">
        <v>61</v>
      </c>
      <c r="E98" s="8" t="s">
        <v>209</v>
      </c>
      <c r="F98" s="18" t="str">
        <f t="shared" si="28"/>
        <v>https://docs.google.com/uc?export=download&amp;id=1bz0BXELm31vLT3gPuBjukMu3qry07fhy</v>
      </c>
      <c r="G98" s="13" t="str">
        <f t="shared" si="27"/>
        <v>1bz0BXELm31vLT3gPuBjukMu3qry07fhy</v>
      </c>
      <c r="H98" t="s">
        <v>299</v>
      </c>
    </row>
    <row r="99" spans="2:8" x14ac:dyDescent="0.25">
      <c r="B99" s="26">
        <f t="shared" si="38"/>
        <v>32</v>
      </c>
      <c r="C99" s="26" t="str">
        <f t="shared" si="26"/>
        <v>32Phon</v>
      </c>
      <c r="D99" s="3" t="s">
        <v>62</v>
      </c>
      <c r="E99" s="2" t="s">
        <v>210</v>
      </c>
      <c r="F99" s="17" t="str">
        <f t="shared" si="28"/>
        <v/>
      </c>
      <c r="G99" s="13" t="str">
        <f t="shared" si="27"/>
        <v/>
      </c>
    </row>
    <row r="100" spans="2:8" x14ac:dyDescent="0.25">
      <c r="B100" s="25">
        <v>33</v>
      </c>
      <c r="C100" s="25" t="str">
        <f t="shared" si="26"/>
        <v>33Viet</v>
      </c>
      <c r="D100" s="10" t="s">
        <v>168</v>
      </c>
      <c r="E100" s="6" t="s">
        <v>207</v>
      </c>
      <c r="F100" s="16" t="str">
        <f t="shared" si="28"/>
        <v/>
      </c>
      <c r="G100" s="13" t="str">
        <f t="shared" si="27"/>
        <v/>
      </c>
    </row>
    <row r="101" spans="2:8" x14ac:dyDescent="0.25">
      <c r="B101" s="24">
        <f t="shared" ref="B101:B102" si="39">+B100</f>
        <v>33</v>
      </c>
      <c r="C101" s="24" t="str">
        <f t="shared" si="26"/>
        <v>33Eng</v>
      </c>
      <c r="D101" s="7" t="s">
        <v>63</v>
      </c>
      <c r="E101" s="8" t="s">
        <v>209</v>
      </c>
      <c r="F101" s="18" t="str">
        <f t="shared" si="28"/>
        <v>https://docs.google.com/uc?export=download&amp;id=1ZDU3xHGfXBMjAMXe6Lh0wNmcokxoaTq2</v>
      </c>
      <c r="G101" s="13" t="str">
        <f t="shared" si="27"/>
        <v>1ZDU3xHGfXBMjAMXe6Lh0wNmcokxoaTq2</v>
      </c>
      <c r="H101" t="s">
        <v>259</v>
      </c>
    </row>
    <row r="102" spans="2:8" x14ac:dyDescent="0.25">
      <c r="B102" s="26">
        <f t="shared" si="39"/>
        <v>33</v>
      </c>
      <c r="C102" s="26" t="str">
        <f t="shared" si="26"/>
        <v>33Phon</v>
      </c>
      <c r="D102" s="3" t="s">
        <v>64</v>
      </c>
      <c r="E102" s="2" t="s">
        <v>210</v>
      </c>
      <c r="F102" s="17" t="str">
        <f t="shared" si="28"/>
        <v/>
      </c>
      <c r="G102" s="13" t="str">
        <f t="shared" si="27"/>
        <v/>
      </c>
    </row>
    <row r="103" spans="2:8" x14ac:dyDescent="0.25">
      <c r="B103" s="25">
        <v>34</v>
      </c>
      <c r="C103" s="25" t="str">
        <f t="shared" si="26"/>
        <v>34Viet</v>
      </c>
      <c r="D103" s="10" t="s">
        <v>169</v>
      </c>
      <c r="E103" s="6" t="s">
        <v>207</v>
      </c>
      <c r="F103" s="16" t="str">
        <f t="shared" si="28"/>
        <v/>
      </c>
      <c r="G103" s="13" t="str">
        <f t="shared" si="27"/>
        <v/>
      </c>
    </row>
    <row r="104" spans="2:8" x14ac:dyDescent="0.25">
      <c r="B104" s="24">
        <f t="shared" ref="B104:B105" si="40">+B103</f>
        <v>34</v>
      </c>
      <c r="C104" s="24" t="str">
        <f t="shared" si="26"/>
        <v>34Eng</v>
      </c>
      <c r="D104" s="7" t="s">
        <v>65</v>
      </c>
      <c r="E104" s="8" t="s">
        <v>209</v>
      </c>
      <c r="F104" s="18" t="str">
        <f t="shared" si="28"/>
        <v>https://docs.google.com/uc?export=download&amp;id=1Np79Em_gY2cOCbMcpVAr7KfemxFBTvkf</v>
      </c>
      <c r="G104" s="13" t="str">
        <f t="shared" si="27"/>
        <v>1Np79Em_gY2cOCbMcpVAr7KfemxFBTvkf</v>
      </c>
      <c r="H104" t="s">
        <v>260</v>
      </c>
    </row>
    <row r="105" spans="2:8" x14ac:dyDescent="0.25">
      <c r="B105" s="26">
        <f t="shared" si="40"/>
        <v>34</v>
      </c>
      <c r="C105" s="26" t="str">
        <f t="shared" si="26"/>
        <v>34Phon</v>
      </c>
      <c r="D105" s="3" t="s">
        <v>66</v>
      </c>
      <c r="E105" s="2" t="s">
        <v>210</v>
      </c>
      <c r="F105" s="17" t="str">
        <f t="shared" si="28"/>
        <v/>
      </c>
      <c r="G105" s="13" t="str">
        <f t="shared" si="27"/>
        <v/>
      </c>
    </row>
    <row r="106" spans="2:8" x14ac:dyDescent="0.25">
      <c r="B106" s="25">
        <v>35</v>
      </c>
      <c r="C106" s="25" t="str">
        <f t="shared" si="26"/>
        <v>35Viet</v>
      </c>
      <c r="D106" s="10" t="s">
        <v>170</v>
      </c>
      <c r="E106" s="6" t="s">
        <v>207</v>
      </c>
      <c r="F106" s="16" t="str">
        <f t="shared" si="28"/>
        <v/>
      </c>
      <c r="G106" s="13" t="str">
        <f t="shared" si="27"/>
        <v/>
      </c>
    </row>
    <row r="107" spans="2:8" x14ac:dyDescent="0.25">
      <c r="B107" s="24">
        <f t="shared" ref="B107:B108" si="41">+B106</f>
        <v>35</v>
      </c>
      <c r="C107" s="24" t="str">
        <f t="shared" si="26"/>
        <v>35Eng</v>
      </c>
      <c r="D107" s="7" t="s">
        <v>67</v>
      </c>
      <c r="E107" s="8" t="s">
        <v>209</v>
      </c>
      <c r="F107" s="18" t="str">
        <f t="shared" si="28"/>
        <v>https://docs.google.com/uc?export=download&amp;id=1LnviRkmf_NY_nyyyQfyqDl7q5m41_mrA</v>
      </c>
      <c r="G107" s="13" t="str">
        <f t="shared" si="27"/>
        <v>1LnviRkmf_NY_nyyyQfyqDl7q5m41_mrA</v>
      </c>
      <c r="H107" t="s">
        <v>261</v>
      </c>
    </row>
    <row r="108" spans="2:8" x14ac:dyDescent="0.25">
      <c r="B108" s="26">
        <f t="shared" si="41"/>
        <v>35</v>
      </c>
      <c r="C108" s="26" t="str">
        <f t="shared" si="26"/>
        <v>35Phon</v>
      </c>
      <c r="D108" s="3" t="s">
        <v>68</v>
      </c>
      <c r="E108" s="2" t="s">
        <v>210</v>
      </c>
      <c r="F108" s="17" t="str">
        <f t="shared" si="28"/>
        <v/>
      </c>
      <c r="G108" s="13" t="str">
        <f t="shared" si="27"/>
        <v/>
      </c>
    </row>
    <row r="109" spans="2:8" x14ac:dyDescent="0.25">
      <c r="B109" s="25">
        <v>36</v>
      </c>
      <c r="C109" s="25" t="str">
        <f t="shared" si="26"/>
        <v>36Viet</v>
      </c>
      <c r="D109" s="10" t="s">
        <v>171</v>
      </c>
      <c r="E109" s="6" t="s">
        <v>207</v>
      </c>
      <c r="F109" s="16" t="str">
        <f t="shared" si="28"/>
        <v/>
      </c>
      <c r="G109" s="13" t="str">
        <f t="shared" si="27"/>
        <v/>
      </c>
    </row>
    <row r="110" spans="2:8" x14ac:dyDescent="0.25">
      <c r="B110" s="24">
        <f t="shared" ref="B110:B111" si="42">+B109</f>
        <v>36</v>
      </c>
      <c r="C110" s="24" t="str">
        <f t="shared" si="26"/>
        <v>36Eng</v>
      </c>
      <c r="D110" s="7" t="s">
        <v>69</v>
      </c>
      <c r="E110" s="8" t="s">
        <v>209</v>
      </c>
      <c r="F110" s="18" t="str">
        <f t="shared" si="28"/>
        <v>https://docs.google.com/uc?export=download&amp;id=1NPfeRJvEjBLTj_T8Ju4FiP2RBFCG9D1o</v>
      </c>
      <c r="G110" s="13" t="str">
        <f t="shared" si="27"/>
        <v>1NPfeRJvEjBLTj_T8Ju4FiP2RBFCG9D1o</v>
      </c>
      <c r="H110" s="13" t="s">
        <v>262</v>
      </c>
    </row>
    <row r="111" spans="2:8" x14ac:dyDescent="0.25">
      <c r="B111" s="26">
        <f t="shared" si="42"/>
        <v>36</v>
      </c>
      <c r="C111" s="26" t="str">
        <f t="shared" si="26"/>
        <v>36Phon</v>
      </c>
      <c r="D111" s="3" t="s">
        <v>70</v>
      </c>
      <c r="E111" s="2" t="s">
        <v>210</v>
      </c>
      <c r="F111" s="17" t="str">
        <f t="shared" si="28"/>
        <v/>
      </c>
      <c r="G111" s="13" t="str">
        <f t="shared" si="27"/>
        <v/>
      </c>
    </row>
    <row r="112" spans="2:8" x14ac:dyDescent="0.25">
      <c r="B112" s="25">
        <v>37</v>
      </c>
      <c r="C112" s="25" t="str">
        <f t="shared" si="26"/>
        <v>37Viet</v>
      </c>
      <c r="D112" s="10" t="s">
        <v>172</v>
      </c>
      <c r="E112" s="6" t="s">
        <v>207</v>
      </c>
      <c r="F112" s="16" t="str">
        <f t="shared" si="28"/>
        <v/>
      </c>
      <c r="G112" s="13" t="str">
        <f t="shared" si="27"/>
        <v/>
      </c>
    </row>
    <row r="113" spans="2:8" x14ac:dyDescent="0.25">
      <c r="B113" s="24">
        <f t="shared" ref="B113:B114" si="43">+B112</f>
        <v>37</v>
      </c>
      <c r="C113" s="24" t="str">
        <f t="shared" si="26"/>
        <v>37Eng</v>
      </c>
      <c r="D113" s="7" t="s">
        <v>71</v>
      </c>
      <c r="E113" s="8" t="s">
        <v>209</v>
      </c>
      <c r="F113" s="18" t="str">
        <f t="shared" si="28"/>
        <v>https://docs.google.com/uc?export=download&amp;id=1cXcTA7rrrwYVZuQwvyH_yR_OUYGFfRYd</v>
      </c>
      <c r="G113" s="13" t="str">
        <f t="shared" si="27"/>
        <v>1cXcTA7rrrwYVZuQwvyH_yR_OUYGFfRYd</v>
      </c>
      <c r="H113" t="s">
        <v>263</v>
      </c>
    </row>
    <row r="114" spans="2:8" x14ac:dyDescent="0.25">
      <c r="B114" s="26">
        <f t="shared" si="43"/>
        <v>37</v>
      </c>
      <c r="C114" s="26" t="str">
        <f t="shared" si="26"/>
        <v>37Phon</v>
      </c>
      <c r="D114" s="3" t="s">
        <v>72</v>
      </c>
      <c r="E114" s="2" t="s">
        <v>210</v>
      </c>
      <c r="F114" s="17" t="str">
        <f t="shared" si="28"/>
        <v/>
      </c>
      <c r="G114" s="13" t="str">
        <f t="shared" si="27"/>
        <v/>
      </c>
    </row>
    <row r="115" spans="2:8" x14ac:dyDescent="0.25">
      <c r="B115" s="25">
        <v>38</v>
      </c>
      <c r="C115" s="25" t="str">
        <f t="shared" si="26"/>
        <v>38Viet</v>
      </c>
      <c r="D115" s="10" t="s">
        <v>173</v>
      </c>
      <c r="E115" s="6" t="s">
        <v>207</v>
      </c>
      <c r="F115" s="16" t="str">
        <f t="shared" si="28"/>
        <v/>
      </c>
      <c r="G115" s="13" t="str">
        <f t="shared" si="27"/>
        <v/>
      </c>
    </row>
    <row r="116" spans="2:8" x14ac:dyDescent="0.25">
      <c r="B116" s="24">
        <f t="shared" ref="B116:B117" si="44">+B115</f>
        <v>38</v>
      </c>
      <c r="C116" s="24" t="str">
        <f t="shared" si="26"/>
        <v>38Eng</v>
      </c>
      <c r="D116" s="7" t="s">
        <v>73</v>
      </c>
      <c r="E116" s="8" t="s">
        <v>209</v>
      </c>
      <c r="F116" s="18" t="str">
        <f t="shared" si="28"/>
        <v>https://docs.google.com/uc?export=download&amp;id=121PIR3MFQ_Mre66D9_rNsrBZaYs6pfLK</v>
      </c>
      <c r="G116" s="13" t="str">
        <f t="shared" si="27"/>
        <v>121PIR3MFQ_Mre66D9_rNsrBZaYs6pfLK</v>
      </c>
      <c r="H116" t="s">
        <v>264</v>
      </c>
    </row>
    <row r="117" spans="2:8" x14ac:dyDescent="0.25">
      <c r="B117" s="26">
        <f t="shared" si="44"/>
        <v>38</v>
      </c>
      <c r="C117" s="26" t="str">
        <f t="shared" si="26"/>
        <v>38Phon</v>
      </c>
      <c r="D117" s="3" t="s">
        <v>74</v>
      </c>
      <c r="E117" s="2" t="s">
        <v>210</v>
      </c>
      <c r="F117" s="17" t="str">
        <f t="shared" si="28"/>
        <v/>
      </c>
      <c r="G117" s="13" t="str">
        <f t="shared" si="27"/>
        <v/>
      </c>
    </row>
    <row r="118" spans="2:8" x14ac:dyDescent="0.25">
      <c r="B118" s="25">
        <v>39</v>
      </c>
      <c r="C118" s="25" t="str">
        <f t="shared" si="26"/>
        <v>39Viet</v>
      </c>
      <c r="D118" s="10" t="s">
        <v>174</v>
      </c>
      <c r="E118" s="6" t="s">
        <v>207</v>
      </c>
      <c r="F118" s="16" t="str">
        <f t="shared" si="28"/>
        <v/>
      </c>
      <c r="G118" s="13" t="str">
        <f t="shared" si="27"/>
        <v/>
      </c>
    </row>
    <row r="119" spans="2:8" x14ac:dyDescent="0.25">
      <c r="B119" s="24">
        <f t="shared" ref="B119:B120" si="45">+B118</f>
        <v>39</v>
      </c>
      <c r="C119" s="24" t="str">
        <f t="shared" si="26"/>
        <v>39Eng</v>
      </c>
      <c r="D119" s="7" t="s">
        <v>75</v>
      </c>
      <c r="E119" s="8" t="s">
        <v>209</v>
      </c>
      <c r="F119" s="18" t="str">
        <f t="shared" si="28"/>
        <v>https://docs.google.com/uc?export=download&amp;id=1gHU_SVQBZaBYmEMDFstKSRyWtXEeQUTg</v>
      </c>
      <c r="G119" s="13" t="str">
        <f t="shared" si="27"/>
        <v>1gHU_SVQBZaBYmEMDFstKSRyWtXEeQUTg</v>
      </c>
      <c r="H119" t="s">
        <v>265</v>
      </c>
    </row>
    <row r="120" spans="2:8" x14ac:dyDescent="0.25">
      <c r="B120" s="26">
        <f t="shared" si="45"/>
        <v>39</v>
      </c>
      <c r="C120" s="26" t="str">
        <f t="shared" si="26"/>
        <v>39Phon</v>
      </c>
      <c r="D120" s="3" t="s">
        <v>76</v>
      </c>
      <c r="E120" s="2" t="s">
        <v>210</v>
      </c>
      <c r="F120" s="17" t="str">
        <f t="shared" si="28"/>
        <v/>
      </c>
      <c r="G120" s="13" t="str">
        <f t="shared" si="27"/>
        <v/>
      </c>
    </row>
    <row r="121" spans="2:8" x14ac:dyDescent="0.25">
      <c r="B121" s="25">
        <v>40</v>
      </c>
      <c r="C121" s="25" t="str">
        <f t="shared" si="26"/>
        <v>40Viet</v>
      </c>
      <c r="D121" s="10" t="s">
        <v>175</v>
      </c>
      <c r="E121" s="6" t="s">
        <v>207</v>
      </c>
      <c r="F121" s="16" t="str">
        <f t="shared" si="28"/>
        <v/>
      </c>
      <c r="G121" s="13" t="str">
        <f t="shared" si="27"/>
        <v/>
      </c>
    </row>
    <row r="122" spans="2:8" x14ac:dyDescent="0.25">
      <c r="B122" s="24">
        <f t="shared" ref="B122:B123" si="46">+B121</f>
        <v>40</v>
      </c>
      <c r="C122" s="24" t="str">
        <f t="shared" si="26"/>
        <v>40Eng</v>
      </c>
      <c r="D122" s="7" t="s">
        <v>77</v>
      </c>
      <c r="E122" s="8" t="s">
        <v>209</v>
      </c>
      <c r="F122" s="18" t="str">
        <f t="shared" si="28"/>
        <v>https://docs.google.com/uc?export=download&amp;id=1mAA3O6VifcQaoOlQJGk9DX4GhjyCkHpS</v>
      </c>
      <c r="G122" s="13" t="str">
        <f>IFERROR(LEFT(RIGHT(H122,LEN(H122)-32),LEN(RIGHT(H122,LEN(H122)-32))-17),"")</f>
        <v>1mAA3O6VifcQaoOlQJGk9DX4GhjyCkHpS</v>
      </c>
      <c r="H122" s="13" t="s">
        <v>237</v>
      </c>
    </row>
    <row r="123" spans="2:8" x14ac:dyDescent="0.25">
      <c r="B123" s="26">
        <f t="shared" si="46"/>
        <v>40</v>
      </c>
      <c r="C123" s="26" t="str">
        <f t="shared" si="26"/>
        <v>40Phon</v>
      </c>
      <c r="D123" s="3" t="s">
        <v>78</v>
      </c>
      <c r="E123" s="2" t="s">
        <v>210</v>
      </c>
      <c r="F123" s="17" t="str">
        <f t="shared" si="28"/>
        <v/>
      </c>
      <c r="G123" s="13" t="str">
        <f t="shared" ref="G123:G143" si="47">IFERROR(LEFT(RIGHT(H123,LEN(H123)-32),LEN(RIGHT(H123,LEN(H123)-32))-17),"")</f>
        <v/>
      </c>
    </row>
    <row r="124" spans="2:8" x14ac:dyDescent="0.25">
      <c r="B124" s="25">
        <v>41</v>
      </c>
      <c r="C124" s="25" t="str">
        <f t="shared" si="26"/>
        <v>41Viet</v>
      </c>
      <c r="D124" s="10" t="s">
        <v>176</v>
      </c>
      <c r="E124" s="6" t="s">
        <v>207</v>
      </c>
      <c r="F124" s="16" t="str">
        <f t="shared" si="28"/>
        <v/>
      </c>
      <c r="G124" s="13" t="str">
        <f>IFERROR(LEFT(RIGHT(#REF!,LEN(#REF!)-32),LEN(RIGHT(#REF!,LEN(#REF!)-32))-17),"")</f>
        <v/>
      </c>
    </row>
    <row r="125" spans="2:8" x14ac:dyDescent="0.25">
      <c r="B125" s="24">
        <f t="shared" ref="B125:B126" si="48">+B124</f>
        <v>41</v>
      </c>
      <c r="C125" s="24" t="str">
        <f t="shared" si="26"/>
        <v>41Eng</v>
      </c>
      <c r="D125" s="7" t="s">
        <v>79</v>
      </c>
      <c r="E125" s="8" t="s">
        <v>209</v>
      </c>
      <c r="F125" s="18" t="str">
        <f t="shared" si="28"/>
        <v>https://docs.google.com/uc?export=download&amp;id=1QqQIVcN_NG8p6_eo2PHdHug0Ay5j5cUo</v>
      </c>
      <c r="G125" s="13" t="str">
        <f t="shared" si="47"/>
        <v>1QqQIVcN_NG8p6_eo2PHdHug0Ay5j5cUo</v>
      </c>
      <c r="H125" s="13" t="s">
        <v>227</v>
      </c>
    </row>
    <row r="126" spans="2:8" x14ac:dyDescent="0.25">
      <c r="B126" s="26">
        <f t="shared" si="48"/>
        <v>41</v>
      </c>
      <c r="C126" s="26" t="str">
        <f t="shared" si="26"/>
        <v>41Phon</v>
      </c>
      <c r="D126" s="3" t="s">
        <v>80</v>
      </c>
      <c r="E126" s="2" t="s">
        <v>210</v>
      </c>
      <c r="F126" s="17" t="str">
        <f t="shared" si="28"/>
        <v/>
      </c>
      <c r="G126" s="13" t="str">
        <f t="shared" si="47"/>
        <v/>
      </c>
    </row>
    <row r="127" spans="2:8" x14ac:dyDescent="0.25">
      <c r="B127" s="25">
        <v>42</v>
      </c>
      <c r="C127" s="25" t="str">
        <f t="shared" si="26"/>
        <v>42Viet</v>
      </c>
      <c r="D127" s="10" t="s">
        <v>177</v>
      </c>
      <c r="E127" s="6" t="s">
        <v>207</v>
      </c>
      <c r="F127" s="16" t="str">
        <f t="shared" si="28"/>
        <v/>
      </c>
      <c r="G127" s="13" t="str">
        <f t="shared" si="47"/>
        <v/>
      </c>
    </row>
    <row r="128" spans="2:8" x14ac:dyDescent="0.25">
      <c r="B128" s="24">
        <f t="shared" ref="B128:B129" si="49">+B127</f>
        <v>42</v>
      </c>
      <c r="C128" s="24" t="str">
        <f t="shared" si="26"/>
        <v>42Eng</v>
      </c>
      <c r="D128" s="7" t="s">
        <v>81</v>
      </c>
      <c r="E128" s="8" t="s">
        <v>209</v>
      </c>
      <c r="F128" s="18" t="str">
        <f t="shared" si="28"/>
        <v>https://docs.google.com/uc?export=download&amp;id=1y9-LDHn1ppcUToUEEWS6x1bmhuzoTyb9</v>
      </c>
      <c r="G128" s="13" t="str">
        <f t="shared" si="47"/>
        <v>1y9-LDHn1ppcUToUEEWS6x1bmhuzoTyb9</v>
      </c>
      <c r="H128" s="13" t="s">
        <v>228</v>
      </c>
    </row>
    <row r="129" spans="2:8" x14ac:dyDescent="0.25">
      <c r="B129" s="26">
        <f t="shared" si="49"/>
        <v>42</v>
      </c>
      <c r="C129" s="26" t="str">
        <f t="shared" si="26"/>
        <v>42Phon</v>
      </c>
      <c r="D129" s="3" t="s">
        <v>82</v>
      </c>
      <c r="E129" s="2" t="s">
        <v>210</v>
      </c>
      <c r="F129" s="17" t="str">
        <f t="shared" si="28"/>
        <v/>
      </c>
      <c r="G129" s="13" t="str">
        <f t="shared" si="47"/>
        <v/>
      </c>
    </row>
    <row r="130" spans="2:8" x14ac:dyDescent="0.25">
      <c r="B130" s="25">
        <v>43</v>
      </c>
      <c r="C130" s="25" t="str">
        <f t="shared" si="26"/>
        <v>43Viet</v>
      </c>
      <c r="D130" s="10" t="s">
        <v>178</v>
      </c>
      <c r="E130" s="6" t="s">
        <v>207</v>
      </c>
      <c r="F130" s="16" t="str">
        <f t="shared" si="28"/>
        <v/>
      </c>
      <c r="G130" s="13" t="str">
        <f t="shared" si="47"/>
        <v/>
      </c>
    </row>
    <row r="131" spans="2:8" x14ac:dyDescent="0.25">
      <c r="B131" s="24">
        <f t="shared" ref="B131:B132" si="50">+B130</f>
        <v>43</v>
      </c>
      <c r="C131" s="24" t="str">
        <f t="shared" si="26"/>
        <v>43Eng</v>
      </c>
      <c r="D131" s="7" t="s">
        <v>83</v>
      </c>
      <c r="E131" s="8" t="s">
        <v>209</v>
      </c>
      <c r="F131" s="18" t="str">
        <f t="shared" si="28"/>
        <v>https://docs.google.com/uc?export=download&amp;id=1J3C2pBfYxoVkablM8vtJJbDcZifw5Hcm</v>
      </c>
      <c r="G131" s="13" t="str">
        <f t="shared" si="47"/>
        <v>1J3C2pBfYxoVkablM8vtJJbDcZifw5Hcm</v>
      </c>
      <c r="H131" s="13" t="s">
        <v>229</v>
      </c>
    </row>
    <row r="132" spans="2:8" x14ac:dyDescent="0.25">
      <c r="B132" s="26">
        <f t="shared" si="50"/>
        <v>43</v>
      </c>
      <c r="C132" s="26" t="str">
        <f t="shared" si="26"/>
        <v>43Phon</v>
      </c>
      <c r="D132" s="3" t="s">
        <v>84</v>
      </c>
      <c r="E132" s="2" t="s">
        <v>210</v>
      </c>
      <c r="F132" s="17" t="str">
        <f t="shared" si="28"/>
        <v/>
      </c>
      <c r="G132" s="13" t="str">
        <f t="shared" si="47"/>
        <v/>
      </c>
    </row>
    <row r="133" spans="2:8" x14ac:dyDescent="0.25">
      <c r="B133" s="25">
        <v>44</v>
      </c>
      <c r="C133" s="25" t="str">
        <f t="shared" ref="C133:C196" si="51">B133&amp;E133</f>
        <v>44Viet</v>
      </c>
      <c r="D133" s="10" t="s">
        <v>179</v>
      </c>
      <c r="E133" s="6" t="s">
        <v>207</v>
      </c>
      <c r="F133" s="16" t="str">
        <f t="shared" si="28"/>
        <v/>
      </c>
      <c r="G133" s="13" t="str">
        <f t="shared" si="47"/>
        <v/>
      </c>
    </row>
    <row r="134" spans="2:8" x14ac:dyDescent="0.25">
      <c r="B134" s="24">
        <f t="shared" ref="B134:B135" si="52">+B133</f>
        <v>44</v>
      </c>
      <c r="C134" s="24" t="str">
        <f t="shared" si="51"/>
        <v>44Eng</v>
      </c>
      <c r="D134" s="7" t="s">
        <v>134</v>
      </c>
      <c r="E134" s="8" t="s">
        <v>209</v>
      </c>
      <c r="F134" s="18" t="str">
        <f t="shared" ref="F134:F197" si="53">IF(G134="","","https://docs.google.com/uc?export=download&amp;id="&amp;G134)</f>
        <v>https://docs.google.com/uc?export=download&amp;id=1Fg85oI62WdvTwaR8_I8WHK_fd6HIBowy</v>
      </c>
      <c r="G134" s="13" t="str">
        <f t="shared" si="47"/>
        <v>1Fg85oI62WdvTwaR8_I8WHK_fd6HIBowy</v>
      </c>
      <c r="H134" s="13" t="s">
        <v>230</v>
      </c>
    </row>
    <row r="135" spans="2:8" x14ac:dyDescent="0.25">
      <c r="B135" s="26">
        <f t="shared" si="52"/>
        <v>44</v>
      </c>
      <c r="C135" s="26" t="str">
        <f t="shared" si="51"/>
        <v>44Phon</v>
      </c>
      <c r="D135" s="3" t="s">
        <v>135</v>
      </c>
      <c r="E135" s="2" t="s">
        <v>210</v>
      </c>
      <c r="F135" s="17" t="str">
        <f t="shared" si="53"/>
        <v/>
      </c>
      <c r="G135" s="13" t="str">
        <f t="shared" si="47"/>
        <v/>
      </c>
    </row>
    <row r="136" spans="2:8" x14ac:dyDescent="0.25">
      <c r="B136" s="25">
        <v>45</v>
      </c>
      <c r="C136" s="25" t="str">
        <f t="shared" si="51"/>
        <v>45Viet</v>
      </c>
      <c r="D136" s="10" t="s">
        <v>180</v>
      </c>
      <c r="E136" s="6" t="s">
        <v>207</v>
      </c>
      <c r="F136" s="16" t="str">
        <f t="shared" si="53"/>
        <v/>
      </c>
      <c r="G136" s="13" t="str">
        <f t="shared" si="47"/>
        <v/>
      </c>
    </row>
    <row r="137" spans="2:8" x14ac:dyDescent="0.25">
      <c r="B137" s="24">
        <f t="shared" ref="B137:B138" si="54">+B136</f>
        <v>45</v>
      </c>
      <c r="C137" s="24" t="str">
        <f t="shared" si="51"/>
        <v>45Eng</v>
      </c>
      <c r="D137" s="7" t="s">
        <v>85</v>
      </c>
      <c r="E137" s="8" t="s">
        <v>209</v>
      </c>
      <c r="F137" s="18" t="str">
        <f t="shared" si="53"/>
        <v>https://docs.google.com/uc?export=download&amp;id=1_1dZaMK8fDMl9x1kDG6lBOTrsgvXRPHI</v>
      </c>
      <c r="G137" s="13" t="str">
        <f t="shared" si="47"/>
        <v>1_1dZaMK8fDMl9x1kDG6lBOTrsgvXRPHI</v>
      </c>
      <c r="H137" s="13" t="s">
        <v>231</v>
      </c>
    </row>
    <row r="138" spans="2:8" x14ac:dyDescent="0.25">
      <c r="B138" s="26">
        <f t="shared" si="54"/>
        <v>45</v>
      </c>
      <c r="C138" s="26" t="str">
        <f t="shared" si="51"/>
        <v>45Phon</v>
      </c>
      <c r="D138" s="3" t="s">
        <v>86</v>
      </c>
      <c r="E138" s="2" t="s">
        <v>210</v>
      </c>
      <c r="F138" s="17" t="str">
        <f t="shared" si="53"/>
        <v/>
      </c>
      <c r="G138" s="13" t="str">
        <f t="shared" si="47"/>
        <v/>
      </c>
    </row>
    <row r="139" spans="2:8" x14ac:dyDescent="0.25">
      <c r="B139" s="25">
        <v>46</v>
      </c>
      <c r="C139" s="25" t="str">
        <f t="shared" si="51"/>
        <v>46Viet</v>
      </c>
      <c r="D139" s="10" t="s">
        <v>181</v>
      </c>
      <c r="E139" s="6" t="s">
        <v>207</v>
      </c>
      <c r="F139" s="16" t="str">
        <f t="shared" si="53"/>
        <v/>
      </c>
      <c r="G139" s="13" t="str">
        <f>IFERROR(LEFT(RIGHT(H139,LEN(H139)-32),LEN(RIGHT(H139,LEN(H139)-32))-17),"")</f>
        <v/>
      </c>
    </row>
    <row r="140" spans="2:8" x14ac:dyDescent="0.25">
      <c r="B140" s="24">
        <f t="shared" ref="B140:B141" si="55">+B139</f>
        <v>46</v>
      </c>
      <c r="C140" s="24" t="str">
        <f t="shared" si="51"/>
        <v>46Eng</v>
      </c>
      <c r="D140" s="7" t="s">
        <v>87</v>
      </c>
      <c r="E140" s="8" t="s">
        <v>209</v>
      </c>
      <c r="F140" s="18" t="str">
        <f t="shared" si="53"/>
        <v>https://docs.google.com/uc?export=download&amp;id=1xhkJoUZ7k4dDwtopi6-Qyj-C6tgxjvRK</v>
      </c>
      <c r="G140" s="13" t="str">
        <f t="shared" si="47"/>
        <v>1xhkJoUZ7k4dDwtopi6-Qyj-C6tgxjvRK</v>
      </c>
      <c r="H140" t="s">
        <v>232</v>
      </c>
    </row>
    <row r="141" spans="2:8" x14ac:dyDescent="0.25">
      <c r="B141" s="26">
        <f t="shared" si="55"/>
        <v>46</v>
      </c>
      <c r="C141" s="26" t="str">
        <f t="shared" si="51"/>
        <v>46Phon</v>
      </c>
      <c r="D141" s="3" t="s">
        <v>88</v>
      </c>
      <c r="E141" s="2" t="s">
        <v>210</v>
      </c>
      <c r="F141" s="17" t="str">
        <f t="shared" si="53"/>
        <v/>
      </c>
      <c r="G141" s="13" t="str">
        <f t="shared" si="47"/>
        <v/>
      </c>
    </row>
    <row r="142" spans="2:8" x14ac:dyDescent="0.25">
      <c r="B142" s="25">
        <v>47</v>
      </c>
      <c r="C142" s="25" t="str">
        <f t="shared" si="51"/>
        <v>47Viet</v>
      </c>
      <c r="D142" s="10" t="s">
        <v>182</v>
      </c>
      <c r="E142" s="6" t="s">
        <v>207</v>
      </c>
      <c r="F142" s="16" t="str">
        <f t="shared" si="53"/>
        <v/>
      </c>
      <c r="G142" s="13" t="str">
        <f t="shared" si="47"/>
        <v/>
      </c>
    </row>
    <row r="143" spans="2:8" x14ac:dyDescent="0.25">
      <c r="B143" s="24">
        <f t="shared" ref="B143:B144" si="56">+B142</f>
        <v>47</v>
      </c>
      <c r="C143" s="24" t="str">
        <f t="shared" si="51"/>
        <v>47Eng</v>
      </c>
      <c r="D143" s="7" t="s">
        <v>89</v>
      </c>
      <c r="E143" s="8" t="s">
        <v>209</v>
      </c>
      <c r="F143" s="18" t="str">
        <f t="shared" si="53"/>
        <v>https://docs.google.com/uc?export=download&amp;id=1KdHzk3pAt4ClFOUGFgwFRndX1v38Z7Qf</v>
      </c>
      <c r="G143" s="13" t="str">
        <f t="shared" si="47"/>
        <v>1KdHzk3pAt4ClFOUGFgwFRndX1v38Z7Qf</v>
      </c>
      <c r="H143" t="s">
        <v>233</v>
      </c>
    </row>
    <row r="144" spans="2:8" x14ac:dyDescent="0.25">
      <c r="B144" s="26">
        <f t="shared" si="56"/>
        <v>47</v>
      </c>
      <c r="C144" s="26" t="str">
        <f t="shared" si="51"/>
        <v>47Phon</v>
      </c>
      <c r="D144" s="3" t="s">
        <v>90</v>
      </c>
      <c r="E144" s="2" t="s">
        <v>210</v>
      </c>
      <c r="F144" s="17" t="str">
        <f t="shared" si="53"/>
        <v/>
      </c>
      <c r="G144" s="13" t="str">
        <f t="shared" ref="G144" si="57">IFERROR(LEFT(RIGHT(H144,LEN(H147)-32),LEN(RIGHT(H147,LEN(H147)-32))-17),"")</f>
        <v/>
      </c>
    </row>
    <row r="145" spans="2:8" x14ac:dyDescent="0.25">
      <c r="B145" s="25">
        <v>48</v>
      </c>
      <c r="C145" s="25" t="str">
        <f t="shared" si="51"/>
        <v>48Viet</v>
      </c>
      <c r="D145" s="10" t="s">
        <v>183</v>
      </c>
      <c r="E145" s="6" t="s">
        <v>207</v>
      </c>
      <c r="F145" s="16" t="str">
        <f t="shared" si="53"/>
        <v/>
      </c>
      <c r="G145" s="13" t="str">
        <f>IFERROR(LEFT(RIGHT(H145,LEN(H145)-32),LEN(RIGHT(H145,LEN(H145)-32))-17),"")</f>
        <v/>
      </c>
    </row>
    <row r="146" spans="2:8" x14ac:dyDescent="0.25">
      <c r="B146" s="24">
        <f t="shared" ref="B146:B147" si="58">+B145</f>
        <v>48</v>
      </c>
      <c r="C146" s="24" t="str">
        <f t="shared" si="51"/>
        <v>48Eng</v>
      </c>
      <c r="D146" s="7" t="s">
        <v>91</v>
      </c>
      <c r="E146" s="8" t="s">
        <v>209</v>
      </c>
      <c r="F146" s="18" t="str">
        <f t="shared" si="53"/>
        <v>https://docs.google.com/uc?export=download&amp;id=1TfIp-S6YCgImD8a8-BiKUuK4sibltR1_</v>
      </c>
      <c r="G146" s="13" t="str">
        <f t="shared" ref="G146:G196" si="59">IFERROR(LEFT(RIGHT(H146,LEN(H146)-32),LEN(RIGHT(H146,LEN(H146)-32))-17),"")</f>
        <v>1TfIp-S6YCgImD8a8-BiKUuK4sibltR1_</v>
      </c>
      <c r="H146" s="13" t="s">
        <v>234</v>
      </c>
    </row>
    <row r="147" spans="2:8" x14ac:dyDescent="0.25">
      <c r="B147" s="26">
        <f t="shared" si="58"/>
        <v>48</v>
      </c>
      <c r="C147" s="26" t="str">
        <f t="shared" si="51"/>
        <v>48Phon</v>
      </c>
      <c r="D147" s="3" t="s">
        <v>92</v>
      </c>
      <c r="E147" s="2" t="s">
        <v>210</v>
      </c>
      <c r="F147" s="17" t="str">
        <f t="shared" si="53"/>
        <v/>
      </c>
      <c r="G147" s="13" t="str">
        <f>IFERROR(LEFT(RIGHT(H147,LEN(H147)-32),LEN(RIGHT(H147,LEN(H147)-32))-17),"")</f>
        <v/>
      </c>
    </row>
    <row r="148" spans="2:8" x14ac:dyDescent="0.25">
      <c r="B148" s="25">
        <v>49</v>
      </c>
      <c r="C148" s="25" t="str">
        <f t="shared" si="51"/>
        <v>49Viet</v>
      </c>
      <c r="D148" s="10" t="s">
        <v>184</v>
      </c>
      <c r="E148" s="6" t="s">
        <v>207</v>
      </c>
      <c r="F148" s="16" t="str">
        <f t="shared" si="53"/>
        <v/>
      </c>
      <c r="G148" s="13" t="str">
        <f>IFERROR(LEFT(RIGHT(H148,LEN(H148)-32),LEN(RIGHT(H148,LEN(H148)-32))-17),"")</f>
        <v/>
      </c>
    </row>
    <row r="149" spans="2:8" x14ac:dyDescent="0.25">
      <c r="B149" s="24">
        <f t="shared" ref="B149:B150" si="60">+B148</f>
        <v>49</v>
      </c>
      <c r="C149" s="24" t="str">
        <f t="shared" si="51"/>
        <v>49Eng</v>
      </c>
      <c r="D149" s="7" t="s">
        <v>93</v>
      </c>
      <c r="E149" s="8" t="s">
        <v>209</v>
      </c>
      <c r="F149" s="18" t="str">
        <f t="shared" si="53"/>
        <v>https://docs.google.com/uc?export=download&amp;id=1SrBik1knvUPHNWq_ycHF4iz4g7BjDx6_</v>
      </c>
      <c r="G149" s="13" t="str">
        <f t="shared" si="59"/>
        <v>1SrBik1knvUPHNWq_ycHF4iz4g7BjDx6_</v>
      </c>
      <c r="H149" s="13" t="s">
        <v>235</v>
      </c>
    </row>
    <row r="150" spans="2:8" x14ac:dyDescent="0.25">
      <c r="B150" s="26">
        <f t="shared" si="60"/>
        <v>49</v>
      </c>
      <c r="C150" s="26" t="str">
        <f t="shared" si="51"/>
        <v>49Phon</v>
      </c>
      <c r="D150" s="3" t="s">
        <v>94</v>
      </c>
      <c r="E150" s="2" t="s">
        <v>210</v>
      </c>
      <c r="F150" s="17" t="str">
        <f t="shared" si="53"/>
        <v/>
      </c>
      <c r="G150" s="13" t="str">
        <f>IFERROR(LEFT(RIGHT(H150,LEN(H150)-32),LEN(RIGHT(H150,LEN(H150)-32))-17),"")</f>
        <v/>
      </c>
    </row>
    <row r="151" spans="2:8" x14ac:dyDescent="0.25">
      <c r="B151" s="25">
        <v>50</v>
      </c>
      <c r="C151" s="25" t="str">
        <f t="shared" si="51"/>
        <v>50Viet</v>
      </c>
      <c r="D151" s="10" t="s">
        <v>185</v>
      </c>
      <c r="E151" s="6" t="s">
        <v>207</v>
      </c>
      <c r="F151" s="16" t="str">
        <f t="shared" si="53"/>
        <v/>
      </c>
      <c r="G151" s="13" t="str">
        <f>IFERROR(LEFT(RIGHT(H151,LEN(H151)-32),LEN(RIGHT(H151,LEN(H151)-32))-17),"")</f>
        <v/>
      </c>
    </row>
    <row r="152" spans="2:8" x14ac:dyDescent="0.25">
      <c r="B152" s="24">
        <f t="shared" ref="B152:B153" si="61">+B151</f>
        <v>50</v>
      </c>
      <c r="C152" s="24" t="str">
        <f t="shared" si="51"/>
        <v>50Eng</v>
      </c>
      <c r="D152" s="7" t="s">
        <v>95</v>
      </c>
      <c r="E152" s="8" t="s">
        <v>209</v>
      </c>
      <c r="F152" s="18" t="str">
        <f t="shared" si="53"/>
        <v>https://docs.google.com/uc?export=download&amp;id=1BP7dKxPc_skWywbbCeLyMYC-iKfX8PVv</v>
      </c>
      <c r="G152" s="13" t="str">
        <f t="shared" si="59"/>
        <v>1BP7dKxPc_skWywbbCeLyMYC-iKfX8PVv</v>
      </c>
      <c r="H152" s="13" t="s">
        <v>236</v>
      </c>
    </row>
    <row r="153" spans="2:8" x14ac:dyDescent="0.25">
      <c r="B153" s="26">
        <f t="shared" si="61"/>
        <v>50</v>
      </c>
      <c r="C153" s="26" t="str">
        <f t="shared" si="51"/>
        <v>50Phon</v>
      </c>
      <c r="D153" s="3" t="s">
        <v>96</v>
      </c>
      <c r="E153" s="2" t="s">
        <v>210</v>
      </c>
      <c r="F153" s="17" t="str">
        <f t="shared" si="53"/>
        <v/>
      </c>
      <c r="G153" s="13" t="str">
        <f>IFERROR(LEFT(RIGHT(H153,LEN(H153)-32),LEN(RIGHT(H153,LEN(H153)-32))-17),"")</f>
        <v/>
      </c>
    </row>
    <row r="154" spans="2:8" x14ac:dyDescent="0.25">
      <c r="B154" s="25">
        <v>51</v>
      </c>
      <c r="C154" s="25" t="str">
        <f t="shared" si="51"/>
        <v>51Viet</v>
      </c>
      <c r="D154" s="10" t="s">
        <v>186</v>
      </c>
      <c r="E154" s="6" t="s">
        <v>207</v>
      </c>
      <c r="F154" s="16" t="str">
        <f t="shared" si="53"/>
        <v/>
      </c>
      <c r="G154" s="13" t="str">
        <f>IFERROR(LEFT(RIGHT(H154,LEN(H154)-32),LEN(RIGHT(H154,LEN(H154)-32))-17),"")</f>
        <v/>
      </c>
    </row>
    <row r="155" spans="2:8" x14ac:dyDescent="0.25">
      <c r="B155" s="24">
        <f t="shared" ref="B155:B156" si="62">+B154</f>
        <v>51</v>
      </c>
      <c r="C155" s="24" t="str">
        <f t="shared" si="51"/>
        <v>51Eng</v>
      </c>
      <c r="D155" s="7" t="s">
        <v>97</v>
      </c>
      <c r="E155" s="8" t="s">
        <v>209</v>
      </c>
      <c r="F155" s="18" t="str">
        <f t="shared" si="53"/>
        <v>https://docs.google.com/uc?export=download&amp;id=10Xxm5a90T7-BwGQHKA1HyIlWJQ5JQ6fJ</v>
      </c>
      <c r="G155" s="13" t="str">
        <f t="shared" si="59"/>
        <v>10Xxm5a90T7-BwGQHKA1HyIlWJQ5JQ6fJ</v>
      </c>
      <c r="H155" t="s">
        <v>266</v>
      </c>
    </row>
    <row r="156" spans="2:8" x14ac:dyDescent="0.25">
      <c r="B156" s="26">
        <f t="shared" si="62"/>
        <v>51</v>
      </c>
      <c r="C156" s="26" t="str">
        <f t="shared" si="51"/>
        <v>51Phon</v>
      </c>
      <c r="D156" s="3" t="s">
        <v>98</v>
      </c>
      <c r="E156" s="2" t="s">
        <v>210</v>
      </c>
      <c r="F156" s="17" t="str">
        <f t="shared" si="53"/>
        <v/>
      </c>
      <c r="G156" s="13" t="str">
        <f>IFERROR(LEFT(RIGHT(H156,LEN(H156)-32),LEN(RIGHT(H156,LEN(H156)-32))-17),"")</f>
        <v/>
      </c>
    </row>
    <row r="157" spans="2:8" x14ac:dyDescent="0.25">
      <c r="B157" s="25">
        <v>52</v>
      </c>
      <c r="C157" s="25" t="str">
        <f t="shared" si="51"/>
        <v>52Viet</v>
      </c>
      <c r="D157" s="10" t="s">
        <v>187</v>
      </c>
      <c r="E157" s="6" t="s">
        <v>207</v>
      </c>
      <c r="F157" s="16" t="str">
        <f t="shared" si="53"/>
        <v/>
      </c>
      <c r="G157" s="13" t="str">
        <f>IFERROR(LEFT(RIGHT(H157,LEN(H157)-32),LEN(RIGHT(H157,LEN(H157)-32))-17),"")</f>
        <v/>
      </c>
    </row>
    <row r="158" spans="2:8" x14ac:dyDescent="0.25">
      <c r="B158" s="24">
        <f t="shared" ref="B158:B159" si="63">+B157</f>
        <v>52</v>
      </c>
      <c r="C158" s="24" t="str">
        <f t="shared" si="51"/>
        <v>52Eng</v>
      </c>
      <c r="D158" s="7" t="s">
        <v>99</v>
      </c>
      <c r="E158" s="8" t="s">
        <v>209</v>
      </c>
      <c r="F158" s="18" t="str">
        <f t="shared" si="53"/>
        <v>https://docs.google.com/uc?export=download&amp;id=1T6dkt8fRMOkDnE6R_8btoNaWew08fIER</v>
      </c>
      <c r="G158" s="13" t="str">
        <f t="shared" si="59"/>
        <v>1T6dkt8fRMOkDnE6R_8btoNaWew08fIER</v>
      </c>
      <c r="H158" t="s">
        <v>267</v>
      </c>
    </row>
    <row r="159" spans="2:8" x14ac:dyDescent="0.25">
      <c r="B159" s="26">
        <f t="shared" si="63"/>
        <v>52</v>
      </c>
      <c r="C159" s="26" t="str">
        <f t="shared" si="51"/>
        <v>52Phon</v>
      </c>
      <c r="D159" s="3" t="s">
        <v>100</v>
      </c>
      <c r="E159" s="2" t="s">
        <v>210</v>
      </c>
      <c r="F159" s="17" t="str">
        <f t="shared" si="53"/>
        <v/>
      </c>
      <c r="G159" s="13" t="str">
        <f t="shared" si="59"/>
        <v/>
      </c>
    </row>
    <row r="160" spans="2:8" x14ac:dyDescent="0.25">
      <c r="B160" s="25">
        <v>53</v>
      </c>
      <c r="C160" s="25" t="str">
        <f t="shared" si="51"/>
        <v>53Viet</v>
      </c>
      <c r="D160" s="10" t="s">
        <v>188</v>
      </c>
      <c r="E160" s="6" t="s">
        <v>207</v>
      </c>
      <c r="F160" s="16" t="str">
        <f t="shared" si="53"/>
        <v/>
      </c>
      <c r="G160" s="13" t="str">
        <f t="shared" si="59"/>
        <v/>
      </c>
    </row>
    <row r="161" spans="2:8" x14ac:dyDescent="0.25">
      <c r="B161" s="24">
        <f t="shared" ref="B161:B162" si="64">+B160</f>
        <v>53</v>
      </c>
      <c r="C161" s="24" t="str">
        <f t="shared" si="51"/>
        <v>53Eng</v>
      </c>
      <c r="D161" s="7" t="s">
        <v>101</v>
      </c>
      <c r="E161" s="8" t="s">
        <v>209</v>
      </c>
      <c r="F161" s="18" t="str">
        <f t="shared" si="53"/>
        <v>https://docs.google.com/uc?export=download&amp;id=13RTkk0qTaIZIc4Z4lQzzD20Fe8BQCCNh</v>
      </c>
      <c r="G161" s="13" t="str">
        <f t="shared" si="59"/>
        <v>13RTkk0qTaIZIc4Z4lQzzD20Fe8BQCCNh</v>
      </c>
      <c r="H161" t="s">
        <v>268</v>
      </c>
    </row>
    <row r="162" spans="2:8" x14ac:dyDescent="0.25">
      <c r="B162" s="26">
        <f t="shared" si="64"/>
        <v>53</v>
      </c>
      <c r="C162" s="26" t="str">
        <f t="shared" si="51"/>
        <v>53Phon</v>
      </c>
      <c r="D162" s="3" t="s">
        <v>102</v>
      </c>
      <c r="E162" s="2" t="s">
        <v>210</v>
      </c>
      <c r="F162" s="17" t="str">
        <f t="shared" si="53"/>
        <v/>
      </c>
      <c r="G162" s="13" t="str">
        <f t="shared" si="59"/>
        <v/>
      </c>
    </row>
    <row r="163" spans="2:8" x14ac:dyDescent="0.25">
      <c r="B163" s="25">
        <v>54</v>
      </c>
      <c r="C163" s="25" t="str">
        <f t="shared" si="51"/>
        <v>54Viet</v>
      </c>
      <c r="D163" s="10" t="s">
        <v>189</v>
      </c>
      <c r="E163" s="6" t="s">
        <v>207</v>
      </c>
      <c r="F163" s="16" t="str">
        <f t="shared" si="53"/>
        <v/>
      </c>
      <c r="G163" s="13" t="str">
        <f t="shared" si="59"/>
        <v/>
      </c>
    </row>
    <row r="164" spans="2:8" x14ac:dyDescent="0.25">
      <c r="B164" s="24">
        <f t="shared" ref="B164:B165" si="65">+B163</f>
        <v>54</v>
      </c>
      <c r="C164" s="24" t="str">
        <f t="shared" si="51"/>
        <v>54Eng</v>
      </c>
      <c r="D164" s="7" t="s">
        <v>103</v>
      </c>
      <c r="E164" s="8" t="s">
        <v>209</v>
      </c>
      <c r="F164" s="18" t="str">
        <f t="shared" si="53"/>
        <v>https://docs.google.com/uc?export=download&amp;id=13NoDQutjIrAX48kDQUOMQXpC9-3Vc31k</v>
      </c>
      <c r="G164" s="13" t="str">
        <f t="shared" si="59"/>
        <v>13NoDQutjIrAX48kDQUOMQXpC9-3Vc31k</v>
      </c>
      <c r="H164" t="s">
        <v>269</v>
      </c>
    </row>
    <row r="165" spans="2:8" x14ac:dyDescent="0.25">
      <c r="B165" s="26">
        <f t="shared" si="65"/>
        <v>54</v>
      </c>
      <c r="C165" s="26" t="str">
        <f t="shared" si="51"/>
        <v>54Phon</v>
      </c>
      <c r="D165" s="3" t="s">
        <v>104</v>
      </c>
      <c r="E165" s="2" t="s">
        <v>210</v>
      </c>
      <c r="F165" s="17" t="str">
        <f t="shared" si="53"/>
        <v/>
      </c>
      <c r="G165" s="13" t="str">
        <f t="shared" si="59"/>
        <v/>
      </c>
    </row>
    <row r="166" spans="2:8" x14ac:dyDescent="0.25">
      <c r="B166" s="25">
        <v>55</v>
      </c>
      <c r="C166" s="25" t="str">
        <f t="shared" si="51"/>
        <v>55Viet</v>
      </c>
      <c r="D166" s="10" t="s">
        <v>190</v>
      </c>
      <c r="E166" s="6" t="s">
        <v>207</v>
      </c>
      <c r="F166" s="16" t="str">
        <f t="shared" si="53"/>
        <v/>
      </c>
      <c r="G166" s="13" t="str">
        <f t="shared" si="59"/>
        <v/>
      </c>
    </row>
    <row r="167" spans="2:8" x14ac:dyDescent="0.25">
      <c r="B167" s="24">
        <f t="shared" ref="B167:B168" si="66">+B166</f>
        <v>55</v>
      </c>
      <c r="C167" s="24" t="str">
        <f t="shared" si="51"/>
        <v>55Eng</v>
      </c>
      <c r="D167" s="7" t="s">
        <v>105</v>
      </c>
      <c r="E167" s="8" t="s">
        <v>209</v>
      </c>
      <c r="F167" s="18" t="str">
        <f t="shared" si="53"/>
        <v>https://docs.google.com/uc?export=download&amp;id=1pSWohgkrsV8MryrIyGNtWTnx9LUHGXq-</v>
      </c>
      <c r="G167" s="13" t="str">
        <f t="shared" si="59"/>
        <v>1pSWohgkrsV8MryrIyGNtWTnx9LUHGXq-</v>
      </c>
      <c r="H167" t="s">
        <v>270</v>
      </c>
    </row>
    <row r="168" spans="2:8" x14ac:dyDescent="0.25">
      <c r="B168" s="26">
        <f t="shared" si="66"/>
        <v>55</v>
      </c>
      <c r="C168" s="26" t="str">
        <f t="shared" si="51"/>
        <v>55Phon</v>
      </c>
      <c r="D168" s="3" t="s">
        <v>106</v>
      </c>
      <c r="E168" s="2" t="s">
        <v>210</v>
      </c>
      <c r="F168" s="17" t="str">
        <f t="shared" si="53"/>
        <v/>
      </c>
      <c r="G168" s="13" t="str">
        <f t="shared" si="59"/>
        <v/>
      </c>
    </row>
    <row r="169" spans="2:8" x14ac:dyDescent="0.25">
      <c r="B169" s="25">
        <v>56</v>
      </c>
      <c r="C169" s="25" t="str">
        <f t="shared" si="51"/>
        <v>56Viet</v>
      </c>
      <c r="D169" s="10" t="s">
        <v>191</v>
      </c>
      <c r="E169" s="6" t="s">
        <v>207</v>
      </c>
      <c r="F169" s="16" t="str">
        <f t="shared" si="53"/>
        <v/>
      </c>
      <c r="G169" s="13" t="str">
        <f t="shared" si="59"/>
        <v/>
      </c>
    </row>
    <row r="170" spans="2:8" x14ac:dyDescent="0.25">
      <c r="B170" s="24">
        <f t="shared" ref="B170:B171" si="67">+B169</f>
        <v>56</v>
      </c>
      <c r="C170" s="24" t="str">
        <f t="shared" si="51"/>
        <v>56Eng</v>
      </c>
      <c r="D170" s="7" t="s">
        <v>107</v>
      </c>
      <c r="E170" s="8" t="s">
        <v>209</v>
      </c>
      <c r="F170" s="18" t="str">
        <f t="shared" si="53"/>
        <v>https://docs.google.com/uc?export=download&amp;id=1fZEK_yiGHf8_Y5io9Bo3Ye-Isoj2Rw0n</v>
      </c>
      <c r="G170" s="13" t="str">
        <f t="shared" si="59"/>
        <v>1fZEK_yiGHf8_Y5io9Bo3Ye-Isoj2Rw0n</v>
      </c>
      <c r="H170" s="13" t="s">
        <v>271</v>
      </c>
    </row>
    <row r="171" spans="2:8" x14ac:dyDescent="0.25">
      <c r="B171" s="26">
        <f t="shared" si="67"/>
        <v>56</v>
      </c>
      <c r="C171" s="26" t="str">
        <f t="shared" si="51"/>
        <v>56Phon</v>
      </c>
      <c r="D171" s="3" t="s">
        <v>108</v>
      </c>
      <c r="E171" s="2" t="s">
        <v>210</v>
      </c>
      <c r="F171" s="17" t="str">
        <f t="shared" si="53"/>
        <v/>
      </c>
      <c r="G171" s="13" t="str">
        <f t="shared" si="59"/>
        <v/>
      </c>
    </row>
    <row r="172" spans="2:8" x14ac:dyDescent="0.25">
      <c r="B172" s="25">
        <v>57</v>
      </c>
      <c r="C172" s="25" t="str">
        <f t="shared" si="51"/>
        <v>57Viet</v>
      </c>
      <c r="D172" s="10" t="s">
        <v>192</v>
      </c>
      <c r="E172" s="6" t="s">
        <v>207</v>
      </c>
      <c r="F172" s="16" t="str">
        <f t="shared" si="53"/>
        <v/>
      </c>
      <c r="G172" s="13" t="str">
        <f t="shared" si="59"/>
        <v/>
      </c>
    </row>
    <row r="173" spans="2:8" x14ac:dyDescent="0.25">
      <c r="B173" s="24">
        <f t="shared" ref="B173:B174" si="68">+B172</f>
        <v>57</v>
      </c>
      <c r="C173" s="24" t="str">
        <f t="shared" si="51"/>
        <v>57Eng</v>
      </c>
      <c r="D173" s="7" t="s">
        <v>109</v>
      </c>
      <c r="E173" s="8" t="s">
        <v>209</v>
      </c>
      <c r="F173" s="18" t="str">
        <f t="shared" si="53"/>
        <v>https://docs.google.com/uc?export=download&amp;id=1zpCgInRwiEcGv5Kz-DQ-QXcGHHtxRwTA</v>
      </c>
      <c r="G173" s="13" t="str">
        <f t="shared" si="59"/>
        <v>1zpCgInRwiEcGv5Kz-DQ-QXcGHHtxRwTA</v>
      </c>
      <c r="H173" t="s">
        <v>272</v>
      </c>
    </row>
    <row r="174" spans="2:8" x14ac:dyDescent="0.25">
      <c r="B174" s="26">
        <f t="shared" si="68"/>
        <v>57</v>
      </c>
      <c r="C174" s="26" t="str">
        <f t="shared" si="51"/>
        <v>57Phon</v>
      </c>
      <c r="D174" s="3" t="s">
        <v>110</v>
      </c>
      <c r="E174" s="2" t="s">
        <v>210</v>
      </c>
      <c r="F174" s="17" t="str">
        <f t="shared" si="53"/>
        <v/>
      </c>
      <c r="G174" s="13" t="str">
        <f t="shared" si="59"/>
        <v/>
      </c>
    </row>
    <row r="175" spans="2:8" x14ac:dyDescent="0.25">
      <c r="B175" s="25">
        <v>58</v>
      </c>
      <c r="C175" s="25" t="str">
        <f t="shared" si="51"/>
        <v>58Viet</v>
      </c>
      <c r="D175" s="10" t="s">
        <v>193</v>
      </c>
      <c r="E175" s="6" t="s">
        <v>207</v>
      </c>
      <c r="F175" s="16" t="str">
        <f t="shared" si="53"/>
        <v/>
      </c>
      <c r="G175" s="13" t="str">
        <f t="shared" si="59"/>
        <v/>
      </c>
    </row>
    <row r="176" spans="2:8" x14ac:dyDescent="0.25">
      <c r="B176" s="24">
        <f t="shared" ref="B176:B177" si="69">+B175</f>
        <v>58</v>
      </c>
      <c r="C176" s="24" t="str">
        <f t="shared" si="51"/>
        <v>58Eng</v>
      </c>
      <c r="D176" s="7" t="s">
        <v>111</v>
      </c>
      <c r="E176" s="8" t="s">
        <v>209</v>
      </c>
      <c r="F176" s="18" t="str">
        <f t="shared" si="53"/>
        <v>https://docs.google.com/uc?export=download&amp;id=1v9mZOaF57CIGETl_tsWqVkVDPKlsT8mo</v>
      </c>
      <c r="G176" s="13" t="str">
        <f t="shared" si="59"/>
        <v>1v9mZOaF57CIGETl_tsWqVkVDPKlsT8mo</v>
      </c>
      <c r="H176" t="s">
        <v>273</v>
      </c>
    </row>
    <row r="177" spans="2:8" x14ac:dyDescent="0.25">
      <c r="B177" s="26">
        <f t="shared" si="69"/>
        <v>58</v>
      </c>
      <c r="C177" s="26" t="str">
        <f t="shared" si="51"/>
        <v>58Phon</v>
      </c>
      <c r="D177" s="3" t="s">
        <v>112</v>
      </c>
      <c r="E177" s="2" t="s">
        <v>210</v>
      </c>
      <c r="F177" s="17" t="str">
        <f t="shared" si="53"/>
        <v/>
      </c>
      <c r="G177" s="13" t="str">
        <f t="shared" si="59"/>
        <v/>
      </c>
    </row>
    <row r="178" spans="2:8" x14ac:dyDescent="0.25">
      <c r="B178" s="25">
        <v>59</v>
      </c>
      <c r="C178" s="25" t="str">
        <f t="shared" si="51"/>
        <v>59Viet</v>
      </c>
      <c r="D178" s="10" t="s">
        <v>194</v>
      </c>
      <c r="E178" s="6" t="s">
        <v>207</v>
      </c>
      <c r="F178" s="16" t="str">
        <f t="shared" si="53"/>
        <v/>
      </c>
      <c r="G178" s="13" t="str">
        <f t="shared" si="59"/>
        <v/>
      </c>
    </row>
    <row r="179" spans="2:8" x14ac:dyDescent="0.25">
      <c r="B179" s="24">
        <f t="shared" ref="B179:B180" si="70">+B178</f>
        <v>59</v>
      </c>
      <c r="C179" s="24" t="str">
        <f t="shared" si="51"/>
        <v>59Eng</v>
      </c>
      <c r="D179" s="7" t="s">
        <v>113</v>
      </c>
      <c r="E179" s="8" t="s">
        <v>209</v>
      </c>
      <c r="F179" s="18" t="str">
        <f t="shared" si="53"/>
        <v>https://docs.google.com/uc?export=download&amp;id=1dRSjg_wDxsPUN-UWgBYPptp29ifvaCJi</v>
      </c>
      <c r="G179" s="13" t="str">
        <f t="shared" si="59"/>
        <v>1dRSjg_wDxsPUN-UWgBYPptp29ifvaCJi</v>
      </c>
      <c r="H179" t="s">
        <v>274</v>
      </c>
    </row>
    <row r="180" spans="2:8" x14ac:dyDescent="0.25">
      <c r="B180" s="26">
        <f t="shared" si="70"/>
        <v>59</v>
      </c>
      <c r="C180" s="26" t="str">
        <f t="shared" si="51"/>
        <v>59Phon</v>
      </c>
      <c r="D180" s="3" t="s">
        <v>114</v>
      </c>
      <c r="E180" s="2" t="s">
        <v>210</v>
      </c>
      <c r="F180" s="17" t="str">
        <f t="shared" si="53"/>
        <v/>
      </c>
      <c r="G180" s="13" t="str">
        <f t="shared" si="59"/>
        <v/>
      </c>
    </row>
    <row r="181" spans="2:8" x14ac:dyDescent="0.25">
      <c r="B181" s="25">
        <v>60</v>
      </c>
      <c r="C181" s="25" t="str">
        <f t="shared" si="51"/>
        <v>60Viet</v>
      </c>
      <c r="D181" s="10" t="s">
        <v>195</v>
      </c>
      <c r="E181" s="6" t="s">
        <v>207</v>
      </c>
      <c r="F181" s="16" t="str">
        <f t="shared" si="53"/>
        <v/>
      </c>
      <c r="G181" s="13" t="str">
        <f t="shared" si="59"/>
        <v/>
      </c>
    </row>
    <row r="182" spans="2:8" x14ac:dyDescent="0.25">
      <c r="B182" s="24">
        <f t="shared" ref="B182:B183" si="71">+B181</f>
        <v>60</v>
      </c>
      <c r="C182" s="24" t="str">
        <f t="shared" si="51"/>
        <v>60Eng</v>
      </c>
      <c r="D182" s="7" t="s">
        <v>115</v>
      </c>
      <c r="E182" s="8" t="s">
        <v>209</v>
      </c>
      <c r="F182" s="18" t="str">
        <f t="shared" si="53"/>
        <v>https://docs.google.com/uc?export=download&amp;id=1Kkt7FFT1rFJhrbltdAHj7ErrqJgXpp3_</v>
      </c>
      <c r="G182" s="13" t="str">
        <f t="shared" si="59"/>
        <v>1Kkt7FFT1rFJhrbltdAHj7ErrqJgXpp3_</v>
      </c>
      <c r="H182" t="s">
        <v>275</v>
      </c>
    </row>
    <row r="183" spans="2:8" x14ac:dyDescent="0.25">
      <c r="B183" s="26">
        <f t="shared" si="71"/>
        <v>60</v>
      </c>
      <c r="C183" s="26" t="str">
        <f t="shared" si="51"/>
        <v>60Phon</v>
      </c>
      <c r="D183" s="3" t="s">
        <v>116</v>
      </c>
      <c r="E183" s="2" t="s">
        <v>210</v>
      </c>
      <c r="F183" s="17" t="str">
        <f t="shared" si="53"/>
        <v/>
      </c>
      <c r="G183" s="13" t="str">
        <f t="shared" si="59"/>
        <v/>
      </c>
    </row>
    <row r="184" spans="2:8" x14ac:dyDescent="0.25">
      <c r="B184" s="25">
        <v>61</v>
      </c>
      <c r="C184" s="25" t="str">
        <f t="shared" si="51"/>
        <v>61Viet</v>
      </c>
      <c r="D184" s="10" t="s">
        <v>196</v>
      </c>
      <c r="E184" s="6" t="s">
        <v>207</v>
      </c>
      <c r="F184" s="16" t="str">
        <f t="shared" si="53"/>
        <v/>
      </c>
      <c r="G184" s="13" t="str">
        <f t="shared" si="59"/>
        <v/>
      </c>
    </row>
    <row r="185" spans="2:8" x14ac:dyDescent="0.25">
      <c r="B185" s="24">
        <f t="shared" ref="B185:B186" si="72">+B184</f>
        <v>61</v>
      </c>
      <c r="C185" s="24" t="str">
        <f t="shared" si="51"/>
        <v>61Eng</v>
      </c>
      <c r="D185" s="7" t="s">
        <v>117</v>
      </c>
      <c r="E185" s="8" t="s">
        <v>209</v>
      </c>
      <c r="F185" s="18" t="str">
        <f t="shared" si="53"/>
        <v>https://docs.google.com/uc?export=download&amp;id=1_FMhbdarWQKAHAb56O8v7ehaByBXJR_q</v>
      </c>
      <c r="G185" s="13" t="str">
        <f t="shared" si="59"/>
        <v>1_FMhbdarWQKAHAb56O8v7ehaByBXJR_q</v>
      </c>
      <c r="H185" t="s">
        <v>276</v>
      </c>
    </row>
    <row r="186" spans="2:8" x14ac:dyDescent="0.25">
      <c r="B186" s="26">
        <f t="shared" si="72"/>
        <v>61</v>
      </c>
      <c r="C186" s="26" t="str">
        <f t="shared" si="51"/>
        <v>61Phon</v>
      </c>
      <c r="D186" s="3" t="s">
        <v>118</v>
      </c>
      <c r="E186" s="2" t="s">
        <v>210</v>
      </c>
      <c r="F186" s="17" t="str">
        <f t="shared" si="53"/>
        <v/>
      </c>
      <c r="G186" s="13" t="str">
        <f t="shared" si="59"/>
        <v/>
      </c>
    </row>
    <row r="187" spans="2:8" x14ac:dyDescent="0.25">
      <c r="B187" s="25">
        <v>62</v>
      </c>
      <c r="C187" s="25" t="str">
        <f t="shared" si="51"/>
        <v>62Viet</v>
      </c>
      <c r="D187" s="10" t="s">
        <v>197</v>
      </c>
      <c r="E187" s="6" t="s">
        <v>207</v>
      </c>
      <c r="F187" s="16" t="str">
        <f t="shared" si="53"/>
        <v/>
      </c>
      <c r="G187" s="13" t="str">
        <f t="shared" si="59"/>
        <v/>
      </c>
    </row>
    <row r="188" spans="2:8" x14ac:dyDescent="0.25">
      <c r="B188" s="24">
        <f t="shared" ref="B188:B189" si="73">+B187</f>
        <v>62</v>
      </c>
      <c r="C188" s="24" t="str">
        <f t="shared" si="51"/>
        <v>62Eng</v>
      </c>
      <c r="D188" s="7" t="s">
        <v>119</v>
      </c>
      <c r="E188" s="8" t="s">
        <v>209</v>
      </c>
      <c r="F188" s="18" t="str">
        <f t="shared" si="53"/>
        <v>https://docs.google.com/uc?export=download&amp;id=1Cog1InQLjafdo3ZSGQNsl_eDQVuHV7Qx</v>
      </c>
      <c r="G188" s="13" t="str">
        <f t="shared" si="59"/>
        <v>1Cog1InQLjafdo3ZSGQNsl_eDQVuHV7Qx</v>
      </c>
      <c r="H188" t="s">
        <v>277</v>
      </c>
    </row>
    <row r="189" spans="2:8" x14ac:dyDescent="0.25">
      <c r="B189" s="26">
        <f t="shared" si="73"/>
        <v>62</v>
      </c>
      <c r="C189" s="26" t="str">
        <f t="shared" si="51"/>
        <v>62Phon</v>
      </c>
      <c r="D189" s="3" t="s">
        <v>120</v>
      </c>
      <c r="E189" s="2" t="s">
        <v>210</v>
      </c>
      <c r="F189" s="17" t="str">
        <f t="shared" si="53"/>
        <v/>
      </c>
      <c r="G189" s="13" t="str">
        <f t="shared" si="59"/>
        <v/>
      </c>
    </row>
    <row r="190" spans="2:8" x14ac:dyDescent="0.25">
      <c r="B190" s="25">
        <v>63</v>
      </c>
      <c r="C190" s="25" t="str">
        <f t="shared" si="51"/>
        <v>63Viet</v>
      </c>
      <c r="D190" s="10" t="s">
        <v>198</v>
      </c>
      <c r="E190" s="6" t="s">
        <v>207</v>
      </c>
      <c r="F190" s="16" t="str">
        <f t="shared" si="53"/>
        <v/>
      </c>
      <c r="G190" s="13" t="str">
        <f t="shared" si="59"/>
        <v/>
      </c>
    </row>
    <row r="191" spans="2:8" x14ac:dyDescent="0.25">
      <c r="B191" s="24">
        <f t="shared" ref="B191:B192" si="74">+B190</f>
        <v>63</v>
      </c>
      <c r="C191" s="24" t="str">
        <f t="shared" si="51"/>
        <v>63Eng</v>
      </c>
      <c r="D191" s="7" t="s">
        <v>121</v>
      </c>
      <c r="E191" s="8" t="s">
        <v>209</v>
      </c>
      <c r="F191" s="18" t="str">
        <f t="shared" si="53"/>
        <v>https://docs.google.com/uc?export=download&amp;id=1RAvepte5sVrCeaG-QnIFH_aAFTKIh4Xj</v>
      </c>
      <c r="G191" s="13" t="str">
        <f t="shared" si="59"/>
        <v>1RAvepte5sVrCeaG-QnIFH_aAFTKIh4Xj</v>
      </c>
      <c r="H191" t="s">
        <v>278</v>
      </c>
    </row>
    <row r="192" spans="2:8" x14ac:dyDescent="0.25">
      <c r="B192" s="26">
        <f t="shared" si="74"/>
        <v>63</v>
      </c>
      <c r="C192" s="26" t="str">
        <f t="shared" si="51"/>
        <v>63Phon</v>
      </c>
      <c r="D192" s="3" t="s">
        <v>122</v>
      </c>
      <c r="E192" s="2" t="s">
        <v>210</v>
      </c>
      <c r="F192" s="17" t="str">
        <f t="shared" si="53"/>
        <v/>
      </c>
      <c r="G192" s="13" t="str">
        <f t="shared" si="59"/>
        <v/>
      </c>
    </row>
    <row r="193" spans="2:8" x14ac:dyDescent="0.25">
      <c r="B193" s="25">
        <v>64</v>
      </c>
      <c r="C193" s="25" t="str">
        <f t="shared" si="51"/>
        <v>64Viet</v>
      </c>
      <c r="D193" s="10" t="s">
        <v>199</v>
      </c>
      <c r="E193" s="6" t="s">
        <v>207</v>
      </c>
      <c r="F193" s="16" t="str">
        <f t="shared" si="53"/>
        <v/>
      </c>
      <c r="G193" s="13" t="str">
        <f t="shared" si="59"/>
        <v/>
      </c>
    </row>
    <row r="194" spans="2:8" x14ac:dyDescent="0.25">
      <c r="B194" s="24">
        <f t="shared" ref="B194:B195" si="75">+B193</f>
        <v>64</v>
      </c>
      <c r="C194" s="24" t="str">
        <f t="shared" si="51"/>
        <v>64Eng</v>
      </c>
      <c r="D194" s="7" t="s">
        <v>123</v>
      </c>
      <c r="E194" s="8" t="s">
        <v>209</v>
      </c>
      <c r="F194" s="18" t="str">
        <f t="shared" si="53"/>
        <v>https://docs.google.com/uc?export=download&amp;id=1yqfwLrTXz3Rupn5kNi_-91Tng1le0zq7</v>
      </c>
      <c r="G194" s="13" t="str">
        <f t="shared" si="59"/>
        <v>1yqfwLrTXz3Rupn5kNi_-91Tng1le0zq7</v>
      </c>
      <c r="H194" t="s">
        <v>279</v>
      </c>
    </row>
    <row r="195" spans="2:8" x14ac:dyDescent="0.25">
      <c r="B195" s="26">
        <f t="shared" si="75"/>
        <v>64</v>
      </c>
      <c r="C195" s="26" t="str">
        <f t="shared" si="51"/>
        <v>64Phon</v>
      </c>
      <c r="D195" s="3" t="s">
        <v>124</v>
      </c>
      <c r="E195" s="2" t="s">
        <v>210</v>
      </c>
      <c r="F195" s="17" t="str">
        <f t="shared" si="53"/>
        <v/>
      </c>
      <c r="G195" s="13" t="str">
        <f t="shared" si="59"/>
        <v/>
      </c>
    </row>
    <row r="196" spans="2:8" x14ac:dyDescent="0.25">
      <c r="B196" s="25">
        <v>65</v>
      </c>
      <c r="C196" s="25" t="str">
        <f t="shared" si="51"/>
        <v>65Viet</v>
      </c>
      <c r="D196" s="10" t="s">
        <v>200</v>
      </c>
      <c r="E196" s="6" t="s">
        <v>207</v>
      </c>
      <c r="F196" s="16" t="str">
        <f t="shared" si="53"/>
        <v/>
      </c>
      <c r="G196" s="13" t="str">
        <f t="shared" si="59"/>
        <v/>
      </c>
    </row>
    <row r="197" spans="2:8" x14ac:dyDescent="0.25">
      <c r="B197" s="24">
        <f t="shared" ref="B197:B198" si="76">+B196</f>
        <v>65</v>
      </c>
      <c r="C197" s="24" t="str">
        <f t="shared" ref="C197:C210" si="77">B197&amp;E197</f>
        <v>65Eng</v>
      </c>
      <c r="D197" s="7" t="s">
        <v>125</v>
      </c>
      <c r="E197" s="8" t="s">
        <v>209</v>
      </c>
      <c r="F197" s="18" t="str">
        <f t="shared" si="53"/>
        <v>https://docs.google.com/uc?export=download&amp;id=1RmP10k-doEnSPyl5bQNyfrmZpmKD9Ko1</v>
      </c>
      <c r="G197" s="13" t="str">
        <f t="shared" ref="G197" si="78">IFERROR(LEFT(RIGHT(H197,LEN(H197)-32),LEN(RIGHT(H197,LEN(H197)-32))-17),"")</f>
        <v>1RmP10k-doEnSPyl5bQNyfrmZpmKD9Ko1</v>
      </c>
      <c r="H197" t="s">
        <v>280</v>
      </c>
    </row>
    <row r="198" spans="2:8" x14ac:dyDescent="0.25">
      <c r="B198" s="26">
        <f t="shared" si="76"/>
        <v>65</v>
      </c>
      <c r="C198" s="26" t="str">
        <f t="shared" si="77"/>
        <v>65Phon</v>
      </c>
      <c r="D198" s="3" t="s">
        <v>126</v>
      </c>
      <c r="E198" s="2" t="s">
        <v>210</v>
      </c>
      <c r="F198" s="17" t="str">
        <f t="shared" ref="F198:F210" si="79">IF(G198="","","https://docs.google.com/uc?export=download&amp;id="&amp;G198)</f>
        <v/>
      </c>
      <c r="G198" s="13" t="str">
        <f t="shared" ref="G198:G210" si="80">IFERROR(LEFT(RIGHT(H198,LEN(H198)-32),LEN(RIGHT(H198,LEN(H198)-32))-17),"")</f>
        <v/>
      </c>
    </row>
    <row r="199" spans="2:8" x14ac:dyDescent="0.25">
      <c r="B199" s="25">
        <v>66</v>
      </c>
      <c r="C199" s="25" t="str">
        <f t="shared" si="77"/>
        <v>66Viet</v>
      </c>
      <c r="D199" s="10" t="s">
        <v>201</v>
      </c>
      <c r="E199" s="6" t="s">
        <v>207</v>
      </c>
      <c r="F199" s="16" t="str">
        <f t="shared" si="79"/>
        <v/>
      </c>
      <c r="G199" s="13" t="str">
        <f t="shared" si="80"/>
        <v/>
      </c>
    </row>
    <row r="200" spans="2:8" x14ac:dyDescent="0.25">
      <c r="B200" s="24">
        <f t="shared" ref="B200:B201" si="81">+B199</f>
        <v>66</v>
      </c>
      <c r="C200" s="24" t="str">
        <f t="shared" si="77"/>
        <v>66Eng</v>
      </c>
      <c r="D200" s="7" t="s">
        <v>127</v>
      </c>
      <c r="E200" s="8" t="s">
        <v>209</v>
      </c>
      <c r="F200" s="18" t="str">
        <f t="shared" si="79"/>
        <v>https://docs.google.com/uc?export=download&amp;id=1wTuv6aUy5jgAHwAPy_QZCLu7djjG4IFV</v>
      </c>
      <c r="G200" s="13" t="str">
        <f t="shared" si="80"/>
        <v>1wTuv6aUy5jgAHwAPy_QZCLu7djjG4IFV</v>
      </c>
      <c r="H200" t="s">
        <v>281</v>
      </c>
    </row>
    <row r="201" spans="2:8" x14ac:dyDescent="0.25">
      <c r="B201" s="26">
        <f t="shared" si="81"/>
        <v>66</v>
      </c>
      <c r="C201" s="26" t="str">
        <f t="shared" si="77"/>
        <v>66Phon</v>
      </c>
      <c r="D201" s="3" t="s">
        <v>128</v>
      </c>
      <c r="E201" s="2" t="s">
        <v>210</v>
      </c>
      <c r="F201" s="17" t="str">
        <f t="shared" si="79"/>
        <v/>
      </c>
      <c r="G201" s="13" t="str">
        <f t="shared" si="80"/>
        <v/>
      </c>
    </row>
    <row r="202" spans="2:8" x14ac:dyDescent="0.25">
      <c r="B202" s="25">
        <v>67</v>
      </c>
      <c r="C202" s="25" t="str">
        <f t="shared" si="77"/>
        <v>67Viet</v>
      </c>
      <c r="D202" s="10" t="s">
        <v>202</v>
      </c>
      <c r="E202" s="6" t="s">
        <v>207</v>
      </c>
      <c r="F202" s="16" t="str">
        <f t="shared" si="79"/>
        <v/>
      </c>
      <c r="G202" s="13" t="str">
        <f t="shared" si="80"/>
        <v/>
      </c>
    </row>
    <row r="203" spans="2:8" x14ac:dyDescent="0.25">
      <c r="B203" s="24">
        <f t="shared" ref="B203:B204" si="82">+B202</f>
        <v>67</v>
      </c>
      <c r="C203" s="24" t="str">
        <f t="shared" si="77"/>
        <v>67Eng</v>
      </c>
      <c r="D203" s="7" t="s">
        <v>129</v>
      </c>
      <c r="E203" s="8" t="s">
        <v>209</v>
      </c>
      <c r="F203" s="18" t="str">
        <f t="shared" si="79"/>
        <v>https://docs.google.com/uc?export=download&amp;id=1fq2lGXM9DSESU_9wOKWizVrVkK2TJ80Q</v>
      </c>
      <c r="G203" s="13" t="str">
        <f t="shared" si="80"/>
        <v>1fq2lGXM9DSESU_9wOKWizVrVkK2TJ80Q</v>
      </c>
      <c r="H203" t="s">
        <v>282</v>
      </c>
    </row>
    <row r="204" spans="2:8" x14ac:dyDescent="0.25">
      <c r="B204" s="26">
        <f t="shared" si="82"/>
        <v>67</v>
      </c>
      <c r="C204" s="26" t="str">
        <f t="shared" si="77"/>
        <v>67Phon</v>
      </c>
      <c r="D204" s="3" t="s">
        <v>130</v>
      </c>
      <c r="E204" s="2" t="s">
        <v>210</v>
      </c>
      <c r="F204" s="17" t="str">
        <f t="shared" si="79"/>
        <v/>
      </c>
      <c r="G204" s="13" t="str">
        <f t="shared" si="80"/>
        <v/>
      </c>
    </row>
    <row r="205" spans="2:8" x14ac:dyDescent="0.25">
      <c r="B205" s="25">
        <v>68</v>
      </c>
      <c r="C205" s="25" t="str">
        <f t="shared" si="77"/>
        <v>68Viet</v>
      </c>
      <c r="D205" s="10" t="s">
        <v>301</v>
      </c>
      <c r="E205" s="6" t="s">
        <v>207</v>
      </c>
      <c r="F205" s="16" t="str">
        <f t="shared" si="79"/>
        <v/>
      </c>
      <c r="G205" s="13" t="str">
        <f t="shared" si="80"/>
        <v/>
      </c>
    </row>
    <row r="206" spans="2:8" x14ac:dyDescent="0.25">
      <c r="B206" s="24">
        <f t="shared" ref="B206:B207" si="83">+B205</f>
        <v>68</v>
      </c>
      <c r="C206" s="24" t="str">
        <f t="shared" si="77"/>
        <v>68Eng</v>
      </c>
      <c r="D206" s="7" t="s">
        <v>300</v>
      </c>
      <c r="E206" s="8" t="s">
        <v>209</v>
      </c>
      <c r="F206" s="18" t="str">
        <f t="shared" si="79"/>
        <v>https://docs.google.com/uc?export=download&amp;id=12u9Xk_FohGWqsseLTLYqmA_BNBrgS_dB</v>
      </c>
      <c r="G206" s="13" t="str">
        <f t="shared" si="80"/>
        <v>12u9Xk_FohGWqsseLTLYqmA_BNBrgS_dB</v>
      </c>
      <c r="H206" t="s">
        <v>283</v>
      </c>
    </row>
    <row r="207" spans="2:8" x14ac:dyDescent="0.25">
      <c r="B207" s="26">
        <f t="shared" si="83"/>
        <v>68</v>
      </c>
      <c r="C207" s="26" t="str">
        <f t="shared" si="77"/>
        <v>68Phon</v>
      </c>
      <c r="D207" s="3" t="s">
        <v>131</v>
      </c>
      <c r="E207" s="2" t="s">
        <v>210</v>
      </c>
      <c r="F207" s="17" t="str">
        <f t="shared" si="79"/>
        <v/>
      </c>
      <c r="G207" s="13" t="str">
        <f t="shared" si="80"/>
        <v/>
      </c>
    </row>
    <row r="208" spans="2:8" x14ac:dyDescent="0.25">
      <c r="B208" s="25">
        <v>69</v>
      </c>
      <c r="C208" s="25" t="str">
        <f t="shared" si="77"/>
        <v>69Viet</v>
      </c>
      <c r="D208" s="10" t="s">
        <v>203</v>
      </c>
      <c r="E208" s="6" t="s">
        <v>207</v>
      </c>
      <c r="F208" s="16" t="str">
        <f t="shared" si="79"/>
        <v/>
      </c>
      <c r="G208" s="13" t="str">
        <f t="shared" si="80"/>
        <v/>
      </c>
    </row>
    <row r="209" spans="2:8" x14ac:dyDescent="0.25">
      <c r="B209" s="24">
        <f t="shared" ref="B209:B210" si="84">+B208</f>
        <v>69</v>
      </c>
      <c r="C209" s="24" t="str">
        <f t="shared" si="77"/>
        <v>69Eng</v>
      </c>
      <c r="D209" s="7" t="s">
        <v>132</v>
      </c>
      <c r="E209" s="8" t="s">
        <v>209</v>
      </c>
      <c r="F209" s="18" t="str">
        <f t="shared" si="79"/>
        <v>https://docs.google.com/uc?export=download&amp;id=1cUpi53cX2E-gO40F4qIO0E1JhrljXpMp</v>
      </c>
      <c r="G209" s="13" t="str">
        <f t="shared" si="80"/>
        <v>1cUpi53cX2E-gO40F4qIO0E1JhrljXpMp</v>
      </c>
      <c r="H209" t="s">
        <v>284</v>
      </c>
    </row>
    <row r="210" spans="2:8" x14ac:dyDescent="0.25">
      <c r="B210" s="26">
        <f t="shared" si="84"/>
        <v>69</v>
      </c>
      <c r="C210" s="26" t="str">
        <f t="shared" si="77"/>
        <v>69Phon</v>
      </c>
      <c r="D210" s="3" t="s">
        <v>133</v>
      </c>
      <c r="E210" s="2" t="s">
        <v>210</v>
      </c>
      <c r="F210" s="17" t="str">
        <f t="shared" si="79"/>
        <v/>
      </c>
      <c r="G210" s="13" t="str">
        <f t="shared" si="80"/>
        <v/>
      </c>
    </row>
  </sheetData>
  <autoFilter ref="B3:I210" xr:uid="{409C9D1B-A452-401C-9733-8750E50DAAFC}"/>
  <hyperlinks>
    <hyperlink ref="H128" r:id="rId1" xr:uid="{95DB11FA-7E72-4276-A0F6-D887EB7FBB15}"/>
    <hyperlink ref="H131" r:id="rId2" xr:uid="{84059EBF-98DC-465C-9A1D-2C41871AA8DF}"/>
    <hyperlink ref="H134" r:id="rId3" xr:uid="{94781BEF-240E-42A1-A1AE-8A6A6AA29EF8}"/>
    <hyperlink ref="H137" r:id="rId4" xr:uid="{2A12F830-01D7-480E-AED2-D7235B5FC061}"/>
    <hyperlink ref="H122" r:id="rId5" xr:uid="{953C6F89-0315-4DCF-BC70-B31629EB79BC}"/>
    <hyperlink ref="H125" r:id="rId6" xr:uid="{9BB745F4-B3A3-4264-8C02-77C2B61D4EF9}"/>
    <hyperlink ref="H146" r:id="rId7" xr:uid="{3E562420-8817-4D2A-A679-D81A8C256F40}"/>
    <hyperlink ref="H149" r:id="rId8" xr:uid="{5E6C633D-B52F-4A86-8C5E-B19E08DDEF2E}"/>
    <hyperlink ref="H152" r:id="rId9" xr:uid="{BEE9F138-7D3B-4625-B367-AB61A5731EFB}"/>
    <hyperlink ref="H38" r:id="rId10" xr:uid="{B0645BF6-99C8-49BC-8664-AB098EE0B60C}"/>
    <hyperlink ref="H44" r:id="rId11" xr:uid="{1E744C6B-FD70-474B-B839-21D425B03EE5}"/>
    <hyperlink ref="H110" r:id="rId12" xr:uid="{EADB561D-A8A5-468A-AF5C-ECBBF70C0BF1}"/>
    <hyperlink ref="H170" r:id="rId13" xr:uid="{0447B525-9EF2-48FC-BC22-4E947AFE6F39}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13"/>
  <sheetViews>
    <sheetView tabSelected="1" workbookViewId="0">
      <selection activeCell="C10" sqref="C10"/>
    </sheetView>
  </sheetViews>
  <sheetFormatPr defaultRowHeight="13.8" x14ac:dyDescent="0.25"/>
  <cols>
    <col min="2" max="2" width="12.19921875" style="1" bestFit="1" customWidth="1"/>
    <col min="3" max="3" width="75.8984375" bestFit="1" customWidth="1"/>
    <col min="5" max="5" width="74.296875" bestFit="1" customWidth="1"/>
  </cols>
  <sheetData>
    <row r="2" spans="2:5" x14ac:dyDescent="0.25">
      <c r="B2" s="4" t="s">
        <v>204</v>
      </c>
      <c r="C2" s="15" t="s">
        <v>214</v>
      </c>
      <c r="D2" s="1" t="s">
        <v>213</v>
      </c>
      <c r="E2" s="11" t="s">
        <v>216</v>
      </c>
    </row>
    <row r="3" spans="2:5" x14ac:dyDescent="0.25">
      <c r="B3" s="21" t="s">
        <v>285</v>
      </c>
      <c r="C3" s="19" t="str">
        <f>IF(D3="","","https://docs.google.com/uc?export=download&amp;id="&amp;D3)</f>
        <v>https://docs.google.com/uc?export=download&amp;id=1ndpvRnnqmfiCaBhFYLcxI5-Z7y4ZX8P4</v>
      </c>
      <c r="D3" s="20" t="str">
        <f t="shared" ref="D3:D13" si="0">IFERROR(LEFT(RIGHT(E3,LEN(E3)-32),LEN(RIGHT(E3,LEN(E3)-32))-17),"")</f>
        <v>1ndpvRnnqmfiCaBhFYLcxI5-Z7y4ZX8P4</v>
      </c>
      <c r="E3" s="20" t="s">
        <v>292</v>
      </c>
    </row>
    <row r="4" spans="2:5" x14ac:dyDescent="0.25">
      <c r="B4" s="21" t="s">
        <v>286</v>
      </c>
      <c r="C4" s="19" t="str">
        <f t="shared" ref="C4:C13" si="1">IF(D4="","","https://docs.google.com/uc?export=download&amp;id="&amp;D4)</f>
        <v>https://docs.google.com/uc?export=download&amp;id=1ZsTPpEIrmiswPVaYqc9hq67Dh-_tYw9P</v>
      </c>
      <c r="D4" s="20" t="str">
        <f t="shared" si="0"/>
        <v>1ZsTPpEIrmiswPVaYqc9hq67Dh-_tYw9P</v>
      </c>
      <c r="E4" s="20" t="s">
        <v>293</v>
      </c>
    </row>
    <row r="5" spans="2:5" x14ac:dyDescent="0.25">
      <c r="B5" s="21" t="s">
        <v>288</v>
      </c>
      <c r="C5" s="19" t="str">
        <f t="shared" si="1"/>
        <v>https://docs.google.com/uc?export=download&amp;id=1kZt8G3Ur6-OxKdzqWQMTrg-0BYGw7TbN</v>
      </c>
      <c r="D5" s="20" t="str">
        <f t="shared" si="0"/>
        <v>1kZt8G3Ur6-OxKdzqWQMTrg-0BYGw7TbN</v>
      </c>
      <c r="E5" s="20" t="s">
        <v>294</v>
      </c>
    </row>
    <row r="6" spans="2:5" x14ac:dyDescent="0.25">
      <c r="B6" s="21" t="s">
        <v>287</v>
      </c>
      <c r="C6" s="19" t="str">
        <f t="shared" si="1"/>
        <v>https://docs.google.com/uc?export=download&amp;id=1NohrN30XVWtJq8ooXLVZWtZtaj4fkH4R</v>
      </c>
      <c r="D6" s="20" t="str">
        <f t="shared" si="0"/>
        <v>1NohrN30XVWtJq8ooXLVZWtZtaj4fkH4R</v>
      </c>
      <c r="E6" s="20" t="s">
        <v>295</v>
      </c>
    </row>
    <row r="7" spans="2:5" x14ac:dyDescent="0.25">
      <c r="B7" s="21" t="s">
        <v>289</v>
      </c>
      <c r="C7" s="19" t="str">
        <f t="shared" si="1"/>
        <v>https://docs.google.com/uc?export=download&amp;id=18QAHiw7kPXfrtkFX4oeNND29dAy_FLuR</v>
      </c>
      <c r="D7" s="20" t="str">
        <f t="shared" si="0"/>
        <v>18QAHiw7kPXfrtkFX4oeNND29dAy_FLuR</v>
      </c>
      <c r="E7" s="20" t="s">
        <v>296</v>
      </c>
    </row>
    <row r="8" spans="2:5" x14ac:dyDescent="0.25">
      <c r="B8" s="21" t="s">
        <v>290</v>
      </c>
      <c r="C8" s="19" t="str">
        <f t="shared" si="1"/>
        <v>https://docs.google.com/uc?export=download&amp;id=12RabXvVqEXD6eKB6CmRqe5QiFlKk_oZR</v>
      </c>
      <c r="D8" s="20" t="str">
        <f t="shared" si="0"/>
        <v>12RabXvVqEXD6eKB6CmRqe5QiFlKk_oZR</v>
      </c>
      <c r="E8" s="20" t="s">
        <v>297</v>
      </c>
    </row>
    <row r="9" spans="2:5" x14ac:dyDescent="0.25">
      <c r="B9" s="21" t="s">
        <v>291</v>
      </c>
      <c r="C9" s="19" t="str">
        <f t="shared" si="1"/>
        <v>https://docs.google.com/uc?export=download&amp;id=1gb97azDSY0J_c29t8FCBs_2_bWILFjn6</v>
      </c>
      <c r="D9" s="20" t="str">
        <f t="shared" si="0"/>
        <v>1gb97azDSY0J_c29t8FCBs_2_bWILFjn6</v>
      </c>
      <c r="E9" s="20" t="s">
        <v>298</v>
      </c>
    </row>
    <row r="10" spans="2:5" x14ac:dyDescent="0.25">
      <c r="B10" s="21" t="s">
        <v>302</v>
      </c>
      <c r="C10" s="19" t="str">
        <f t="shared" si="1"/>
        <v>https://docs.google.com/uc?export=download&amp;id=1FTvAp4Al8Yuf9KMiYWchbvvDmqSIJYec</v>
      </c>
      <c r="D10" s="20" t="str">
        <f t="shared" si="0"/>
        <v>1FTvAp4Al8Yuf9KMiYWchbvvDmqSIJYec</v>
      </c>
      <c r="E10" s="20" t="s">
        <v>303</v>
      </c>
    </row>
    <row r="11" spans="2:5" x14ac:dyDescent="0.25">
      <c r="B11" s="21"/>
      <c r="C11" s="19" t="str">
        <f t="shared" si="1"/>
        <v/>
      </c>
      <c r="D11" s="20" t="str">
        <f t="shared" si="0"/>
        <v/>
      </c>
      <c r="E11" s="20"/>
    </row>
    <row r="12" spans="2:5" x14ac:dyDescent="0.25">
      <c r="B12" s="21"/>
      <c r="C12" s="19" t="str">
        <f t="shared" si="1"/>
        <v/>
      </c>
      <c r="D12" s="20" t="str">
        <f t="shared" si="0"/>
        <v/>
      </c>
      <c r="E12" s="20"/>
    </row>
    <row r="13" spans="2:5" x14ac:dyDescent="0.25">
      <c r="B13" s="21"/>
      <c r="C13" s="19" t="str">
        <f t="shared" si="1"/>
        <v/>
      </c>
      <c r="D13" s="20" t="str">
        <f t="shared" si="0"/>
        <v/>
      </c>
      <c r="E13" s="20"/>
    </row>
  </sheetData>
  <phoneticPr fontId="3" type="noConversion"/>
  <hyperlinks>
    <hyperlink ref="E5" r:id="rId1" xr:uid="{E01F34A7-24B9-45A1-A254-988DFEA4FC70}"/>
    <hyperlink ref="E6" r:id="rId2" xr:uid="{554FCBBB-FFB0-4BBC-8473-E2D396D09E90}"/>
    <hyperlink ref="E7" r:id="rId3" xr:uid="{31E988A9-438F-407B-94C2-7869ED7BE51D}"/>
    <hyperlink ref="E8" r:id="rId4" xr:uid="{FA2C96A9-C24C-46FF-A555-D1BE8EA06034}"/>
    <hyperlink ref="E9" r:id="rId5" xr:uid="{D5960B57-BA67-4D02-B5E4-C5CCEEE7FCC4}"/>
  </hyperlinks>
  <pageMargins left="0.7" right="0.7" top="0.75" bottom="0.75" header="0.3" footer="0.3"/>
  <ignoredErrors>
    <ignoredError sqref="B4 B1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E295"/>
  <sheetViews>
    <sheetView topLeftCell="C1" zoomScale="86" zoomScaleNormal="86" workbookViewId="0">
      <selection activeCell="D4" sqref="D4:D12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customWidth="1"/>
    <col min="4" max="4" width="54.8984375" bestFit="1" customWidth="1"/>
    <col min="5" max="5" width="68.8984375" bestFit="1" customWidth="1"/>
  </cols>
  <sheetData>
    <row r="1" spans="1:5" ht="17.399999999999999" customHeight="1" x14ac:dyDescent="0.25">
      <c r="B1" t="s">
        <v>211</v>
      </c>
      <c r="C1" s="11">
        <v>61</v>
      </c>
    </row>
    <row r="2" spans="1:5" x14ac:dyDescent="0.25">
      <c r="B2" t="s">
        <v>212</v>
      </c>
      <c r="C2" s="11">
        <v>69</v>
      </c>
    </row>
    <row r="3" spans="1:5" x14ac:dyDescent="0.25">
      <c r="C3" s="12" t="s">
        <v>205</v>
      </c>
      <c r="D3" s="12" t="s">
        <v>207</v>
      </c>
      <c r="E3" s="12" t="s">
        <v>209</v>
      </c>
    </row>
    <row r="4" spans="1:5" x14ac:dyDescent="0.25">
      <c r="A4">
        <f>C1</f>
        <v>61</v>
      </c>
      <c r="B4">
        <f t="shared" ref="B4:B67" ca="1" si="0">IF(A4="","",RANDBETWEEN($C$1,$C$2))</f>
        <v>69</v>
      </c>
      <c r="C4">
        <f ca="1">IFERROR($C$1-1+_xlfn.RANK.EQ(B4,$B$4:$B$72)+COUNTIF(B$4:$B4,B4)-1,"")</f>
        <v>61</v>
      </c>
      <c r="D4" t="str">
        <f ca="1">IFERROR(VLOOKUP(C4&amp;"Viet",'From morning to night'!C:D,2,0),"")</f>
        <v>Tôi gấp quần áo.</v>
      </c>
      <c r="E4" t="str">
        <f ca="1">IFERROR(VLOOKUP(C4&amp;"Eng",'From morning to night'!C:D,2,0),"")</f>
        <v>I fold the clothes.</v>
      </c>
    </row>
    <row r="5" spans="1:5" x14ac:dyDescent="0.25">
      <c r="A5">
        <f>IFERROR(IF(A4+1&gt;$C$2,"",A4+1),"")</f>
        <v>62</v>
      </c>
      <c r="B5">
        <f t="shared" ca="1" si="0"/>
        <v>62</v>
      </c>
      <c r="C5">
        <f ca="1">IFERROR($C$1-1+_xlfn.RANK.EQ(B5,$B$4:$B$72)+COUNTIF(B$4:$B5,B5)-1,"")</f>
        <v>69</v>
      </c>
      <c r="D5" t="str">
        <f ca="1">IFERROR(VLOOKUP(C5&amp;"Viet",'From morning to night'!C:D,2,0),"")</f>
        <v>Tôi ngủ ngay khi vừa ngả đầu xuống gối.</v>
      </c>
      <c r="E5" t="str">
        <f ca="1">IFERROR(VLOOKUP(C5&amp;"Eng",'From morning to night'!C:D,2,0),"")</f>
        <v>I fall asleep as soon as my head hits the pillow.</v>
      </c>
    </row>
    <row r="6" spans="1:5" x14ac:dyDescent="0.25">
      <c r="A6">
        <f t="shared" ref="A6:A69" si="1">IFERROR(IF(A5+1&gt;$C$2,"",A5+1),"")</f>
        <v>63</v>
      </c>
      <c r="B6">
        <f t="shared" ca="1" si="0"/>
        <v>63</v>
      </c>
      <c r="C6">
        <f ca="1">IFERROR($C$1-1+_xlfn.RANK.EQ(B6,$B$4:$B$72)+COUNTIF(B$4:$B6,B6)-1,"")</f>
        <v>67</v>
      </c>
      <c r="D6" t="str">
        <f ca="1">IFERROR(VLOOKUP(C6&amp;"Viet",'From morning to night'!C:D,2,0),"")</f>
        <v>Tôi đặt báo thức lúc 6 giờ sáng.</v>
      </c>
      <c r="E6" t="str">
        <f ca="1">IFERROR(VLOOKUP(C6&amp;"Eng",'From morning to night'!C:D,2,0),"")</f>
        <v>I set the alarm clock for 6 a.m.</v>
      </c>
    </row>
    <row r="7" spans="1:5" x14ac:dyDescent="0.25">
      <c r="A7">
        <f t="shared" si="1"/>
        <v>64</v>
      </c>
      <c r="B7">
        <f t="shared" ca="1" si="0"/>
        <v>67</v>
      </c>
      <c r="C7">
        <f ca="1">IFERROR($C$1-1+_xlfn.RANK.EQ(B7,$B$4:$B$72)+COUNTIF(B$4:$B7,B7)-1,"")</f>
        <v>63</v>
      </c>
      <c r="D7" t="str">
        <f ca="1">IFERROR(VLOOKUP(C7&amp;"Viet",'From morning to night'!C:D,2,0),"")</f>
        <v>Tôi đi đổ rác.</v>
      </c>
      <c r="E7" t="str">
        <f ca="1">IFERROR(VLOOKUP(C7&amp;"Eng",'From morning to night'!C:D,2,0),"")</f>
        <v>I take out the trash.</v>
      </c>
    </row>
    <row r="8" spans="1:5" x14ac:dyDescent="0.25">
      <c r="A8">
        <f t="shared" si="1"/>
        <v>65</v>
      </c>
      <c r="B8">
        <f t="shared" ca="1" si="0"/>
        <v>65</v>
      </c>
      <c r="C8">
        <f ca="1">IFERROR($C$1-1+_xlfn.RANK.EQ(B8,$B$4:$B$72)+COUNTIF(B$4:$B8,B8)-1,"")</f>
        <v>64</v>
      </c>
      <c r="D8" t="str">
        <f ca="1">IFERROR(VLOOKUP(C8&amp;"Viet",'From morning to night'!C:D,2,0),"")</f>
        <v>Tôi tập Yoga.</v>
      </c>
      <c r="E8" t="str">
        <f ca="1">IFERROR(VLOOKUP(C8&amp;"Eng",'From morning to night'!C:D,2,0),"")</f>
        <v>I do yoga.</v>
      </c>
    </row>
    <row r="9" spans="1:5" x14ac:dyDescent="0.25">
      <c r="A9">
        <f t="shared" si="1"/>
        <v>66</v>
      </c>
      <c r="B9">
        <f t="shared" ca="1" si="0"/>
        <v>63</v>
      </c>
      <c r="C9">
        <f ca="1">IFERROR($C$1-1+_xlfn.RANK.EQ(B9,$B$4:$B$72)+COUNTIF(B$4:$B9,B9)-1,"")</f>
        <v>68</v>
      </c>
      <c r="D9" t="str">
        <f ca="1">IFERROR(VLOOKUP(C9&amp;"Viet",'From morning to night'!C:D,2,0),"")</f>
        <v>Tôi mệt mỏi và ngủ gật trên ghế sô pha.</v>
      </c>
      <c r="E9" t="str">
        <f ca="1">IFERROR(VLOOKUP(C9&amp;"Eng",'From morning to night'!C:D,2,0),"")</f>
        <v>I am worn out and nod off on the couch.</v>
      </c>
    </row>
    <row r="10" spans="1:5" x14ac:dyDescent="0.25">
      <c r="A10">
        <f t="shared" si="1"/>
        <v>67</v>
      </c>
      <c r="B10">
        <f t="shared" ca="1" si="0"/>
        <v>65</v>
      </c>
      <c r="C10">
        <f ca="1">IFERROR($C$1-1+_xlfn.RANK.EQ(B10,$B$4:$B$72)+COUNTIF(B$4:$B10,B10)-1,"")</f>
        <v>65</v>
      </c>
      <c r="D10" t="str">
        <f ca="1">IFERROR(VLOOKUP(C10&amp;"Viet",'From morning to night'!C:D,2,0),"")</f>
        <v>Tôi tập thể hình.</v>
      </c>
      <c r="E10" t="str">
        <f ca="1">IFERROR(VLOOKUP(C10&amp;"Eng",'From morning to night'!C:D,2,0),"")</f>
        <v>I do the gym.</v>
      </c>
    </row>
    <row r="11" spans="1:5" x14ac:dyDescent="0.25">
      <c r="A11">
        <f t="shared" si="1"/>
        <v>68</v>
      </c>
      <c r="B11">
        <f t="shared" ca="1" si="0"/>
        <v>65</v>
      </c>
      <c r="C11">
        <f ca="1">IFERROR($C$1-1+_xlfn.RANK.EQ(B11,$B$4:$B$72)+COUNTIF(B$4:$B11,B11)-1,"")</f>
        <v>66</v>
      </c>
      <c r="D11" t="str">
        <f ca="1">IFERROR(VLOOKUP(C11&amp;"Viet",'From morning to night'!C:D,2,0),"")</f>
        <v>Tôi đắp mặt nạ.</v>
      </c>
      <c r="E11" t="str">
        <f ca="1">IFERROR(VLOOKUP(C11&amp;"Eng",'From morning to night'!C:D,2,0),"")</f>
        <v>I apply a mask on my face.</v>
      </c>
    </row>
    <row r="12" spans="1:5" x14ac:dyDescent="0.25">
      <c r="A12">
        <f t="shared" si="1"/>
        <v>69</v>
      </c>
      <c r="B12">
        <f t="shared" ca="1" si="0"/>
        <v>68</v>
      </c>
      <c r="C12">
        <f ca="1">IFERROR($C$1-1+_xlfn.RANK.EQ(B12,$B$4:$B$72)+COUNTIF(B$4:$B12,B12)-1,"")</f>
        <v>62</v>
      </c>
      <c r="D12" t="str">
        <f ca="1">IFERROR(VLOOKUP(C12&amp;"Viet",'From morning to night'!C:D,2,0),"")</f>
        <v>Tôi lau nhà.</v>
      </c>
      <c r="E12" t="str">
        <f ca="1">IFERROR(VLOOKUP(C12&amp;"Eng",'From morning to night'!C:D,2,0),"")</f>
        <v>I mop the floor.</v>
      </c>
    </row>
    <row r="13" spans="1:5" x14ac:dyDescent="0.25">
      <c r="A13" t="str">
        <f t="shared" si="1"/>
        <v/>
      </c>
      <c r="B13" t="str">
        <f t="shared" ca="1" si="0"/>
        <v/>
      </c>
      <c r="C13" t="str">
        <f ca="1">IFERROR($C$1-1+_xlfn.RANK.EQ(B13,$B$4:$B$72)+COUNTIF(B$4:$B13,B13)-1,"")</f>
        <v/>
      </c>
      <c r="D13" t="str">
        <f ca="1">IFERROR(VLOOKUP(C13&amp;"Viet",'From morning to night'!C:D,2,0),"")</f>
        <v/>
      </c>
      <c r="E13" t="str">
        <f ca="1">IFERROR(VLOOKUP(C13&amp;"Eng",'From morning to night'!C:D,2,0),"")</f>
        <v/>
      </c>
    </row>
    <row r="14" spans="1:5" x14ac:dyDescent="0.25">
      <c r="A14" t="str">
        <f t="shared" si="1"/>
        <v/>
      </c>
      <c r="B14" t="str">
        <f t="shared" ca="1" si="0"/>
        <v/>
      </c>
      <c r="C14" t="str">
        <f ca="1">IFERROR($C$1-1+_xlfn.RANK.EQ(B14,$B$4:$B$72)+COUNTIF(B$4:$B14,B14)-1,"")</f>
        <v/>
      </c>
      <c r="D14" t="str">
        <f ca="1">IFERROR(VLOOKUP(C14&amp;"Viet",'From morning to night'!C:D,2,0),"")</f>
        <v/>
      </c>
      <c r="E14" t="str">
        <f ca="1">IFERROR(VLOOKUP(C14&amp;"Eng",'From morning to night'!C:D,2,0),"")</f>
        <v/>
      </c>
    </row>
    <row r="15" spans="1:5" x14ac:dyDescent="0.25">
      <c r="A15" t="str">
        <f t="shared" si="1"/>
        <v/>
      </c>
      <c r="B15" t="str">
        <f t="shared" ca="1" si="0"/>
        <v/>
      </c>
      <c r="C15" t="str">
        <f ca="1">IFERROR($C$1-1+_xlfn.RANK.EQ(B15,$B$4:$B$72)+COUNTIF(B$4:$B15,B15)-1,"")</f>
        <v/>
      </c>
      <c r="D15" t="str">
        <f ca="1">IFERROR(VLOOKUP(C15&amp;"Viet",'From morning to night'!C:D,2,0),"")</f>
        <v/>
      </c>
      <c r="E15" t="str">
        <f ca="1">IFERROR(VLOOKUP(C15&amp;"Eng",'From morning to night'!C:D,2,0),"")</f>
        <v/>
      </c>
    </row>
    <row r="16" spans="1:5" x14ac:dyDescent="0.25">
      <c r="A16" t="str">
        <f t="shared" si="1"/>
        <v/>
      </c>
      <c r="B16" t="str">
        <f t="shared" ca="1" si="0"/>
        <v/>
      </c>
      <c r="C16" t="str">
        <f ca="1">IFERROR($C$1-1+_xlfn.RANK.EQ(B16,$B$4:$B$72)+COUNTIF(B$4:$B16,B16)-1,"")</f>
        <v/>
      </c>
      <c r="D16" t="str">
        <f ca="1">IFERROR(VLOOKUP(C16&amp;"Viet",'From morning to night'!C:D,2,0),"")</f>
        <v/>
      </c>
      <c r="E16" t="str">
        <f ca="1">IFERROR(VLOOKUP(C16&amp;"Eng",'From morning to night'!C:D,2,0),"")</f>
        <v/>
      </c>
    </row>
    <row r="17" spans="1:5" x14ac:dyDescent="0.25">
      <c r="A17" t="str">
        <f t="shared" si="1"/>
        <v/>
      </c>
      <c r="B17" t="str">
        <f t="shared" ca="1" si="0"/>
        <v/>
      </c>
      <c r="C17" t="str">
        <f ca="1">IFERROR($C$1-1+_xlfn.RANK.EQ(B17,$B$4:$B$72)+COUNTIF(B$4:$B17,B17)-1,"")</f>
        <v/>
      </c>
      <c r="D17" t="str">
        <f ca="1">IFERROR(VLOOKUP(C17&amp;"Viet",'From morning to night'!C:D,2,0),"")</f>
        <v/>
      </c>
      <c r="E17" t="str">
        <f ca="1">IFERROR(VLOOKUP(C17&amp;"Eng",'From morning to night'!C:D,2,0),"")</f>
        <v/>
      </c>
    </row>
    <row r="18" spans="1:5" ht="12.6" customHeight="1" x14ac:dyDescent="0.25">
      <c r="A18" t="str">
        <f t="shared" si="1"/>
        <v/>
      </c>
      <c r="B18" t="str">
        <f t="shared" ca="1" si="0"/>
        <v/>
      </c>
      <c r="C18" t="str">
        <f ca="1">IFERROR($C$1-1+_xlfn.RANK.EQ(B18,$B$4:$B$72)+COUNTIF(B$4:$B18,B18)-1,"")</f>
        <v/>
      </c>
      <c r="D18" t="str">
        <f ca="1">IFERROR(VLOOKUP(C18&amp;"Viet",'From morning to night'!C:D,2,0),"")</f>
        <v/>
      </c>
      <c r="E18" t="str">
        <f ca="1">IFERROR(VLOOKUP(C18&amp;"Eng",'From morning to night'!C:D,2,0),"")</f>
        <v/>
      </c>
    </row>
    <row r="19" spans="1:5" x14ac:dyDescent="0.25">
      <c r="A19" t="str">
        <f t="shared" si="1"/>
        <v/>
      </c>
      <c r="B19" t="str">
        <f t="shared" ca="1" si="0"/>
        <v/>
      </c>
      <c r="C19" t="str">
        <f ca="1">IFERROR($C$1-1+_xlfn.RANK.EQ(B19,$B$4:$B$72)+COUNTIF(B$4:$B19,B19)-1,"")</f>
        <v/>
      </c>
      <c r="D19" t="str">
        <f ca="1">IFERROR(VLOOKUP(C19&amp;"Viet",'From morning to night'!C:D,2,0),"")</f>
        <v/>
      </c>
      <c r="E19" t="str">
        <f ca="1">IFERROR(VLOOKUP(C19&amp;"Eng",'From morning to night'!C:D,2,0),"")</f>
        <v/>
      </c>
    </row>
    <row r="20" spans="1:5" x14ac:dyDescent="0.25">
      <c r="A20" t="str">
        <f t="shared" si="1"/>
        <v/>
      </c>
      <c r="B20" t="str">
        <f t="shared" ca="1" si="0"/>
        <v/>
      </c>
      <c r="C20" t="str">
        <f ca="1">IFERROR($C$1-1+_xlfn.RANK.EQ(B20,$B$4:$B$72)+COUNTIF(B$4:$B20,B20)-1,"")</f>
        <v/>
      </c>
      <c r="D20" t="str">
        <f ca="1">IFERROR(VLOOKUP(C20&amp;"Viet",'From morning to night'!C:D,2,0),"")</f>
        <v/>
      </c>
      <c r="E20" t="str">
        <f ca="1">IFERROR(VLOOKUP(C20&amp;"Eng",'From morning to night'!C:D,2,0),"")</f>
        <v/>
      </c>
    </row>
    <row r="21" spans="1:5" x14ac:dyDescent="0.25">
      <c r="A21" t="str">
        <f t="shared" si="1"/>
        <v/>
      </c>
      <c r="B21" t="str">
        <f t="shared" ca="1" si="0"/>
        <v/>
      </c>
      <c r="C21" t="str">
        <f ca="1">IFERROR($C$1-1+_xlfn.RANK.EQ(B21,$B$4:$B$72)+COUNTIF(B$4:$B21,B21)-1,"")</f>
        <v/>
      </c>
      <c r="D21" t="str">
        <f ca="1">IFERROR(VLOOKUP(C21&amp;"Viet",'From morning to night'!C:D,2,0),"")</f>
        <v/>
      </c>
      <c r="E21" t="str">
        <f ca="1">IFERROR(VLOOKUP(C21&amp;"Eng",'From morning to night'!C:D,2,0),"")</f>
        <v/>
      </c>
    </row>
    <row r="22" spans="1:5" x14ac:dyDescent="0.25">
      <c r="A22" t="str">
        <f t="shared" si="1"/>
        <v/>
      </c>
      <c r="B22" t="str">
        <f t="shared" ca="1" si="0"/>
        <v/>
      </c>
      <c r="C22" t="str">
        <f ca="1">IFERROR($C$1-1+_xlfn.RANK.EQ(B22,$B$4:$B$72)+COUNTIF(B$4:$B22,B22)-1,"")</f>
        <v/>
      </c>
      <c r="D22" t="str">
        <f ca="1">IFERROR(VLOOKUP(C22&amp;"Viet",'From morning to night'!C:D,2,0),"")</f>
        <v/>
      </c>
      <c r="E22" t="str">
        <f ca="1">IFERROR(VLOOKUP(C22&amp;"Eng",'From morning to night'!C:D,2,0),"")</f>
        <v/>
      </c>
    </row>
    <row r="23" spans="1:5" x14ac:dyDescent="0.25">
      <c r="A23" t="str">
        <f t="shared" si="1"/>
        <v/>
      </c>
      <c r="B23" t="str">
        <f t="shared" ca="1" si="0"/>
        <v/>
      </c>
      <c r="C23" t="str">
        <f ca="1">IFERROR($C$1-1+_xlfn.RANK.EQ(B23,$B$4:$B$72)+COUNTIF(B$4:$B23,B23)-1,"")</f>
        <v/>
      </c>
      <c r="D23" t="str">
        <f ca="1">IFERROR(VLOOKUP(C23&amp;"Viet",'From morning to night'!C:D,2,0),"")</f>
        <v/>
      </c>
      <c r="E23" t="str">
        <f ca="1">IFERROR(VLOOKUP(C23&amp;"Eng",'From morning to night'!C:D,2,0),"")</f>
        <v/>
      </c>
    </row>
    <row r="24" spans="1:5" x14ac:dyDescent="0.25">
      <c r="A24" t="str">
        <f t="shared" si="1"/>
        <v/>
      </c>
      <c r="B24" t="str">
        <f t="shared" ca="1" si="0"/>
        <v/>
      </c>
      <c r="C24" t="str">
        <f ca="1">IFERROR($C$1-1+_xlfn.RANK.EQ(B24,$B$4:$B$72)+COUNTIF(B$4:$B24,B24)-1,"")</f>
        <v/>
      </c>
      <c r="D24" t="str">
        <f ca="1">IFERROR(VLOOKUP(C24&amp;"Viet",'From morning to night'!C:D,2,0),"")</f>
        <v/>
      </c>
      <c r="E24" t="str">
        <f ca="1">IFERROR(VLOOKUP(C24&amp;"Eng",'From morning to night'!C:D,2,0),"")</f>
        <v/>
      </c>
    </row>
    <row r="25" spans="1:5" x14ac:dyDescent="0.25">
      <c r="A25" t="str">
        <f t="shared" si="1"/>
        <v/>
      </c>
      <c r="B25" t="str">
        <f t="shared" ca="1" si="0"/>
        <v/>
      </c>
      <c r="C25" t="str">
        <f ca="1">IFERROR($C$1-1+_xlfn.RANK.EQ(B25,$B$4:$B$72)+COUNTIF(B$4:$B25,B25)-1,"")</f>
        <v/>
      </c>
      <c r="D25" t="str">
        <f ca="1">IFERROR(VLOOKUP(C25&amp;"Viet",'From morning to night'!C:D,2,0),"")</f>
        <v/>
      </c>
      <c r="E25" t="str">
        <f ca="1">IFERROR(VLOOKUP(C25&amp;"Eng",'From morning to night'!C:D,2,0),"")</f>
        <v/>
      </c>
    </row>
    <row r="26" spans="1:5" x14ac:dyDescent="0.25">
      <c r="A26" t="str">
        <f t="shared" si="1"/>
        <v/>
      </c>
      <c r="B26" t="str">
        <f t="shared" ca="1" si="0"/>
        <v/>
      </c>
      <c r="C26" t="str">
        <f ca="1">IFERROR($C$1-1+_xlfn.RANK.EQ(B26,$B$4:$B$72)+COUNTIF(B$4:$B26,B26)-1,"")</f>
        <v/>
      </c>
      <c r="D26" t="str">
        <f ca="1">IFERROR(VLOOKUP(C26&amp;"Viet",'From morning to night'!C:D,2,0),"")</f>
        <v/>
      </c>
      <c r="E26" t="str">
        <f ca="1">IFERROR(VLOOKUP(C26&amp;"Eng",'From morning to night'!C:D,2,0),"")</f>
        <v/>
      </c>
    </row>
    <row r="27" spans="1:5" x14ac:dyDescent="0.25">
      <c r="A27" t="str">
        <f t="shared" si="1"/>
        <v/>
      </c>
      <c r="B27" t="str">
        <f t="shared" ca="1" si="0"/>
        <v/>
      </c>
      <c r="C27" t="str">
        <f ca="1">IFERROR($C$1-1+_xlfn.RANK.EQ(B27,$B$4:$B$72)+COUNTIF(B$4:$B27,B27)-1,"")</f>
        <v/>
      </c>
      <c r="D27" t="str">
        <f ca="1">IFERROR(VLOOKUP(C27&amp;"Viet",'From morning to night'!C:D,2,0),"")</f>
        <v/>
      </c>
      <c r="E27" t="str">
        <f ca="1">IFERROR(VLOOKUP(C27&amp;"Eng",'From morning to night'!C:D,2,0),"")</f>
        <v/>
      </c>
    </row>
    <row r="28" spans="1:5" x14ac:dyDescent="0.25">
      <c r="A28" t="str">
        <f t="shared" si="1"/>
        <v/>
      </c>
      <c r="B28" t="str">
        <f t="shared" ca="1" si="0"/>
        <v/>
      </c>
      <c r="C28" t="str">
        <f ca="1">IFERROR($C$1-1+_xlfn.RANK.EQ(B28,$B$4:$B$72)+COUNTIF(B$4:$B28,B28)-1,"")</f>
        <v/>
      </c>
      <c r="D28" t="str">
        <f ca="1">IFERROR(VLOOKUP(C28&amp;"Viet",'From morning to night'!C:D,2,0),"")</f>
        <v/>
      </c>
      <c r="E28" t="str">
        <f ca="1">IFERROR(VLOOKUP(C28&amp;"Eng",'From morning to night'!C:D,2,0),"")</f>
        <v/>
      </c>
    </row>
    <row r="29" spans="1:5" x14ac:dyDescent="0.25">
      <c r="A29" t="str">
        <f t="shared" si="1"/>
        <v/>
      </c>
      <c r="B29" t="str">
        <f t="shared" ca="1" si="0"/>
        <v/>
      </c>
      <c r="C29" t="str">
        <f ca="1">IFERROR($C$1-1+_xlfn.RANK.EQ(B29,$B$4:$B$72)+COUNTIF(B$4:$B29,B29)-1,"")</f>
        <v/>
      </c>
      <c r="D29" t="str">
        <f ca="1">IFERROR(VLOOKUP(C29&amp;"Viet",'From morning to night'!C:D,2,0),"")</f>
        <v/>
      </c>
      <c r="E29" t="str">
        <f ca="1">IFERROR(VLOOKUP(C29&amp;"Eng",'From morning to night'!C:D,2,0),"")</f>
        <v/>
      </c>
    </row>
    <row r="30" spans="1:5" x14ac:dyDescent="0.25">
      <c r="A30" t="str">
        <f t="shared" si="1"/>
        <v/>
      </c>
      <c r="B30" t="str">
        <f t="shared" ca="1" si="0"/>
        <v/>
      </c>
      <c r="C30" t="str">
        <f ca="1">IFERROR($C$1-1+_xlfn.RANK.EQ(B30,$B$4:$B$72)+COUNTIF(B$4:$B30,B30)-1,"")</f>
        <v/>
      </c>
      <c r="D30" t="str">
        <f ca="1">IFERROR(VLOOKUP(C30&amp;"Viet",'From morning to night'!C:D,2,0),"")</f>
        <v/>
      </c>
      <c r="E30" t="str">
        <f ca="1">IFERROR(VLOOKUP(C30&amp;"Eng",'From morning to night'!C:D,2,0),"")</f>
        <v/>
      </c>
    </row>
    <row r="31" spans="1:5" x14ac:dyDescent="0.25">
      <c r="A31" t="str">
        <f t="shared" si="1"/>
        <v/>
      </c>
      <c r="B31" t="str">
        <f t="shared" ca="1" si="0"/>
        <v/>
      </c>
      <c r="C31" t="str">
        <f ca="1">IFERROR($C$1-1+_xlfn.RANK.EQ(B31,$B$4:$B$72)+COUNTIF(B$4:$B31,B31)-1,"")</f>
        <v/>
      </c>
      <c r="D31" t="str">
        <f ca="1">IFERROR(VLOOKUP(C31&amp;"Viet",'From morning to night'!C:D,2,0),"")</f>
        <v/>
      </c>
      <c r="E31" t="str">
        <f ca="1">IFERROR(VLOOKUP(C31&amp;"Eng",'From morning to night'!C:D,2,0),"")</f>
        <v/>
      </c>
    </row>
    <row r="32" spans="1:5" x14ac:dyDescent="0.25">
      <c r="A32" t="str">
        <f t="shared" si="1"/>
        <v/>
      </c>
      <c r="B32" t="str">
        <f t="shared" ca="1" si="0"/>
        <v/>
      </c>
      <c r="C32" t="str">
        <f ca="1">IFERROR($C$1-1+_xlfn.RANK.EQ(B32,$B$4:$B$72)+COUNTIF(B$4:$B32,B32)-1,"")</f>
        <v/>
      </c>
      <c r="D32" t="str">
        <f ca="1">IFERROR(VLOOKUP(C32&amp;"Viet",'From morning to night'!C:D,2,0),"")</f>
        <v/>
      </c>
      <c r="E32" t="str">
        <f ca="1">IFERROR(VLOOKUP(C32&amp;"Eng",'From morning to night'!C:D,2,0),"")</f>
        <v/>
      </c>
    </row>
    <row r="33" spans="1:5" x14ac:dyDescent="0.25">
      <c r="A33" t="str">
        <f t="shared" si="1"/>
        <v/>
      </c>
      <c r="B33" t="str">
        <f t="shared" ca="1" si="0"/>
        <v/>
      </c>
      <c r="C33" t="str">
        <f ca="1">IFERROR($C$1-1+_xlfn.RANK.EQ(B33,$B$4:$B$72)+COUNTIF(B$4:$B33,B33)-1,"")</f>
        <v/>
      </c>
      <c r="D33" t="str">
        <f ca="1">IFERROR(VLOOKUP(C33&amp;"Viet",'From morning to night'!C:D,2,0),"")</f>
        <v/>
      </c>
      <c r="E33" t="str">
        <f ca="1">IFERROR(VLOOKUP(C33&amp;"Eng",'From morning to night'!C:D,2,0),"")</f>
        <v/>
      </c>
    </row>
    <row r="34" spans="1:5" x14ac:dyDescent="0.25">
      <c r="A34" t="str">
        <f t="shared" si="1"/>
        <v/>
      </c>
      <c r="B34" t="str">
        <f t="shared" ca="1" si="0"/>
        <v/>
      </c>
      <c r="C34" t="str">
        <f ca="1">IFERROR($C$1-1+_xlfn.RANK.EQ(B34,$B$4:$B$72)+COUNTIF(B$4:$B34,B34)-1,"")</f>
        <v/>
      </c>
      <c r="D34" t="str">
        <f ca="1">IFERROR(VLOOKUP(C34&amp;"Viet",'From morning to night'!C:D,2,0),"")</f>
        <v/>
      </c>
      <c r="E34" t="str">
        <f ca="1">IFERROR(VLOOKUP(C34&amp;"Eng",'From morning to night'!C:D,2,0),"")</f>
        <v/>
      </c>
    </row>
    <row r="35" spans="1:5" x14ac:dyDescent="0.25">
      <c r="A35" t="str">
        <f t="shared" si="1"/>
        <v/>
      </c>
      <c r="B35" t="str">
        <f t="shared" ca="1" si="0"/>
        <v/>
      </c>
      <c r="C35" t="str">
        <f ca="1">IFERROR($C$1-1+_xlfn.RANK.EQ(B35,$B$4:$B$72)+COUNTIF(B$4:$B35,B35)-1,"")</f>
        <v/>
      </c>
      <c r="D35" t="str">
        <f ca="1">IFERROR(VLOOKUP(C35&amp;"Viet",'From morning to night'!C:D,2,0),"")</f>
        <v/>
      </c>
      <c r="E35" t="str">
        <f ca="1">IFERROR(VLOOKUP(C35&amp;"Eng",'From morning to night'!C:D,2,0),"")</f>
        <v/>
      </c>
    </row>
    <row r="36" spans="1:5" x14ac:dyDescent="0.25">
      <c r="A36" t="str">
        <f t="shared" si="1"/>
        <v/>
      </c>
      <c r="B36" t="str">
        <f t="shared" ca="1" si="0"/>
        <v/>
      </c>
      <c r="C36" t="str">
        <f ca="1">IFERROR($C$1-1+_xlfn.RANK.EQ(B36,$B$4:$B$72)+COUNTIF(B$4:$B36,B36)-1,"")</f>
        <v/>
      </c>
      <c r="D36" t="str">
        <f ca="1">IFERROR(VLOOKUP(C36&amp;"Viet",'From morning to night'!C:D,2,0),"")</f>
        <v/>
      </c>
      <c r="E36" t="str">
        <f ca="1">IFERROR(VLOOKUP(C36&amp;"Eng",'From morning to night'!C:D,2,0),"")</f>
        <v/>
      </c>
    </row>
    <row r="37" spans="1:5" x14ac:dyDescent="0.25">
      <c r="A37" t="str">
        <f t="shared" si="1"/>
        <v/>
      </c>
      <c r="B37" t="str">
        <f t="shared" ca="1" si="0"/>
        <v/>
      </c>
      <c r="C37" t="str">
        <f ca="1">IFERROR($C$1-1+_xlfn.RANK.EQ(B37,$B$4:$B$72)+COUNTIF(B$4:$B37,B37)-1,"")</f>
        <v/>
      </c>
      <c r="D37" t="str">
        <f ca="1">IFERROR(VLOOKUP(C37&amp;"Viet",'From morning to night'!C:D,2,0),"")</f>
        <v/>
      </c>
      <c r="E37" t="str">
        <f ca="1">IFERROR(VLOOKUP(C37&amp;"Eng",'From morning to night'!C:D,2,0),"")</f>
        <v/>
      </c>
    </row>
    <row r="38" spans="1:5" x14ac:dyDescent="0.25">
      <c r="A38" t="str">
        <f t="shared" si="1"/>
        <v/>
      </c>
      <c r="B38" t="str">
        <f t="shared" ca="1" si="0"/>
        <v/>
      </c>
      <c r="C38" t="str">
        <f ca="1">IFERROR($C$1-1+_xlfn.RANK.EQ(B38,$B$4:$B$72)+COUNTIF(B$4:$B38,B38)-1,"")</f>
        <v/>
      </c>
      <c r="D38" t="str">
        <f ca="1">IFERROR(VLOOKUP(C38&amp;"Viet",'From morning to night'!C:D,2,0),"")</f>
        <v/>
      </c>
      <c r="E38" t="str">
        <f ca="1">IFERROR(VLOOKUP(C38&amp;"Eng",'From morning to night'!C:D,2,0),"")</f>
        <v/>
      </c>
    </row>
    <row r="39" spans="1:5" x14ac:dyDescent="0.25">
      <c r="A39" t="str">
        <f t="shared" si="1"/>
        <v/>
      </c>
      <c r="B39" t="str">
        <f t="shared" ca="1" si="0"/>
        <v/>
      </c>
      <c r="C39" t="str">
        <f ca="1">IFERROR($C$1-1+_xlfn.RANK.EQ(B39,$B$4:$B$72)+COUNTIF(B$4:$B39,B39)-1,"")</f>
        <v/>
      </c>
      <c r="D39" t="str">
        <f ca="1">IFERROR(VLOOKUP(C39&amp;"Viet",'From morning to night'!C:D,2,0),"")</f>
        <v/>
      </c>
      <c r="E39" t="str">
        <f ca="1">IFERROR(VLOOKUP(C39&amp;"Eng",'From morning to night'!C:D,2,0),"")</f>
        <v/>
      </c>
    </row>
    <row r="40" spans="1:5" x14ac:dyDescent="0.25">
      <c r="A40" t="str">
        <f t="shared" si="1"/>
        <v/>
      </c>
      <c r="B40" t="str">
        <f t="shared" ca="1" si="0"/>
        <v/>
      </c>
      <c r="C40" t="str">
        <f ca="1">IFERROR($C$1-1+_xlfn.RANK.EQ(B40,$B$4:$B$72)+COUNTIF(B$4:$B40,B40)-1,"")</f>
        <v/>
      </c>
      <c r="D40" t="str">
        <f ca="1">IFERROR(VLOOKUP(C40&amp;"Viet",'From morning to night'!C:D,2,0),"")</f>
        <v/>
      </c>
      <c r="E40" t="str">
        <f ca="1">IFERROR(VLOOKUP(C40&amp;"Eng",'From morning to night'!C:D,2,0),"")</f>
        <v/>
      </c>
    </row>
    <row r="41" spans="1:5" x14ac:dyDescent="0.25">
      <c r="A41" t="str">
        <f t="shared" si="1"/>
        <v/>
      </c>
      <c r="B41" t="str">
        <f t="shared" ca="1" si="0"/>
        <v/>
      </c>
      <c r="C41" t="str">
        <f ca="1">IFERROR($C$1-1+_xlfn.RANK.EQ(B41,$B$4:$B$72)+COUNTIF(B$4:$B41,B41)-1,"")</f>
        <v/>
      </c>
      <c r="D41" t="str">
        <f ca="1">IFERROR(VLOOKUP(C41&amp;"Viet",'From morning to night'!C:D,2,0),"")</f>
        <v/>
      </c>
      <c r="E41" t="str">
        <f ca="1">IFERROR(VLOOKUP(C41&amp;"Eng",'From morning to night'!C:D,2,0),"")</f>
        <v/>
      </c>
    </row>
    <row r="42" spans="1:5" x14ac:dyDescent="0.25">
      <c r="A42" t="str">
        <f t="shared" si="1"/>
        <v/>
      </c>
      <c r="B42" t="str">
        <f t="shared" ca="1" si="0"/>
        <v/>
      </c>
      <c r="C42" t="str">
        <f ca="1">IFERROR($C$1-1+_xlfn.RANK.EQ(B42,$B$4:$B$72)+COUNTIF(B$4:$B42,B42)-1,"")</f>
        <v/>
      </c>
      <c r="D42" t="str">
        <f ca="1">IFERROR(VLOOKUP(C42&amp;"Viet",'From morning to night'!C:D,2,0),"")</f>
        <v/>
      </c>
      <c r="E42" t="str">
        <f ca="1">IFERROR(VLOOKUP(C42&amp;"Eng",'From morning to night'!C:D,2,0),"")</f>
        <v/>
      </c>
    </row>
    <row r="43" spans="1:5" x14ac:dyDescent="0.25">
      <c r="A43" t="str">
        <f t="shared" si="1"/>
        <v/>
      </c>
      <c r="B43" t="str">
        <f t="shared" ca="1" si="0"/>
        <v/>
      </c>
      <c r="C43" t="str">
        <f ca="1">IFERROR($C$1-1+_xlfn.RANK.EQ(B43,$B$4:$B$72)+COUNTIF(B$4:$B43,B43)-1,"")</f>
        <v/>
      </c>
      <c r="D43" t="str">
        <f ca="1">IFERROR(VLOOKUP(C43&amp;"Viet",'From morning to night'!C:D,2,0),"")</f>
        <v/>
      </c>
      <c r="E43" t="str">
        <f ca="1">IFERROR(VLOOKUP(C43&amp;"Eng",'From morning to night'!C:D,2,0),"")</f>
        <v/>
      </c>
    </row>
    <row r="44" spans="1:5" x14ac:dyDescent="0.25">
      <c r="A44" t="str">
        <f t="shared" si="1"/>
        <v/>
      </c>
      <c r="B44" t="str">
        <f t="shared" ca="1" si="0"/>
        <v/>
      </c>
      <c r="C44" t="str">
        <f ca="1">IFERROR($C$1-1+_xlfn.RANK.EQ(B44,$B$4:$B$72)+COUNTIF(B$4:$B44,B44)-1,"")</f>
        <v/>
      </c>
      <c r="D44" t="str">
        <f ca="1">IFERROR(VLOOKUP(C44&amp;"Viet",'From morning to night'!C:D,2,0),"")</f>
        <v/>
      </c>
      <c r="E44" t="str">
        <f ca="1">IFERROR(VLOOKUP(C44&amp;"Eng",'From morning to night'!C:D,2,0),"")</f>
        <v/>
      </c>
    </row>
    <row r="45" spans="1:5" x14ac:dyDescent="0.25">
      <c r="A45" t="str">
        <f t="shared" si="1"/>
        <v/>
      </c>
      <c r="B45" t="str">
        <f t="shared" ca="1" si="0"/>
        <v/>
      </c>
      <c r="C45" t="str">
        <f ca="1">IFERROR($C$1-1+_xlfn.RANK.EQ(B45,$B$4:$B$72)+COUNTIF(B$4:$B45,B45)-1,"")</f>
        <v/>
      </c>
      <c r="D45" t="str">
        <f ca="1">IFERROR(VLOOKUP(C45&amp;"Viet",'From morning to night'!C:D,2,0),"")</f>
        <v/>
      </c>
      <c r="E45" t="str">
        <f ca="1">IFERROR(VLOOKUP(C45&amp;"Eng",'From morning to night'!C:D,2,0),"")</f>
        <v/>
      </c>
    </row>
    <row r="46" spans="1:5" x14ac:dyDescent="0.25">
      <c r="A46" t="str">
        <f t="shared" si="1"/>
        <v/>
      </c>
      <c r="B46" t="str">
        <f t="shared" ca="1" si="0"/>
        <v/>
      </c>
      <c r="C46" t="str">
        <f ca="1">IFERROR($C$1-1+_xlfn.RANK.EQ(B46,$B$4:$B$72)+COUNTIF(B$4:$B46,B46)-1,"")</f>
        <v/>
      </c>
      <c r="D46" t="str">
        <f ca="1">IFERROR(VLOOKUP(C46&amp;"Viet",'From morning to night'!C:D,2,0),"")</f>
        <v/>
      </c>
      <c r="E46" t="str">
        <f ca="1">IFERROR(VLOOKUP(C46&amp;"Eng",'From morning to night'!C:D,2,0),"")</f>
        <v/>
      </c>
    </row>
    <row r="47" spans="1:5" x14ac:dyDescent="0.25">
      <c r="A47" t="str">
        <f t="shared" si="1"/>
        <v/>
      </c>
      <c r="B47" t="str">
        <f t="shared" ca="1" si="0"/>
        <v/>
      </c>
      <c r="C47" t="str">
        <f ca="1">IFERROR($C$1-1+_xlfn.RANK.EQ(B47,$B$4:$B$72)+COUNTIF(B$4:$B47,B47)-1,"")</f>
        <v/>
      </c>
      <c r="D47" t="str">
        <f ca="1">IFERROR(VLOOKUP(C47&amp;"Viet",'From morning to night'!C:D,2,0),"")</f>
        <v/>
      </c>
      <c r="E47" t="str">
        <f ca="1">IFERROR(VLOOKUP(C47&amp;"Eng",'From morning to night'!C:D,2,0),"")</f>
        <v/>
      </c>
    </row>
    <row r="48" spans="1:5" x14ac:dyDescent="0.25">
      <c r="A48" t="str">
        <f t="shared" si="1"/>
        <v/>
      </c>
      <c r="B48" t="str">
        <f t="shared" ca="1" si="0"/>
        <v/>
      </c>
      <c r="C48" t="str">
        <f ca="1">IFERROR($C$1-1+_xlfn.RANK.EQ(B48,$B$4:$B$72)+COUNTIF(B$4:$B48,B48)-1,"")</f>
        <v/>
      </c>
      <c r="D48" t="str">
        <f ca="1">IFERROR(VLOOKUP(C48&amp;"Viet",'From morning to night'!C:D,2,0),"")</f>
        <v/>
      </c>
      <c r="E48" t="str">
        <f ca="1">IFERROR(VLOOKUP(C48&amp;"Eng",'From morning to night'!C:D,2,0),"")</f>
        <v/>
      </c>
    </row>
    <row r="49" spans="1:5" x14ac:dyDescent="0.25">
      <c r="A49" t="str">
        <f t="shared" si="1"/>
        <v/>
      </c>
      <c r="B49" t="str">
        <f t="shared" ca="1" si="0"/>
        <v/>
      </c>
      <c r="C49" t="str">
        <f ca="1">IFERROR($C$1-1+_xlfn.RANK.EQ(B49,$B$4:$B$72)+COUNTIF(B$4:$B49,B49)-1,"")</f>
        <v/>
      </c>
      <c r="D49" t="str">
        <f ca="1">IFERROR(VLOOKUP(C49&amp;"Viet",'From morning to night'!C:D,2,0),"")</f>
        <v/>
      </c>
      <c r="E49" t="str">
        <f ca="1">IFERROR(VLOOKUP(C49&amp;"Eng",'From morning to night'!C:D,2,0),"")</f>
        <v/>
      </c>
    </row>
    <row r="50" spans="1:5" x14ac:dyDescent="0.25">
      <c r="A50" t="str">
        <f t="shared" si="1"/>
        <v/>
      </c>
      <c r="B50" t="str">
        <f t="shared" ca="1" si="0"/>
        <v/>
      </c>
      <c r="C50" t="str">
        <f ca="1">IFERROR($C$1-1+_xlfn.RANK.EQ(B50,$B$4:$B$72)+COUNTIF(B$4:$B50,B50)-1,"")</f>
        <v/>
      </c>
      <c r="D50" t="str">
        <f ca="1">IFERROR(VLOOKUP(C50&amp;"Viet",'From morning to night'!C:D,2,0),"")</f>
        <v/>
      </c>
      <c r="E50" t="str">
        <f ca="1">IFERROR(VLOOKUP(C50&amp;"Eng",'From morning to night'!C:D,2,0),"")</f>
        <v/>
      </c>
    </row>
    <row r="51" spans="1:5" x14ac:dyDescent="0.25">
      <c r="A51" t="str">
        <f t="shared" si="1"/>
        <v/>
      </c>
      <c r="B51" t="str">
        <f t="shared" ca="1" si="0"/>
        <v/>
      </c>
      <c r="C51" t="str">
        <f ca="1">IFERROR($C$1-1+_xlfn.RANK.EQ(B51,$B$4:$B$72)+COUNTIF(B$4:$B51,B51)-1,"")</f>
        <v/>
      </c>
      <c r="D51" t="str">
        <f ca="1">IFERROR(VLOOKUP(C51&amp;"Viet",'From morning to night'!C:D,2,0),"")</f>
        <v/>
      </c>
      <c r="E51" t="str">
        <f ca="1">IFERROR(VLOOKUP(C51&amp;"Eng",'From morning to night'!C:D,2,0),"")</f>
        <v/>
      </c>
    </row>
    <row r="52" spans="1:5" x14ac:dyDescent="0.25">
      <c r="A52" t="str">
        <f t="shared" si="1"/>
        <v/>
      </c>
      <c r="B52" t="str">
        <f t="shared" ca="1" si="0"/>
        <v/>
      </c>
      <c r="C52" t="str">
        <f ca="1">IFERROR($C$1-1+_xlfn.RANK.EQ(B52,$B$4:$B$72)+COUNTIF(B$4:$B52,B52)-1,"")</f>
        <v/>
      </c>
      <c r="D52" t="str">
        <f ca="1">IFERROR(VLOOKUP(C52&amp;"Viet",'From morning to night'!C:D,2,0),"")</f>
        <v/>
      </c>
      <c r="E52" t="str">
        <f ca="1">IFERROR(VLOOKUP(C52&amp;"Eng",'From morning to night'!C:D,2,0),"")</f>
        <v/>
      </c>
    </row>
    <row r="53" spans="1:5" x14ac:dyDescent="0.25">
      <c r="A53" t="str">
        <f t="shared" si="1"/>
        <v/>
      </c>
      <c r="B53" t="str">
        <f t="shared" ca="1" si="0"/>
        <v/>
      </c>
      <c r="C53" t="str">
        <f ca="1">IFERROR($C$1-1+_xlfn.RANK.EQ(B53,$B$4:$B$72)+COUNTIF(B$4:$B53,B53)-1,"")</f>
        <v/>
      </c>
      <c r="D53" t="str">
        <f ca="1">IFERROR(VLOOKUP(C53&amp;"Viet",'From morning to night'!C:D,2,0),"")</f>
        <v/>
      </c>
      <c r="E53" t="str">
        <f ca="1">IFERROR(VLOOKUP(C53&amp;"Eng",'From morning to night'!C:D,2,0),"")</f>
        <v/>
      </c>
    </row>
    <row r="54" spans="1:5" x14ac:dyDescent="0.25">
      <c r="A54" t="str">
        <f t="shared" si="1"/>
        <v/>
      </c>
      <c r="B54" t="str">
        <f t="shared" ca="1" si="0"/>
        <v/>
      </c>
      <c r="C54" t="str">
        <f ca="1">IFERROR($C$1-1+_xlfn.RANK.EQ(B54,$B$4:$B$72)+COUNTIF(B$4:$B54,B54)-1,"")</f>
        <v/>
      </c>
      <c r="D54" t="str">
        <f ca="1">IFERROR(VLOOKUP(C54&amp;"Viet",'From morning to night'!C:D,2,0),"")</f>
        <v/>
      </c>
      <c r="E54" t="str">
        <f ca="1">IFERROR(VLOOKUP(C54&amp;"Eng",'From morning to night'!C:D,2,0),"")</f>
        <v/>
      </c>
    </row>
    <row r="55" spans="1:5" x14ac:dyDescent="0.25">
      <c r="A55" t="str">
        <f t="shared" si="1"/>
        <v/>
      </c>
      <c r="B55" t="str">
        <f t="shared" ca="1" si="0"/>
        <v/>
      </c>
      <c r="C55" t="str">
        <f ca="1">IFERROR($C$1-1+_xlfn.RANK.EQ(B55,$B$4:$B$72)+COUNTIF(B$4:$B55,B55)-1,"")</f>
        <v/>
      </c>
      <c r="D55" t="str">
        <f ca="1">IFERROR(VLOOKUP(C55&amp;"Viet",'From morning to night'!C:D,2,0),"")</f>
        <v/>
      </c>
      <c r="E55" t="str">
        <f ca="1">IFERROR(VLOOKUP(C55&amp;"Eng",'From morning to night'!C:D,2,0),"")</f>
        <v/>
      </c>
    </row>
    <row r="56" spans="1:5" x14ac:dyDescent="0.25">
      <c r="A56" t="str">
        <f t="shared" si="1"/>
        <v/>
      </c>
      <c r="B56" t="str">
        <f t="shared" ca="1" si="0"/>
        <v/>
      </c>
      <c r="C56" t="str">
        <f ca="1">IFERROR($C$1-1+_xlfn.RANK.EQ(B56,$B$4:$B$72)+COUNTIF(B$4:$B56,B56)-1,"")</f>
        <v/>
      </c>
      <c r="D56" t="str">
        <f ca="1">IFERROR(VLOOKUP(C56&amp;"Viet",'From morning to night'!C:D,2,0),"")</f>
        <v/>
      </c>
      <c r="E56" t="str">
        <f ca="1">IFERROR(VLOOKUP(C56&amp;"Eng",'From morning to night'!C:D,2,0),"")</f>
        <v/>
      </c>
    </row>
    <row r="57" spans="1:5" x14ac:dyDescent="0.25">
      <c r="A57" t="str">
        <f t="shared" si="1"/>
        <v/>
      </c>
      <c r="B57" t="str">
        <f t="shared" ca="1" si="0"/>
        <v/>
      </c>
      <c r="C57" t="str">
        <f ca="1">IFERROR($C$1-1+_xlfn.RANK.EQ(B57,$B$4:$B$72)+COUNTIF(B$4:$B57,B57)-1,"")</f>
        <v/>
      </c>
      <c r="D57" t="str">
        <f ca="1">IFERROR(VLOOKUP(C57&amp;"Viet",'From morning to night'!C:D,2,0),"")</f>
        <v/>
      </c>
      <c r="E57" t="str">
        <f ca="1">IFERROR(VLOOKUP(C57&amp;"Eng",'From morning to night'!C:D,2,0),"")</f>
        <v/>
      </c>
    </row>
    <row r="58" spans="1:5" x14ac:dyDescent="0.25">
      <c r="A58" t="str">
        <f t="shared" si="1"/>
        <v/>
      </c>
      <c r="B58" t="str">
        <f t="shared" ca="1" si="0"/>
        <v/>
      </c>
      <c r="C58" t="str">
        <f ca="1">IFERROR($C$1-1+_xlfn.RANK.EQ(B58,$B$4:$B$72)+COUNTIF(B$4:$B58,B58)-1,"")</f>
        <v/>
      </c>
      <c r="D58" t="str">
        <f ca="1">IFERROR(VLOOKUP(C58&amp;"Viet",'From morning to night'!C:D,2,0),"")</f>
        <v/>
      </c>
      <c r="E58" t="str">
        <f ca="1">IFERROR(VLOOKUP(C58&amp;"Eng",'From morning to night'!C:D,2,0),"")</f>
        <v/>
      </c>
    </row>
    <row r="59" spans="1:5" x14ac:dyDescent="0.25">
      <c r="A59" t="str">
        <f t="shared" si="1"/>
        <v/>
      </c>
      <c r="B59" t="str">
        <f t="shared" ca="1" si="0"/>
        <v/>
      </c>
      <c r="C59" t="str">
        <f ca="1">IFERROR($C$1-1+_xlfn.RANK.EQ(B59,$B$4:$B$72)+COUNTIF(B$4:$B59,B59)-1,"")</f>
        <v/>
      </c>
      <c r="D59" t="str">
        <f ca="1">IFERROR(VLOOKUP(C59&amp;"Viet",'From morning to night'!C:D,2,0),"")</f>
        <v/>
      </c>
      <c r="E59" t="str">
        <f ca="1">IFERROR(VLOOKUP(C59&amp;"Eng",'From morning to night'!C:D,2,0),"")</f>
        <v/>
      </c>
    </row>
    <row r="60" spans="1:5" x14ac:dyDescent="0.25">
      <c r="A60" t="str">
        <f t="shared" si="1"/>
        <v/>
      </c>
      <c r="B60" t="str">
        <f t="shared" ca="1" si="0"/>
        <v/>
      </c>
      <c r="C60" t="str">
        <f ca="1">IFERROR($C$1-1+_xlfn.RANK.EQ(B60,$B$4:$B$72)+COUNTIF(B$4:$B60,B60)-1,"")</f>
        <v/>
      </c>
      <c r="D60" t="str">
        <f ca="1">IFERROR(VLOOKUP(C60&amp;"Viet",'From morning to night'!C:D,2,0),"")</f>
        <v/>
      </c>
      <c r="E60" t="str">
        <f ca="1">IFERROR(VLOOKUP(C60&amp;"Eng",'From morning to night'!C:D,2,0),"")</f>
        <v/>
      </c>
    </row>
    <row r="61" spans="1:5" x14ac:dyDescent="0.25">
      <c r="A61" t="str">
        <f t="shared" si="1"/>
        <v/>
      </c>
      <c r="B61" t="str">
        <f t="shared" ca="1" si="0"/>
        <v/>
      </c>
      <c r="C61" t="str">
        <f ca="1">IFERROR($C$1-1+_xlfn.RANK.EQ(B61,$B$4:$B$72)+COUNTIF(B$4:$B61,B61)-1,"")</f>
        <v/>
      </c>
      <c r="D61" t="str">
        <f ca="1">IFERROR(VLOOKUP(C61&amp;"Viet",'From morning to night'!C:D,2,0),"")</f>
        <v/>
      </c>
      <c r="E61" t="str">
        <f ca="1">IFERROR(VLOOKUP(C61&amp;"Eng",'From morning to night'!C:D,2,0),"")</f>
        <v/>
      </c>
    </row>
    <row r="62" spans="1:5" x14ac:dyDescent="0.25">
      <c r="A62" t="str">
        <f t="shared" si="1"/>
        <v/>
      </c>
      <c r="B62" t="str">
        <f t="shared" ca="1" si="0"/>
        <v/>
      </c>
      <c r="C62" t="str">
        <f ca="1">IFERROR($C$1-1+_xlfn.RANK.EQ(B62,$B$4:$B$72)+COUNTIF(B$4:$B62,B62)-1,"")</f>
        <v/>
      </c>
      <c r="D62" t="str">
        <f ca="1">IFERROR(VLOOKUP(C62&amp;"Viet",'From morning to night'!C:D,2,0),"")</f>
        <v/>
      </c>
      <c r="E62" t="str">
        <f ca="1">IFERROR(VLOOKUP(C62&amp;"Eng",'From morning to night'!C:D,2,0),"")</f>
        <v/>
      </c>
    </row>
    <row r="63" spans="1:5" x14ac:dyDescent="0.25">
      <c r="A63" t="str">
        <f t="shared" si="1"/>
        <v/>
      </c>
      <c r="B63" t="str">
        <f t="shared" ca="1" si="0"/>
        <v/>
      </c>
      <c r="C63" t="str">
        <f ca="1">IFERROR($C$1-1+_xlfn.RANK.EQ(B63,$B$4:$B$72)+COUNTIF(B$4:$B63,B63)-1,"")</f>
        <v/>
      </c>
      <c r="D63" t="str">
        <f ca="1">IFERROR(VLOOKUP(C63&amp;"Viet",'From morning to night'!C:D,2,0),"")</f>
        <v/>
      </c>
      <c r="E63" t="str">
        <f ca="1">IFERROR(VLOOKUP(C63&amp;"Eng",'From morning to night'!C:D,2,0),"")</f>
        <v/>
      </c>
    </row>
    <row r="64" spans="1:5" x14ac:dyDescent="0.25">
      <c r="A64" t="str">
        <f t="shared" si="1"/>
        <v/>
      </c>
      <c r="B64" t="str">
        <f t="shared" ca="1" si="0"/>
        <v/>
      </c>
      <c r="C64" t="str">
        <f ca="1">IFERROR($C$1-1+_xlfn.RANK.EQ(B64,$B$4:$B$72)+COUNTIF(B$4:$B64,B64)-1,"")</f>
        <v/>
      </c>
      <c r="D64" t="str">
        <f ca="1">IFERROR(VLOOKUP(C64&amp;"Viet",'From morning to night'!C:D,2,0),"")</f>
        <v/>
      </c>
      <c r="E64" t="str">
        <f ca="1">IFERROR(VLOOKUP(C64&amp;"Eng",'From morning to night'!C:D,2,0),"")</f>
        <v/>
      </c>
    </row>
    <row r="65" spans="1:5" x14ac:dyDescent="0.25">
      <c r="A65" t="str">
        <f t="shared" si="1"/>
        <v/>
      </c>
      <c r="B65" t="str">
        <f t="shared" ca="1" si="0"/>
        <v/>
      </c>
      <c r="C65" t="str">
        <f ca="1">IFERROR($C$1-1+_xlfn.RANK.EQ(B65,$B$4:$B$72)+COUNTIF(B$4:$B65,B65)-1,"")</f>
        <v/>
      </c>
      <c r="D65" t="str">
        <f ca="1">IFERROR(VLOOKUP(C65&amp;"Viet",'From morning to night'!C:D,2,0),"")</f>
        <v/>
      </c>
      <c r="E65" t="str">
        <f ca="1">IFERROR(VLOOKUP(C65&amp;"Eng",'From morning to night'!C:D,2,0),"")</f>
        <v/>
      </c>
    </row>
    <row r="66" spans="1:5" x14ac:dyDescent="0.25">
      <c r="A66" t="str">
        <f t="shared" si="1"/>
        <v/>
      </c>
      <c r="B66" t="str">
        <f t="shared" ca="1" si="0"/>
        <v/>
      </c>
      <c r="C66" t="str">
        <f ca="1">IFERROR($C$1-1+_xlfn.RANK.EQ(B66,$B$4:$B$72)+COUNTIF(B$4:$B66,B66)-1,"")</f>
        <v/>
      </c>
      <c r="D66" t="str">
        <f ca="1">IFERROR(VLOOKUP(C66&amp;"Viet",'From morning to night'!C:D,2,0),"")</f>
        <v/>
      </c>
      <c r="E66" t="str">
        <f ca="1">IFERROR(VLOOKUP(C66&amp;"Eng",'From morning to night'!C:D,2,0),"")</f>
        <v/>
      </c>
    </row>
    <row r="67" spans="1:5" x14ac:dyDescent="0.25">
      <c r="A67" t="str">
        <f t="shared" si="1"/>
        <v/>
      </c>
      <c r="B67" t="str">
        <f t="shared" ca="1" si="0"/>
        <v/>
      </c>
      <c r="C67" t="str">
        <f ca="1">IFERROR($C$1-1+_xlfn.RANK.EQ(B67,$B$4:$B$72)+COUNTIF(B$4:$B67,B67)-1,"")</f>
        <v/>
      </c>
      <c r="D67" t="str">
        <f ca="1">IFERROR(VLOOKUP(C67&amp;"Viet",'From morning to night'!C:D,2,0),"")</f>
        <v/>
      </c>
      <c r="E67" t="str">
        <f ca="1">IFERROR(VLOOKUP(C67&amp;"Eng",'From morning to night'!C:D,2,0),"")</f>
        <v/>
      </c>
    </row>
    <row r="68" spans="1:5" x14ac:dyDescent="0.25">
      <c r="A68" t="str">
        <f t="shared" si="1"/>
        <v/>
      </c>
      <c r="B68" t="str">
        <f t="shared" ref="B68:B131" ca="1" si="2">IF(A68="","",RANDBETWEEN($C$1,$C$2))</f>
        <v/>
      </c>
      <c r="C68" t="str">
        <f ca="1">IFERROR($C$1-1+_xlfn.RANK.EQ(B68,$B$4:$B$72)+COUNTIF(B$4:$B68,B68)-1,"")</f>
        <v/>
      </c>
      <c r="D68" t="str">
        <f ca="1">IFERROR(VLOOKUP(C68&amp;"Viet",'From morning to night'!C:D,2,0),"")</f>
        <v/>
      </c>
      <c r="E68" t="str">
        <f ca="1">IFERROR(VLOOKUP(C68&amp;"Eng",'From morning to night'!C:D,2,0),"")</f>
        <v/>
      </c>
    </row>
    <row r="69" spans="1:5" x14ac:dyDescent="0.25">
      <c r="A69" t="str">
        <f t="shared" si="1"/>
        <v/>
      </c>
      <c r="B69" t="str">
        <f t="shared" ca="1" si="2"/>
        <v/>
      </c>
      <c r="C69" t="str">
        <f ca="1">IFERROR($C$1-1+_xlfn.RANK.EQ(B69,$B$4:$B$72)+COUNTIF(B$4:$B69,B69)-1,"")</f>
        <v/>
      </c>
      <c r="D69" t="str">
        <f ca="1">IFERROR(VLOOKUP(C69&amp;"Viet",'From morning to night'!C:D,2,0),"")</f>
        <v/>
      </c>
      <c r="E69" t="str">
        <f ca="1">IFERROR(VLOOKUP(C69&amp;"Eng",'From morning to night'!C:D,2,0),"")</f>
        <v/>
      </c>
    </row>
    <row r="70" spans="1:5" x14ac:dyDescent="0.25">
      <c r="A70" t="str">
        <f t="shared" ref="A70:A133" si="3">IFERROR(IF(A69+1&gt;$C$2,"",A69+1),"")</f>
        <v/>
      </c>
      <c r="B70" t="str">
        <f t="shared" ca="1" si="2"/>
        <v/>
      </c>
      <c r="C70" t="str">
        <f ca="1">IFERROR($C$1-1+_xlfn.RANK.EQ(B70,$B$4:$B$72)+COUNTIF(B$4:$B70,B70)-1,"")</f>
        <v/>
      </c>
      <c r="D70" t="str">
        <f ca="1">IFERROR(VLOOKUP(C70&amp;"Viet",'From morning to night'!C:D,2,0),"")</f>
        <v/>
      </c>
      <c r="E70" t="str">
        <f ca="1">IFERROR(VLOOKUP(C70&amp;"Eng",'From morning to night'!C:D,2,0),"")</f>
        <v/>
      </c>
    </row>
    <row r="71" spans="1:5" x14ac:dyDescent="0.25">
      <c r="A71" t="str">
        <f t="shared" si="3"/>
        <v/>
      </c>
      <c r="B71" t="str">
        <f t="shared" ca="1" si="2"/>
        <v/>
      </c>
      <c r="C71" t="str">
        <f ca="1">IFERROR($C$1-1+_xlfn.RANK.EQ(B71,$B$4:$B$72)+COUNTIF(B$4:$B71,B71)-1,"")</f>
        <v/>
      </c>
      <c r="D71" t="str">
        <f ca="1">IFERROR(VLOOKUP(C71&amp;"Viet",'From morning to night'!C:D,2,0),"")</f>
        <v/>
      </c>
      <c r="E71" t="str">
        <f ca="1">IFERROR(VLOOKUP(C71&amp;"Eng",'From morning to night'!C:D,2,0),"")</f>
        <v/>
      </c>
    </row>
    <row r="72" spans="1:5" x14ac:dyDescent="0.25">
      <c r="A72" t="str">
        <f t="shared" si="3"/>
        <v/>
      </c>
      <c r="B72" t="str">
        <f t="shared" ca="1" si="2"/>
        <v/>
      </c>
      <c r="C72" t="str">
        <f ca="1">IFERROR($C$1-1+_xlfn.RANK.EQ(B72,$B$4:$B$72)+COUNTIF(B$4:$B72,B72)-1,"")</f>
        <v/>
      </c>
      <c r="D72" t="str">
        <f ca="1">IFERROR(VLOOKUP(C72&amp;"Viet",'From morning to night'!C:D,2,0),"")</f>
        <v/>
      </c>
      <c r="E72" t="str">
        <f ca="1">IFERROR(VLOOKUP(C72&amp;"Eng",'From morning to night'!C:D,2,0),"")</f>
        <v/>
      </c>
    </row>
    <row r="73" spans="1:5" x14ac:dyDescent="0.25">
      <c r="A73" t="str">
        <f t="shared" si="3"/>
        <v/>
      </c>
      <c r="B73" t="str">
        <f t="shared" ca="1" si="2"/>
        <v/>
      </c>
    </row>
    <row r="74" spans="1:5" x14ac:dyDescent="0.25">
      <c r="A74" t="str">
        <f t="shared" si="3"/>
        <v/>
      </c>
      <c r="B74" t="str">
        <f t="shared" ca="1" si="2"/>
        <v/>
      </c>
    </row>
    <row r="75" spans="1:5" x14ac:dyDescent="0.25">
      <c r="A75" t="str">
        <f t="shared" si="3"/>
        <v/>
      </c>
      <c r="B75" t="str">
        <f t="shared" ca="1" si="2"/>
        <v/>
      </c>
    </row>
    <row r="76" spans="1:5" x14ac:dyDescent="0.25">
      <c r="A76" t="str">
        <f t="shared" si="3"/>
        <v/>
      </c>
      <c r="B76" t="str">
        <f t="shared" ca="1" si="2"/>
        <v/>
      </c>
    </row>
    <row r="77" spans="1:5" x14ac:dyDescent="0.25">
      <c r="A77" t="str">
        <f t="shared" si="3"/>
        <v/>
      </c>
      <c r="B77" t="str">
        <f t="shared" ca="1" si="2"/>
        <v/>
      </c>
    </row>
    <row r="78" spans="1:5" x14ac:dyDescent="0.25">
      <c r="A78" t="str">
        <f t="shared" si="3"/>
        <v/>
      </c>
      <c r="B78" t="str">
        <f t="shared" ca="1" si="2"/>
        <v/>
      </c>
    </row>
    <row r="79" spans="1:5" x14ac:dyDescent="0.25">
      <c r="A79" t="str">
        <f t="shared" si="3"/>
        <v/>
      </c>
      <c r="B79" t="str">
        <f t="shared" ca="1" si="2"/>
        <v/>
      </c>
    </row>
    <row r="80" spans="1:5" x14ac:dyDescent="0.25">
      <c r="A80" t="str">
        <f t="shared" si="3"/>
        <v/>
      </c>
      <c r="B80" t="str">
        <f t="shared" ca="1" si="2"/>
        <v/>
      </c>
    </row>
    <row r="81" spans="1:2" x14ac:dyDescent="0.25">
      <c r="A81" t="str">
        <f t="shared" si="3"/>
        <v/>
      </c>
      <c r="B81" t="str">
        <f t="shared" ca="1" si="2"/>
        <v/>
      </c>
    </row>
    <row r="82" spans="1:2" x14ac:dyDescent="0.25">
      <c r="A82" t="str">
        <f t="shared" si="3"/>
        <v/>
      </c>
      <c r="B82" t="str">
        <f t="shared" ca="1" si="2"/>
        <v/>
      </c>
    </row>
    <row r="83" spans="1:2" x14ac:dyDescent="0.25">
      <c r="A83" t="str">
        <f t="shared" si="3"/>
        <v/>
      </c>
      <c r="B83" t="str">
        <f t="shared" ca="1" si="2"/>
        <v/>
      </c>
    </row>
    <row r="84" spans="1:2" x14ac:dyDescent="0.25">
      <c r="A84" t="str">
        <f t="shared" si="3"/>
        <v/>
      </c>
      <c r="B84" t="str">
        <f t="shared" ca="1" si="2"/>
        <v/>
      </c>
    </row>
    <row r="85" spans="1:2" x14ac:dyDescent="0.25">
      <c r="A85" t="str">
        <f t="shared" si="3"/>
        <v/>
      </c>
      <c r="B85" t="str">
        <f t="shared" ca="1" si="2"/>
        <v/>
      </c>
    </row>
    <row r="86" spans="1:2" x14ac:dyDescent="0.25">
      <c r="A86" t="str">
        <f t="shared" si="3"/>
        <v/>
      </c>
      <c r="B86" t="str">
        <f t="shared" ca="1" si="2"/>
        <v/>
      </c>
    </row>
    <row r="87" spans="1:2" x14ac:dyDescent="0.25">
      <c r="A87" t="str">
        <f t="shared" si="3"/>
        <v/>
      </c>
      <c r="B87" t="str">
        <f t="shared" ca="1" si="2"/>
        <v/>
      </c>
    </row>
    <row r="88" spans="1:2" x14ac:dyDescent="0.25">
      <c r="A88" t="str">
        <f t="shared" si="3"/>
        <v/>
      </c>
      <c r="B88" t="str">
        <f t="shared" ca="1" si="2"/>
        <v/>
      </c>
    </row>
    <row r="89" spans="1:2" x14ac:dyDescent="0.25">
      <c r="A89" t="str">
        <f t="shared" si="3"/>
        <v/>
      </c>
      <c r="B89" t="str">
        <f t="shared" ca="1" si="2"/>
        <v/>
      </c>
    </row>
    <row r="90" spans="1:2" x14ac:dyDescent="0.25">
      <c r="A90" t="str">
        <f t="shared" si="3"/>
        <v/>
      </c>
      <c r="B90" t="str">
        <f t="shared" ca="1" si="2"/>
        <v/>
      </c>
    </row>
    <row r="91" spans="1:2" x14ac:dyDescent="0.25">
      <c r="A91" t="str">
        <f t="shared" si="3"/>
        <v/>
      </c>
      <c r="B91" t="str">
        <f t="shared" ca="1" si="2"/>
        <v/>
      </c>
    </row>
    <row r="92" spans="1:2" x14ac:dyDescent="0.25">
      <c r="A92" t="str">
        <f t="shared" si="3"/>
        <v/>
      </c>
      <c r="B92" t="str">
        <f t="shared" ca="1" si="2"/>
        <v/>
      </c>
    </row>
    <row r="93" spans="1:2" x14ac:dyDescent="0.25">
      <c r="A93" t="str">
        <f t="shared" si="3"/>
        <v/>
      </c>
      <c r="B93" t="str">
        <f t="shared" ca="1" si="2"/>
        <v/>
      </c>
    </row>
    <row r="94" spans="1:2" x14ac:dyDescent="0.25">
      <c r="A94" t="str">
        <f t="shared" si="3"/>
        <v/>
      </c>
      <c r="B94" t="str">
        <f t="shared" ca="1" si="2"/>
        <v/>
      </c>
    </row>
    <row r="95" spans="1:2" x14ac:dyDescent="0.25">
      <c r="A95" t="str">
        <f t="shared" si="3"/>
        <v/>
      </c>
      <c r="B95" t="str">
        <f t="shared" ca="1" si="2"/>
        <v/>
      </c>
    </row>
    <row r="96" spans="1:2" x14ac:dyDescent="0.25">
      <c r="A96" t="str">
        <f t="shared" si="3"/>
        <v/>
      </c>
      <c r="B96" t="str">
        <f t="shared" ca="1" si="2"/>
        <v/>
      </c>
    </row>
    <row r="97" spans="1:2" x14ac:dyDescent="0.25">
      <c r="A97" t="str">
        <f t="shared" si="3"/>
        <v/>
      </c>
      <c r="B97" t="str">
        <f t="shared" ca="1" si="2"/>
        <v/>
      </c>
    </row>
    <row r="98" spans="1:2" x14ac:dyDescent="0.25">
      <c r="A98" t="str">
        <f t="shared" si="3"/>
        <v/>
      </c>
      <c r="B98" t="str">
        <f t="shared" ca="1" si="2"/>
        <v/>
      </c>
    </row>
    <row r="99" spans="1:2" x14ac:dyDescent="0.25">
      <c r="A99" t="str">
        <f t="shared" si="3"/>
        <v/>
      </c>
      <c r="B99" t="str">
        <f t="shared" ca="1" si="2"/>
        <v/>
      </c>
    </row>
    <row r="100" spans="1:2" x14ac:dyDescent="0.25">
      <c r="A100" t="str">
        <f t="shared" si="3"/>
        <v/>
      </c>
      <c r="B100" t="str">
        <f t="shared" ca="1" si="2"/>
        <v/>
      </c>
    </row>
    <row r="101" spans="1:2" x14ac:dyDescent="0.25">
      <c r="A101" t="str">
        <f t="shared" si="3"/>
        <v/>
      </c>
      <c r="B101" t="str">
        <f t="shared" ca="1" si="2"/>
        <v/>
      </c>
    </row>
    <row r="102" spans="1:2" x14ac:dyDescent="0.25">
      <c r="A102" t="str">
        <f t="shared" si="3"/>
        <v/>
      </c>
      <c r="B102" t="str">
        <f t="shared" ca="1" si="2"/>
        <v/>
      </c>
    </row>
    <row r="103" spans="1:2" x14ac:dyDescent="0.25">
      <c r="A103" t="str">
        <f t="shared" si="3"/>
        <v/>
      </c>
      <c r="B103" t="str">
        <f t="shared" ca="1" si="2"/>
        <v/>
      </c>
    </row>
    <row r="104" spans="1:2" x14ac:dyDescent="0.25">
      <c r="A104" t="str">
        <f t="shared" si="3"/>
        <v/>
      </c>
      <c r="B104" t="str">
        <f t="shared" ca="1" si="2"/>
        <v/>
      </c>
    </row>
    <row r="105" spans="1:2" x14ac:dyDescent="0.25">
      <c r="A105" t="str">
        <f t="shared" si="3"/>
        <v/>
      </c>
      <c r="B105" t="str">
        <f t="shared" ca="1" si="2"/>
        <v/>
      </c>
    </row>
    <row r="106" spans="1:2" x14ac:dyDescent="0.25">
      <c r="A106" t="str">
        <f t="shared" si="3"/>
        <v/>
      </c>
      <c r="B106" t="str">
        <f t="shared" ca="1" si="2"/>
        <v/>
      </c>
    </row>
    <row r="107" spans="1:2" x14ac:dyDescent="0.25">
      <c r="A107" t="str">
        <f t="shared" si="3"/>
        <v/>
      </c>
      <c r="B107" t="str">
        <f t="shared" ca="1" si="2"/>
        <v/>
      </c>
    </row>
    <row r="108" spans="1:2" x14ac:dyDescent="0.25">
      <c r="A108" t="str">
        <f t="shared" si="3"/>
        <v/>
      </c>
      <c r="B108" t="str">
        <f t="shared" ca="1" si="2"/>
        <v/>
      </c>
    </row>
    <row r="109" spans="1:2" x14ac:dyDescent="0.25">
      <c r="A109" t="str">
        <f t="shared" si="3"/>
        <v/>
      </c>
      <c r="B109" t="str">
        <f t="shared" ca="1" si="2"/>
        <v/>
      </c>
    </row>
    <row r="110" spans="1:2" x14ac:dyDescent="0.25">
      <c r="A110" t="str">
        <f t="shared" si="3"/>
        <v/>
      </c>
      <c r="B110" t="str">
        <f t="shared" ca="1" si="2"/>
        <v/>
      </c>
    </row>
    <row r="111" spans="1:2" x14ac:dyDescent="0.25">
      <c r="A111" t="str">
        <f t="shared" si="3"/>
        <v/>
      </c>
      <c r="B111" t="str">
        <f t="shared" ca="1" si="2"/>
        <v/>
      </c>
    </row>
    <row r="112" spans="1:2" x14ac:dyDescent="0.25">
      <c r="A112" t="str">
        <f t="shared" si="3"/>
        <v/>
      </c>
      <c r="B112" t="str">
        <f t="shared" ca="1" si="2"/>
        <v/>
      </c>
    </row>
    <row r="113" spans="1:2" x14ac:dyDescent="0.25">
      <c r="A113" t="str">
        <f t="shared" si="3"/>
        <v/>
      </c>
      <c r="B113" t="str">
        <f t="shared" ca="1" si="2"/>
        <v/>
      </c>
    </row>
    <row r="114" spans="1:2" x14ac:dyDescent="0.25">
      <c r="A114" t="str">
        <f t="shared" si="3"/>
        <v/>
      </c>
      <c r="B114" t="str">
        <f t="shared" ca="1" si="2"/>
        <v/>
      </c>
    </row>
    <row r="115" spans="1:2" x14ac:dyDescent="0.25">
      <c r="A115" t="str">
        <f t="shared" si="3"/>
        <v/>
      </c>
      <c r="B115" t="str">
        <f t="shared" ca="1" si="2"/>
        <v/>
      </c>
    </row>
    <row r="116" spans="1:2" x14ac:dyDescent="0.25">
      <c r="A116" t="str">
        <f t="shared" si="3"/>
        <v/>
      </c>
      <c r="B116" t="str">
        <f t="shared" ca="1" si="2"/>
        <v/>
      </c>
    </row>
    <row r="117" spans="1:2" x14ac:dyDescent="0.25">
      <c r="A117" t="str">
        <f t="shared" si="3"/>
        <v/>
      </c>
      <c r="B117" t="str">
        <f t="shared" ca="1" si="2"/>
        <v/>
      </c>
    </row>
    <row r="118" spans="1:2" x14ac:dyDescent="0.25">
      <c r="A118" t="str">
        <f t="shared" si="3"/>
        <v/>
      </c>
      <c r="B118" t="str">
        <f t="shared" ca="1" si="2"/>
        <v/>
      </c>
    </row>
    <row r="119" spans="1:2" x14ac:dyDescent="0.25">
      <c r="A119" t="str">
        <f t="shared" si="3"/>
        <v/>
      </c>
      <c r="B119" t="str">
        <f t="shared" ca="1" si="2"/>
        <v/>
      </c>
    </row>
    <row r="120" spans="1:2" x14ac:dyDescent="0.25">
      <c r="A120" t="str">
        <f t="shared" si="3"/>
        <v/>
      </c>
      <c r="B120" t="str">
        <f t="shared" ca="1" si="2"/>
        <v/>
      </c>
    </row>
    <row r="121" spans="1:2" x14ac:dyDescent="0.25">
      <c r="A121" t="str">
        <f t="shared" si="3"/>
        <v/>
      </c>
      <c r="B121" t="str">
        <f t="shared" ca="1" si="2"/>
        <v/>
      </c>
    </row>
    <row r="122" spans="1:2" x14ac:dyDescent="0.25">
      <c r="A122" t="str">
        <f t="shared" si="3"/>
        <v/>
      </c>
      <c r="B122" t="str">
        <f t="shared" ca="1" si="2"/>
        <v/>
      </c>
    </row>
    <row r="123" spans="1:2" x14ac:dyDescent="0.25">
      <c r="A123" t="str">
        <f t="shared" si="3"/>
        <v/>
      </c>
      <c r="B123" t="str">
        <f t="shared" ca="1" si="2"/>
        <v/>
      </c>
    </row>
    <row r="124" spans="1:2" x14ac:dyDescent="0.25">
      <c r="A124" t="str">
        <f t="shared" si="3"/>
        <v/>
      </c>
      <c r="B124" t="str">
        <f t="shared" ca="1" si="2"/>
        <v/>
      </c>
    </row>
    <row r="125" spans="1:2" x14ac:dyDescent="0.25">
      <c r="A125" t="str">
        <f t="shared" si="3"/>
        <v/>
      </c>
      <c r="B125" t="str">
        <f t="shared" ca="1" si="2"/>
        <v/>
      </c>
    </row>
    <row r="126" spans="1:2" x14ac:dyDescent="0.25">
      <c r="A126" t="str">
        <f t="shared" si="3"/>
        <v/>
      </c>
      <c r="B126" t="str">
        <f t="shared" ca="1" si="2"/>
        <v/>
      </c>
    </row>
    <row r="127" spans="1:2" x14ac:dyDescent="0.25">
      <c r="A127" t="str">
        <f t="shared" si="3"/>
        <v/>
      </c>
      <c r="B127" t="str">
        <f t="shared" ca="1" si="2"/>
        <v/>
      </c>
    </row>
    <row r="128" spans="1:2" x14ac:dyDescent="0.25">
      <c r="A128" t="str">
        <f t="shared" si="3"/>
        <v/>
      </c>
      <c r="B128" t="str">
        <f t="shared" ca="1" si="2"/>
        <v/>
      </c>
    </row>
    <row r="129" spans="1:2" x14ac:dyDescent="0.25">
      <c r="A129" t="str">
        <f t="shared" si="3"/>
        <v/>
      </c>
      <c r="B129" t="str">
        <f t="shared" ca="1" si="2"/>
        <v/>
      </c>
    </row>
    <row r="130" spans="1:2" x14ac:dyDescent="0.25">
      <c r="A130" t="str">
        <f t="shared" si="3"/>
        <v/>
      </c>
      <c r="B130" t="str">
        <f t="shared" ca="1" si="2"/>
        <v/>
      </c>
    </row>
    <row r="131" spans="1:2" x14ac:dyDescent="0.25">
      <c r="A131" t="str">
        <f t="shared" si="3"/>
        <v/>
      </c>
      <c r="B131" t="str">
        <f t="shared" ca="1" si="2"/>
        <v/>
      </c>
    </row>
    <row r="132" spans="1:2" x14ac:dyDescent="0.25">
      <c r="A132" t="str">
        <f t="shared" si="3"/>
        <v/>
      </c>
      <c r="B132" t="str">
        <f t="shared" ref="B132:B195" ca="1" si="4">IF(A132="","",RANDBETWEEN($C$1,$C$2))</f>
        <v/>
      </c>
    </row>
    <row r="133" spans="1:2" x14ac:dyDescent="0.25">
      <c r="A133" t="str">
        <f t="shared" si="3"/>
        <v/>
      </c>
      <c r="B133" t="str">
        <f t="shared" ca="1" si="4"/>
        <v/>
      </c>
    </row>
    <row r="134" spans="1:2" x14ac:dyDescent="0.25">
      <c r="A134" t="str">
        <f t="shared" ref="A134:A197" si="5">IFERROR(IF(A133+1&gt;$C$2,"",A133+1),"")</f>
        <v/>
      </c>
      <c r="B134" t="str">
        <f t="shared" ca="1" si="4"/>
        <v/>
      </c>
    </row>
    <row r="135" spans="1:2" x14ac:dyDescent="0.25">
      <c r="A135" t="str">
        <f t="shared" si="5"/>
        <v/>
      </c>
      <c r="B135" t="str">
        <f t="shared" ca="1" si="4"/>
        <v/>
      </c>
    </row>
    <row r="136" spans="1:2" x14ac:dyDescent="0.25">
      <c r="A136" t="str">
        <f t="shared" si="5"/>
        <v/>
      </c>
      <c r="B136" t="str">
        <f t="shared" ca="1" si="4"/>
        <v/>
      </c>
    </row>
    <row r="137" spans="1:2" x14ac:dyDescent="0.25">
      <c r="A137" t="str">
        <f t="shared" si="5"/>
        <v/>
      </c>
      <c r="B137" t="str">
        <f t="shared" ca="1" si="4"/>
        <v/>
      </c>
    </row>
    <row r="138" spans="1:2" x14ac:dyDescent="0.25">
      <c r="A138" t="str">
        <f t="shared" si="5"/>
        <v/>
      </c>
      <c r="B138" t="str">
        <f t="shared" ca="1" si="4"/>
        <v/>
      </c>
    </row>
    <row r="139" spans="1:2" x14ac:dyDescent="0.25">
      <c r="A139" t="str">
        <f t="shared" si="5"/>
        <v/>
      </c>
      <c r="B139" t="str">
        <f t="shared" ca="1" si="4"/>
        <v/>
      </c>
    </row>
    <row r="140" spans="1:2" x14ac:dyDescent="0.25">
      <c r="A140" t="str">
        <f t="shared" si="5"/>
        <v/>
      </c>
      <c r="B140" t="str">
        <f t="shared" ca="1" si="4"/>
        <v/>
      </c>
    </row>
    <row r="141" spans="1:2" x14ac:dyDescent="0.25">
      <c r="A141" t="str">
        <f t="shared" si="5"/>
        <v/>
      </c>
      <c r="B141" t="str">
        <f t="shared" ca="1" si="4"/>
        <v/>
      </c>
    </row>
    <row r="142" spans="1:2" x14ac:dyDescent="0.25">
      <c r="A142" t="str">
        <f t="shared" si="5"/>
        <v/>
      </c>
      <c r="B142" t="str">
        <f t="shared" ca="1" si="4"/>
        <v/>
      </c>
    </row>
    <row r="143" spans="1:2" x14ac:dyDescent="0.25">
      <c r="A143" t="str">
        <f t="shared" si="5"/>
        <v/>
      </c>
      <c r="B143" t="str">
        <f t="shared" ca="1" si="4"/>
        <v/>
      </c>
    </row>
    <row r="144" spans="1:2" x14ac:dyDescent="0.25">
      <c r="A144" t="str">
        <f t="shared" si="5"/>
        <v/>
      </c>
      <c r="B144" t="str">
        <f t="shared" ca="1" si="4"/>
        <v/>
      </c>
    </row>
    <row r="145" spans="1:2" x14ac:dyDescent="0.25">
      <c r="A145" t="str">
        <f t="shared" si="5"/>
        <v/>
      </c>
      <c r="B145" t="str">
        <f t="shared" ca="1" si="4"/>
        <v/>
      </c>
    </row>
    <row r="146" spans="1:2" x14ac:dyDescent="0.25">
      <c r="A146" t="str">
        <f t="shared" si="5"/>
        <v/>
      </c>
      <c r="B146" t="str">
        <f t="shared" ca="1" si="4"/>
        <v/>
      </c>
    </row>
    <row r="147" spans="1:2" x14ac:dyDescent="0.25">
      <c r="A147" t="str">
        <f t="shared" si="5"/>
        <v/>
      </c>
      <c r="B147" t="str">
        <f t="shared" ca="1" si="4"/>
        <v/>
      </c>
    </row>
    <row r="148" spans="1:2" x14ac:dyDescent="0.25">
      <c r="A148" t="str">
        <f t="shared" si="5"/>
        <v/>
      </c>
      <c r="B148" t="str">
        <f t="shared" ca="1" si="4"/>
        <v/>
      </c>
    </row>
    <row r="149" spans="1:2" x14ac:dyDescent="0.25">
      <c r="A149" t="str">
        <f t="shared" si="5"/>
        <v/>
      </c>
      <c r="B149" t="str">
        <f t="shared" ca="1" si="4"/>
        <v/>
      </c>
    </row>
    <row r="150" spans="1:2" x14ac:dyDescent="0.25">
      <c r="A150" t="str">
        <f t="shared" si="5"/>
        <v/>
      </c>
      <c r="B150" t="str">
        <f t="shared" ca="1" si="4"/>
        <v/>
      </c>
    </row>
    <row r="151" spans="1:2" x14ac:dyDescent="0.25">
      <c r="A151" t="str">
        <f t="shared" si="5"/>
        <v/>
      </c>
      <c r="B151" t="str">
        <f t="shared" ca="1" si="4"/>
        <v/>
      </c>
    </row>
    <row r="152" spans="1:2" x14ac:dyDescent="0.25">
      <c r="A152" t="str">
        <f t="shared" si="5"/>
        <v/>
      </c>
      <c r="B152" t="str">
        <f t="shared" ca="1" si="4"/>
        <v/>
      </c>
    </row>
    <row r="153" spans="1:2" x14ac:dyDescent="0.25">
      <c r="A153" t="str">
        <f t="shared" si="5"/>
        <v/>
      </c>
      <c r="B153" t="str">
        <f t="shared" ca="1" si="4"/>
        <v/>
      </c>
    </row>
    <row r="154" spans="1:2" x14ac:dyDescent="0.25">
      <c r="A154" t="str">
        <f t="shared" si="5"/>
        <v/>
      </c>
      <c r="B154" t="str">
        <f t="shared" ca="1" si="4"/>
        <v/>
      </c>
    </row>
    <row r="155" spans="1:2" x14ac:dyDescent="0.25">
      <c r="A155" t="str">
        <f t="shared" si="5"/>
        <v/>
      </c>
      <c r="B155" t="str">
        <f t="shared" ca="1" si="4"/>
        <v/>
      </c>
    </row>
    <row r="156" spans="1:2" x14ac:dyDescent="0.25">
      <c r="A156" t="str">
        <f t="shared" si="5"/>
        <v/>
      </c>
      <c r="B156" t="str">
        <f t="shared" ca="1" si="4"/>
        <v/>
      </c>
    </row>
    <row r="157" spans="1:2" x14ac:dyDescent="0.25">
      <c r="A157" t="str">
        <f t="shared" si="5"/>
        <v/>
      </c>
      <c r="B157" t="str">
        <f t="shared" ca="1" si="4"/>
        <v/>
      </c>
    </row>
    <row r="158" spans="1:2" x14ac:dyDescent="0.25">
      <c r="A158" t="str">
        <f t="shared" si="5"/>
        <v/>
      </c>
      <c r="B158" t="str">
        <f t="shared" ca="1" si="4"/>
        <v/>
      </c>
    </row>
    <row r="159" spans="1:2" x14ac:dyDescent="0.25">
      <c r="A159" t="str">
        <f t="shared" si="5"/>
        <v/>
      </c>
      <c r="B159" t="str">
        <f t="shared" ca="1" si="4"/>
        <v/>
      </c>
    </row>
    <row r="160" spans="1:2" x14ac:dyDescent="0.25">
      <c r="A160" t="str">
        <f t="shared" si="5"/>
        <v/>
      </c>
      <c r="B160" t="str">
        <f t="shared" ca="1" si="4"/>
        <v/>
      </c>
    </row>
    <row r="161" spans="1:2" x14ac:dyDescent="0.25">
      <c r="A161" t="str">
        <f t="shared" si="5"/>
        <v/>
      </c>
      <c r="B161" t="str">
        <f t="shared" ca="1" si="4"/>
        <v/>
      </c>
    </row>
    <row r="162" spans="1:2" x14ac:dyDescent="0.25">
      <c r="A162" t="str">
        <f t="shared" si="5"/>
        <v/>
      </c>
      <c r="B162" t="str">
        <f t="shared" ca="1" si="4"/>
        <v/>
      </c>
    </row>
    <row r="163" spans="1:2" x14ac:dyDescent="0.25">
      <c r="A163" t="str">
        <f t="shared" si="5"/>
        <v/>
      </c>
      <c r="B163" t="str">
        <f t="shared" ca="1" si="4"/>
        <v/>
      </c>
    </row>
    <row r="164" spans="1:2" x14ac:dyDescent="0.25">
      <c r="A164" t="str">
        <f t="shared" si="5"/>
        <v/>
      </c>
      <c r="B164" t="str">
        <f t="shared" ca="1" si="4"/>
        <v/>
      </c>
    </row>
    <row r="165" spans="1:2" x14ac:dyDescent="0.25">
      <c r="A165" t="str">
        <f t="shared" si="5"/>
        <v/>
      </c>
      <c r="B165" t="str">
        <f t="shared" ca="1" si="4"/>
        <v/>
      </c>
    </row>
    <row r="166" spans="1:2" x14ac:dyDescent="0.25">
      <c r="A166" t="str">
        <f t="shared" si="5"/>
        <v/>
      </c>
      <c r="B166" t="str">
        <f t="shared" ca="1" si="4"/>
        <v/>
      </c>
    </row>
    <row r="167" spans="1:2" x14ac:dyDescent="0.25">
      <c r="A167" t="str">
        <f t="shared" si="5"/>
        <v/>
      </c>
      <c r="B167" t="str">
        <f t="shared" ca="1" si="4"/>
        <v/>
      </c>
    </row>
    <row r="168" spans="1:2" x14ac:dyDescent="0.25">
      <c r="A168" t="str">
        <f t="shared" si="5"/>
        <v/>
      </c>
      <c r="B168" t="str">
        <f t="shared" ca="1" si="4"/>
        <v/>
      </c>
    </row>
    <row r="169" spans="1:2" x14ac:dyDescent="0.25">
      <c r="A169" t="str">
        <f t="shared" si="5"/>
        <v/>
      </c>
      <c r="B169" t="str">
        <f t="shared" ca="1" si="4"/>
        <v/>
      </c>
    </row>
    <row r="170" spans="1:2" x14ac:dyDescent="0.25">
      <c r="A170" t="str">
        <f t="shared" si="5"/>
        <v/>
      </c>
      <c r="B170" t="str">
        <f t="shared" ca="1" si="4"/>
        <v/>
      </c>
    </row>
    <row r="171" spans="1:2" x14ac:dyDescent="0.25">
      <c r="A171" t="str">
        <f t="shared" si="5"/>
        <v/>
      </c>
      <c r="B171" t="str">
        <f t="shared" ca="1" si="4"/>
        <v/>
      </c>
    </row>
    <row r="172" spans="1:2" x14ac:dyDescent="0.25">
      <c r="A172" t="str">
        <f t="shared" si="5"/>
        <v/>
      </c>
      <c r="B172" t="str">
        <f t="shared" ca="1" si="4"/>
        <v/>
      </c>
    </row>
    <row r="173" spans="1:2" x14ac:dyDescent="0.25">
      <c r="A173" t="str">
        <f t="shared" si="5"/>
        <v/>
      </c>
      <c r="B173" t="str">
        <f t="shared" ca="1" si="4"/>
        <v/>
      </c>
    </row>
    <row r="174" spans="1:2" x14ac:dyDescent="0.25">
      <c r="A174" t="str">
        <f t="shared" si="5"/>
        <v/>
      </c>
      <c r="B174" t="str">
        <f t="shared" ca="1" si="4"/>
        <v/>
      </c>
    </row>
    <row r="175" spans="1:2" x14ac:dyDescent="0.25">
      <c r="A175" t="str">
        <f t="shared" si="5"/>
        <v/>
      </c>
      <c r="B175" t="str">
        <f t="shared" ca="1" si="4"/>
        <v/>
      </c>
    </row>
    <row r="176" spans="1:2" x14ac:dyDescent="0.25">
      <c r="A176" t="str">
        <f t="shared" si="5"/>
        <v/>
      </c>
      <c r="B176" t="str">
        <f t="shared" ca="1" si="4"/>
        <v/>
      </c>
    </row>
    <row r="177" spans="1:2" x14ac:dyDescent="0.25">
      <c r="A177" t="str">
        <f t="shared" si="5"/>
        <v/>
      </c>
      <c r="B177" t="str">
        <f t="shared" ca="1" si="4"/>
        <v/>
      </c>
    </row>
    <row r="178" spans="1:2" x14ac:dyDescent="0.25">
      <c r="A178" t="str">
        <f t="shared" si="5"/>
        <v/>
      </c>
      <c r="B178" t="str">
        <f t="shared" ca="1" si="4"/>
        <v/>
      </c>
    </row>
    <row r="179" spans="1:2" x14ac:dyDescent="0.25">
      <c r="A179" t="str">
        <f t="shared" si="5"/>
        <v/>
      </c>
      <c r="B179" t="str">
        <f t="shared" ca="1" si="4"/>
        <v/>
      </c>
    </row>
    <row r="180" spans="1:2" x14ac:dyDescent="0.25">
      <c r="A180" t="str">
        <f t="shared" si="5"/>
        <v/>
      </c>
      <c r="B180" t="str">
        <f t="shared" ca="1" si="4"/>
        <v/>
      </c>
    </row>
    <row r="181" spans="1:2" x14ac:dyDescent="0.25">
      <c r="A181" t="str">
        <f t="shared" si="5"/>
        <v/>
      </c>
      <c r="B181" t="str">
        <f t="shared" ca="1" si="4"/>
        <v/>
      </c>
    </row>
    <row r="182" spans="1:2" x14ac:dyDescent="0.25">
      <c r="A182" t="str">
        <f t="shared" si="5"/>
        <v/>
      </c>
      <c r="B182" t="str">
        <f t="shared" ca="1" si="4"/>
        <v/>
      </c>
    </row>
    <row r="183" spans="1:2" x14ac:dyDescent="0.25">
      <c r="A183" t="str">
        <f t="shared" si="5"/>
        <v/>
      </c>
      <c r="B183" t="str">
        <f t="shared" ca="1" si="4"/>
        <v/>
      </c>
    </row>
    <row r="184" spans="1:2" x14ac:dyDescent="0.25">
      <c r="A184" t="str">
        <f t="shared" si="5"/>
        <v/>
      </c>
      <c r="B184" t="str">
        <f t="shared" ca="1" si="4"/>
        <v/>
      </c>
    </row>
    <row r="185" spans="1:2" x14ac:dyDescent="0.25">
      <c r="A185" t="str">
        <f t="shared" si="5"/>
        <v/>
      </c>
      <c r="B185" t="str">
        <f t="shared" ca="1" si="4"/>
        <v/>
      </c>
    </row>
    <row r="186" spans="1:2" x14ac:dyDescent="0.25">
      <c r="A186" t="str">
        <f t="shared" si="5"/>
        <v/>
      </c>
      <c r="B186" t="str">
        <f t="shared" ca="1" si="4"/>
        <v/>
      </c>
    </row>
    <row r="187" spans="1:2" x14ac:dyDescent="0.25">
      <c r="A187" t="str">
        <f t="shared" si="5"/>
        <v/>
      </c>
      <c r="B187" t="str">
        <f t="shared" ca="1" si="4"/>
        <v/>
      </c>
    </row>
    <row r="188" spans="1:2" x14ac:dyDescent="0.25">
      <c r="A188" t="str">
        <f t="shared" si="5"/>
        <v/>
      </c>
      <c r="B188" t="str">
        <f t="shared" ca="1" si="4"/>
        <v/>
      </c>
    </row>
    <row r="189" spans="1:2" x14ac:dyDescent="0.25">
      <c r="A189" t="str">
        <f t="shared" si="5"/>
        <v/>
      </c>
      <c r="B189" t="str">
        <f t="shared" ca="1" si="4"/>
        <v/>
      </c>
    </row>
    <row r="190" spans="1:2" x14ac:dyDescent="0.25">
      <c r="A190" t="str">
        <f t="shared" si="5"/>
        <v/>
      </c>
      <c r="B190" t="str">
        <f t="shared" ca="1" si="4"/>
        <v/>
      </c>
    </row>
    <row r="191" spans="1:2" x14ac:dyDescent="0.25">
      <c r="A191" t="str">
        <f t="shared" si="5"/>
        <v/>
      </c>
      <c r="B191" t="str">
        <f t="shared" ca="1" si="4"/>
        <v/>
      </c>
    </row>
    <row r="192" spans="1:2" x14ac:dyDescent="0.25">
      <c r="A192" t="str">
        <f t="shared" si="5"/>
        <v/>
      </c>
      <c r="B192" t="str">
        <f t="shared" ca="1" si="4"/>
        <v/>
      </c>
    </row>
    <row r="193" spans="1:2" x14ac:dyDescent="0.25">
      <c r="A193" t="str">
        <f t="shared" si="5"/>
        <v/>
      </c>
      <c r="B193" t="str">
        <f t="shared" ca="1" si="4"/>
        <v/>
      </c>
    </row>
    <row r="194" spans="1:2" x14ac:dyDescent="0.25">
      <c r="A194" t="str">
        <f t="shared" si="5"/>
        <v/>
      </c>
      <c r="B194" t="str">
        <f t="shared" ca="1" si="4"/>
        <v/>
      </c>
    </row>
    <row r="195" spans="1:2" x14ac:dyDescent="0.25">
      <c r="A195" t="str">
        <f t="shared" si="5"/>
        <v/>
      </c>
      <c r="B195" t="str">
        <f t="shared" ca="1" si="4"/>
        <v/>
      </c>
    </row>
    <row r="196" spans="1:2" x14ac:dyDescent="0.25">
      <c r="A196" t="str">
        <f t="shared" si="5"/>
        <v/>
      </c>
      <c r="B196" t="str">
        <f t="shared" ref="B196:B259" ca="1" si="6">IF(A196="","",RANDBETWEEN($C$1,$C$2))</f>
        <v/>
      </c>
    </row>
    <row r="197" spans="1:2" x14ac:dyDescent="0.25">
      <c r="A197" t="str">
        <f t="shared" si="5"/>
        <v/>
      </c>
      <c r="B197" t="str">
        <f t="shared" ca="1" si="6"/>
        <v/>
      </c>
    </row>
    <row r="198" spans="1:2" x14ac:dyDescent="0.25">
      <c r="A198" t="str">
        <f t="shared" ref="A198:A261" si="7">IFERROR(IF(A197+1&gt;$C$2,"",A197+1),"")</f>
        <v/>
      </c>
      <c r="B198" t="str">
        <f t="shared" ca="1" si="6"/>
        <v/>
      </c>
    </row>
    <row r="199" spans="1:2" x14ac:dyDescent="0.25">
      <c r="A199" t="str">
        <f t="shared" si="7"/>
        <v/>
      </c>
      <c r="B199" t="str">
        <f t="shared" ca="1" si="6"/>
        <v/>
      </c>
    </row>
    <row r="200" spans="1:2" x14ac:dyDescent="0.25">
      <c r="A200" t="str">
        <f t="shared" si="7"/>
        <v/>
      </c>
      <c r="B200" t="str">
        <f t="shared" ca="1" si="6"/>
        <v/>
      </c>
    </row>
    <row r="201" spans="1:2" x14ac:dyDescent="0.25">
      <c r="A201" t="str">
        <f t="shared" si="7"/>
        <v/>
      </c>
      <c r="B201" t="str">
        <f t="shared" ca="1" si="6"/>
        <v/>
      </c>
    </row>
    <row r="202" spans="1:2" x14ac:dyDescent="0.25">
      <c r="A202" t="str">
        <f t="shared" si="7"/>
        <v/>
      </c>
      <c r="B202" t="str">
        <f t="shared" ca="1" si="6"/>
        <v/>
      </c>
    </row>
    <row r="203" spans="1:2" x14ac:dyDescent="0.25">
      <c r="A203" t="str">
        <f t="shared" si="7"/>
        <v/>
      </c>
      <c r="B203" t="str">
        <f t="shared" ca="1" si="6"/>
        <v/>
      </c>
    </row>
    <row r="204" spans="1:2" x14ac:dyDescent="0.25">
      <c r="A204" t="str">
        <f t="shared" si="7"/>
        <v/>
      </c>
      <c r="B204" t="str">
        <f t="shared" ca="1" si="6"/>
        <v/>
      </c>
    </row>
    <row r="205" spans="1:2" x14ac:dyDescent="0.25">
      <c r="A205" t="str">
        <f t="shared" si="7"/>
        <v/>
      </c>
      <c r="B205" t="str">
        <f t="shared" ca="1" si="6"/>
        <v/>
      </c>
    </row>
    <row r="206" spans="1:2" x14ac:dyDescent="0.25">
      <c r="A206" t="str">
        <f t="shared" si="7"/>
        <v/>
      </c>
      <c r="B206" t="str">
        <f t="shared" ca="1" si="6"/>
        <v/>
      </c>
    </row>
    <row r="207" spans="1:2" x14ac:dyDescent="0.25">
      <c r="A207" t="str">
        <f t="shared" si="7"/>
        <v/>
      </c>
      <c r="B207" t="str">
        <f t="shared" ca="1" si="6"/>
        <v/>
      </c>
    </row>
    <row r="208" spans="1:2" x14ac:dyDescent="0.25">
      <c r="A208" t="str">
        <f t="shared" si="7"/>
        <v/>
      </c>
      <c r="B208" t="str">
        <f t="shared" ca="1" si="6"/>
        <v/>
      </c>
    </row>
    <row r="209" spans="1:2" x14ac:dyDescent="0.25">
      <c r="A209" t="str">
        <f t="shared" si="7"/>
        <v/>
      </c>
      <c r="B209" t="str">
        <f t="shared" ca="1" si="6"/>
        <v/>
      </c>
    </row>
    <row r="210" spans="1:2" x14ac:dyDescent="0.25">
      <c r="A210" t="str">
        <f t="shared" si="7"/>
        <v/>
      </c>
      <c r="B210" t="str">
        <f t="shared" ca="1" si="6"/>
        <v/>
      </c>
    </row>
    <row r="211" spans="1:2" x14ac:dyDescent="0.25">
      <c r="A211" t="str">
        <f t="shared" si="7"/>
        <v/>
      </c>
      <c r="B211" t="str">
        <f t="shared" ca="1" si="6"/>
        <v/>
      </c>
    </row>
    <row r="212" spans="1:2" x14ac:dyDescent="0.25">
      <c r="A212" t="str">
        <f t="shared" si="7"/>
        <v/>
      </c>
      <c r="B212" t="str">
        <f t="shared" ca="1" si="6"/>
        <v/>
      </c>
    </row>
    <row r="213" spans="1:2" x14ac:dyDescent="0.25">
      <c r="A213" t="str">
        <f t="shared" si="7"/>
        <v/>
      </c>
      <c r="B213" t="str">
        <f t="shared" ca="1" si="6"/>
        <v/>
      </c>
    </row>
    <row r="214" spans="1:2" x14ac:dyDescent="0.25">
      <c r="A214" t="str">
        <f t="shared" si="7"/>
        <v/>
      </c>
      <c r="B214" t="str">
        <f t="shared" ca="1" si="6"/>
        <v/>
      </c>
    </row>
    <row r="215" spans="1:2" x14ac:dyDescent="0.25">
      <c r="A215" t="str">
        <f t="shared" si="7"/>
        <v/>
      </c>
      <c r="B215" t="str">
        <f t="shared" ca="1" si="6"/>
        <v/>
      </c>
    </row>
    <row r="216" spans="1:2" x14ac:dyDescent="0.25">
      <c r="A216" t="str">
        <f t="shared" si="7"/>
        <v/>
      </c>
      <c r="B216" t="str">
        <f t="shared" ca="1" si="6"/>
        <v/>
      </c>
    </row>
    <row r="217" spans="1:2" x14ac:dyDescent="0.25">
      <c r="A217" t="str">
        <f t="shared" si="7"/>
        <v/>
      </c>
      <c r="B217" t="str">
        <f t="shared" ca="1" si="6"/>
        <v/>
      </c>
    </row>
    <row r="218" spans="1:2" x14ac:dyDescent="0.25">
      <c r="A218" t="str">
        <f t="shared" si="7"/>
        <v/>
      </c>
      <c r="B218" t="str">
        <f t="shared" ca="1" si="6"/>
        <v/>
      </c>
    </row>
    <row r="219" spans="1:2" x14ac:dyDescent="0.25">
      <c r="A219" t="str">
        <f t="shared" si="7"/>
        <v/>
      </c>
      <c r="B219" t="str">
        <f t="shared" ca="1" si="6"/>
        <v/>
      </c>
    </row>
    <row r="220" spans="1:2" x14ac:dyDescent="0.25">
      <c r="A220" t="str">
        <f t="shared" si="7"/>
        <v/>
      </c>
      <c r="B220" t="str">
        <f t="shared" ca="1" si="6"/>
        <v/>
      </c>
    </row>
    <row r="221" spans="1:2" x14ac:dyDescent="0.25">
      <c r="A221" t="str">
        <f t="shared" si="7"/>
        <v/>
      </c>
      <c r="B221" t="str">
        <f t="shared" ca="1" si="6"/>
        <v/>
      </c>
    </row>
    <row r="222" spans="1:2" x14ac:dyDescent="0.25">
      <c r="A222" t="str">
        <f t="shared" si="7"/>
        <v/>
      </c>
      <c r="B222" t="str">
        <f t="shared" ca="1" si="6"/>
        <v/>
      </c>
    </row>
    <row r="223" spans="1:2" x14ac:dyDescent="0.25">
      <c r="A223" t="str">
        <f t="shared" si="7"/>
        <v/>
      </c>
      <c r="B223" t="str">
        <f t="shared" ca="1" si="6"/>
        <v/>
      </c>
    </row>
    <row r="224" spans="1:2" x14ac:dyDescent="0.25">
      <c r="A224" t="str">
        <f t="shared" si="7"/>
        <v/>
      </c>
      <c r="B224" t="str">
        <f t="shared" ca="1" si="6"/>
        <v/>
      </c>
    </row>
    <row r="225" spans="1:2" x14ac:dyDescent="0.25">
      <c r="A225" t="str">
        <f t="shared" si="7"/>
        <v/>
      </c>
      <c r="B225" t="str">
        <f t="shared" ca="1" si="6"/>
        <v/>
      </c>
    </row>
    <row r="226" spans="1:2" x14ac:dyDescent="0.25">
      <c r="A226" t="str">
        <f t="shared" si="7"/>
        <v/>
      </c>
      <c r="B226" t="str">
        <f t="shared" ca="1" si="6"/>
        <v/>
      </c>
    </row>
    <row r="227" spans="1:2" x14ac:dyDescent="0.25">
      <c r="A227" t="str">
        <f t="shared" si="7"/>
        <v/>
      </c>
      <c r="B227" t="str">
        <f t="shared" ca="1" si="6"/>
        <v/>
      </c>
    </row>
    <row r="228" spans="1:2" x14ac:dyDescent="0.25">
      <c r="A228" t="str">
        <f t="shared" si="7"/>
        <v/>
      </c>
      <c r="B228" t="str">
        <f t="shared" ca="1" si="6"/>
        <v/>
      </c>
    </row>
    <row r="229" spans="1:2" x14ac:dyDescent="0.25">
      <c r="A229" t="str">
        <f t="shared" si="7"/>
        <v/>
      </c>
      <c r="B229" t="str">
        <f t="shared" ca="1" si="6"/>
        <v/>
      </c>
    </row>
    <row r="230" spans="1:2" x14ac:dyDescent="0.25">
      <c r="A230" t="str">
        <f t="shared" si="7"/>
        <v/>
      </c>
      <c r="B230" t="str">
        <f t="shared" ca="1" si="6"/>
        <v/>
      </c>
    </row>
    <row r="231" spans="1:2" x14ac:dyDescent="0.25">
      <c r="A231" t="str">
        <f t="shared" si="7"/>
        <v/>
      </c>
      <c r="B231" t="str">
        <f t="shared" ca="1" si="6"/>
        <v/>
      </c>
    </row>
    <row r="232" spans="1:2" x14ac:dyDescent="0.25">
      <c r="A232" t="str">
        <f t="shared" si="7"/>
        <v/>
      </c>
      <c r="B232" t="str">
        <f t="shared" ca="1" si="6"/>
        <v/>
      </c>
    </row>
    <row r="233" spans="1:2" x14ac:dyDescent="0.25">
      <c r="A233" t="str">
        <f t="shared" si="7"/>
        <v/>
      </c>
      <c r="B233" t="str">
        <f t="shared" ca="1" si="6"/>
        <v/>
      </c>
    </row>
    <row r="234" spans="1:2" x14ac:dyDescent="0.25">
      <c r="A234" t="str">
        <f t="shared" si="7"/>
        <v/>
      </c>
      <c r="B234" t="str">
        <f t="shared" ca="1" si="6"/>
        <v/>
      </c>
    </row>
    <row r="235" spans="1:2" x14ac:dyDescent="0.25">
      <c r="A235" t="str">
        <f t="shared" si="7"/>
        <v/>
      </c>
      <c r="B235" t="str">
        <f t="shared" ca="1" si="6"/>
        <v/>
      </c>
    </row>
    <row r="236" spans="1:2" x14ac:dyDescent="0.25">
      <c r="A236" t="str">
        <f t="shared" si="7"/>
        <v/>
      </c>
      <c r="B236" t="str">
        <f t="shared" ca="1" si="6"/>
        <v/>
      </c>
    </row>
    <row r="237" spans="1:2" x14ac:dyDescent="0.25">
      <c r="A237" t="str">
        <f t="shared" si="7"/>
        <v/>
      </c>
      <c r="B237" t="str">
        <f t="shared" ca="1" si="6"/>
        <v/>
      </c>
    </row>
    <row r="238" spans="1:2" x14ac:dyDescent="0.25">
      <c r="A238" t="str">
        <f t="shared" si="7"/>
        <v/>
      </c>
      <c r="B238" t="str">
        <f t="shared" ca="1" si="6"/>
        <v/>
      </c>
    </row>
    <row r="239" spans="1:2" x14ac:dyDescent="0.25">
      <c r="A239" t="str">
        <f t="shared" si="7"/>
        <v/>
      </c>
      <c r="B239" t="str">
        <f t="shared" ca="1" si="6"/>
        <v/>
      </c>
    </row>
    <row r="240" spans="1:2" x14ac:dyDescent="0.25">
      <c r="A240" t="str">
        <f t="shared" si="7"/>
        <v/>
      </c>
      <c r="B240" t="str">
        <f t="shared" ca="1" si="6"/>
        <v/>
      </c>
    </row>
    <row r="241" spans="1:2" x14ac:dyDescent="0.25">
      <c r="A241" t="str">
        <f t="shared" si="7"/>
        <v/>
      </c>
      <c r="B241" t="str">
        <f t="shared" ca="1" si="6"/>
        <v/>
      </c>
    </row>
    <row r="242" spans="1:2" x14ac:dyDescent="0.25">
      <c r="A242" t="str">
        <f t="shared" si="7"/>
        <v/>
      </c>
      <c r="B242" t="str">
        <f t="shared" ca="1" si="6"/>
        <v/>
      </c>
    </row>
    <row r="243" spans="1:2" x14ac:dyDescent="0.25">
      <c r="A243" t="str">
        <f t="shared" si="7"/>
        <v/>
      </c>
      <c r="B243" t="str">
        <f t="shared" ca="1" si="6"/>
        <v/>
      </c>
    </row>
    <row r="244" spans="1:2" x14ac:dyDescent="0.25">
      <c r="A244" t="str">
        <f t="shared" si="7"/>
        <v/>
      </c>
      <c r="B244" t="str">
        <f t="shared" ca="1" si="6"/>
        <v/>
      </c>
    </row>
    <row r="245" spans="1:2" x14ac:dyDescent="0.25">
      <c r="A245" t="str">
        <f t="shared" si="7"/>
        <v/>
      </c>
      <c r="B245" t="str">
        <f t="shared" ca="1" si="6"/>
        <v/>
      </c>
    </row>
    <row r="246" spans="1:2" x14ac:dyDescent="0.25">
      <c r="A246" t="str">
        <f t="shared" si="7"/>
        <v/>
      </c>
      <c r="B246" t="str">
        <f t="shared" ca="1" si="6"/>
        <v/>
      </c>
    </row>
    <row r="247" spans="1:2" x14ac:dyDescent="0.25">
      <c r="A247" t="str">
        <f t="shared" si="7"/>
        <v/>
      </c>
      <c r="B247" t="str">
        <f t="shared" ca="1" si="6"/>
        <v/>
      </c>
    </row>
    <row r="248" spans="1:2" x14ac:dyDescent="0.25">
      <c r="A248" t="str">
        <f t="shared" si="7"/>
        <v/>
      </c>
      <c r="B248" t="str">
        <f t="shared" ca="1" si="6"/>
        <v/>
      </c>
    </row>
    <row r="249" spans="1:2" x14ac:dyDescent="0.25">
      <c r="A249" t="str">
        <f t="shared" si="7"/>
        <v/>
      </c>
      <c r="B249" t="str">
        <f t="shared" ca="1" si="6"/>
        <v/>
      </c>
    </row>
    <row r="250" spans="1:2" x14ac:dyDescent="0.25">
      <c r="A250" t="str">
        <f t="shared" si="7"/>
        <v/>
      </c>
      <c r="B250" t="str">
        <f t="shared" ca="1" si="6"/>
        <v/>
      </c>
    </row>
    <row r="251" spans="1:2" x14ac:dyDescent="0.25">
      <c r="A251" t="str">
        <f t="shared" si="7"/>
        <v/>
      </c>
      <c r="B251" t="str">
        <f t="shared" ca="1" si="6"/>
        <v/>
      </c>
    </row>
    <row r="252" spans="1:2" x14ac:dyDescent="0.25">
      <c r="A252" t="str">
        <f t="shared" si="7"/>
        <v/>
      </c>
      <c r="B252" t="str">
        <f t="shared" ca="1" si="6"/>
        <v/>
      </c>
    </row>
    <row r="253" spans="1:2" x14ac:dyDescent="0.25">
      <c r="A253" t="str">
        <f t="shared" si="7"/>
        <v/>
      </c>
      <c r="B253" t="str">
        <f t="shared" ca="1" si="6"/>
        <v/>
      </c>
    </row>
    <row r="254" spans="1:2" x14ac:dyDescent="0.25">
      <c r="A254" t="str">
        <f t="shared" si="7"/>
        <v/>
      </c>
      <c r="B254" t="str">
        <f t="shared" ca="1" si="6"/>
        <v/>
      </c>
    </row>
    <row r="255" spans="1:2" x14ac:dyDescent="0.25">
      <c r="A255" t="str">
        <f t="shared" si="7"/>
        <v/>
      </c>
      <c r="B255" t="str">
        <f t="shared" ca="1" si="6"/>
        <v/>
      </c>
    </row>
    <row r="256" spans="1:2" x14ac:dyDescent="0.25">
      <c r="A256" t="str">
        <f t="shared" si="7"/>
        <v/>
      </c>
      <c r="B256" t="str">
        <f t="shared" ca="1" si="6"/>
        <v/>
      </c>
    </row>
    <row r="257" spans="1:2" x14ac:dyDescent="0.25">
      <c r="A257" t="str">
        <f t="shared" si="7"/>
        <v/>
      </c>
      <c r="B257" t="str">
        <f t="shared" ca="1" si="6"/>
        <v/>
      </c>
    </row>
    <row r="258" spans="1:2" x14ac:dyDescent="0.25">
      <c r="A258" t="str">
        <f t="shared" si="7"/>
        <v/>
      </c>
      <c r="B258" t="str">
        <f t="shared" ca="1" si="6"/>
        <v/>
      </c>
    </row>
    <row r="259" spans="1:2" x14ac:dyDescent="0.25">
      <c r="A259" t="str">
        <f t="shared" si="7"/>
        <v/>
      </c>
      <c r="B259" t="str">
        <f t="shared" ca="1" si="6"/>
        <v/>
      </c>
    </row>
    <row r="260" spans="1:2" x14ac:dyDescent="0.25">
      <c r="A260" t="str">
        <f t="shared" si="7"/>
        <v/>
      </c>
      <c r="B260" t="str">
        <f t="shared" ref="B260:B295" ca="1" si="8">IF(A260="","",RANDBETWEEN($C$1,$C$2))</f>
        <v/>
      </c>
    </row>
    <row r="261" spans="1:2" x14ac:dyDescent="0.25">
      <c r="A261" t="str">
        <f t="shared" si="7"/>
        <v/>
      </c>
      <c r="B261" t="str">
        <f t="shared" ca="1" si="8"/>
        <v/>
      </c>
    </row>
    <row r="262" spans="1:2" x14ac:dyDescent="0.25">
      <c r="A262" t="str">
        <f t="shared" ref="A262:A295" si="9">IFERROR(IF(A261+1&gt;$C$2,"",A261+1),"")</f>
        <v/>
      </c>
      <c r="B262" t="str">
        <f t="shared" ca="1" si="8"/>
        <v/>
      </c>
    </row>
    <row r="263" spans="1:2" x14ac:dyDescent="0.25">
      <c r="A263" t="str">
        <f t="shared" si="9"/>
        <v/>
      </c>
      <c r="B263" t="str">
        <f t="shared" ca="1" si="8"/>
        <v/>
      </c>
    </row>
    <row r="264" spans="1:2" x14ac:dyDescent="0.25">
      <c r="A264" t="str">
        <f t="shared" si="9"/>
        <v/>
      </c>
      <c r="B264" t="str">
        <f t="shared" ca="1" si="8"/>
        <v/>
      </c>
    </row>
    <row r="265" spans="1:2" x14ac:dyDescent="0.25">
      <c r="A265" t="str">
        <f t="shared" si="9"/>
        <v/>
      </c>
      <c r="B265" t="str">
        <f t="shared" ca="1" si="8"/>
        <v/>
      </c>
    </row>
    <row r="266" spans="1:2" x14ac:dyDescent="0.25">
      <c r="A266" t="str">
        <f t="shared" si="9"/>
        <v/>
      </c>
      <c r="B266" t="str">
        <f t="shared" ca="1" si="8"/>
        <v/>
      </c>
    </row>
    <row r="267" spans="1:2" x14ac:dyDescent="0.25">
      <c r="A267" t="str">
        <f t="shared" si="9"/>
        <v/>
      </c>
      <c r="B267" t="str">
        <f t="shared" ca="1" si="8"/>
        <v/>
      </c>
    </row>
    <row r="268" spans="1:2" x14ac:dyDescent="0.25">
      <c r="A268" t="str">
        <f t="shared" si="9"/>
        <v/>
      </c>
      <c r="B268" t="str">
        <f t="shared" ca="1" si="8"/>
        <v/>
      </c>
    </row>
    <row r="269" spans="1:2" x14ac:dyDescent="0.25">
      <c r="A269" t="str">
        <f t="shared" si="9"/>
        <v/>
      </c>
      <c r="B269" t="str">
        <f t="shared" ca="1" si="8"/>
        <v/>
      </c>
    </row>
    <row r="270" spans="1:2" x14ac:dyDescent="0.25">
      <c r="A270" t="str">
        <f t="shared" si="9"/>
        <v/>
      </c>
      <c r="B270" t="str">
        <f t="shared" ca="1" si="8"/>
        <v/>
      </c>
    </row>
    <row r="271" spans="1:2" x14ac:dyDescent="0.25">
      <c r="A271" t="str">
        <f t="shared" si="9"/>
        <v/>
      </c>
      <c r="B271" t="str">
        <f t="shared" ca="1" si="8"/>
        <v/>
      </c>
    </row>
    <row r="272" spans="1:2" x14ac:dyDescent="0.25">
      <c r="A272" t="str">
        <f t="shared" si="9"/>
        <v/>
      </c>
      <c r="B272" t="str">
        <f t="shared" ca="1" si="8"/>
        <v/>
      </c>
    </row>
    <row r="273" spans="1:2" x14ac:dyDescent="0.25">
      <c r="A273" t="str">
        <f t="shared" si="9"/>
        <v/>
      </c>
      <c r="B273" t="str">
        <f t="shared" ca="1" si="8"/>
        <v/>
      </c>
    </row>
    <row r="274" spans="1:2" x14ac:dyDescent="0.25">
      <c r="A274" t="str">
        <f t="shared" si="9"/>
        <v/>
      </c>
      <c r="B274" t="str">
        <f t="shared" ca="1" si="8"/>
        <v/>
      </c>
    </row>
    <row r="275" spans="1:2" x14ac:dyDescent="0.25">
      <c r="A275" t="str">
        <f t="shared" si="9"/>
        <v/>
      </c>
      <c r="B275" t="str">
        <f t="shared" ca="1" si="8"/>
        <v/>
      </c>
    </row>
    <row r="276" spans="1:2" x14ac:dyDescent="0.25">
      <c r="A276" t="str">
        <f t="shared" si="9"/>
        <v/>
      </c>
      <c r="B276" t="str">
        <f t="shared" ca="1" si="8"/>
        <v/>
      </c>
    </row>
    <row r="277" spans="1:2" x14ac:dyDescent="0.25">
      <c r="A277" t="str">
        <f t="shared" si="9"/>
        <v/>
      </c>
      <c r="B277" t="str">
        <f t="shared" ca="1" si="8"/>
        <v/>
      </c>
    </row>
    <row r="278" spans="1:2" x14ac:dyDescent="0.25">
      <c r="A278" t="str">
        <f t="shared" si="9"/>
        <v/>
      </c>
      <c r="B278" t="str">
        <f t="shared" ca="1" si="8"/>
        <v/>
      </c>
    </row>
    <row r="279" spans="1:2" x14ac:dyDescent="0.25">
      <c r="A279" t="str">
        <f t="shared" si="9"/>
        <v/>
      </c>
      <c r="B279" t="str">
        <f t="shared" ca="1" si="8"/>
        <v/>
      </c>
    </row>
    <row r="280" spans="1:2" x14ac:dyDescent="0.25">
      <c r="A280" t="str">
        <f t="shared" si="9"/>
        <v/>
      </c>
      <c r="B280" t="str">
        <f t="shared" ca="1" si="8"/>
        <v/>
      </c>
    </row>
    <row r="281" spans="1:2" x14ac:dyDescent="0.25">
      <c r="A281" t="str">
        <f t="shared" si="9"/>
        <v/>
      </c>
      <c r="B281" t="str">
        <f t="shared" ca="1" si="8"/>
        <v/>
      </c>
    </row>
    <row r="282" spans="1:2" x14ac:dyDescent="0.25">
      <c r="A282" t="str">
        <f t="shared" si="9"/>
        <v/>
      </c>
      <c r="B282" t="str">
        <f t="shared" ca="1" si="8"/>
        <v/>
      </c>
    </row>
    <row r="283" spans="1:2" x14ac:dyDescent="0.25">
      <c r="A283" t="str">
        <f t="shared" si="9"/>
        <v/>
      </c>
      <c r="B283" t="str">
        <f t="shared" ca="1" si="8"/>
        <v/>
      </c>
    </row>
    <row r="284" spans="1:2" x14ac:dyDescent="0.25">
      <c r="A284" t="str">
        <f t="shared" si="9"/>
        <v/>
      </c>
      <c r="B284" t="str">
        <f t="shared" ca="1" si="8"/>
        <v/>
      </c>
    </row>
    <row r="285" spans="1:2" x14ac:dyDescent="0.25">
      <c r="A285" t="str">
        <f t="shared" si="9"/>
        <v/>
      </c>
      <c r="B285" t="str">
        <f t="shared" ca="1" si="8"/>
        <v/>
      </c>
    </row>
    <row r="286" spans="1:2" x14ac:dyDescent="0.25">
      <c r="A286" t="str">
        <f t="shared" si="9"/>
        <v/>
      </c>
      <c r="B286" t="str">
        <f t="shared" ca="1" si="8"/>
        <v/>
      </c>
    </row>
    <row r="287" spans="1:2" x14ac:dyDescent="0.25">
      <c r="A287" t="str">
        <f t="shared" si="9"/>
        <v/>
      </c>
      <c r="B287" t="str">
        <f t="shared" ca="1" si="8"/>
        <v/>
      </c>
    </row>
    <row r="288" spans="1:2" x14ac:dyDescent="0.25">
      <c r="A288" t="str">
        <f t="shared" si="9"/>
        <v/>
      </c>
      <c r="B288" t="str">
        <f t="shared" ca="1" si="8"/>
        <v/>
      </c>
    </row>
    <row r="289" spans="1:2" x14ac:dyDescent="0.25">
      <c r="A289" t="str">
        <f t="shared" si="9"/>
        <v/>
      </c>
      <c r="B289" t="str">
        <f t="shared" ca="1" si="8"/>
        <v/>
      </c>
    </row>
    <row r="290" spans="1:2" x14ac:dyDescent="0.25">
      <c r="A290" t="str">
        <f t="shared" si="9"/>
        <v/>
      </c>
      <c r="B290" t="str">
        <f t="shared" ca="1" si="8"/>
        <v/>
      </c>
    </row>
    <row r="291" spans="1:2" x14ac:dyDescent="0.25">
      <c r="A291" t="str">
        <f t="shared" si="9"/>
        <v/>
      </c>
      <c r="B291" t="str">
        <f t="shared" ca="1" si="8"/>
        <v/>
      </c>
    </row>
    <row r="292" spans="1:2" x14ac:dyDescent="0.25">
      <c r="A292" t="str">
        <f t="shared" si="9"/>
        <v/>
      </c>
      <c r="B292" t="str">
        <f t="shared" ca="1" si="8"/>
        <v/>
      </c>
    </row>
    <row r="293" spans="1:2" x14ac:dyDescent="0.25">
      <c r="A293" t="str">
        <f t="shared" si="9"/>
        <v/>
      </c>
      <c r="B293" t="str">
        <f t="shared" ca="1" si="8"/>
        <v/>
      </c>
    </row>
    <row r="294" spans="1:2" x14ac:dyDescent="0.25">
      <c r="A294" t="str">
        <f t="shared" si="9"/>
        <v/>
      </c>
      <c r="B294" t="str">
        <f t="shared" ca="1" si="8"/>
        <v/>
      </c>
    </row>
    <row r="295" spans="1:2" x14ac:dyDescent="0.25">
      <c r="A295" t="str">
        <f t="shared" si="9"/>
        <v/>
      </c>
      <c r="B295" t="str">
        <f t="shared" ca="1" si="8"/>
        <v/>
      </c>
    </row>
  </sheetData>
  <autoFilter ref="B3:E295" xr:uid="{510055BF-F702-4B6A-BC96-7718E75F032C}">
    <sortState xmlns:xlrd2="http://schemas.microsoft.com/office/spreadsheetml/2017/richdata2" ref="B4:E295">
      <sortCondition ref="C3:C72"/>
    </sortState>
  </autoFilter>
  <conditionalFormatting sqref="C73:C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7B88-7C23-44F5-A98D-4B72FF268B0F}">
  <dimension ref="A1"/>
  <sheetViews>
    <sheetView workbookViewId="0">
      <selection activeCell="G21" sqref="G21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From morning to night</vt:lpstr>
      <vt:lpstr>Viet</vt:lpstr>
      <vt:lpstr>Ramdom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2023-06-10T16:33:53Z</dcterms:modified>
</cp:coreProperties>
</file>