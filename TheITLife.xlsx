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66925"/>
  <mc:AlternateContent xmlns:mc="http://schemas.openxmlformats.org/markup-compatibility/2006">
    <mc:Choice Requires="x15">
      <x15ac:absPath xmlns:x15ac="http://schemas.microsoft.com/office/spreadsheetml/2010/11/ac" url="D:\English\DECO13\The IT Life\"/>
    </mc:Choice>
  </mc:AlternateContent>
  <xr:revisionPtr revIDLastSave="0" documentId="13_ncr:1_{A09F4A61-916C-4829-8E1D-D113E79CB749}" xr6:coauthVersionLast="47" xr6:coauthVersionMax="47" xr10:uidLastSave="{00000000-0000-0000-0000-000000000000}"/>
  <bookViews>
    <workbookView xWindow="-108" yWindow="-108" windowWidth="23256" windowHeight="12456" tabRatio="608" activeTab="1" xr2:uid="{719E5D2F-C632-4960-9266-638D7C9B24E2}"/>
  </bookViews>
  <sheets>
    <sheet name="The IT Life" sheetId="1" r:id="rId1"/>
    <sheet name="Viet" sheetId="5" r:id="rId2"/>
    <sheet name="Sum" sheetId="6" r:id="rId3"/>
    <sheet name="Ramdom" sheetId="2" r:id="rId4"/>
    <sheet name="Sheet1" sheetId="7" r:id="rId5"/>
    <sheet name="4" sheetId="11" r:id="rId6"/>
    <sheet name="3" sheetId="12" r:id="rId7"/>
  </sheets>
  <definedNames>
    <definedName name="_xlnm._FilterDatabase" localSheetId="6" hidden="1">'3'!$A$1:$A$36</definedName>
    <definedName name="_xlnm._FilterDatabase" localSheetId="5" hidden="1">'4'!$B$1:$B$22</definedName>
    <definedName name="_xlnm._FilterDatabase" localSheetId="3" hidden="1">Ramdom!$B$3:$F$295</definedName>
    <definedName name="_xlnm._FilterDatabase" localSheetId="4" hidden="1">Sheet1!$A$1:$C$1</definedName>
    <definedName name="_xlnm._FilterDatabase" localSheetId="0" hidden="1">'The IT Life'!$A$3:$H$249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7" i="5" l="1"/>
  <c r="C7" i="5" s="1"/>
  <c r="D4" i="6"/>
  <c r="G4" i="6" s="1"/>
  <c r="G5" i="6"/>
  <c r="G6" i="6"/>
  <c r="G7" i="6"/>
  <c r="G8" i="6"/>
  <c r="G9" i="6"/>
  <c r="G10" i="6"/>
  <c r="G11" i="6"/>
  <c r="G12" i="6"/>
  <c r="G13" i="6"/>
  <c r="G14" i="6"/>
  <c r="G15" i="6"/>
  <c r="G16" i="6"/>
  <c r="G17" i="6"/>
  <c r="G18" i="6"/>
  <c r="G19" i="6"/>
  <c r="G3" i="6"/>
  <c r="E4" i="6"/>
  <c r="E5" i="6"/>
  <c r="D5" i="6" s="1"/>
  <c r="E6" i="6"/>
  <c r="D6" i="6" s="1"/>
  <c r="E7" i="6"/>
  <c r="D7" i="6" s="1"/>
  <c r="E8" i="6"/>
  <c r="D8" i="6" s="1"/>
  <c r="E9" i="6"/>
  <c r="D9" i="6" s="1"/>
  <c r="E10" i="6"/>
  <c r="D10" i="6" s="1"/>
  <c r="E11" i="6"/>
  <c r="D11" i="6" s="1"/>
  <c r="E12" i="6"/>
  <c r="D12" i="6" s="1"/>
  <c r="E13" i="6"/>
  <c r="D13" i="6" s="1"/>
  <c r="E14" i="6"/>
  <c r="D14" i="6" s="1"/>
  <c r="E15" i="6"/>
  <c r="D15" i="6" s="1"/>
  <c r="E16" i="6"/>
  <c r="D16" i="6" s="1"/>
  <c r="E17" i="6"/>
  <c r="D17" i="6" s="1"/>
  <c r="E18" i="6"/>
  <c r="D18" i="6" s="1"/>
  <c r="E19" i="6"/>
  <c r="D19" i="6" s="1"/>
  <c r="G235" i="1"/>
  <c r="F235" i="1" s="1"/>
  <c r="G101" i="1"/>
  <c r="C249" i="1" l="1"/>
  <c r="C248" i="1"/>
  <c r="C247" i="1"/>
  <c r="C246" i="1"/>
  <c r="C245" i="1"/>
  <c r="C244" i="1"/>
  <c r="C243" i="1"/>
  <c r="C242" i="1"/>
  <c r="C241" i="1"/>
  <c r="C240" i="1"/>
  <c r="C239" i="1"/>
  <c r="C238" i="1"/>
  <c r="C237" i="1"/>
  <c r="C236" i="1"/>
  <c r="C235" i="1"/>
  <c r="C234" i="1"/>
  <c r="C233" i="1"/>
  <c r="C232" i="1"/>
  <c r="C231" i="1"/>
  <c r="C230" i="1"/>
  <c r="C229" i="1"/>
  <c r="C228" i="1"/>
  <c r="C227" i="1"/>
  <c r="C226" i="1"/>
  <c r="C225" i="1"/>
  <c r="C224" i="1"/>
  <c r="C223" i="1"/>
  <c r="C222" i="1"/>
  <c r="C221" i="1"/>
  <c r="C220" i="1"/>
  <c r="C219" i="1"/>
  <c r="C218" i="1"/>
  <c r="C217" i="1"/>
  <c r="C216" i="1"/>
  <c r="C215" i="1"/>
  <c r="C214" i="1"/>
  <c r="C213" i="1"/>
  <c r="C212" i="1"/>
  <c r="C211" i="1"/>
  <c r="C210" i="1"/>
  <c r="C209" i="1"/>
  <c r="C208" i="1"/>
  <c r="C207" i="1"/>
  <c r="C206" i="1"/>
  <c r="C205" i="1"/>
  <c r="C204" i="1"/>
  <c r="C203" i="1"/>
  <c r="C202" i="1"/>
  <c r="C201" i="1"/>
  <c r="C200" i="1"/>
  <c r="C199" i="1"/>
  <c r="C198" i="1"/>
  <c r="C197" i="1"/>
  <c r="C196" i="1"/>
  <c r="C195" i="1"/>
  <c r="C194" i="1"/>
  <c r="C193" i="1"/>
  <c r="C192" i="1"/>
  <c r="C191" i="1"/>
  <c r="C190" i="1"/>
  <c r="C189" i="1"/>
  <c r="C188" i="1"/>
  <c r="C187" i="1"/>
  <c r="C186" i="1"/>
  <c r="C185" i="1"/>
  <c r="C184" i="1"/>
  <c r="C183" i="1"/>
  <c r="C182" i="1"/>
  <c r="C181" i="1"/>
  <c r="C180" i="1"/>
  <c r="C179" i="1"/>
  <c r="C178" i="1"/>
  <c r="C177" i="1"/>
  <c r="C176" i="1"/>
  <c r="C175" i="1"/>
  <c r="C174" i="1"/>
  <c r="C173" i="1"/>
  <c r="C172" i="1"/>
  <c r="C171" i="1"/>
  <c r="C170" i="1"/>
  <c r="C169" i="1"/>
  <c r="C168" i="1"/>
  <c r="C167" i="1"/>
  <c r="C166" i="1"/>
  <c r="C165" i="1"/>
  <c r="C164" i="1"/>
  <c r="C163" i="1"/>
  <c r="C162" i="1"/>
  <c r="C161" i="1"/>
  <c r="C160" i="1"/>
  <c r="C159" i="1"/>
  <c r="C158" i="1"/>
  <c r="C157" i="1"/>
  <c r="C156" i="1"/>
  <c r="C155" i="1"/>
  <c r="C154" i="1"/>
  <c r="C153" i="1"/>
  <c r="C152" i="1"/>
  <c r="C151" i="1"/>
  <c r="C150" i="1"/>
  <c r="C149" i="1"/>
  <c r="C148" i="1"/>
  <c r="C147" i="1"/>
  <c r="C146" i="1"/>
  <c r="C145" i="1"/>
  <c r="C144" i="1"/>
  <c r="C143" i="1"/>
  <c r="C142" i="1"/>
  <c r="C141" i="1"/>
  <c r="C140" i="1"/>
  <c r="C139" i="1"/>
  <c r="C138" i="1"/>
  <c r="C137" i="1"/>
  <c r="C136" i="1"/>
  <c r="C135" i="1"/>
  <c r="C134" i="1"/>
  <c r="C133" i="1"/>
  <c r="C132" i="1"/>
  <c r="C131" i="1"/>
  <c r="C130" i="1"/>
  <c r="C129" i="1"/>
  <c r="C128" i="1"/>
  <c r="C127" i="1"/>
  <c r="C126" i="1"/>
  <c r="C125" i="1"/>
  <c r="C124" i="1"/>
  <c r="C123" i="1"/>
  <c r="C122" i="1"/>
  <c r="C121" i="1"/>
  <c r="C120" i="1"/>
  <c r="C119" i="1"/>
  <c r="C118" i="1"/>
  <c r="C117" i="1"/>
  <c r="C116" i="1"/>
  <c r="C115" i="1"/>
  <c r="C114" i="1"/>
  <c r="C113" i="1"/>
  <c r="C112" i="1"/>
  <c r="C111" i="1"/>
  <c r="C110" i="1"/>
  <c r="C109" i="1"/>
  <c r="C108" i="1"/>
  <c r="C107" i="1"/>
  <c r="C106" i="1"/>
  <c r="C105" i="1"/>
  <c r="C104" i="1"/>
  <c r="C103" i="1"/>
  <c r="C102" i="1"/>
  <c r="C101" i="1"/>
  <c r="C100" i="1"/>
  <c r="C99" i="1"/>
  <c r="C98" i="1"/>
  <c r="C97" i="1"/>
  <c r="C96" i="1"/>
  <c r="C95" i="1"/>
  <c r="C94" i="1"/>
  <c r="C93" i="1"/>
  <c r="C92" i="1"/>
  <c r="C91" i="1"/>
  <c r="C90" i="1"/>
  <c r="C89" i="1"/>
  <c r="C88" i="1"/>
  <c r="C87" i="1"/>
  <c r="C86" i="1"/>
  <c r="C85" i="1"/>
  <c r="C84" i="1"/>
  <c r="C83" i="1"/>
  <c r="C82" i="1"/>
  <c r="C81" i="1"/>
  <c r="C80" i="1"/>
  <c r="C79" i="1"/>
  <c r="C78" i="1"/>
  <c r="C77" i="1"/>
  <c r="C76" i="1"/>
  <c r="C75" i="1"/>
  <c r="C74" i="1"/>
  <c r="C73" i="1"/>
  <c r="C72" i="1"/>
  <c r="C71" i="1"/>
  <c r="C70" i="1"/>
  <c r="C69" i="1"/>
  <c r="C68" i="1"/>
  <c r="C67" i="1"/>
  <c r="C66" i="1"/>
  <c r="C65" i="1"/>
  <c r="C64" i="1"/>
  <c r="C63" i="1"/>
  <c r="C62" i="1"/>
  <c r="C61" i="1"/>
  <c r="C60" i="1"/>
  <c r="C59" i="1"/>
  <c r="C58" i="1"/>
  <c r="C57" i="1"/>
  <c r="C56" i="1"/>
  <c r="C55" i="1"/>
  <c r="C54" i="1"/>
  <c r="C53" i="1"/>
  <c r="C52" i="1"/>
  <c r="C51" i="1"/>
  <c r="C50" i="1"/>
  <c r="C49" i="1"/>
  <c r="C48" i="1"/>
  <c r="C47" i="1"/>
  <c r="C46" i="1"/>
  <c r="C45" i="1"/>
  <c r="C44" i="1"/>
  <c r="C43" i="1"/>
  <c r="C42" i="1"/>
  <c r="C41" i="1"/>
  <c r="C40" i="1"/>
  <c r="C39" i="1"/>
  <c r="C38" i="1"/>
  <c r="C37" i="1"/>
  <c r="C36" i="1"/>
  <c r="C35" i="1"/>
  <c r="C34" i="1"/>
  <c r="C33" i="1"/>
  <c r="C32" i="1"/>
  <c r="C31" i="1"/>
  <c r="C30" i="1"/>
  <c r="C29" i="1"/>
  <c r="C28" i="1"/>
  <c r="C27" i="1"/>
  <c r="C26" i="1"/>
  <c r="C25" i="1"/>
  <c r="C24" i="1"/>
  <c r="C23" i="1"/>
  <c r="C22" i="1"/>
  <c r="C21" i="1"/>
  <c r="C20" i="1"/>
  <c r="C19" i="1"/>
  <c r="C18" i="1"/>
  <c r="C17" i="1"/>
  <c r="C16" i="1"/>
  <c r="C15" i="1"/>
  <c r="C14" i="1"/>
  <c r="C13" i="1"/>
  <c r="C12" i="1"/>
  <c r="C11" i="1"/>
  <c r="C10" i="1"/>
  <c r="C9" i="1"/>
  <c r="C8" i="1"/>
  <c r="C7" i="1"/>
  <c r="C6" i="1"/>
  <c r="C5" i="1"/>
  <c r="C4" i="1"/>
  <c r="F206" i="1"/>
  <c r="F101" i="1"/>
  <c r="G149" i="1"/>
  <c r="F149" i="1" s="1"/>
  <c r="G150" i="1"/>
  <c r="F150" i="1" s="1"/>
  <c r="G151" i="1"/>
  <c r="F151" i="1" s="1"/>
  <c r="G152" i="1"/>
  <c r="F152" i="1" s="1"/>
  <c r="G153" i="1"/>
  <c r="F153" i="1" s="1"/>
  <c r="G154" i="1"/>
  <c r="F154" i="1" s="1"/>
  <c r="G155" i="1"/>
  <c r="F155" i="1" s="1"/>
  <c r="G156" i="1"/>
  <c r="F156" i="1" s="1"/>
  <c r="G157" i="1"/>
  <c r="F157" i="1" s="1"/>
  <c r="G158" i="1"/>
  <c r="F158" i="1" s="1"/>
  <c r="G159" i="1"/>
  <c r="F159" i="1" s="1"/>
  <c r="G160" i="1"/>
  <c r="F160" i="1" s="1"/>
  <c r="G161" i="1"/>
  <c r="F161" i="1" s="1"/>
  <c r="G162" i="1"/>
  <c r="F162" i="1" s="1"/>
  <c r="G163" i="1"/>
  <c r="F163" i="1" s="1"/>
  <c r="G164" i="1"/>
  <c r="F164" i="1" s="1"/>
  <c r="G165" i="1"/>
  <c r="F165" i="1" s="1"/>
  <c r="G166" i="1"/>
  <c r="F166" i="1" s="1"/>
  <c r="G167" i="1"/>
  <c r="F167" i="1" s="1"/>
  <c r="G168" i="1"/>
  <c r="F168" i="1" s="1"/>
  <c r="G169" i="1"/>
  <c r="F169" i="1" s="1"/>
  <c r="G170" i="1"/>
  <c r="F170" i="1" s="1"/>
  <c r="G171" i="1"/>
  <c r="F171" i="1" s="1"/>
  <c r="G172" i="1"/>
  <c r="F172" i="1" s="1"/>
  <c r="G173" i="1"/>
  <c r="F173" i="1" s="1"/>
  <c r="G174" i="1"/>
  <c r="F174" i="1" s="1"/>
  <c r="G175" i="1"/>
  <c r="F175" i="1" s="1"/>
  <c r="G176" i="1"/>
  <c r="F176" i="1" s="1"/>
  <c r="G177" i="1"/>
  <c r="F177" i="1" s="1"/>
  <c r="G178" i="1"/>
  <c r="F178" i="1" s="1"/>
  <c r="G179" i="1"/>
  <c r="F179" i="1" s="1"/>
  <c r="G180" i="1"/>
  <c r="F180" i="1" s="1"/>
  <c r="G181" i="1"/>
  <c r="F181" i="1" s="1"/>
  <c r="G182" i="1"/>
  <c r="F182" i="1" s="1"/>
  <c r="G183" i="1"/>
  <c r="F183" i="1" s="1"/>
  <c r="G184" i="1"/>
  <c r="F184" i="1" s="1"/>
  <c r="G185" i="1"/>
  <c r="F185" i="1" s="1"/>
  <c r="G186" i="1"/>
  <c r="F186" i="1" s="1"/>
  <c r="G187" i="1"/>
  <c r="F187" i="1" s="1"/>
  <c r="G188" i="1"/>
  <c r="F188" i="1" s="1"/>
  <c r="G189" i="1"/>
  <c r="F189" i="1" s="1"/>
  <c r="G190" i="1"/>
  <c r="F190" i="1" s="1"/>
  <c r="G191" i="1"/>
  <c r="F191" i="1" s="1"/>
  <c r="G192" i="1"/>
  <c r="F192" i="1" s="1"/>
  <c r="G193" i="1"/>
  <c r="F193" i="1" s="1"/>
  <c r="G194" i="1"/>
  <c r="F194" i="1" s="1"/>
  <c r="G195" i="1"/>
  <c r="F195" i="1" s="1"/>
  <c r="G196" i="1"/>
  <c r="F196" i="1" s="1"/>
  <c r="G197" i="1"/>
  <c r="F197" i="1" s="1"/>
  <c r="G198" i="1"/>
  <c r="F198" i="1" s="1"/>
  <c r="G199" i="1"/>
  <c r="F199" i="1" s="1"/>
  <c r="G200" i="1"/>
  <c r="F200" i="1" s="1"/>
  <c r="G201" i="1"/>
  <c r="F201" i="1" s="1"/>
  <c r="G202" i="1"/>
  <c r="F202" i="1" s="1"/>
  <c r="G203" i="1"/>
  <c r="F203" i="1" s="1"/>
  <c r="G204" i="1"/>
  <c r="F204" i="1" s="1"/>
  <c r="G205" i="1"/>
  <c r="F205" i="1" s="1"/>
  <c r="G207" i="1"/>
  <c r="F207" i="1" s="1"/>
  <c r="G208" i="1"/>
  <c r="F208" i="1" s="1"/>
  <c r="G209" i="1"/>
  <c r="F209" i="1" s="1"/>
  <c r="G210" i="1"/>
  <c r="F210" i="1" s="1"/>
  <c r="G211" i="1"/>
  <c r="F211" i="1" s="1"/>
  <c r="G212" i="1"/>
  <c r="F212" i="1" s="1"/>
  <c r="G213" i="1"/>
  <c r="F213" i="1" s="1"/>
  <c r="G214" i="1"/>
  <c r="F214" i="1" s="1"/>
  <c r="G215" i="1"/>
  <c r="F215" i="1" s="1"/>
  <c r="G216" i="1"/>
  <c r="F216" i="1" s="1"/>
  <c r="G217" i="1"/>
  <c r="F217" i="1" s="1"/>
  <c r="G218" i="1"/>
  <c r="F218" i="1" s="1"/>
  <c r="G219" i="1"/>
  <c r="F219" i="1" s="1"/>
  <c r="G220" i="1"/>
  <c r="F220" i="1" s="1"/>
  <c r="G221" i="1"/>
  <c r="F221" i="1" s="1"/>
  <c r="G222" i="1"/>
  <c r="F222" i="1" s="1"/>
  <c r="G223" i="1"/>
  <c r="F223" i="1" s="1"/>
  <c r="G224" i="1"/>
  <c r="F224" i="1" s="1"/>
  <c r="G225" i="1"/>
  <c r="F225" i="1" s="1"/>
  <c r="G226" i="1"/>
  <c r="F226" i="1" s="1"/>
  <c r="G227" i="1"/>
  <c r="F227" i="1" s="1"/>
  <c r="G228" i="1"/>
  <c r="F228" i="1" s="1"/>
  <c r="G229" i="1"/>
  <c r="F229" i="1" s="1"/>
  <c r="G230" i="1"/>
  <c r="F230" i="1" s="1"/>
  <c r="G231" i="1"/>
  <c r="F231" i="1" s="1"/>
  <c r="G232" i="1"/>
  <c r="F232" i="1" s="1"/>
  <c r="G233" i="1"/>
  <c r="F233" i="1" s="1"/>
  <c r="G234" i="1"/>
  <c r="F234" i="1" s="1"/>
  <c r="G236" i="1"/>
  <c r="F236" i="1" s="1"/>
  <c r="G237" i="1"/>
  <c r="F237" i="1" s="1"/>
  <c r="G238" i="1"/>
  <c r="F238" i="1" s="1"/>
  <c r="G239" i="1"/>
  <c r="F239" i="1" s="1"/>
  <c r="G240" i="1"/>
  <c r="F240" i="1" s="1"/>
  <c r="G241" i="1"/>
  <c r="F241" i="1" s="1"/>
  <c r="G242" i="1"/>
  <c r="F242" i="1" s="1"/>
  <c r="G243" i="1"/>
  <c r="F243" i="1" s="1"/>
  <c r="G244" i="1"/>
  <c r="F244" i="1" s="1"/>
  <c r="G245" i="1"/>
  <c r="F245" i="1" s="1"/>
  <c r="G246" i="1"/>
  <c r="F246" i="1" s="1"/>
  <c r="G247" i="1"/>
  <c r="F247" i="1" s="1"/>
  <c r="G248" i="1"/>
  <c r="F248" i="1" s="1"/>
  <c r="G249" i="1"/>
  <c r="F249" i="1" s="1"/>
  <c r="E3" i="6" l="1"/>
  <c r="D3" i="6" s="1"/>
  <c r="G7" i="1"/>
  <c r="F7" i="1" s="1"/>
  <c r="G8" i="1"/>
  <c r="F8" i="1" s="1"/>
  <c r="G9" i="1"/>
  <c r="F9" i="1" s="1"/>
  <c r="G10" i="1"/>
  <c r="F10" i="1" s="1"/>
  <c r="G11" i="1"/>
  <c r="F11" i="1" s="1"/>
  <c r="G12" i="1"/>
  <c r="F12" i="1" s="1"/>
  <c r="G13" i="1"/>
  <c r="F13" i="1" s="1"/>
  <c r="G14" i="1"/>
  <c r="F14" i="1" s="1"/>
  <c r="G15" i="1"/>
  <c r="F15" i="1" s="1"/>
  <c r="G16" i="1"/>
  <c r="F16" i="1" s="1"/>
  <c r="G17" i="1"/>
  <c r="F17" i="1" s="1"/>
  <c r="G18" i="1"/>
  <c r="F18" i="1" s="1"/>
  <c r="G19" i="1"/>
  <c r="F19" i="1" s="1"/>
  <c r="G20" i="1"/>
  <c r="F20" i="1" s="1"/>
  <c r="G21" i="1"/>
  <c r="F21" i="1" s="1"/>
  <c r="G22" i="1"/>
  <c r="F22" i="1" s="1"/>
  <c r="G23" i="1"/>
  <c r="F23" i="1" s="1"/>
  <c r="G24" i="1"/>
  <c r="F24" i="1" s="1"/>
  <c r="G25" i="1"/>
  <c r="F25" i="1" s="1"/>
  <c r="G26" i="1"/>
  <c r="F26" i="1" s="1"/>
  <c r="G27" i="1"/>
  <c r="F27" i="1" s="1"/>
  <c r="G28" i="1"/>
  <c r="F28" i="1" s="1"/>
  <c r="G29" i="1"/>
  <c r="F29" i="1" s="1"/>
  <c r="G30" i="1"/>
  <c r="F30" i="1" s="1"/>
  <c r="G31" i="1"/>
  <c r="F31" i="1" s="1"/>
  <c r="G32" i="1"/>
  <c r="F32" i="1" s="1"/>
  <c r="G33" i="1"/>
  <c r="F33" i="1" s="1"/>
  <c r="G34" i="1"/>
  <c r="F34" i="1" s="1"/>
  <c r="G35" i="1"/>
  <c r="F35" i="1" s="1"/>
  <c r="G36" i="1"/>
  <c r="F36" i="1" s="1"/>
  <c r="G37" i="1"/>
  <c r="F37" i="1" s="1"/>
  <c r="G38" i="1"/>
  <c r="F38" i="1" s="1"/>
  <c r="G39" i="1"/>
  <c r="F39" i="1" s="1"/>
  <c r="G40" i="1"/>
  <c r="F40" i="1" s="1"/>
  <c r="G41" i="1"/>
  <c r="F41" i="1" s="1"/>
  <c r="G42" i="1"/>
  <c r="F42" i="1" s="1"/>
  <c r="G43" i="1"/>
  <c r="F43" i="1" s="1"/>
  <c r="G44" i="1"/>
  <c r="F44" i="1" s="1"/>
  <c r="G45" i="1"/>
  <c r="F45" i="1" s="1"/>
  <c r="G46" i="1"/>
  <c r="F46" i="1" s="1"/>
  <c r="G47" i="1"/>
  <c r="F47" i="1" s="1"/>
  <c r="G48" i="1"/>
  <c r="F48" i="1" s="1"/>
  <c r="G49" i="1"/>
  <c r="F49" i="1" s="1"/>
  <c r="G50" i="1"/>
  <c r="F50" i="1" s="1"/>
  <c r="G51" i="1"/>
  <c r="F51" i="1" s="1"/>
  <c r="G52" i="1"/>
  <c r="F52" i="1" s="1"/>
  <c r="G53" i="1"/>
  <c r="F53" i="1" s="1"/>
  <c r="G54" i="1"/>
  <c r="F54" i="1" s="1"/>
  <c r="G55" i="1"/>
  <c r="F55" i="1" s="1"/>
  <c r="G56" i="1"/>
  <c r="F56" i="1" s="1"/>
  <c r="G57" i="1"/>
  <c r="F57" i="1" s="1"/>
  <c r="G58" i="1"/>
  <c r="F58" i="1" s="1"/>
  <c r="G59" i="1"/>
  <c r="F59" i="1" s="1"/>
  <c r="G60" i="1"/>
  <c r="F60" i="1" s="1"/>
  <c r="G61" i="1"/>
  <c r="F61" i="1" s="1"/>
  <c r="G62" i="1"/>
  <c r="F62" i="1" s="1"/>
  <c r="G63" i="1"/>
  <c r="F63" i="1" s="1"/>
  <c r="G64" i="1"/>
  <c r="F64" i="1" s="1"/>
  <c r="G65" i="1"/>
  <c r="F65" i="1" s="1"/>
  <c r="G66" i="1"/>
  <c r="F66" i="1" s="1"/>
  <c r="G67" i="1"/>
  <c r="F67" i="1" s="1"/>
  <c r="G68" i="1"/>
  <c r="F68" i="1" s="1"/>
  <c r="G69" i="1"/>
  <c r="F69" i="1" s="1"/>
  <c r="G70" i="1"/>
  <c r="F70" i="1" s="1"/>
  <c r="G71" i="1"/>
  <c r="F71" i="1" s="1"/>
  <c r="G72" i="1"/>
  <c r="F72" i="1" s="1"/>
  <c r="G73" i="1"/>
  <c r="F73" i="1" s="1"/>
  <c r="G74" i="1"/>
  <c r="F74" i="1" s="1"/>
  <c r="G75" i="1"/>
  <c r="F75" i="1" s="1"/>
  <c r="G76" i="1"/>
  <c r="F76" i="1" s="1"/>
  <c r="G77" i="1"/>
  <c r="F77" i="1" s="1"/>
  <c r="G78" i="1"/>
  <c r="F78" i="1" s="1"/>
  <c r="G79" i="1"/>
  <c r="F79" i="1" s="1"/>
  <c r="G80" i="1"/>
  <c r="F80" i="1" s="1"/>
  <c r="G81" i="1"/>
  <c r="F81" i="1" s="1"/>
  <c r="G82" i="1"/>
  <c r="F82" i="1" s="1"/>
  <c r="G83" i="1"/>
  <c r="F83" i="1" s="1"/>
  <c r="G84" i="1"/>
  <c r="F84" i="1" s="1"/>
  <c r="G85" i="1"/>
  <c r="F85" i="1" s="1"/>
  <c r="G86" i="1"/>
  <c r="F86" i="1" s="1"/>
  <c r="G87" i="1"/>
  <c r="F87" i="1" s="1"/>
  <c r="G88" i="1"/>
  <c r="F88" i="1" s="1"/>
  <c r="G89" i="1"/>
  <c r="F89" i="1" s="1"/>
  <c r="G90" i="1"/>
  <c r="F90" i="1" s="1"/>
  <c r="G91" i="1"/>
  <c r="F91" i="1" s="1"/>
  <c r="G92" i="1"/>
  <c r="F92" i="1" s="1"/>
  <c r="G93" i="1"/>
  <c r="F93" i="1" s="1"/>
  <c r="G94" i="1"/>
  <c r="F94" i="1" s="1"/>
  <c r="G95" i="1"/>
  <c r="F95" i="1" s="1"/>
  <c r="G96" i="1"/>
  <c r="F96" i="1" s="1"/>
  <c r="G97" i="1"/>
  <c r="F97" i="1" s="1"/>
  <c r="G98" i="1"/>
  <c r="F98" i="1" s="1"/>
  <c r="G99" i="1"/>
  <c r="F99" i="1" s="1"/>
  <c r="G100" i="1"/>
  <c r="F100" i="1" s="1"/>
  <c r="G102" i="1"/>
  <c r="F102" i="1" s="1"/>
  <c r="G103" i="1"/>
  <c r="F103" i="1" s="1"/>
  <c r="G104" i="1"/>
  <c r="F104" i="1" s="1"/>
  <c r="G105" i="1"/>
  <c r="F105" i="1" s="1"/>
  <c r="G106" i="1"/>
  <c r="F106" i="1" s="1"/>
  <c r="G107" i="1"/>
  <c r="F107" i="1" s="1"/>
  <c r="G108" i="1"/>
  <c r="F108" i="1" s="1"/>
  <c r="G109" i="1"/>
  <c r="F109" i="1" s="1"/>
  <c r="G110" i="1"/>
  <c r="F110" i="1" s="1"/>
  <c r="G111" i="1"/>
  <c r="F111" i="1" s="1"/>
  <c r="G112" i="1"/>
  <c r="F112" i="1" s="1"/>
  <c r="G113" i="1"/>
  <c r="F113" i="1" s="1"/>
  <c r="G114" i="1"/>
  <c r="F114" i="1" s="1"/>
  <c r="G115" i="1"/>
  <c r="F115" i="1" s="1"/>
  <c r="G116" i="1"/>
  <c r="F116" i="1" s="1"/>
  <c r="G117" i="1"/>
  <c r="F117" i="1" s="1"/>
  <c r="G118" i="1"/>
  <c r="F118" i="1" s="1"/>
  <c r="G119" i="1"/>
  <c r="F119" i="1" s="1"/>
  <c r="G120" i="1"/>
  <c r="F120" i="1" s="1"/>
  <c r="G121" i="1"/>
  <c r="F121" i="1" s="1"/>
  <c r="G122" i="1"/>
  <c r="F122" i="1" s="1"/>
  <c r="G123" i="1"/>
  <c r="F123" i="1" s="1"/>
  <c r="G124" i="1"/>
  <c r="F124" i="1" s="1"/>
  <c r="G125" i="1"/>
  <c r="F125" i="1" s="1"/>
  <c r="G126" i="1"/>
  <c r="F126" i="1" s="1"/>
  <c r="G127" i="1"/>
  <c r="F127" i="1" s="1"/>
  <c r="G128" i="1"/>
  <c r="F128" i="1" s="1"/>
  <c r="G129" i="1"/>
  <c r="F129" i="1" s="1"/>
  <c r="G130" i="1"/>
  <c r="F130" i="1" s="1"/>
  <c r="G131" i="1"/>
  <c r="F131" i="1" s="1"/>
  <c r="G132" i="1"/>
  <c r="F132" i="1" s="1"/>
  <c r="G133" i="1"/>
  <c r="F133" i="1" s="1"/>
  <c r="G134" i="1"/>
  <c r="F134" i="1" s="1"/>
  <c r="G135" i="1"/>
  <c r="F135" i="1" s="1"/>
  <c r="G136" i="1"/>
  <c r="F136" i="1" s="1"/>
  <c r="G137" i="1"/>
  <c r="F137" i="1" s="1"/>
  <c r="G138" i="1"/>
  <c r="F138" i="1" s="1"/>
  <c r="G139" i="1"/>
  <c r="F139" i="1" s="1"/>
  <c r="G140" i="1"/>
  <c r="F140" i="1" s="1"/>
  <c r="G141" i="1"/>
  <c r="F141" i="1" s="1"/>
  <c r="G142" i="1"/>
  <c r="F142" i="1" s="1"/>
  <c r="G143" i="1"/>
  <c r="F143" i="1" s="1"/>
  <c r="G144" i="1"/>
  <c r="F144" i="1" s="1"/>
  <c r="G145" i="1"/>
  <c r="F145" i="1" s="1"/>
  <c r="G146" i="1"/>
  <c r="F146" i="1" s="1"/>
  <c r="G147" i="1"/>
  <c r="F147" i="1" s="1"/>
  <c r="G148" i="1"/>
  <c r="F148" i="1" s="1"/>
  <c r="D4" i="5"/>
  <c r="C4" i="5" s="1"/>
  <c r="D5" i="5"/>
  <c r="C5" i="5" s="1"/>
  <c r="D6" i="5"/>
  <c r="C6" i="5" s="1"/>
  <c r="D3" i="5"/>
  <c r="C3" i="5" s="1"/>
  <c r="G6" i="1"/>
  <c r="F6" i="1" s="1"/>
  <c r="G5" i="1"/>
  <c r="F5" i="1" s="1"/>
  <c r="A4" i="2"/>
  <c r="A5" i="2" s="1"/>
  <c r="B4" i="2" s="1"/>
  <c r="A6" i="2" l="1"/>
  <c r="B6" i="2" l="1"/>
  <c r="A7" i="2"/>
  <c r="A8" i="2" l="1"/>
  <c r="B7" i="2"/>
  <c r="A9" i="2" l="1"/>
  <c r="B8" i="2"/>
  <c r="A10" i="2" l="1"/>
  <c r="B10" i="2" s="1"/>
  <c r="B9" i="2"/>
  <c r="A11" i="2" l="1"/>
  <c r="B5" i="2"/>
  <c r="A12" i="2" l="1"/>
  <c r="B11" i="2"/>
  <c r="A13" i="2" l="1"/>
  <c r="B12" i="2"/>
  <c r="A14" i="2" l="1"/>
  <c r="B13" i="2"/>
  <c r="A15" i="2" l="1"/>
  <c r="B14" i="2"/>
  <c r="A16" i="2" l="1"/>
  <c r="B15" i="2"/>
  <c r="A17" i="2" l="1"/>
  <c r="B16" i="2"/>
  <c r="A18" i="2" l="1"/>
  <c r="B17" i="2"/>
  <c r="A19" i="2" l="1"/>
  <c r="B18" i="2"/>
  <c r="A20" i="2" l="1"/>
  <c r="B19" i="2"/>
  <c r="A21" i="2" l="1"/>
  <c r="B20" i="2"/>
  <c r="A22" i="2" l="1"/>
  <c r="B21" i="2"/>
  <c r="A23" i="2" l="1"/>
  <c r="B22" i="2"/>
  <c r="A24" i="2" l="1"/>
  <c r="B23" i="2"/>
  <c r="A25" i="2" l="1"/>
  <c r="B24" i="2"/>
  <c r="A26" i="2" l="1"/>
  <c r="B25" i="2"/>
  <c r="A27" i="2" l="1"/>
  <c r="B26" i="2"/>
  <c r="A28" i="2" l="1"/>
  <c r="B27" i="2"/>
  <c r="A29" i="2" l="1"/>
  <c r="B28" i="2"/>
  <c r="A30" i="2" l="1"/>
  <c r="B29" i="2"/>
  <c r="A31" i="2" l="1"/>
  <c r="B30" i="2"/>
  <c r="A32" i="2" l="1"/>
  <c r="B31" i="2"/>
  <c r="A33" i="2" l="1"/>
  <c r="B32" i="2"/>
  <c r="A34" i="2" l="1"/>
  <c r="B33" i="2"/>
  <c r="A35" i="2" l="1"/>
  <c r="B34" i="2"/>
  <c r="A36" i="2" l="1"/>
  <c r="B35" i="2"/>
  <c r="A37" i="2" l="1"/>
  <c r="B36" i="2"/>
  <c r="A38" i="2" l="1"/>
  <c r="B37" i="2"/>
  <c r="A39" i="2" l="1"/>
  <c r="B38" i="2"/>
  <c r="A40" i="2" l="1"/>
  <c r="B39" i="2"/>
  <c r="A41" i="2" l="1"/>
  <c r="B40" i="2"/>
  <c r="A42" i="2" l="1"/>
  <c r="B41" i="2"/>
  <c r="A43" i="2" l="1"/>
  <c r="B42" i="2"/>
  <c r="A44" i="2" l="1"/>
  <c r="B43" i="2"/>
  <c r="A45" i="2" l="1"/>
  <c r="B44" i="2"/>
  <c r="A46" i="2" l="1"/>
  <c r="B45" i="2"/>
  <c r="A47" i="2" l="1"/>
  <c r="B46" i="2"/>
  <c r="A48" i="2" l="1"/>
  <c r="B47" i="2"/>
  <c r="A49" i="2" l="1"/>
  <c r="B48" i="2"/>
  <c r="A50" i="2" l="1"/>
  <c r="B49" i="2"/>
  <c r="A51" i="2" l="1"/>
  <c r="B50" i="2"/>
  <c r="A52" i="2" l="1"/>
  <c r="B51" i="2"/>
  <c r="A53" i="2" l="1"/>
  <c r="B52" i="2"/>
  <c r="A54" i="2" l="1"/>
  <c r="B53" i="2"/>
  <c r="A55" i="2" l="1"/>
  <c r="B54" i="2"/>
  <c r="A56" i="2" l="1"/>
  <c r="B55" i="2"/>
  <c r="A57" i="2" l="1"/>
  <c r="B56" i="2"/>
  <c r="A58" i="2" l="1"/>
  <c r="B57" i="2"/>
  <c r="A59" i="2" l="1"/>
  <c r="B58" i="2"/>
  <c r="A60" i="2" l="1"/>
  <c r="B59" i="2"/>
  <c r="A61" i="2" l="1"/>
  <c r="B60" i="2"/>
  <c r="A62" i="2" l="1"/>
  <c r="B61" i="2"/>
  <c r="A63" i="2" l="1"/>
  <c r="B62" i="2"/>
  <c r="A64" i="2" l="1"/>
  <c r="B63" i="2"/>
  <c r="A65" i="2" l="1"/>
  <c r="B64" i="2"/>
  <c r="A66" i="2" l="1"/>
  <c r="B65" i="2"/>
  <c r="A67" i="2" l="1"/>
  <c r="B66" i="2"/>
  <c r="A68" i="2" l="1"/>
  <c r="B67" i="2"/>
  <c r="A69" i="2" l="1"/>
  <c r="B68" i="2"/>
  <c r="A70" i="2" l="1"/>
  <c r="B69" i="2"/>
  <c r="A71" i="2" l="1"/>
  <c r="B70" i="2"/>
  <c r="A72" i="2" l="1"/>
  <c r="B71" i="2"/>
  <c r="A73" i="2" l="1"/>
  <c r="B72" i="2"/>
  <c r="A74" i="2" l="1"/>
  <c r="B73" i="2"/>
  <c r="A75" i="2" l="1"/>
  <c r="B74" i="2"/>
  <c r="A76" i="2" l="1"/>
  <c r="B75" i="2"/>
  <c r="A77" i="2" l="1"/>
  <c r="B76" i="2"/>
  <c r="A78" i="2" l="1"/>
  <c r="B77" i="2"/>
  <c r="A79" i="2" l="1"/>
  <c r="B78" i="2"/>
  <c r="C18" i="2" l="1"/>
  <c r="C20" i="2"/>
  <c r="C19" i="2"/>
  <c r="C22" i="2"/>
  <c r="C24" i="2"/>
  <c r="C21" i="2"/>
  <c r="C23" i="2"/>
  <c r="C25" i="2"/>
  <c r="C26" i="2"/>
  <c r="C27" i="2"/>
  <c r="C28" i="2"/>
  <c r="C29" i="2"/>
  <c r="C30" i="2"/>
  <c r="C32" i="2"/>
  <c r="C31" i="2"/>
  <c r="C33" i="2"/>
  <c r="C35" i="2"/>
  <c r="C34" i="2"/>
  <c r="C37" i="2"/>
  <c r="C36" i="2"/>
  <c r="C38" i="2"/>
  <c r="C39" i="2"/>
  <c r="C40" i="2"/>
  <c r="C41" i="2"/>
  <c r="C43" i="2"/>
  <c r="C42" i="2"/>
  <c r="C46" i="2"/>
  <c r="C44" i="2"/>
  <c r="C45" i="2"/>
  <c r="C47" i="2"/>
  <c r="C48" i="2"/>
  <c r="C49" i="2"/>
  <c r="C50" i="2"/>
  <c r="C51" i="2"/>
  <c r="C52" i="2"/>
  <c r="C53" i="2"/>
  <c r="C54" i="2"/>
  <c r="C56" i="2"/>
  <c r="C58" i="2"/>
  <c r="C55" i="2"/>
  <c r="C60" i="2"/>
  <c r="C57" i="2"/>
  <c r="C59" i="2"/>
  <c r="C64" i="2"/>
  <c r="C62" i="2"/>
  <c r="C61" i="2"/>
  <c r="C63" i="2"/>
  <c r="C66" i="2"/>
  <c r="C65" i="2"/>
  <c r="C68" i="2"/>
  <c r="C67" i="2"/>
  <c r="C70" i="2"/>
  <c r="C69" i="2"/>
  <c r="C72" i="2"/>
  <c r="C75" i="2"/>
  <c r="C73" i="2"/>
  <c r="C71" i="2"/>
  <c r="C74" i="2"/>
  <c r="C77" i="2"/>
  <c r="C76" i="2"/>
  <c r="C4" i="2"/>
  <c r="C78" i="2"/>
  <c r="C7" i="2"/>
  <c r="C9" i="2"/>
  <c r="C6" i="2"/>
  <c r="C10" i="2"/>
  <c r="C8" i="2"/>
  <c r="C5" i="2"/>
  <c r="C13" i="2"/>
  <c r="C11" i="2"/>
  <c r="C12" i="2"/>
  <c r="C14" i="2"/>
  <c r="C16" i="2"/>
  <c r="C15" i="2"/>
  <c r="C17" i="2"/>
  <c r="A80" i="2"/>
  <c r="B79" i="2"/>
  <c r="C79" i="2" s="1"/>
  <c r="A81" i="2" l="1"/>
  <c r="B80" i="2"/>
  <c r="C80" i="2" s="1"/>
  <c r="A82" i="2" l="1"/>
  <c r="B81" i="2"/>
  <c r="C81" i="2" s="1"/>
  <c r="A83" i="2" l="1"/>
  <c r="B82" i="2"/>
  <c r="C82" i="2" s="1"/>
  <c r="A84" i="2" l="1"/>
  <c r="B83" i="2"/>
  <c r="C83" i="2" s="1"/>
  <c r="A85" i="2" l="1"/>
  <c r="B84" i="2"/>
  <c r="C84" i="2" s="1"/>
  <c r="A86" i="2" l="1"/>
  <c r="B85" i="2"/>
  <c r="C85" i="2" s="1"/>
  <c r="A87" i="2" l="1"/>
  <c r="B86" i="2"/>
  <c r="C86" i="2" s="1"/>
  <c r="A88" i="2" l="1"/>
  <c r="B87" i="2"/>
  <c r="C87" i="2" s="1"/>
  <c r="A89" i="2" l="1"/>
  <c r="B88" i="2"/>
  <c r="C88" i="2" s="1"/>
  <c r="A90" i="2" l="1"/>
  <c r="B89" i="2"/>
  <c r="C89" i="2" s="1"/>
  <c r="A91" i="2" l="1"/>
  <c r="B90" i="2"/>
  <c r="C90" i="2" s="1"/>
  <c r="A92" i="2" l="1"/>
  <c r="B91" i="2"/>
  <c r="C91" i="2" s="1"/>
  <c r="A93" i="2" l="1"/>
  <c r="B92" i="2"/>
  <c r="C92" i="2" s="1"/>
  <c r="A94" i="2" l="1"/>
  <c r="B93" i="2"/>
  <c r="C93" i="2" s="1"/>
  <c r="A95" i="2" l="1"/>
  <c r="B94" i="2"/>
  <c r="C94" i="2" s="1"/>
  <c r="A96" i="2" l="1"/>
  <c r="B95" i="2"/>
  <c r="C95" i="2" s="1"/>
  <c r="A97" i="2" l="1"/>
  <c r="B96" i="2"/>
  <c r="C96" i="2" s="1"/>
  <c r="A98" i="2" l="1"/>
  <c r="B97" i="2"/>
  <c r="C97" i="2" s="1"/>
  <c r="A99" i="2" l="1"/>
  <c r="B98" i="2"/>
  <c r="C98" i="2" s="1"/>
  <c r="A100" i="2" l="1"/>
  <c r="B99" i="2"/>
  <c r="C99" i="2" s="1"/>
  <c r="A101" i="2" l="1"/>
  <c r="B100" i="2"/>
  <c r="C100" i="2" s="1"/>
  <c r="A102" i="2" l="1"/>
  <c r="B101" i="2"/>
  <c r="C101" i="2" s="1"/>
  <c r="A103" i="2" l="1"/>
  <c r="B102" i="2"/>
  <c r="C102" i="2" s="1"/>
  <c r="A104" i="2" l="1"/>
  <c r="B103" i="2"/>
  <c r="C103" i="2" s="1"/>
  <c r="A105" i="2" l="1"/>
  <c r="B104" i="2"/>
  <c r="C104" i="2" s="1"/>
  <c r="A106" i="2" l="1"/>
  <c r="B105" i="2"/>
  <c r="C105" i="2" s="1"/>
  <c r="A107" i="2" l="1"/>
  <c r="B106" i="2"/>
  <c r="C106" i="2" s="1"/>
  <c r="A108" i="2" l="1"/>
  <c r="B107" i="2"/>
  <c r="C107" i="2" s="1"/>
  <c r="A109" i="2" l="1"/>
  <c r="B108" i="2"/>
  <c r="C108" i="2" s="1"/>
  <c r="A110" i="2" l="1"/>
  <c r="B109" i="2"/>
  <c r="C109" i="2" s="1"/>
  <c r="A111" i="2" l="1"/>
  <c r="B110" i="2"/>
  <c r="C110" i="2" s="1"/>
  <c r="A112" i="2" l="1"/>
  <c r="B111" i="2"/>
  <c r="C111" i="2" s="1"/>
  <c r="A113" i="2" l="1"/>
  <c r="B112" i="2"/>
  <c r="C112" i="2" s="1"/>
  <c r="A114" i="2" l="1"/>
  <c r="B113" i="2"/>
  <c r="C113" i="2" s="1"/>
  <c r="A115" i="2" l="1"/>
  <c r="B114" i="2"/>
  <c r="C114" i="2" s="1"/>
  <c r="A116" i="2" l="1"/>
  <c r="B115" i="2"/>
  <c r="C115" i="2" s="1"/>
  <c r="A117" i="2" l="1"/>
  <c r="B116" i="2"/>
  <c r="C116" i="2" s="1"/>
  <c r="A118" i="2" l="1"/>
  <c r="B117" i="2"/>
  <c r="C117" i="2" s="1"/>
  <c r="A119" i="2" l="1"/>
  <c r="B118" i="2"/>
  <c r="C118" i="2" s="1"/>
  <c r="A120" i="2" l="1"/>
  <c r="B119" i="2"/>
  <c r="C119" i="2" s="1"/>
  <c r="A121" i="2" l="1"/>
  <c r="B120" i="2"/>
  <c r="C120" i="2" s="1"/>
  <c r="A122" i="2" l="1"/>
  <c r="B121" i="2"/>
  <c r="C121" i="2" s="1"/>
  <c r="A123" i="2" l="1"/>
  <c r="B122" i="2"/>
  <c r="C122" i="2" s="1"/>
  <c r="A124" i="2" l="1"/>
  <c r="B123" i="2"/>
  <c r="C123" i="2" s="1"/>
  <c r="A125" i="2" l="1"/>
  <c r="B124" i="2"/>
  <c r="C124" i="2" s="1"/>
  <c r="A126" i="2" l="1"/>
  <c r="B125" i="2"/>
  <c r="C125" i="2" s="1"/>
  <c r="A127" i="2" l="1"/>
  <c r="B126" i="2"/>
  <c r="C126" i="2" s="1"/>
  <c r="A128" i="2" l="1"/>
  <c r="B127" i="2"/>
  <c r="C127" i="2" s="1"/>
  <c r="A129" i="2" l="1"/>
  <c r="B128" i="2"/>
  <c r="C128" i="2" s="1"/>
  <c r="A130" i="2" l="1"/>
  <c r="B129" i="2"/>
  <c r="C129" i="2" s="1"/>
  <c r="A131" i="2" l="1"/>
  <c r="B130" i="2"/>
  <c r="C130" i="2" s="1"/>
  <c r="A132" i="2" l="1"/>
  <c r="B131" i="2"/>
  <c r="C131" i="2" s="1"/>
  <c r="A133" i="2" l="1"/>
  <c r="B132" i="2"/>
  <c r="C132" i="2" s="1"/>
  <c r="A134" i="2" l="1"/>
  <c r="B133" i="2"/>
  <c r="C133" i="2" s="1"/>
  <c r="A135" i="2" l="1"/>
  <c r="B134" i="2"/>
  <c r="C134" i="2" s="1"/>
  <c r="A136" i="2" l="1"/>
  <c r="B135" i="2"/>
  <c r="C135" i="2" s="1"/>
  <c r="A137" i="2" l="1"/>
  <c r="B136" i="2"/>
  <c r="C136" i="2" s="1"/>
  <c r="A138" i="2" l="1"/>
  <c r="B137" i="2"/>
  <c r="C137" i="2" s="1"/>
  <c r="A139" i="2" l="1"/>
  <c r="B138" i="2"/>
  <c r="C138" i="2" s="1"/>
  <c r="A140" i="2" l="1"/>
  <c r="B139" i="2"/>
  <c r="C139" i="2" s="1"/>
  <c r="A141" i="2" l="1"/>
  <c r="B140" i="2"/>
  <c r="C140" i="2" s="1"/>
  <c r="A142" i="2" l="1"/>
  <c r="B141" i="2"/>
  <c r="C141" i="2" s="1"/>
  <c r="A143" i="2" l="1"/>
  <c r="B142" i="2"/>
  <c r="C142" i="2" s="1"/>
  <c r="A144" i="2" l="1"/>
  <c r="B143" i="2"/>
  <c r="A145" i="2" l="1"/>
  <c r="B144" i="2"/>
  <c r="A146" i="2" l="1"/>
  <c r="B145" i="2"/>
  <c r="A147" i="2" l="1"/>
  <c r="B146" i="2"/>
  <c r="A148" i="2" l="1"/>
  <c r="B147" i="2"/>
  <c r="A149" i="2" l="1"/>
  <c r="B148" i="2"/>
  <c r="A150" i="2" l="1"/>
  <c r="B149" i="2"/>
  <c r="A151" i="2" l="1"/>
  <c r="B150" i="2"/>
  <c r="A152" i="2" l="1"/>
  <c r="B151" i="2"/>
  <c r="A153" i="2" l="1"/>
  <c r="B152" i="2"/>
  <c r="A154" i="2" l="1"/>
  <c r="B153" i="2"/>
  <c r="A155" i="2" l="1"/>
  <c r="B154" i="2"/>
  <c r="A156" i="2" l="1"/>
  <c r="B155" i="2"/>
  <c r="A157" i="2" l="1"/>
  <c r="B156" i="2"/>
  <c r="A158" i="2" l="1"/>
  <c r="B157" i="2"/>
  <c r="A159" i="2" l="1"/>
  <c r="B158" i="2"/>
  <c r="A160" i="2" l="1"/>
  <c r="B159" i="2"/>
  <c r="A161" i="2" l="1"/>
  <c r="B160" i="2"/>
  <c r="A162" i="2" l="1"/>
  <c r="B161" i="2"/>
  <c r="A163" i="2" l="1"/>
  <c r="B162" i="2"/>
  <c r="A164" i="2" l="1"/>
  <c r="B163" i="2"/>
  <c r="A165" i="2" l="1"/>
  <c r="B164" i="2"/>
  <c r="A166" i="2" l="1"/>
  <c r="B165" i="2"/>
  <c r="A167" i="2" l="1"/>
  <c r="B166" i="2"/>
  <c r="A168" i="2" l="1"/>
  <c r="B167" i="2"/>
  <c r="A169" i="2" l="1"/>
  <c r="B168" i="2"/>
  <c r="A170" i="2" l="1"/>
  <c r="B169" i="2"/>
  <c r="A171" i="2" l="1"/>
  <c r="B170" i="2"/>
  <c r="A172" i="2" l="1"/>
  <c r="B171" i="2"/>
  <c r="A173" i="2" l="1"/>
  <c r="B172" i="2"/>
  <c r="A174" i="2" l="1"/>
  <c r="B173" i="2"/>
  <c r="A175" i="2" l="1"/>
  <c r="B174" i="2"/>
  <c r="A176" i="2" l="1"/>
  <c r="B175" i="2"/>
  <c r="A177" i="2" l="1"/>
  <c r="B176" i="2"/>
  <c r="A178" i="2" l="1"/>
  <c r="B177" i="2"/>
  <c r="A179" i="2" l="1"/>
  <c r="B178" i="2"/>
  <c r="A180" i="2" l="1"/>
  <c r="B179" i="2"/>
  <c r="A181" i="2" l="1"/>
  <c r="B180" i="2"/>
  <c r="A182" i="2" l="1"/>
  <c r="B181" i="2"/>
  <c r="A183" i="2" l="1"/>
  <c r="B182" i="2"/>
  <c r="A184" i="2" l="1"/>
  <c r="B183" i="2"/>
  <c r="A185" i="2" l="1"/>
  <c r="B184" i="2"/>
  <c r="A186" i="2" l="1"/>
  <c r="B185" i="2"/>
  <c r="A187" i="2" l="1"/>
  <c r="B186" i="2"/>
  <c r="A188" i="2" l="1"/>
  <c r="B187" i="2"/>
  <c r="A189" i="2" l="1"/>
  <c r="B188" i="2"/>
  <c r="A190" i="2" l="1"/>
  <c r="B189" i="2"/>
  <c r="A191" i="2" l="1"/>
  <c r="B190" i="2"/>
  <c r="A192" i="2" l="1"/>
  <c r="B191" i="2"/>
  <c r="A193" i="2" l="1"/>
  <c r="B192" i="2"/>
  <c r="A194" i="2" l="1"/>
  <c r="B193" i="2"/>
  <c r="A195" i="2" l="1"/>
  <c r="B194" i="2"/>
  <c r="A196" i="2" l="1"/>
  <c r="B195" i="2"/>
  <c r="A197" i="2" l="1"/>
  <c r="B196" i="2"/>
  <c r="A198" i="2" l="1"/>
  <c r="B197" i="2"/>
  <c r="A199" i="2" l="1"/>
  <c r="B198" i="2"/>
  <c r="A200" i="2" l="1"/>
  <c r="B199" i="2"/>
  <c r="A201" i="2" l="1"/>
  <c r="B200" i="2"/>
  <c r="A202" i="2" l="1"/>
  <c r="B201" i="2"/>
  <c r="A203" i="2" l="1"/>
  <c r="B202" i="2"/>
  <c r="A204" i="2" l="1"/>
  <c r="B203" i="2"/>
  <c r="A205" i="2" l="1"/>
  <c r="B204" i="2"/>
  <c r="A206" i="2" l="1"/>
  <c r="B205" i="2"/>
  <c r="A207" i="2" l="1"/>
  <c r="B206" i="2"/>
  <c r="A208" i="2" l="1"/>
  <c r="B207" i="2"/>
  <c r="A209" i="2" l="1"/>
  <c r="B208" i="2"/>
  <c r="A210" i="2" l="1"/>
  <c r="B209" i="2"/>
  <c r="A211" i="2" l="1"/>
  <c r="B210" i="2"/>
  <c r="A212" i="2" l="1"/>
  <c r="B211" i="2"/>
  <c r="A213" i="2" l="1"/>
  <c r="B212" i="2"/>
  <c r="A214" i="2" l="1"/>
  <c r="B213" i="2"/>
  <c r="A215" i="2" l="1"/>
  <c r="B214" i="2"/>
  <c r="A216" i="2" l="1"/>
  <c r="B215" i="2"/>
  <c r="A217" i="2" l="1"/>
  <c r="B216" i="2"/>
  <c r="A218" i="2" l="1"/>
  <c r="B217" i="2"/>
  <c r="A219" i="2" l="1"/>
  <c r="B218" i="2"/>
  <c r="A220" i="2" l="1"/>
  <c r="B219" i="2"/>
  <c r="A221" i="2" l="1"/>
  <c r="B220" i="2"/>
  <c r="A222" i="2" l="1"/>
  <c r="B221" i="2"/>
  <c r="A223" i="2" l="1"/>
  <c r="B222" i="2"/>
  <c r="A224" i="2" l="1"/>
  <c r="B223" i="2"/>
  <c r="A225" i="2" l="1"/>
  <c r="B224" i="2"/>
  <c r="A226" i="2" l="1"/>
  <c r="B225" i="2"/>
  <c r="A227" i="2" l="1"/>
  <c r="B226" i="2"/>
  <c r="A228" i="2" l="1"/>
  <c r="B227" i="2"/>
  <c r="A229" i="2" l="1"/>
  <c r="B228" i="2"/>
  <c r="A230" i="2" l="1"/>
  <c r="B229" i="2"/>
  <c r="A231" i="2" l="1"/>
  <c r="B230" i="2"/>
  <c r="A232" i="2" l="1"/>
  <c r="B231" i="2"/>
  <c r="A233" i="2" l="1"/>
  <c r="B232" i="2"/>
  <c r="A234" i="2" l="1"/>
  <c r="B233" i="2"/>
  <c r="A235" i="2" l="1"/>
  <c r="B234" i="2"/>
  <c r="A236" i="2" l="1"/>
  <c r="B235" i="2"/>
  <c r="A237" i="2" l="1"/>
  <c r="B236" i="2"/>
  <c r="A238" i="2" l="1"/>
  <c r="B237" i="2"/>
  <c r="A239" i="2" l="1"/>
  <c r="B238" i="2"/>
  <c r="A240" i="2" l="1"/>
  <c r="B239" i="2"/>
  <c r="A241" i="2" l="1"/>
  <c r="B240" i="2"/>
  <c r="A242" i="2" l="1"/>
  <c r="B241" i="2"/>
  <c r="A243" i="2" l="1"/>
  <c r="B242" i="2"/>
  <c r="D9" i="2" l="1"/>
  <c r="D7" i="2"/>
  <c r="D10" i="2"/>
  <c r="D8" i="2"/>
  <c r="D6" i="2"/>
  <c r="D12" i="2"/>
  <c r="D11" i="2"/>
  <c r="D5" i="2"/>
  <c r="D13" i="2"/>
  <c r="D14" i="2"/>
  <c r="D16" i="2"/>
  <c r="D15" i="2"/>
  <c r="D17" i="2"/>
  <c r="D18" i="2"/>
  <c r="D20" i="2"/>
  <c r="D19" i="2"/>
  <c r="D22" i="2"/>
  <c r="D21" i="2"/>
  <c r="D23" i="2"/>
  <c r="D24" i="2"/>
  <c r="D25" i="2"/>
  <c r="D26" i="2"/>
  <c r="D27" i="2"/>
  <c r="D29" i="2"/>
  <c r="D28" i="2"/>
  <c r="D31" i="2"/>
  <c r="D30" i="2"/>
  <c r="D32" i="2"/>
  <c r="D33" i="2"/>
  <c r="D34" i="2"/>
  <c r="D35" i="2"/>
  <c r="D36" i="2"/>
  <c r="D37" i="2"/>
  <c r="D39" i="2"/>
  <c r="D38" i="2"/>
  <c r="D40" i="2"/>
  <c r="D42" i="2"/>
  <c r="D41" i="2"/>
  <c r="D43" i="2"/>
  <c r="D45" i="2"/>
  <c r="D44" i="2"/>
  <c r="D46" i="2"/>
  <c r="D47" i="2"/>
  <c r="D48" i="2"/>
  <c r="D49" i="2"/>
  <c r="D50" i="2"/>
  <c r="D53" i="2"/>
  <c r="D51" i="2"/>
  <c r="D54" i="2"/>
  <c r="D52" i="2"/>
  <c r="D56" i="2"/>
  <c r="D55" i="2"/>
  <c r="D59" i="2"/>
  <c r="D57" i="2"/>
  <c r="D58" i="2"/>
  <c r="D60" i="2"/>
  <c r="D61" i="2"/>
  <c r="D62" i="2"/>
  <c r="D63" i="2"/>
  <c r="D64" i="2"/>
  <c r="D65" i="2"/>
  <c r="D66" i="2"/>
  <c r="D68" i="2"/>
  <c r="D67" i="2"/>
  <c r="D69" i="2"/>
  <c r="D70" i="2"/>
  <c r="D71" i="2"/>
  <c r="D72" i="2"/>
  <c r="D73" i="2"/>
  <c r="D74" i="2"/>
  <c r="D76" i="2"/>
  <c r="D77" i="2"/>
  <c r="D75" i="2"/>
  <c r="D78" i="2"/>
  <c r="D79" i="2"/>
  <c r="D82" i="2"/>
  <c r="D80" i="2"/>
  <c r="D81" i="2"/>
  <c r="D83" i="2"/>
  <c r="D84" i="2"/>
  <c r="D85" i="2"/>
  <c r="D86" i="2"/>
  <c r="D87" i="2"/>
  <c r="D91" i="2"/>
  <c r="D89" i="2"/>
  <c r="D92" i="2"/>
  <c r="D88" i="2"/>
  <c r="D90" i="2"/>
  <c r="D93" i="2"/>
  <c r="D94" i="2"/>
  <c r="D95" i="2"/>
  <c r="D97" i="2"/>
  <c r="D96" i="2"/>
  <c r="D98" i="2"/>
  <c r="D99" i="2"/>
  <c r="D101" i="2"/>
  <c r="D103" i="2"/>
  <c r="D102" i="2"/>
  <c r="D100" i="2"/>
  <c r="D104" i="2"/>
  <c r="D106" i="2"/>
  <c r="D107" i="2"/>
  <c r="D105" i="2"/>
  <c r="D108" i="2"/>
  <c r="D109" i="2"/>
  <c r="D111" i="2"/>
  <c r="D110" i="2"/>
  <c r="D113" i="2"/>
  <c r="D112" i="2"/>
  <c r="D115" i="2"/>
  <c r="D114" i="2"/>
  <c r="D118" i="2"/>
  <c r="D116" i="2"/>
  <c r="D117" i="2"/>
  <c r="D119" i="2"/>
  <c r="D120" i="2"/>
  <c r="D121" i="2"/>
  <c r="D125" i="2"/>
  <c r="D122" i="2"/>
  <c r="D123" i="2"/>
  <c r="D126" i="2"/>
  <c r="D124" i="2"/>
  <c r="D127" i="2"/>
  <c r="D128" i="2"/>
  <c r="D129" i="2"/>
  <c r="D130" i="2"/>
  <c r="D131" i="2"/>
  <c r="D132" i="2"/>
  <c r="D133" i="2"/>
  <c r="D134" i="2"/>
  <c r="D135" i="2"/>
  <c r="D137" i="2"/>
  <c r="D136" i="2"/>
  <c r="D139" i="2"/>
  <c r="D138" i="2"/>
  <c r="D142" i="2"/>
  <c r="D140" i="2"/>
  <c r="D141" i="2"/>
  <c r="D4" i="2"/>
  <c r="A244" i="2"/>
  <c r="B243" i="2"/>
  <c r="F68" i="2" l="1"/>
  <c r="E68" i="2"/>
  <c r="F58" i="2"/>
  <c r="E58" i="2"/>
  <c r="F53" i="2"/>
  <c r="E53" i="2"/>
  <c r="E43" i="2"/>
  <c r="F43" i="2"/>
  <c r="E35" i="2"/>
  <c r="F35" i="2"/>
  <c r="F27" i="2"/>
  <c r="E27" i="2"/>
  <c r="F20" i="2"/>
  <c r="E20" i="2"/>
  <c r="F11" i="2"/>
  <c r="E11" i="2"/>
  <c r="E66" i="2"/>
  <c r="F66" i="2"/>
  <c r="F57" i="2"/>
  <c r="E57" i="2"/>
  <c r="E50" i="2"/>
  <c r="F50" i="2"/>
  <c r="F41" i="2"/>
  <c r="E41" i="2"/>
  <c r="E34" i="2"/>
  <c r="F34" i="2"/>
  <c r="E26" i="2"/>
  <c r="F26" i="2"/>
  <c r="F18" i="2"/>
  <c r="E18" i="2"/>
  <c r="E12" i="2"/>
  <c r="F12" i="2"/>
  <c r="F65" i="2"/>
  <c r="E65" i="2"/>
  <c r="E59" i="2"/>
  <c r="F59" i="2"/>
  <c r="F49" i="2"/>
  <c r="E49" i="2"/>
  <c r="E42" i="2"/>
  <c r="F42" i="2"/>
  <c r="F33" i="2"/>
  <c r="E33" i="2"/>
  <c r="E25" i="2"/>
  <c r="F25" i="2"/>
  <c r="F17" i="2"/>
  <c r="E17" i="2"/>
  <c r="F6" i="2"/>
  <c r="E6" i="2"/>
  <c r="F72" i="2"/>
  <c r="E72" i="2"/>
  <c r="E64" i="2"/>
  <c r="F64" i="2"/>
  <c r="E55" i="2"/>
  <c r="F55" i="2"/>
  <c r="E48" i="2"/>
  <c r="F48" i="2"/>
  <c r="F40" i="2"/>
  <c r="E40" i="2"/>
  <c r="E32" i="2"/>
  <c r="F32" i="2"/>
  <c r="F24" i="2"/>
  <c r="E24" i="2"/>
  <c r="F15" i="2"/>
  <c r="E15" i="2"/>
  <c r="E8" i="2"/>
  <c r="F8" i="2"/>
  <c r="E71" i="2"/>
  <c r="F71" i="2"/>
  <c r="F63" i="2"/>
  <c r="E63" i="2"/>
  <c r="F56" i="2"/>
  <c r="E56" i="2"/>
  <c r="E47" i="2"/>
  <c r="F47" i="2"/>
  <c r="E38" i="2"/>
  <c r="F38" i="2"/>
  <c r="E30" i="2"/>
  <c r="F30" i="2"/>
  <c r="F23" i="2"/>
  <c r="E23" i="2"/>
  <c r="F16" i="2"/>
  <c r="E16" i="2"/>
  <c r="E10" i="2"/>
  <c r="F10" i="2"/>
  <c r="E70" i="2"/>
  <c r="F70" i="2"/>
  <c r="F62" i="2"/>
  <c r="E62" i="2"/>
  <c r="E52" i="2"/>
  <c r="F52" i="2"/>
  <c r="F46" i="2"/>
  <c r="E46" i="2"/>
  <c r="E39" i="2"/>
  <c r="F39" i="2"/>
  <c r="E31" i="2"/>
  <c r="F31" i="2"/>
  <c r="E21" i="2"/>
  <c r="F21" i="2"/>
  <c r="F14" i="2"/>
  <c r="E14" i="2"/>
  <c r="F7" i="2"/>
  <c r="E7" i="2"/>
  <c r="E69" i="2"/>
  <c r="F69" i="2"/>
  <c r="F61" i="2"/>
  <c r="E61" i="2"/>
  <c r="E54" i="2"/>
  <c r="F54" i="2"/>
  <c r="F44" i="2"/>
  <c r="E44" i="2"/>
  <c r="E37" i="2"/>
  <c r="F37" i="2"/>
  <c r="E28" i="2"/>
  <c r="F28" i="2"/>
  <c r="F22" i="2"/>
  <c r="E22" i="2"/>
  <c r="E13" i="2"/>
  <c r="F13" i="2"/>
  <c r="F9" i="2"/>
  <c r="E9" i="2"/>
  <c r="F67" i="2"/>
  <c r="E67" i="2"/>
  <c r="E60" i="2"/>
  <c r="F60" i="2"/>
  <c r="F51" i="2"/>
  <c r="E51" i="2"/>
  <c r="F45" i="2"/>
  <c r="E45" i="2"/>
  <c r="F36" i="2"/>
  <c r="E36" i="2"/>
  <c r="E29" i="2"/>
  <c r="F29" i="2"/>
  <c r="E19" i="2"/>
  <c r="F19" i="2"/>
  <c r="F5" i="2"/>
  <c r="E5" i="2"/>
  <c r="E4" i="2"/>
  <c r="F4" i="2"/>
  <c r="A245" i="2"/>
  <c r="B244" i="2"/>
  <c r="A246" i="2" l="1"/>
  <c r="B245" i="2"/>
  <c r="A247" i="2" l="1"/>
  <c r="B246" i="2"/>
  <c r="A248" i="2" l="1"/>
  <c r="B247" i="2"/>
  <c r="A249" i="2" l="1"/>
  <c r="B248" i="2"/>
  <c r="A250" i="2" l="1"/>
  <c r="B249" i="2"/>
  <c r="A251" i="2" l="1"/>
  <c r="B250" i="2"/>
  <c r="A252" i="2" l="1"/>
  <c r="B251" i="2"/>
  <c r="A253" i="2" l="1"/>
  <c r="B252" i="2"/>
  <c r="A254" i="2" l="1"/>
  <c r="B253" i="2"/>
  <c r="A255" i="2" l="1"/>
  <c r="B254" i="2"/>
  <c r="A256" i="2" l="1"/>
  <c r="B255" i="2"/>
  <c r="A257" i="2" l="1"/>
  <c r="B256" i="2"/>
  <c r="A258" i="2" l="1"/>
  <c r="B257" i="2"/>
  <c r="A259" i="2" l="1"/>
  <c r="B258" i="2"/>
  <c r="A260" i="2" l="1"/>
  <c r="B259" i="2"/>
  <c r="A261" i="2" l="1"/>
  <c r="B260" i="2"/>
  <c r="A262" i="2" l="1"/>
  <c r="B261" i="2"/>
  <c r="A263" i="2" l="1"/>
  <c r="B262" i="2"/>
  <c r="A264" i="2" l="1"/>
  <c r="B263" i="2"/>
  <c r="A265" i="2" l="1"/>
  <c r="B264" i="2"/>
  <c r="A266" i="2" l="1"/>
  <c r="B265" i="2"/>
  <c r="A267" i="2" l="1"/>
  <c r="B266" i="2"/>
  <c r="A268" i="2" l="1"/>
  <c r="B267" i="2"/>
  <c r="A269" i="2" l="1"/>
  <c r="B268" i="2"/>
  <c r="A270" i="2" l="1"/>
  <c r="B269" i="2"/>
  <c r="A271" i="2" l="1"/>
  <c r="B270" i="2"/>
  <c r="A272" i="2" l="1"/>
  <c r="B271" i="2"/>
  <c r="A273" i="2" l="1"/>
  <c r="B272" i="2"/>
  <c r="A274" i="2" l="1"/>
  <c r="B273" i="2"/>
  <c r="A275" i="2" l="1"/>
  <c r="B274" i="2"/>
  <c r="A276" i="2" l="1"/>
  <c r="B275" i="2"/>
  <c r="A277" i="2" l="1"/>
  <c r="B276" i="2"/>
  <c r="A278" i="2" l="1"/>
  <c r="B277" i="2"/>
  <c r="A279" i="2" l="1"/>
  <c r="B278" i="2"/>
  <c r="A280" i="2" l="1"/>
  <c r="B279" i="2"/>
  <c r="A281" i="2" l="1"/>
  <c r="B280" i="2"/>
  <c r="A282" i="2" l="1"/>
  <c r="B281" i="2"/>
  <c r="A283" i="2" l="1"/>
  <c r="B282" i="2"/>
  <c r="A284" i="2" l="1"/>
  <c r="B283" i="2"/>
  <c r="A285" i="2" l="1"/>
  <c r="B284" i="2"/>
  <c r="A286" i="2" l="1"/>
  <c r="B285" i="2"/>
  <c r="A287" i="2" l="1"/>
  <c r="B286" i="2"/>
  <c r="A288" i="2" l="1"/>
  <c r="B287" i="2"/>
  <c r="A289" i="2" l="1"/>
  <c r="B288" i="2"/>
  <c r="A290" i="2" l="1"/>
  <c r="B289" i="2"/>
  <c r="A291" i="2" l="1"/>
  <c r="B290" i="2"/>
  <c r="A292" i="2" l="1"/>
  <c r="B291" i="2"/>
  <c r="A293" i="2" l="1"/>
  <c r="B292" i="2"/>
  <c r="A294" i="2" l="1"/>
  <c r="B293" i="2"/>
  <c r="A295" i="2" l="1"/>
  <c r="B295" i="2" s="1"/>
  <c r="B294" i="2"/>
</calcChain>
</file>

<file path=xl/sharedStrings.xml><?xml version="1.0" encoding="utf-8"?>
<sst xmlns="http://schemas.openxmlformats.org/spreadsheetml/2006/main" count="967" uniqueCount="528">
  <si>
    <t>Sentence</t>
  </si>
  <si>
    <t>No</t>
  </si>
  <si>
    <t>Type</t>
  </si>
  <si>
    <t>Viet</t>
  </si>
  <si>
    <t>Eng</t>
  </si>
  <si>
    <t>Phon</t>
  </si>
  <si>
    <t>From</t>
  </si>
  <si>
    <t>To</t>
  </si>
  <si>
    <t>ID</t>
  </si>
  <si>
    <t>Link</t>
  </si>
  <si>
    <t>Copy Google drive to …</t>
  </si>
  <si>
    <t>Struc</t>
  </si>
  <si>
    <t>1.3</t>
  </si>
  <si>
    <t>1.1</t>
  </si>
  <si>
    <t>1.2</t>
  </si>
  <si>
    <t>1.4</t>
  </si>
  <si>
    <t>2.1</t>
  </si>
  <si>
    <t>2.3</t>
  </si>
  <si>
    <t>2.2</t>
  </si>
  <si>
    <t>3.1</t>
  </si>
  <si>
    <t>3.2</t>
  </si>
  <si>
    <t>3.3</t>
  </si>
  <si>
    <t>3.4</t>
  </si>
  <si>
    <t>4.1</t>
  </si>
  <si>
    <t>4.2</t>
  </si>
  <si>
    <t>4.3</t>
  </si>
  <si>
    <t>4.4</t>
  </si>
  <si>
    <t>5.1</t>
  </si>
  <si>
    <t>5.2</t>
  </si>
  <si>
    <t>5.3</t>
  </si>
  <si>
    <t>6.1</t>
  </si>
  <si>
    <t>6.2</t>
  </si>
  <si>
    <t>6.3</t>
  </si>
  <si>
    <t>6.4</t>
  </si>
  <si>
    <t>7.1</t>
  </si>
  <si>
    <t>7.2</t>
  </si>
  <si>
    <t>7.3</t>
  </si>
  <si>
    <t>7.4</t>
  </si>
  <si>
    <t>8.1</t>
  </si>
  <si>
    <t>8.2</t>
  </si>
  <si>
    <t>8.3</t>
  </si>
  <si>
    <t>9.1</t>
  </si>
  <si>
    <t>9.2</t>
  </si>
  <si>
    <t>9.3</t>
  </si>
  <si>
    <t>10.1</t>
  </si>
  <si>
    <t>10.2</t>
  </si>
  <si>
    <t>10.3</t>
  </si>
  <si>
    <t>10.4</t>
  </si>
  <si>
    <t>01-05</t>
  </si>
  <si>
    <t>11-15</t>
  </si>
  <si>
    <t>11.1</t>
  </si>
  <si>
    <t>11.2</t>
  </si>
  <si>
    <t>11.3</t>
  </si>
  <si>
    <t>11.4</t>
  </si>
  <si>
    <t>12.1</t>
  </si>
  <si>
    <t>12.2</t>
  </si>
  <si>
    <t>12.3</t>
  </si>
  <si>
    <t>13.1</t>
  </si>
  <si>
    <t>13.2</t>
  </si>
  <si>
    <t>13.3</t>
  </si>
  <si>
    <t>13.4</t>
  </si>
  <si>
    <t>14.1</t>
  </si>
  <si>
    <t>14.2</t>
  </si>
  <si>
    <t>14.3</t>
  </si>
  <si>
    <t>14.4</t>
  </si>
  <si>
    <t>15.1</t>
  </si>
  <si>
    <t>15.2</t>
  </si>
  <si>
    <t>15.3</t>
  </si>
  <si>
    <t>16.1</t>
  </si>
  <si>
    <t>16.2</t>
  </si>
  <si>
    <t>16.3</t>
  </si>
  <si>
    <t>17.1</t>
  </si>
  <si>
    <t>17.2</t>
  </si>
  <si>
    <t>17.3</t>
  </si>
  <si>
    <t>18.1</t>
  </si>
  <si>
    <t>18.2</t>
  </si>
  <si>
    <t>18.3</t>
  </si>
  <si>
    <t>19.1</t>
  </si>
  <si>
    <t>19.2</t>
  </si>
  <si>
    <t>19.3</t>
  </si>
  <si>
    <t>20.1</t>
  </si>
  <si>
    <t>20.2</t>
  </si>
  <si>
    <t>20.3</t>
  </si>
  <si>
    <t>21.1</t>
  </si>
  <si>
    <t>21.2</t>
  </si>
  <si>
    <t>21.3</t>
  </si>
  <si>
    <t>21.4</t>
  </si>
  <si>
    <t>Man</t>
  </si>
  <si>
    <t>Woman</t>
  </si>
  <si>
    <t>12.4</t>
  </si>
  <si>
    <t>12.5</t>
  </si>
  <si>
    <t>I connect my smartphone to wifi.</t>
  </si>
  <si>
    <t>aɪ kəˈnɛkt maɪ ˈsma:rtfoʊn tu: ˈwaɪfaɪ</t>
  </si>
  <si>
    <t>I respond to an email.</t>
  </si>
  <si>
    <t>aɪ rɪˈspa:nd tu: ən ˈi:meɪl</t>
  </si>
  <si>
    <t>I put a link in my post.</t>
  </si>
  <si>
    <t>aɪ pʊt ə lɪŋk ɪn maɪ poʊst</t>
  </si>
  <si>
    <t>Youtube is too heavy to browse.</t>
  </si>
  <si>
    <t>ˈju:tu:b ɪz tu: ˈhɛvi tu: braʊz</t>
  </si>
  <si>
    <t>I access website on my computer.</t>
  </si>
  <si>
    <t>aɪ ˈæksɛs ˈwɛbsaɪt a:n maɪ kəmˈpju:tər</t>
  </si>
  <si>
    <t>I access instagram on my smartphone.</t>
  </si>
  <si>
    <t>aɪ ˈæksɛs ˈɪnstəɡræm a:n maɪ ˈsma:rtfoʊn</t>
  </si>
  <si>
    <t>Youtube is the website that I find very useful for me.</t>
  </si>
  <si>
    <t>ˈjuːtuːb ɪz ðə ˈwɛbsaɪt ðæt aɪ faɪnd ˈvɛri ˈju:sfəl fɔ:r mi:</t>
  </si>
  <si>
    <t>Wikipedia is the website that I find very useful for me.</t>
  </si>
  <si>
    <t>ˌwɪkɪˈpiːdiə ɪz ðə ˈwɛbsaɪt ðæt aɪ faɪnd ˈvɛri ˈju:sfəl fɔ:r mi:</t>
  </si>
  <si>
    <t>BBC News is the website that I find very useful for me.</t>
  </si>
  <si>
    <t>ˌbi:bi:ˈsi: nu:z ɪz ðə ˈwɛbsaɪt ðæt aɪ faɪnd ˈvɛri ˈju:sfəl fɔ:r mi:</t>
  </si>
  <si>
    <t>Facebook is one of the most popular websites in the world, with millions of users in different countries.</t>
  </si>
  <si>
    <t>Tiktok is one of the most popular websites in the world, with millions of users in different countries.</t>
  </si>
  <si>
    <t>Youtube is one of the most popular websites in the world, with millions of users in different countries.</t>
  </si>
  <si>
    <t>I SET MY CELL PHONE TO… MODE /Tôi chỉnh điện thoại sang chế độ…/</t>
  </si>
  <si>
    <t>RECHARGE MY + NOUN /Tôi sạc pin…/</t>
  </si>
  <si>
    <t>I CONNECT SOMETHING TO SOMETHING /Tôi kết nối cái gì với cái gì…/</t>
  </si>
  <si>
    <t>I + VERB + NOUN AND SEND IT /Tôi làm một cái gì đó rồi gửi đi/</t>
  </si>
  <si>
    <t>I RESPOND TO + NOUN /Tôi trả lời…/</t>
  </si>
  <si>
    <t>I PUT A LINK IN MY + NOUN /Tôi đặt một đường link trong…/</t>
  </si>
  <si>
    <t>I USE MY PHONE TO + VERB /Tôi dùng điện thoại để…/</t>
  </si>
  <si>
    <t>MY CELL PHONE IS OUT OF SERVICE NOW BECAUSE… /Điện thoại của tôi đang nằm ngoài vùng phủ sóng do…/</t>
  </si>
  <si>
    <t>… TO BE + TOO HEAVY TO BROWSE /… quá nặng để lướt/</t>
  </si>
  <si>
    <t>I’VE + UPDATED + NOUN /Tôi đã cập nhật…/</t>
  </si>
  <si>
    <t>NOUN + TO BE UPLOADED ONTO + NOUN /… được đăng tải lên…/</t>
  </si>
  <si>
    <t>I CAN + VERB + VIA FACEBOOK /Tôi có thể… thông qua facebook/</t>
  </si>
  <si>
    <t>TECHNOLOGY HAS MADE MY LIFE (MORE) + ADJ /Công nghệ làm cho đời sống của tôi…/</t>
  </si>
  <si>
    <t>I COULD NOT LIVE WITHOUT + NOUN /Tôi không thể sống nếu không có…/</t>
  </si>
  <si>
    <t>I ACCESS + NOUN ON MY + NOUN /Tôi truy cập… trên thiết bị nào đó/</t>
  </si>
  <si>
    <t>TÊN TRANG WEB + IS THE WEBSITE THAT I FIND VERY USEFUL FOR ME /… là trang mà tôi thấy nó rất hữu ích cho mình/</t>
  </si>
  <si>
    <t>TÊN TRANG WEB + IS ONE OF THE MOST POPULAR WEBSITES IN THE WORLD, WITH MILLIONS OF USERS IN DIFFERENT COUNTRIES. /… là một trong những trang web lớn nhất thế giới, với hàng triệu người dùng trên nhiều quốc gia khác nhau./</t>
  </si>
  <si>
    <t>I USE SMARTPHONE IN VARIOUS WAYS... /Tôi dùng điện thoại thông minh làm nhiều thứ khác nhau…/</t>
  </si>
  <si>
    <t>S + TO BE TALKING ON THE PHONE WITH SOMEONE /Ai đó đang nói chuyện điện thoại với ai đó/</t>
  </si>
  <si>
    <t>S + HANG UP ON + SOMEONE /Ai đó gác máy/tắt máy/kết thúc điện thoại với ai đó/</t>
  </si>
  <si>
    <t>S + SURF THE INTERNET + THỜI GIAN + QUITE OFTEN /Lướt mạng vào… khá thường xuyên/</t>
  </si>
  <si>
    <t>I set my cell phone to silent mode.</t>
  </si>
  <si>
    <t>aɪ sɛt maɪ ˈsɛl foʊn tu: ˈsaɪlənt moʊd</t>
  </si>
  <si>
    <t>I set my cell phone to airplane mode.</t>
  </si>
  <si>
    <t>aɪ sɛt maɪ ˈsɛl foʊn tu: ˈerpleɪn moʊd</t>
  </si>
  <si>
    <t>I set my cell phone to night mode.</t>
  </si>
  <si>
    <t>aɪ sɛt maɪ ˈsɛl foʊn tu: naɪt moʊd</t>
  </si>
  <si>
    <t>I set my cell phone to meeting mode.</t>
  </si>
  <si>
    <t>aɪ sɛt maɪ ˈsɛl foʊn tu: ˈmi:tɪŋ moʊd</t>
  </si>
  <si>
    <t>I recharge my cell phone.</t>
  </si>
  <si>
    <t>aɪ ri:ˈʧa:rʤ maɪ ˈsɛl foʊn</t>
  </si>
  <si>
    <t>Can I recharge my cell phone here?</t>
  </si>
  <si>
    <t>kæn aɪ ri:ˈʧa:rʤ maɪ ˈsɛl foʊn hɪr</t>
  </si>
  <si>
    <t>I recharge my cell phone twice a day.</t>
  </si>
  <si>
    <t>aɪ ri:ˈʧa:rʤ maɪ ˈsɛl foʊn twaɪs ə deɪ</t>
  </si>
  <si>
    <t>I connect the printer to the computer.</t>
  </si>
  <si>
    <t>aɪ kəˈnɛkt ðə ˈprɪntər tu: ðə kəmˈpju:tər</t>
  </si>
  <si>
    <t>I connect my smartphone to the bluetooth speaker.</t>
  </si>
  <si>
    <t>aɪ kəˈnɛkt maɪ ˈsma:rtfoʊn tu: ðə ˈblu:tu:θ ˈspi:kər</t>
  </si>
  <si>
    <t>I connect my smartphone to the computer.</t>
  </si>
  <si>
    <t>aɪ kəˈnɛkt maɪ ˈsma:rtfoʊn tu: ðə kəmˈpju:tər</t>
  </si>
  <si>
    <t>I take a photo with my cell phone camera and send it.</t>
  </si>
  <si>
    <t>aɪ teɪk ə ˈfoʊtoʊ wɪð maɪ ˈsɛl foʊn ˈkæmrə ænd sɛnd ɪt</t>
  </si>
  <si>
    <t>I record a video with my cell phone and send it.</t>
  </si>
  <si>
    <t>aɪ rɪˈkɔ:rd ə ˈvɪdioʊ wɪð maɪ ˈsɛl foʊn ænd sɛnd ɪt</t>
  </si>
  <si>
    <t>I text a message with my cell phone and send it.</t>
  </si>
  <si>
    <t>aɪ tɛkst ə ˈmɛsɪʤ wɪð maɪ ˈsɛl foʊn ænd sɛnd ɪt</t>
  </si>
  <si>
    <t>I record with my cell phone and send it.</t>
  </si>
  <si>
    <t>aɪ rɪˈkɔ:rd wɪð maɪ ˈsɛl foʊn ænd sɛnd ɪt</t>
  </si>
  <si>
    <t>I respond to a message.</t>
  </si>
  <si>
    <t>aɪ rɪˈspa:nd tu: ə ˈmɛsɪʤ</t>
  </si>
  <si>
    <t>I respond to a comment.</t>
  </si>
  <si>
    <t>aɪ rɪˈspa:nd tu: ə ˈka:mɛnt</t>
  </si>
  <si>
    <t>I put a link in my image.</t>
  </si>
  <si>
    <t>aɪ pʊt ə lɪŋk ɪn maɪ ˈɪmɪʤ</t>
  </si>
  <si>
    <t>I put a link in my email.</t>
  </si>
  <si>
    <t>aɪ pʊt ə lɪŋk ɪn maɪ ˈi:meɪl</t>
  </si>
  <si>
    <t>I put a link in my description.</t>
  </si>
  <si>
    <t>aɪ pʊt ə lɪŋk ɪn maɪ dɪˈskrɪpʃən</t>
  </si>
  <si>
    <t>I use my phone to make a phone call.</t>
  </si>
  <si>
    <t>aɪ ju:z maɪ foʊn tu meɪk ə foʊn ka:l</t>
  </si>
  <si>
    <t>I use my phone to take photos.</t>
  </si>
  <si>
    <t>aɪ ju:z maɪ foʊn tu: teɪk ˈfoʊtoʊz</t>
  </si>
  <si>
    <t>I use my phone to access the internet.</t>
  </si>
  <si>
    <t>aɪ ju:z maɪ foʊn tu ˈæksɛs ði: ˈɪntərnɛt</t>
  </si>
  <si>
    <t>I use my phone to send messages.</t>
  </si>
  <si>
    <t>aɪ ju:z maɪ foʊn tu sɛnd ˈmɛsəʤəz</t>
  </si>
  <si>
    <t>My cell phone is out of service now because I’m in the basement.</t>
  </si>
  <si>
    <t>maɪ ˈsɛl foʊn ɪz aʊt ʌv ˈsɜ:rvɪs naʊ bɪˈkəz aɪm ɪn ðə ˈbeɪsmənt</t>
  </si>
  <si>
    <t>My cell phone is out of service now because I turn on the airplane mode.</t>
  </si>
  <si>
    <t>maɪ ˈsɛl foʊn ɪz aʊt ʌv ˈsɜ:rvɪs naʊ bɪˈkəz aɪ tɜ:rn a:n ði: ˈɛrpleɪn moʊd</t>
  </si>
  <si>
    <t>My cell phone is out of service now because I am in the forest.</t>
  </si>
  <si>
    <t>maɪ ˈsɛl foʊn ɪz aʊt ʌv ˈsɜ:rvɪs naʊ bɪˈkəz aɪ æm ɪn ðə ˈfɔ:rɪst</t>
  </si>
  <si>
    <t>ðɪs saɪt ɪz tu: ˈhɛvi tu: braʊz</t>
  </si>
  <si>
    <t>This music site is too heavy to browse.</t>
  </si>
  <si>
    <t>ðɪs ˈmju:zɪk saɪt ɪz tu: ˈhɛvi tu: braʊz</t>
  </si>
  <si>
    <t>I’ve updated a status on facebook.</t>
  </si>
  <si>
    <t>aɪv ʌpˈdeɪtɪd ə ˈsteɪtəs a:n ˈfeɪsbʊk</t>
  </si>
  <si>
    <t>I’ve updated this page during my business trip.</t>
  </si>
  <si>
    <t>aɪv ʌpˈdeɪtɪd ðɪs peɪʤ ˈdʊrɪŋ maɪ ˈbɪznɪs trɪp</t>
  </si>
  <si>
    <t>I’ve updated my new profile picture on facebook.</t>
  </si>
  <si>
    <t>aɪv ʌpˈdeɪtɪd maɪ nu: ˈproʊfaɪl ˈpɪkʧər a:n ˈfeɪsbʊk</t>
  </si>
  <si>
    <t>I’ve updated my photos after my trip.</t>
  </si>
  <si>
    <t>aɪv ʌpˈdeɪtɪd maɪ ˈfoʊtoʊz ˈæftər maɪ trɪp</t>
  </si>
  <si>
    <t>A new video of my favorite band has been uploaded onto youtube.</t>
  </si>
  <si>
    <t>ə nu: ˈvɪdioʊ ʌv maɪ ˈfeɪvərɪt bænd hæz bi:n ʌpˈloʊdɪd ˈa:ntu ˈju:tu:b</t>
  </si>
  <si>
    <t>Her new video has been uploaded on facebook.</t>
  </si>
  <si>
    <t>hɜ:r nu: ˈvɪdioʊ hæz bi:n ʌpˈloʊdɪd a:n ˈfeɪsbʊk</t>
  </si>
  <si>
    <t>My Tam’s photos have been uploaded on her fanpage.</t>
  </si>
  <si>
    <t>My Tamz ˈfoʊtoʊz hæv bi:n ʌpˈloʊdɪd a:n hɜ:r ˈfænpeɪdʒ</t>
  </si>
  <si>
    <t>My photo has been uploaded on facebook.</t>
  </si>
  <si>
    <t>maɪ ˈfoʊtoʊ hæz bi:n ʌpˈloʊdɪd a:n ˈfeɪsbʊk</t>
  </si>
  <si>
    <t>I can work via facebook.</t>
  </si>
  <si>
    <t>I can study via facebook.</t>
  </si>
  <si>
    <t>I can go shopping online via facebook.</t>
  </si>
  <si>
    <t>I can connect with my friends via facebook.</t>
  </si>
  <si>
    <t>I stay up-to-date with news and current events via facebook.</t>
  </si>
  <si>
    <t>Technology has made my life easier.</t>
  </si>
  <si>
    <t>tekˈna:lədʒi hæz meɪd maɪ laɪf ˈi:ziər</t>
  </si>
  <si>
    <t>Technology has made my life more convenient.</t>
  </si>
  <si>
    <t>tekˈna:lədʒi hæz meɪd maɪ laɪf mɔ:r kənˈvi:niənt</t>
  </si>
  <si>
    <t>Technology has made my life more enjoyable.</t>
  </si>
  <si>
    <t>tekˈna:lədʒi hæz meɪd maɪ laɪf mɔ:r ɪnˈʤɔɪəbəl</t>
  </si>
  <si>
    <t>Technology has made my life more comfortable.</t>
  </si>
  <si>
    <t>tekˈna:lədʒi hæz meɪd maɪ laɪf mɔ:r ˈkʌmfərtəbəl</t>
  </si>
  <si>
    <t>I could not live without my smartphone.</t>
  </si>
  <si>
    <t>aɪ kʊd na:t lɪv wɪˈðaʊt maɪ ˈsma:rtfoʊn</t>
  </si>
  <si>
    <t>I could not live without my computer.</t>
  </si>
  <si>
    <t>aɪ kʊd na:t lɪv wɪˈðaʊt maɪ kəmˈpju:tər</t>
  </si>
  <si>
    <t>I could not live without social networks.</t>
  </si>
  <si>
    <t>aɪ kʊd na:t lɪv wɪˈðaʊt ˈsoʊʃəl ˈnɛtwɜ:rks</t>
  </si>
  <si>
    <t>I could not live without technological products.</t>
  </si>
  <si>
    <t>aɪ kʊd na:t lɪv wɪˈðaʊt ˌteknəˈla:dʒɪkəl ˈpra:dʌkts</t>
  </si>
  <si>
    <t>I access facebook on my cell phone.</t>
  </si>
  <si>
    <t>aɪ ˈæksɛs ˈfeɪsbʊk a:n maɪ ˈsɛl foʊn</t>
  </si>
  <si>
    <t>aɪ ju:z ˈsma:rtfoʊn ɪn ˈvɛriəs weɪz aɪ ˈlɪsən tu: ˈmju:zɪk a:n maɪ foʊn</t>
  </si>
  <si>
    <t>I check my email. aɪ ju:z ˈsma:rtfoʊn ɪn ˈvɛriəs weɪz aɪ ʧɛk maɪ ˈi:meɪl</t>
  </si>
  <si>
    <t>I use smartphone in various ways. I text messages and make phone calls.</t>
  </si>
  <si>
    <t>aɪ ju:z ˈsma:rtfoʊn ɪn ˈvɛriəs weɪz aɪ tɛkst ˈmɛsəʤəz ænd meɪk foʊn ka:lz</t>
  </si>
  <si>
    <t>She is talking on the phone with her husband.</t>
  </si>
  <si>
    <t>ʃi: ɪz ˈta:kɪŋ a:n ðə foʊn wɪð hɜ:r ˈhʌzbənd</t>
  </si>
  <si>
    <t>I am talking on the phone with my client.</t>
  </si>
  <si>
    <t>aɪ æm ˈta:kɪŋ a:n ðə foʊn wɪð maɪ ˈklaɪənt</t>
  </si>
  <si>
    <t>I hang up on her because she is shouting.</t>
  </si>
  <si>
    <t>aɪ hæŋ ʌp a:n hɜ:r bɪˈkəz ʃi: ɪz ˈʃaʊtɪŋ</t>
  </si>
  <si>
    <t>He hangs up on me.</t>
  </si>
  <si>
    <t>hi: hæŋz ʌp a:n mi:</t>
  </si>
  <si>
    <t>doʊnt hæŋ ʌp a:n mi:</t>
  </si>
  <si>
    <t>I surf the internet in the middle of the night quite often.</t>
  </si>
  <si>
    <t>aɪ sɜ:rf ði: ˈɪntərnɛt ɪn ðə ˈmɪdəl ʌv ðə naɪt kwaɪt ˈɔ:fən</t>
  </si>
  <si>
    <t>I surf the internet early in the morning quite often.</t>
  </si>
  <si>
    <t>aɪ sɜ:rf ði: ˈɪntərnɛt ˈɜ:rli ɪn ðə ˈmɔ:rnɪŋ kwaɪt ˈɔ:fən</t>
  </si>
  <si>
    <t>I surf the internet in the office quite often.</t>
  </si>
  <si>
    <t>aɪ sɜ:rf ði: ˈɪntərnɛt ɪn ði: ˈa:fɪs kwaɪt ˈɔ:fən</t>
  </si>
  <si>
    <t>I surf the internet during working hours quite often.</t>
  </si>
  <si>
    <t>aɪ sɜ:rf ði: ˈɪntərnɛt ˈdʊrɪŋ ˈwɜ:rkɪŋ ˈaʊərz kwaɪt ˈɔ:fən</t>
  </si>
  <si>
    <t>Tôi chỉnh điện thoại sang chế độ yên lặng.</t>
  </si>
  <si>
    <t>Tôi chỉnh điện thoại sang chế độ máy bay.</t>
  </si>
  <si>
    <t>Tôi chỉnh điện thoại sang chế độ ban đêm.</t>
  </si>
  <si>
    <t>Tôi chỉnh điện thoại sang chế độ phòng họp.</t>
  </si>
  <si>
    <t>Tôi sạc pin điện thoại của mình.</t>
  </si>
  <si>
    <t>Tôi sạc điện thoại ở đây được không?</t>
  </si>
  <si>
    <t>Tôi sạc pin điện thoại của mình 2 lần 1 ngày.</t>
  </si>
  <si>
    <t>Tôi kết nối máy in với máy tính.</t>
  </si>
  <si>
    <t>Tôi kết nối điện thoại với cái loa bluetooth.</t>
  </si>
  <si>
    <t>Tôi kết nối điện thoại với máy tính.</t>
  </si>
  <si>
    <t>Tôi kết nối điện thoại với wifi.</t>
  </si>
  <si>
    <t>Tôi chụp hình bằng camera điện thoại rồi gửi đi.</t>
  </si>
  <si>
    <t>Tôi quay phim bằng camera điện thoại rồi gửi đi.</t>
  </si>
  <si>
    <t>Tôi đánh một tin nhắn bằng điện thoại rồi gửi đi.</t>
  </si>
  <si>
    <t>Tôi thu âm bằng điện thoại rồi gửi đi.</t>
  </si>
  <si>
    <t>Tôi trả lời một tin nhắn.</t>
  </si>
  <si>
    <t>Tôi trả lời một email.</t>
  </si>
  <si>
    <t>Tôi trả lời một bình luận.</t>
  </si>
  <si>
    <t>Tôi đặt một đường link trong bài đăng của mình.</t>
  </si>
  <si>
    <t>Tôi đặt một đường link trong hình ảnh của mình.</t>
  </si>
  <si>
    <t>Tôi đặt một đường link trong email của mình.</t>
  </si>
  <si>
    <t>Tôi đặt một đường link trong phần mô tả của mình.</t>
  </si>
  <si>
    <t>Tôi dùng điện thoại để gọi điện.</t>
  </si>
  <si>
    <t>Tôi dùng điện thoại để chụp hình.</t>
  </si>
  <si>
    <t>Tôi dùng điện thoại để kết nối internet.</t>
  </si>
  <si>
    <t>Tôi dùng điện thoại để gửi tin nhắn.</t>
  </si>
  <si>
    <t>Điện thoại của tôi đang nằm ngoài vùng phủ sóng do tôi đang ở trong tầng hầm.</t>
  </si>
  <si>
    <t>Điện thoại của tôi đang nằm ngoài vùng phủ sóng do tôi đang bật chế độ máy bay.</t>
  </si>
  <si>
    <t>Điện thoại của tôi đang nằm ngoài vùng phủ sóng do tôi đang ở trong rừng.</t>
  </si>
  <si>
    <t>Youtube quá nặng để lướt.</t>
  </si>
  <si>
    <t>Trang nhạc này quá nặng để lướt.</t>
  </si>
  <si>
    <t>Tôi đã cập nhật trạng thái trên facebook.</t>
  </si>
  <si>
    <t>Tôi đã cập nhật trang này trong suốt chuyến công tác.</t>
  </si>
  <si>
    <t>Tôi đã cập nhật hình ảnh đại diện mới trên facebook.</t>
  </si>
  <si>
    <t>Tôi đã cập nhật hình mới sau chuyến đi chơi.</t>
  </si>
  <si>
    <t>Video mới của ban nhạc tôi yêu thích được đăng tải lên youtube.</t>
  </si>
  <si>
    <t>Video mới của cô ấy được đăng tải lên facebook.</t>
  </si>
  <si>
    <t>Hình ảnh của Mỹ Tâm được đăng tải trên fanpage của cô ấy.</t>
  </si>
  <si>
    <t>Hình của tôi đã được đăng tải trên facebook.</t>
  </si>
  <si>
    <t>Tôi có thể làm việc thông qua facebook.</t>
  </si>
  <si>
    <t>Tôi có thể học thông qua facebook.</t>
  </si>
  <si>
    <t>Tôi có thể mua sắm online thông qua facebook.</t>
  </si>
  <si>
    <t>Tôi có thể kết nối với bạn bè thông qua facebook.</t>
  </si>
  <si>
    <t>Tôi có thể cập nhật tin tức và sự kiện đang diễn ra thông qua facebook.</t>
  </si>
  <si>
    <t>Công nghệ làm cho đời sống của tôi dễ dàng hơn.</t>
  </si>
  <si>
    <t>Công nghệ làm cho đời sống của tôi tiện lợi hơn.</t>
  </si>
  <si>
    <t>Công nghệ làm cho đời sống của tôi thú vị hơn.</t>
  </si>
  <si>
    <t>Công nghệ làm cho đời sống của tôi thoải mái hơn.</t>
  </si>
  <si>
    <t>Tôi không thể sống nếu không có điện thoại.</t>
  </si>
  <si>
    <t>Tôi không thể sống nếu không có máy tính.</t>
  </si>
  <si>
    <t>Tôi không thể sống nếu không có mạng xã hội.</t>
  </si>
  <si>
    <t>Tôi không thể sống nếu không có các sản phẩm công nghệ.</t>
  </si>
  <si>
    <t>Tôi truy cập facebook trên điện thoại của tôi.</t>
  </si>
  <si>
    <t>Tôi truy cập trang web trên máy tính của tôi.</t>
  </si>
  <si>
    <t>Tôi truy cập instagram trên điện thoại của mình.</t>
  </si>
  <si>
    <t>Youtube là trang mà tôi thấy nó rất hữu ích cho mình.</t>
  </si>
  <si>
    <t>Wikipedia là trang mà tôi thấy nó rất hữu ích cho mình.</t>
  </si>
  <si>
    <t>BBC News là trang mà tôi thấy nó rất hữu ích cho mình.</t>
  </si>
  <si>
    <t>Facebook là một trong những trang web lớn nhất thế giới, với hàng triệu người dùng trên nhiều quốc gia khác nhau.</t>
  </si>
  <si>
    <t>Tiktok là một trong những trang web lớn nhất thế giới, với hàng triệu người dùng trên nhiều quốc gia khác nhau.</t>
  </si>
  <si>
    <t>Youtube là một trong những trang web lớn nhất trên thế giới, với hàng triệu người dùng trên nhiều quốc gia khác nhau.</t>
  </si>
  <si>
    <t>Tôi dùng điện thoại thông minh làm nhiều thứ khác nhau. Tôi nghe nhạc bằng điện thoại.</t>
  </si>
  <si>
    <t>Tôi dùng điện thoại thông minh làm nhiều thứ khác nhau. Tôi kiểm tra hộp thư.</t>
  </si>
  <si>
    <t>Tôi dùng điện thoại thông minh làm nhiều thứ khác nhau. Tôi gửi tin nhắn và gọi điện thoại.</t>
  </si>
  <si>
    <t>Cô ấy đang nói chuyện điện thoại với chồng.</t>
  </si>
  <si>
    <t>Tôi đang nói chuyện điện thoại với khách hàng.</t>
  </si>
  <si>
    <t>Tôi tắt máy điện thoại với cô ấy vì cô ấy la làng lên.</t>
  </si>
  <si>
    <t>Anh ấy cúp máy của tôi.</t>
  </si>
  <si>
    <t>Tôi lướt mạng vào lúc nửa đêm khá thường xuyên.</t>
  </si>
  <si>
    <t>Tôi lướt mạng vào sáng sớm khá thường xuyên.</t>
  </si>
  <si>
    <t>Tôi lướt mạng trong văn phòng khá thường xuyên.</t>
  </si>
  <si>
    <t>Tôi lướt mạng trong giờ làm khá thường xuyên.</t>
  </si>
  <si>
    <t>Tôi đang nói chuyện điện thoại với ba mẹ.</t>
  </si>
  <si>
    <t>I am talking on the phone with my parents.</t>
  </si>
  <si>
    <t>aɪ æm ˈta:kɪŋ a:n ðə foʊn wɪð maɪ ˈpɛrənts</t>
  </si>
  <si>
    <t>This site is too heavy to browse.</t>
  </si>
  <si>
    <t>Trang web này quá nặng để lướt.</t>
  </si>
  <si>
    <t>ˈfeɪsbʊk ɪz wʌn ʌv ðə moʊst ˈpa:pjələr ˈwɛbsaɪts ɪn ðə wɜ:rld wɪð ˈmɪljənz ʌv ˈju:zərz ɪn ˈdɪfərənt ˈkʌntriz</t>
  </si>
  <si>
    <t>Tiktok ɪz wʌn ʌv ðə moʊst ˈpa:pjələr ˈwɛbsaɪts ɪn ðə wɜ:rld wɪð ˈmɪljənz ʌv ˈju:zərz ɪn ˈdɪfərənt ˈkʌntriz</t>
  </si>
  <si>
    <t>ˈjuːtuːb ɪz wʌn ʌv ðə moʊst ˈpa:pjələr ˈwɛbsaɪts ɪn ðə wɜ:rld wɪð ˈmɪljənz ʌv ˈju:zərz ɪn ˈdɪfərənt ˈkʌntriz</t>
  </si>
  <si>
    <t>Đừng có cúp máy của tôi.</t>
  </si>
  <si>
    <t>Don’t hang up on me.</t>
  </si>
  <si>
    <t>TOPIC: THE IT LIFE</t>
  </si>
  <si>
    <t>05-10</t>
  </si>
  <si>
    <t>16-21</t>
  </si>
  <si>
    <t>I use smartphone in various ways. I check my email.</t>
  </si>
  <si>
    <t>I use smartphone in various ways. I listen to music on my phone.</t>
  </si>
  <si>
    <t>https://drive.google.com/file/d/1ZZdMGG18yVfo90onhAnTrYOuryrlhC80/view?usp=sharing</t>
  </si>
  <si>
    <t>https://drive.google.com/file/d/1z5HXSMVRaPGcSmJJEWFVGBuRIwcQW97u/view?usp=sharing</t>
  </si>
  <si>
    <t>https://drive.google.com/file/d/1bwX6pGLQmxCU8FavAltdLv6E_d3Vkn9o/view?usp=sharing</t>
  </si>
  <si>
    <t>https://drive.google.com/file/d/1X0kc9SnUzzclVGABOwJww-c5yMXqWc2l/view?usp=sharing</t>
  </si>
  <si>
    <t>https://drive.google.com/file/d/1eFbkZd-D0AAFL9yfuycArR_LVl3vNnOD/view?usp=sharing</t>
  </si>
  <si>
    <t>https://drive.google.com/file/d/1ONQ_KclH6zePyZZLCL9qylK9_uP_iWT_/view?usp=sharing</t>
  </si>
  <si>
    <t>https://drive.google.com/file/d/1W-CY309TE21KEggFTaPrBoCEUoulqc9Y/view?usp=sharing</t>
  </si>
  <si>
    <t>https://drive.google.com/file/d/1gU3HgG24ZQrA2dxDzYFTEyCy8HBvB1Yt/view?usp=sharing</t>
  </si>
  <si>
    <t>https://drive.google.com/file/d/1Ro3044QFltt7T7cUvNlwYs8H-FwT60Yi/view?usp=sharing</t>
  </si>
  <si>
    <t>https://drive.google.com/file/d/1GA4tAINFysygMz24fePZvMpIA4UfhRld/view?usp=sharing</t>
  </si>
  <si>
    <t>https://drive.google.com/file/d/1Eq1APWBpLLpeZjB0xACYOgOVC54W8_qG/view?usp=sharing</t>
  </si>
  <si>
    <t>https://drive.google.com/file/d/1MCRBhoGBxeC6y8du1IVW1L8LAeRr3jqq/view?usp=sharing</t>
  </si>
  <si>
    <t>https://drive.google.com/file/d/13DOWP5CcepnrfI3uvW1PF6bxiOUVpAHM/view?usp=sharing</t>
  </si>
  <si>
    <t>https://drive.google.com/file/d/1KNW93gQ9isYuoe9vZCRmoPdL4BwHOASn/view?usp=sharing</t>
  </si>
  <si>
    <t>https://drive.google.com/file/d/1tqg_Hk61k0MGfGaRqTjTWrQUBAzVem9r/view?usp=sharing</t>
  </si>
  <si>
    <t>https://drive.google.com/file/d/1dQOJ-AnZee4X0oE_QkOfvf0vI2r-dZyD/view?usp=sharing</t>
  </si>
  <si>
    <t>https://drive.google.com/file/d/1vXsgNfTykocf_78BAO9BM32t_cyf_EVR/view?usp=sharing</t>
  </si>
  <si>
    <t>https://drive.google.com/file/d/1jRLag9BaFG3AvNWkAZ4UmMPBYa9Uk5Ie/view?usp=sharing</t>
  </si>
  <si>
    <t>https://drive.google.com/file/d/128VtKzNXRUog8g5_3fBk9WwXSjZoYb-e/view?usp=sharing</t>
  </si>
  <si>
    <t>https://drive.google.com/file/d/1ZRb7LZHkMBZgedtAgWQPfOey_D4u8ofU/view?usp=sharing</t>
  </si>
  <si>
    <t>https://drive.google.com/file/d/1PJD1SR_BgH94MZM4VngvRFXdSX44PsUN/view?usp=sharing</t>
  </si>
  <si>
    <t>https://drive.google.com/file/d/1hvT1H2FqXwXb1wzPAJwUw9Oj9IVxnbTP/view?usp=sharing</t>
  </si>
  <si>
    <t>https://drive.google.com/file/d/1hBU6ciyl59HlcpZKvrCXnPj2WK0xHVTc/view?usp=sharing</t>
  </si>
  <si>
    <t>https://drive.google.com/file/d/1LmVRZfRES4K8_DTFLzBFh5op_CZeb-cb/view?usp=sharing</t>
  </si>
  <si>
    <t>https://drive.google.com/file/d/1Ee9B1r47UDLpesTPjLeTjDv8RRfdenvV/view?usp=sharing</t>
  </si>
  <si>
    <t>https://drive.google.com/file/d/1IjEv3OJctfO4nC0tDSDoEnbRqBFy-Ifl/view?usp=sharing</t>
  </si>
  <si>
    <t>https://drive.google.com/file/d/1KvOcNqSN12WFPqLz6RsXyitKPygenqUc/view?usp=sharing</t>
  </si>
  <si>
    <t>https://drive.google.com/file/d/1slldgTFp2ggILvyNsX4McJ5POOI4sJRj/view?usp=sharing</t>
  </si>
  <si>
    <t>https://drive.google.com/file/d/1qUu7o3iJxIAL6RDQeZ0wXPwdKmD7EM2x/view?usp=sharing</t>
  </si>
  <si>
    <t>https://drive.google.com/file/d/1j9RuEm0_mKdemHAJnwsYfDkicY8AFCW5/view?usp=sharing</t>
  </si>
  <si>
    <t>https://drive.google.com/file/d/1mq7iYs_Z1bRAEpHietFCW0kT_BsxFcd8/view?usp=sharing</t>
  </si>
  <si>
    <t>https://drive.google.com/file/d/1ZuJNuXOyiABSvtnxZHZsIgGlPhM-5alB/view?usp=sharing</t>
  </si>
  <si>
    <t>https://drive.google.com/file/d/1_7JRe5nGO6FV7w8kPnCKxZtXxtttTBFG/view?usp=sharing</t>
  </si>
  <si>
    <t>https://drive.google.com/file/d/14zYZl8VbYwuXlwTzBcFxDjgAUwbvM0QZ/view?usp=sharing</t>
  </si>
  <si>
    <t>https://drive.google.com/file/d/1Zmu8wx92yRWHOnHArflxNaLkAadqCO7v/view?usp=sharing</t>
  </si>
  <si>
    <t>https://drive.google.com/file/d/1nOFIqcz78uR-LIR_G7yUCiu9E2g_PFm_/view?usp=sharing</t>
  </si>
  <si>
    <t>https://drive.google.com/file/d/14ZHmZwFU6OkR7r6U6KZUHdQ_RByaKoyk/view?usp=sharing</t>
  </si>
  <si>
    <t>https://drive.google.com/file/d/1fnwYQFd9K_-2PBSOe6OBJzJ3WLQj2xOB/view?usp=sharing</t>
  </si>
  <si>
    <t>https://drive.google.com/file/d/1_YzyWWKSsvu5ijtDwTqJJLQsX9nQBroU/view?usp=sharing</t>
  </si>
  <si>
    <t>https://drive.google.com/file/d/1qsyWw_nlx9grXEd3TRO9unk1oScg2mjm/view?usp=sharing</t>
  </si>
  <si>
    <t>https://drive.google.com/file/d/1ZIy2dUaf1iV70AJjB7wQAryc8JtPIgU1/view?usp=sharing</t>
  </si>
  <si>
    <t>https://drive.google.com/file/d/1D1WBqW84jtbUN8aUZFjUDDXXkxz-5oSm/view?usp=sharing</t>
  </si>
  <si>
    <t>https://drive.google.com/file/d/1zXSHiL3Cifgu7yXvOuIDqxEISoXbcYag/view?usp=sharing</t>
  </si>
  <si>
    <t>https://drive.google.com/file/d/1xGd8befY9fE2prrHjOEuVCiwW2dWu6S0/view?usp=sharing</t>
  </si>
  <si>
    <t>https://drive.google.com/file/d/1Z2FpdYdFj-94w2MDviF9O1ER4X3ARN4X/view?usp=sharing</t>
  </si>
  <si>
    <t>https://drive.google.com/file/d/14QHfrDCUdchvZ5Nbpmkfw9WlwKiK2ttQ/view?usp=sharing</t>
  </si>
  <si>
    <t>https://drive.google.com/file/d/1nx7TWlzna8-m3lX5qFvFO_R9Q2DY9AW9/view?usp=sharing</t>
  </si>
  <si>
    <t>https://drive.google.com/file/d/1udAlQMWDMdXcfGdPDYsKtyZvT_gfD-sC/view?usp=sharing</t>
  </si>
  <si>
    <t>https://drive.google.com/file/d/1qZMmtMkzx63kr3TG3zYfDfmCb17IoITR/view?usp=sharing</t>
  </si>
  <si>
    <t>https://drive.google.com/file/d/1Czxa3t6ccBe4KxHdTr4RtNrHEwb9VjeO/view?usp=sharing</t>
  </si>
  <si>
    <t>https://drive.google.com/file/d/1JLxrsRbFZpUWZGz8cuGqf9NEXhtuEdXF/view?usp=sharing</t>
  </si>
  <si>
    <t>https://drive.google.com/file/d/1xG3-HB8LOYiLuQldc_Vc2kzELoqgLVqE/view?usp=sharing</t>
  </si>
  <si>
    <t>https://drive.google.com/file/d/1-1gGF6b4RIuPvu1cfUyfLQG_4A0kH46I/view?usp=sharing</t>
  </si>
  <si>
    <t>https://drive.google.com/file/d/1mK-OfgYsarB--ZzuWt5QJpr9STjtET3c/view?usp=sharing</t>
  </si>
  <si>
    <t>https://drive.google.com/file/d/1VDhxSCG0y4JHXRv3gHeaX-ctrDQuBhDn/view?usp=sharing</t>
  </si>
  <si>
    <t>https://drive.google.com/file/d/1P9bVLOQkXkBTDBvnnEQw-od7Gh0hm-Kh/view?usp=sharing</t>
  </si>
  <si>
    <t>https://drive.google.com/file/d/1NxxKFdQHjiP5mVbn9Z8bT4U7CwkNLdRc/view?usp=sharing</t>
  </si>
  <si>
    <t>https://drive.google.com/file/d/1lU3O_CE379NvQ-e33KCcRJjED0YkxpnK/view?usp=sharing</t>
  </si>
  <si>
    <t>https://drive.google.com/file/d/1B0VjiNg9YZlI9GZriMPdngMfqmlVr-vQ/view?usp=sharing</t>
  </si>
  <si>
    <t>https://drive.google.com/file/d/1eqCaGtdf88sHubaR82a8Xo1YCQzNDn2O/view?usp=sharing</t>
  </si>
  <si>
    <t>dưq</t>
  </si>
  <si>
    <t>eqwe</t>
  </si>
  <si>
    <t>16. Youtube / Wikipedia / BBC News  is the website that I find very useful for me.</t>
  </si>
  <si>
    <t>17. Facebook / Tiktok / Youtube is one of the most popular websites in the world, with millions of users in different countries.</t>
  </si>
  <si>
    <t>18. I use smartphone in various ways. I listen to music on my phone / I check my email / I text messages and make phone calls.</t>
  </si>
  <si>
    <t>19. I am talking on the phone with my parents / with her husband / with my client.</t>
  </si>
  <si>
    <t>20. I hang up on her / on me because she is shouting / Don’t hang up on me.</t>
  </si>
  <si>
    <t>21. I surf the internet in the middle of the night / early in the morning / in the office / during working hours quite often.</t>
  </si>
  <si>
    <t>The IT life</t>
  </si>
  <si>
    <t>1. I got my socks / my clothes / decorative lights  / wine wholesale.</t>
  </si>
  <si>
    <t>2. Surplus goods /  This books / These pizzas / This item are sold at half price.</t>
  </si>
  <si>
    <t>3. I only buys brand-name products / shoes / glasses / handbag.</t>
  </si>
  <si>
    <t>4. The night market / Farmer’s market / Flea market / Supermarket / The street is always crowded.</t>
  </si>
  <si>
    <t>5. This is the only place that sells arts and crafts / handmade / free-range eggs and organic food / second-hand.</t>
  </si>
  <si>
    <t>6. This book /These jeans / This item / This product is(are) too expensive / too cheap / reasonable.</t>
  </si>
  <si>
    <t>7. How much does this computer / kettle / coats / bottle of perfume / pair of shoes /cup of coffee cost?</t>
  </si>
  <si>
    <t>8. 60,000 dong for a cup of coffee / 600 dollars for this course / 2 million VND for this pair of shoes / 200,000 dong for this dish, what a rip-off!</t>
  </si>
  <si>
    <t>9. This price is not within my budget / is negotiable / is fixed / seems fair / of this item is reasonable.</t>
  </si>
  <si>
    <t>10. These items / The textbooks and dictionaries / All tickets / These gloves / This diamond ring are (is) on sale.</t>
  </si>
  <si>
    <t>11. All products / This jacket / This couch / This skirt / This English course are (is) 10% off.</t>
  </si>
  <si>
    <t>12. The price tag says 200 dollars, that’s too expensive / 500,000 VND, that’s reasonable / 5$, that’s too cheap.</t>
  </si>
  <si>
    <t>13. The furniture / The camera / The speaker / The toy I bought was damaged in transit.</t>
  </si>
  <si>
    <t>14. I’d like to exchange this item / the laptop I purchased yesterday / this shirt / this gift.</t>
  </si>
  <si>
    <t>15. I place an order for a new phone / this flats / gown / day cream / face wash online.</t>
  </si>
  <si>
    <t>16. Sorry, this item / these earrings / this necklace / this purse is (are) currently out of stock.</t>
  </si>
  <si>
    <t>17. Do you accept cash / credit card / debit card?</t>
  </si>
  <si>
    <t>18. Please transfer the money to my account / bank account / immediately. He transferred 500,000 VND to my bank account.</t>
  </si>
  <si>
    <t>19. Shipping is free for purchase over 500,000 VND / over 1,000,000 VND / over 200 dollars.</t>
  </si>
  <si>
    <t>20. Excuse me, can you tell me where the fruit and vegetables / the dairy products / health and beauty / meat and fish / sweets and snacks / canned food section is?</t>
  </si>
  <si>
    <t>21. I enjoy shopping online, because it’s convenient / it’s fast.</t>
  </si>
  <si>
    <t xml:space="preserve">      I enjoy shopping in bricks-and-mortar stores because I can bargain / goods can be guaranteed / because there are many fake goods online.</t>
  </si>
  <si>
    <t>22. Can I receive a refund if I am not satisfied with the products I buy? / if the product is damaged? /  if the quality of the product is not guaranteed?</t>
  </si>
  <si>
    <t>23. Have you got anything cheaper? / larger? / smaller? / smaller? / with different colors?</t>
  </si>
  <si>
    <t>24. I would like to return this / to change this for a different size / to speak to the manager / to keep the receipt.</t>
  </si>
  <si>
    <t>25. Could you lower the price some? / give me any off? / help me measure my waist?</t>
  </si>
  <si>
    <t>26. When can you deliver this bed? / deliver it? / deliver this camera?</t>
  </si>
  <si>
    <t>27. Can you deliver this pair of shoes tomorrow? / these glasses on Monday? / this lamp on Friday?</t>
  </si>
  <si>
    <t>28. I am looking for women’s underwear section / beach sandals / accessories section / skirts / wedding dresses.</t>
  </si>
  <si>
    <t>29. What is this sweater / this skirt / these earrings / this scarf / made of?</t>
  </si>
  <si>
    <t>30. Do you have these jeans in a size 38? / this pair of shoes in a size 40? / this T-shirt in size S? / this coat in the next larger size?</t>
  </si>
  <si>
    <t>31. I would like a liter of milk / 2 kilos of beef / to get three items / a 5-kilogram bag of rice.</t>
  </si>
  <si>
    <t>32. When does this pork / chocolate /sunscreen / honey/ expire?</t>
  </si>
  <si>
    <t>33. I was wondering if you had this sweater in a larger size / the same style of sweater made from another fabric / another one that is not damaged.</t>
  </si>
  <si>
    <t>34. I prefer my clothes to be a little loose / my clothes to be baggy / my clothes to be fashionable.</t>
  </si>
  <si>
    <t>Shoppong</t>
  </si>
  <si>
    <r>
      <t xml:space="preserve">1. I </t>
    </r>
    <r>
      <rPr>
        <b/>
        <sz val="11"/>
        <color rgb="FF0070C0"/>
        <rFont val="Arial"/>
        <family val="2"/>
        <scheme val="minor"/>
      </rPr>
      <t>set my cell phone to</t>
    </r>
    <r>
      <rPr>
        <sz val="11"/>
        <color theme="1"/>
        <rFont val="Arial"/>
        <family val="2"/>
        <charset val="163"/>
        <scheme val="minor"/>
      </rPr>
      <t xml:space="preserve"> silent mode / airplane mode / night mode / meeting mode.</t>
    </r>
  </si>
  <si>
    <r>
      <t xml:space="preserve">2. I </t>
    </r>
    <r>
      <rPr>
        <b/>
        <sz val="11"/>
        <color rgb="FF0070C0"/>
        <rFont val="Arial"/>
        <family val="2"/>
        <scheme val="minor"/>
      </rPr>
      <t>recharge my cell phone</t>
    </r>
    <r>
      <rPr>
        <sz val="11"/>
        <color theme="1"/>
        <rFont val="Arial"/>
        <family val="2"/>
        <charset val="163"/>
        <scheme val="minor"/>
      </rPr>
      <t xml:space="preserve"> twice a day / Can I recharge my cell phone here?</t>
    </r>
  </si>
  <si>
    <r>
      <t xml:space="preserve">3. I </t>
    </r>
    <r>
      <rPr>
        <b/>
        <sz val="11"/>
        <color rgb="FF0070C0"/>
        <rFont val="Arial"/>
        <family val="2"/>
        <scheme val="minor"/>
      </rPr>
      <t>connect</t>
    </r>
    <r>
      <rPr>
        <sz val="11"/>
        <color theme="1"/>
        <rFont val="Arial"/>
        <family val="2"/>
        <charset val="163"/>
        <scheme val="minor"/>
      </rPr>
      <t xml:space="preserve"> the printer to the computer / my smartphone to the bluetooth speaker / my smartphone to the computer / my smartphone to wifi.</t>
    </r>
  </si>
  <si>
    <r>
      <t xml:space="preserve">5. I </t>
    </r>
    <r>
      <rPr>
        <b/>
        <sz val="11"/>
        <color rgb="FF0070C0"/>
        <rFont val="Arial"/>
        <family val="2"/>
        <scheme val="minor"/>
      </rPr>
      <t>respond to</t>
    </r>
    <r>
      <rPr>
        <sz val="11"/>
        <color theme="1"/>
        <rFont val="Arial"/>
        <family val="2"/>
        <charset val="163"/>
        <scheme val="minor"/>
      </rPr>
      <t xml:space="preserve"> a message / email / comment.</t>
    </r>
  </si>
  <si>
    <r>
      <t xml:space="preserve">6. I </t>
    </r>
    <r>
      <rPr>
        <b/>
        <sz val="11"/>
        <color rgb="FF0070C0"/>
        <rFont val="Arial"/>
        <family val="2"/>
        <scheme val="minor"/>
      </rPr>
      <t>put a link in</t>
    </r>
    <r>
      <rPr>
        <sz val="11"/>
        <color theme="1"/>
        <rFont val="Arial"/>
        <family val="2"/>
        <charset val="163"/>
        <scheme val="minor"/>
      </rPr>
      <t xml:space="preserve"> my post / my image / my email / my description.</t>
    </r>
  </si>
  <si>
    <r>
      <t xml:space="preserve">7. I </t>
    </r>
    <r>
      <rPr>
        <b/>
        <sz val="11"/>
        <color rgb="FF0070C0"/>
        <rFont val="Arial"/>
        <family val="2"/>
        <scheme val="minor"/>
      </rPr>
      <t>use my phone to</t>
    </r>
    <r>
      <rPr>
        <sz val="11"/>
        <color theme="1"/>
        <rFont val="Arial"/>
        <family val="2"/>
        <charset val="163"/>
        <scheme val="minor"/>
      </rPr>
      <t xml:space="preserve"> make a phone call / to take photos / to access the internet / to send messages.</t>
    </r>
  </si>
  <si>
    <r>
      <t xml:space="preserve">8. My cell phone is </t>
    </r>
    <r>
      <rPr>
        <b/>
        <sz val="11"/>
        <color rgb="FF0070C0"/>
        <rFont val="Arial"/>
        <family val="2"/>
        <scheme val="minor"/>
      </rPr>
      <t>out of service now</t>
    </r>
    <r>
      <rPr>
        <sz val="11"/>
        <color theme="1"/>
        <rFont val="Arial"/>
        <family val="2"/>
        <charset val="163"/>
        <scheme val="minor"/>
      </rPr>
      <t xml:space="preserve"> because I’m in the basement / I turn on the airplane mode / I am in the forest.</t>
    </r>
  </si>
  <si>
    <r>
      <t xml:space="preserve">9. This site / Youtube / This music site  is </t>
    </r>
    <r>
      <rPr>
        <b/>
        <sz val="11"/>
        <color rgb="FF0070C0"/>
        <rFont val="Arial"/>
        <family val="2"/>
        <scheme val="minor"/>
      </rPr>
      <t>too heavy to browse.</t>
    </r>
  </si>
  <si>
    <r>
      <t xml:space="preserve">10. I </t>
    </r>
    <r>
      <rPr>
        <b/>
        <sz val="11"/>
        <color rgb="FF0070C0"/>
        <rFont val="Arial"/>
        <family val="2"/>
        <scheme val="minor"/>
      </rPr>
      <t>have updated a status</t>
    </r>
    <r>
      <rPr>
        <sz val="11"/>
        <color theme="1"/>
        <rFont val="Arial"/>
        <family val="2"/>
        <charset val="163"/>
        <scheme val="minor"/>
      </rPr>
      <t xml:space="preserve"> on facebook / this page during my business trip / my new profile picture on facebook / my photos after my trip.</t>
    </r>
  </si>
  <si>
    <r>
      <t xml:space="preserve">11. A new video of my favorite band / Her new video / My Tam’s photos / My photo </t>
    </r>
    <r>
      <rPr>
        <b/>
        <sz val="11"/>
        <color rgb="FF0070C0"/>
        <rFont val="Arial"/>
        <family val="2"/>
        <scheme val="minor"/>
      </rPr>
      <t>has been uploaded</t>
    </r>
    <r>
      <rPr>
        <sz val="11"/>
        <color theme="1"/>
        <rFont val="Arial"/>
        <family val="2"/>
        <charset val="163"/>
        <scheme val="minor"/>
      </rPr>
      <t xml:space="preserve"> onto youtube / on facebook / on her fanpage.</t>
    </r>
  </si>
  <si>
    <r>
      <t xml:space="preserve">13. Technology </t>
    </r>
    <r>
      <rPr>
        <b/>
        <sz val="11"/>
        <color rgb="FF0070C0"/>
        <rFont val="Arial"/>
        <family val="2"/>
        <scheme val="minor"/>
      </rPr>
      <t>has made my life</t>
    </r>
    <r>
      <rPr>
        <sz val="11"/>
        <color theme="1"/>
        <rFont val="Arial"/>
        <family val="2"/>
        <charset val="163"/>
        <scheme val="minor"/>
      </rPr>
      <t xml:space="preserve"> easier / more convenient / more enjoyable / more comfortable.</t>
    </r>
  </si>
  <si>
    <r>
      <t xml:space="preserve">14. I </t>
    </r>
    <r>
      <rPr>
        <b/>
        <sz val="11"/>
        <color rgb="FF0070C0"/>
        <rFont val="Arial"/>
        <family val="2"/>
        <scheme val="minor"/>
      </rPr>
      <t xml:space="preserve">could not live without </t>
    </r>
    <r>
      <rPr>
        <sz val="11"/>
        <color theme="1"/>
        <rFont val="Arial"/>
        <family val="2"/>
        <charset val="163"/>
        <scheme val="minor"/>
      </rPr>
      <t>my smartphone / my computer / social networks / technological products.</t>
    </r>
  </si>
  <si>
    <r>
      <t xml:space="preserve">15. I </t>
    </r>
    <r>
      <rPr>
        <b/>
        <sz val="11"/>
        <color rgb="FF0070C0"/>
        <rFont val="Arial"/>
        <family val="2"/>
        <scheme val="minor"/>
      </rPr>
      <t>access</t>
    </r>
    <r>
      <rPr>
        <sz val="11"/>
        <color theme="1"/>
        <rFont val="Arial"/>
        <family val="2"/>
        <charset val="163"/>
        <scheme val="minor"/>
      </rPr>
      <t xml:space="preserve"> facebook on my cell phone / website on my computer / instagram on my smartphone.</t>
    </r>
  </si>
  <si>
    <t>;'</t>
  </si>
  <si>
    <t>lkkj</t>
  </si>
  <si>
    <r>
      <t xml:space="preserve">12. I </t>
    </r>
    <r>
      <rPr>
        <b/>
        <sz val="11"/>
        <color rgb="FF0070C0"/>
        <rFont val="Arial"/>
        <family val="2"/>
        <scheme val="minor"/>
      </rPr>
      <t>can</t>
    </r>
    <r>
      <rPr>
        <sz val="11"/>
        <color theme="1"/>
        <rFont val="Arial"/>
        <family val="2"/>
        <charset val="163"/>
        <scheme val="minor"/>
      </rPr>
      <t xml:space="preserve"> work / study / go shopping online / connect with my friends</t>
    </r>
    <r>
      <rPr>
        <b/>
        <sz val="11"/>
        <color rgb="FF0070C0"/>
        <rFont val="Arial"/>
        <family val="2"/>
        <scheme val="minor"/>
      </rPr>
      <t xml:space="preserve"> </t>
    </r>
    <r>
      <rPr>
        <b/>
        <sz val="11"/>
        <color theme="1"/>
        <rFont val="Arial"/>
        <family val="2"/>
        <scheme val="minor"/>
      </rPr>
      <t xml:space="preserve">/ </t>
    </r>
    <r>
      <rPr>
        <sz val="11"/>
        <color theme="1"/>
        <rFont val="Arial"/>
        <family val="2"/>
        <scheme val="minor"/>
      </rPr>
      <t xml:space="preserve"> stay up-to-date with news and current events </t>
    </r>
    <r>
      <rPr>
        <b/>
        <sz val="11"/>
        <color rgb="FF0070C0"/>
        <rFont val="Arial"/>
        <family val="2"/>
        <scheme val="minor"/>
      </rPr>
      <t>via facebook,</t>
    </r>
  </si>
  <si>
    <r>
      <t xml:space="preserve">4. I </t>
    </r>
    <r>
      <rPr>
        <b/>
        <sz val="11"/>
        <color rgb="FF0070C0"/>
        <rFont val="Arial"/>
        <family val="2"/>
        <scheme val="minor"/>
      </rPr>
      <t>take a photo</t>
    </r>
    <r>
      <rPr>
        <sz val="11"/>
        <color theme="1"/>
        <rFont val="Arial"/>
        <family val="2"/>
        <charset val="163"/>
        <scheme val="minor"/>
      </rPr>
      <t xml:space="preserve"> / </t>
    </r>
    <r>
      <rPr>
        <b/>
        <sz val="11"/>
        <color rgb="FF0070C0"/>
        <rFont val="Arial"/>
        <family val="2"/>
        <scheme val="minor"/>
      </rPr>
      <t>record a video</t>
    </r>
    <r>
      <rPr>
        <sz val="11"/>
        <color theme="1"/>
        <rFont val="Arial"/>
        <family val="2"/>
        <charset val="163"/>
        <scheme val="minor"/>
      </rPr>
      <t xml:space="preserve"> / </t>
    </r>
    <r>
      <rPr>
        <b/>
        <sz val="11"/>
        <color rgb="FF0070C0"/>
        <rFont val="Arial"/>
        <family val="2"/>
        <scheme val="minor"/>
      </rPr>
      <t>text a message</t>
    </r>
    <r>
      <rPr>
        <sz val="11"/>
        <color theme="1"/>
        <rFont val="Arial"/>
        <family val="2"/>
        <charset val="163"/>
        <scheme val="minor"/>
      </rPr>
      <t xml:space="preserve"> / </t>
    </r>
    <r>
      <rPr>
        <b/>
        <sz val="11"/>
        <color rgb="FF0070C0"/>
        <rFont val="Arial"/>
        <family val="2"/>
        <scheme val="minor"/>
      </rPr>
      <t>record</t>
    </r>
    <r>
      <rPr>
        <sz val="11"/>
        <color theme="1"/>
        <rFont val="Arial"/>
        <family val="2"/>
        <charset val="163"/>
        <scheme val="minor"/>
      </rPr>
      <t xml:space="preserve">  with my cell phone camera and </t>
    </r>
    <r>
      <rPr>
        <b/>
        <sz val="11"/>
        <color rgb="FF0070C0"/>
        <rFont val="Arial"/>
        <family val="2"/>
        <scheme val="minor"/>
      </rPr>
      <t>send it.</t>
    </r>
  </si>
  <si>
    <t>aɪ kæn wɜ:rk ˈviːə ˈfeɪsbʊk</t>
  </si>
  <si>
    <t>aɪ kæn ˈstʌdi ˈviːə ˈfeɪsbʊk</t>
  </si>
  <si>
    <t>aɪ kæn goʊ ˈʃa:pɪŋ a:nˈlaɪn ˈviːə ˈfeɪsbʊk</t>
  </si>
  <si>
    <t>aɪ kæn kəˈnɛkt wɪð maɪ frɛndz ˈviːə ˈfeɪsbʊk</t>
  </si>
  <si>
    <t>aɪ steɪ ʌp tu: deɪt wɪð nu:z ænd ˈkɜ:rənt ɪˈvɛnts ˈviːə ˈfeɪsbʊk</t>
  </si>
  <si>
    <t>https://drive.google.com/file/d/1br2lKzzv6iuXu7HJej4dfkJnqr38KUWZ/view?usp=sharing</t>
  </si>
  <si>
    <t>https://drive.google.com/file/d/1r2XzQqk3XWMoqS9bn81evCXInTyU0EES/view?usp=sharing</t>
  </si>
  <si>
    <t>https://drive.google.com/file/d/1s1AULhAlWKHooi3WvuL1N51B4lwxkZHT/view?usp=sharing</t>
  </si>
  <si>
    <t>https://drive.google.com/file/d/11JNwfoMqsA2Rs3tU15Zb76HakYYDo-z_/view?usp=sharing</t>
  </si>
  <si>
    <t>https://drive.google.com/file/d/1u7j4GYTW9lqYLTKD4Voyanmx89XIdvNf/view?usp=sharing</t>
  </si>
  <si>
    <t>https://drive.google.com/file/d/1DIpt99v52jom8NxXC2FZcQgX3pQ9KWuQ/view?usp=sharing</t>
  </si>
  <si>
    <t>https://drive.google.com/file/d/1Ggd8ZpSahGXMshpW6qE3oegZ-vQW7yx5/view?usp=sharing</t>
  </si>
  <si>
    <t>https://drive.google.com/file/d/11WiENcNOfcTExc_4wp58viYeUxC8ESFd/view?usp=sharing</t>
  </si>
  <si>
    <t>https://drive.google.com/file/d/1Qvcak3fBV34a7y0Pkh0HG6uizk6vkVeD/view?usp=sharing</t>
  </si>
  <si>
    <t>https://drive.google.com/file/d/1TRaNwMXJ_yoHSnlzT1L8Ks0qX2DxdJ4u/view?usp=sharing</t>
  </si>
  <si>
    <t>https://drive.google.com/file/d/1zrhgYVua1XdUVtSNMVyeqyXWL9OzgKmO/view?usp=sharing</t>
  </si>
  <si>
    <t>https://drive.google.com/file/d/11Ruy3AQFSMZ045j9GWV2ObyGyG-alpYR/view?usp=sharing</t>
  </si>
  <si>
    <t>https://drive.google.com/file/d/1yekAtpZZRTC_b69mRCOuh5b93OiiJzeE/view?usp=sharing</t>
  </si>
  <si>
    <t>https://drive.google.com/file/d/1kPVKZzn0mwedqai_wUuboTrvsfl2wMkr/view?usp=sharing</t>
  </si>
  <si>
    <t>https://drive.google.com/file/d/1fQx7G8Hphcv4tpsZ6sgdLYa7g0hwh7jD/view?usp=sharing</t>
  </si>
  <si>
    <t>https://drive.google.com/file/d/1dzER3l9AgHe6K2kR-bNByMFQh9S0Fq-3/view?usp=sharing</t>
  </si>
  <si>
    <t>https://drive.google.com/file/d/1a78ROLnR-yRyOHiNEDGKieaAEmm4KoOX/view?usp=sharing</t>
  </si>
  <si>
    <t>https://drive.google.com/file/d/1eaZdpZBA6td_yM4J9TEMkVSya8B0M6o4/view?usp=sharing</t>
  </si>
  <si>
    <t>https://drive.google.com/file/d/1xtl2XX3znPXq41oxGuxkE3jnD0AayY-U/view?usp=sharing</t>
  </si>
  <si>
    <t>Hello everyone. Today I am gonna tell you about the topic of IT life.</t>
  </si>
  <si>
    <t>Technology has made my life easier and more enjoyable.</t>
  </si>
  <si>
    <t>I couldn't live without technological products.</t>
  </si>
  <si>
    <t>I also couldn't live without my smartphone.</t>
  </si>
  <si>
    <t>I access the social networks on my smartphone.</t>
  </si>
  <si>
    <t>I've updated my status every week.</t>
  </si>
  <si>
    <t>I can study, go shopping online, connect with my friends, and stay up-to-date with news and current events via Facebook.</t>
  </si>
  <si>
    <t>Besides, YouTube is a website that I find very useful for me.</t>
  </si>
  <si>
    <t>New videos have been uploaded onto YouTube every day.</t>
  </si>
  <si>
    <t>I also record videos on my smartphone and upload them onto YouTube.</t>
  </si>
  <si>
    <t>Sometimes, I set my cell phone to airplane mode.</t>
  </si>
  <si>
    <t>My cell phone is out of service when I go to sleep.</t>
  </si>
  <si>
    <t>Thanks for listening!</t>
  </si>
  <si>
    <t>Man_01</t>
  </si>
  <si>
    <t>Man_02</t>
  </si>
  <si>
    <t>Man_03</t>
  </si>
  <si>
    <t>Man_04</t>
  </si>
  <si>
    <t>Man_05</t>
  </si>
  <si>
    <t>Man_06</t>
  </si>
  <si>
    <t>Man_07</t>
  </si>
  <si>
    <t>Man_08</t>
  </si>
  <si>
    <t>Man_09</t>
  </si>
  <si>
    <t>Man_10</t>
  </si>
  <si>
    <t>Man_11</t>
  </si>
  <si>
    <t>Man_12</t>
  </si>
  <si>
    <t>Man_13</t>
  </si>
  <si>
    <t>Man_14</t>
  </si>
  <si>
    <t>Man_15</t>
  </si>
  <si>
    <t>https://drive.google.com/file/d/1rnkrZgzGKWsh4ZfoAd_FuplwYgYY_E1U/view?usp=sharing</t>
  </si>
  <si>
    <t>https://drive.google.com/file/d/1IRoMRsshQf-3OlKqKPNoWOshEnQumJp8/view?usp=sharing</t>
  </si>
  <si>
    <t>https://drive.google.com/file/d/1ARjCFfQLtAsXrJYhaxxlI0_8wtKSgkaK/view?usp=sharing</t>
  </si>
  <si>
    <t>https://drive.google.com/file/d/18OIlokL_Ypf0kd9Pb2Pk7B9SV4VAfzOq/view?usp=sharing</t>
  </si>
  <si>
    <t>https://drive.google.com/file/d/1U8yAtihPxEQFDFLXhZx1tQx5rsEWx2-I/view?usp=sharing</t>
  </si>
  <si>
    <t>https://drive.google.com/file/d/1OiabGRSfr7nPI_-OYVpmCXbor_6gtLg4/view?usp=sharing</t>
  </si>
  <si>
    <t>https://drive.google.com/file/d/1VogOhpIHAXlNqfB9gn9E4iwR95jwMDcL/view?usp=sharing</t>
  </si>
  <si>
    <t>https://drive.google.com/file/d/1SegxPfljaDh7YlB-oUibsUWYGJf1bq71/view?usp=sharing</t>
  </si>
  <si>
    <t>https://drive.google.com/file/d/1f5c9Aukq6Zp5QX7WWbldt7ijgjC1tOrl/view?usp=sharing</t>
  </si>
  <si>
    <t>https://drive.google.com/file/d/1flH1KfEmwA2RKRC_O7kAzTUwM_OXvFQm/view?usp=sharing</t>
  </si>
  <si>
    <t>https://drive.google.com/file/d/1Qmq_IgGi8Hxt-vz7ZX4F7Q6NfSlQ_hbA/view?usp=sharing</t>
  </si>
  <si>
    <t>https://drive.google.com/file/d/1AaqzPkHBzS5kSmpKn1DNq1Nta9rq0LE6/view?usp=sharing</t>
  </si>
  <si>
    <t>https://drive.google.com/file/d/1tVCy1Jeos1g99jAgojFikj4-lZ-Q8RIu/view?usp=sharing</t>
  </si>
  <si>
    <t>https://drive.google.com/file/d/1koIXL8qrd_kpsIOviWJKoyH-1rDUfu5C/view?usp=sharing</t>
  </si>
  <si>
    <t>https://drive.google.com/file/d/13I5u0DDVSYiDsmslz8jOvI_TYM4CkMak/view?usp=sharing</t>
  </si>
  <si>
    <t>https://drive.google.com/file/d/1rDp8eVMVnwA40Qza9VxKBzlT_i9onTPe/view?usp=sharing</t>
  </si>
  <si>
    <t>https://drive.google.com/file/d/1V2DxEk-RqREkbDD4qSRzxsw8s8-oCXQO/view?usp=sharing</t>
  </si>
  <si>
    <t>01-21</t>
  </si>
  <si>
    <t>https://drive.google.com/file/d/1M2k6e7nt2w_q4_1QuGCfHDEKs6MDaeAu/view?usp=sharing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</si>
</sst>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rial"/>
      <family val="2"/>
      <charset val="163"/>
      <scheme val="minor"/>
    </font>
    <font>
      <b/>
      <sz val="11"/>
      <color theme="1"/>
      <name val="Arial"/>
      <family val="2"/>
      <scheme val="minor"/>
    </font>
    <font>
      <u/>
      <sz val="11"/>
      <color theme="10"/>
      <name val="Arial"/>
      <family val="2"/>
      <charset val="163"/>
      <scheme val="minor"/>
    </font>
    <font>
      <sz val="8"/>
      <name val="Arial"/>
      <family val="2"/>
      <charset val="163"/>
      <scheme val="minor"/>
    </font>
    <font>
      <sz val="11"/>
      <color theme="1"/>
      <name val="Arial"/>
      <family val="2"/>
      <scheme val="minor"/>
    </font>
    <font>
      <sz val="11"/>
      <color rgb="FFFF0000"/>
      <name val="Arial"/>
      <family val="2"/>
      <scheme val="minor"/>
    </font>
    <font>
      <sz val="11"/>
      <color rgb="FF0070C0"/>
      <name val="Arial"/>
      <family val="2"/>
      <scheme val="minor"/>
    </font>
    <font>
      <b/>
      <sz val="11"/>
      <color rgb="FF0070C0"/>
      <name val="Arial"/>
      <family val="2"/>
      <scheme val="minor"/>
    </font>
  </fonts>
  <fills count="5">
    <fill>
      <patternFill patternType="none"/>
    </fill>
    <fill>
      <patternFill patternType="gray125"/>
    </fill>
    <fill>
      <patternFill patternType="solid">
        <fgColor theme="0" tint="-0.14999847407452621"/>
        <bgColor indexed="64"/>
      </patternFill>
    </fill>
    <fill>
      <patternFill patternType="solid">
        <fgColor theme="7" tint="0.59999389629810485"/>
        <bgColor indexed="64"/>
      </patternFill>
    </fill>
    <fill>
      <patternFill patternType="solid">
        <fgColor rgb="FFFFFF00"/>
        <bgColor indexed="64"/>
      </patternFill>
    </fill>
  </fills>
  <borders count="2">
    <border>
      <left/>
      <right/>
      <top/>
      <bottom/>
      <diagonal/>
    </border>
    <border>
      <left style="thin">
        <color theme="1" tint="0.499984740745262"/>
      </left>
      <right style="thin">
        <color theme="1" tint="0.499984740745262"/>
      </right>
      <top style="thin">
        <color theme="1" tint="0.499984740745262"/>
      </top>
      <bottom style="thin">
        <color theme="1" tint="0.499984740745262"/>
      </bottom>
      <diagonal/>
    </border>
  </borders>
  <cellStyleXfs count="2">
    <xf numFmtId="0" fontId="0" fillId="0" borderId="0"/>
    <xf numFmtId="0" fontId="2" fillId="0" borderId="0" applyNumberFormat="0" applyFill="0" applyBorder="0" applyAlignment="0" applyProtection="0"/>
  </cellStyleXfs>
  <cellXfs count="30">
    <xf numFmtId="0" fontId="0" fillId="0" borderId="0" xfId="0"/>
    <xf numFmtId="0" fontId="0" fillId="0" borderId="0" xfId="0" applyAlignment="1">
      <alignment horizontal="center"/>
    </xf>
    <xf numFmtId="0" fontId="0" fillId="2" borderId="1" xfId="0" applyFill="1" applyBorder="1" applyAlignment="1">
      <alignment horizontal="center"/>
    </xf>
    <xf numFmtId="0" fontId="0" fillId="4" borderId="0" xfId="0" applyFill="1"/>
    <xf numFmtId="0" fontId="0" fillId="2" borderId="0" xfId="0" applyFill="1"/>
    <xf numFmtId="0" fontId="2" fillId="0" borderId="0" xfId="1"/>
    <xf numFmtId="0" fontId="0" fillId="0" borderId="0" xfId="0" applyAlignment="1">
      <alignment horizontal="left"/>
    </xf>
    <xf numFmtId="0" fontId="0" fillId="2" borderId="1" xfId="0" applyFill="1" applyBorder="1" applyAlignment="1">
      <alignment horizontal="left"/>
    </xf>
    <xf numFmtId="0" fontId="0" fillId="3" borderId="1" xfId="0" applyFill="1" applyBorder="1" applyAlignment="1">
      <alignment horizontal="left"/>
    </xf>
    <xf numFmtId="0" fontId="0" fillId="0" borderId="1" xfId="0" applyFill="1" applyBorder="1" applyAlignment="1">
      <alignment horizontal="left"/>
    </xf>
    <xf numFmtId="0" fontId="2" fillId="0" borderId="0" xfId="1" applyFill="1"/>
    <xf numFmtId="49" fontId="0" fillId="0" borderId="1" xfId="0" applyNumberFormat="1" applyFill="1" applyBorder="1" applyAlignment="1">
      <alignment horizontal="center"/>
    </xf>
    <xf numFmtId="0" fontId="1" fillId="0" borderId="0" xfId="0" applyFont="1" applyAlignment="1">
      <alignment horizontal="center"/>
    </xf>
    <xf numFmtId="0" fontId="1" fillId="0" borderId="0" xfId="0" applyFont="1"/>
    <xf numFmtId="0" fontId="4" fillId="2" borderId="1" xfId="0" applyFont="1" applyFill="1" applyBorder="1" applyAlignment="1">
      <alignment horizontal="center"/>
    </xf>
    <xf numFmtId="0" fontId="4" fillId="0" borderId="0" xfId="0" applyFont="1" applyAlignment="1">
      <alignment horizontal="center"/>
    </xf>
    <xf numFmtId="0" fontId="4" fillId="3" borderId="1" xfId="0" applyFont="1" applyFill="1" applyBorder="1" applyAlignment="1">
      <alignment horizontal="center"/>
    </xf>
    <xf numFmtId="0" fontId="0" fillId="4" borderId="0" xfId="0" applyFill="1" applyAlignment="1">
      <alignment horizontal="center"/>
    </xf>
    <xf numFmtId="0" fontId="0" fillId="2" borderId="0" xfId="0" applyFill="1" applyAlignment="1">
      <alignment horizontal="center"/>
    </xf>
    <xf numFmtId="0" fontId="0" fillId="0" borderId="0" xfId="0" quotePrefix="1"/>
    <xf numFmtId="0" fontId="4" fillId="0" borderId="0" xfId="0" applyFont="1"/>
    <xf numFmtId="0" fontId="4" fillId="0" borderId="1" xfId="0" applyFont="1" applyFill="1" applyBorder="1" applyAlignment="1">
      <alignment horizontal="center"/>
    </xf>
    <xf numFmtId="0" fontId="1" fillId="0" borderId="0" xfId="0" applyFont="1" applyAlignment="1">
      <alignment horizontal="left"/>
    </xf>
    <xf numFmtId="0" fontId="4" fillId="2" borderId="1" xfId="0" applyFont="1" applyFill="1" applyBorder="1"/>
    <xf numFmtId="0" fontId="4" fillId="0" borderId="1" xfId="0" applyFont="1" applyFill="1" applyBorder="1"/>
    <xf numFmtId="0" fontId="4" fillId="3" borderId="1" xfId="0" applyFont="1" applyFill="1" applyBorder="1"/>
    <xf numFmtId="0" fontId="1" fillId="3" borderId="1" xfId="0" applyFont="1" applyFill="1" applyBorder="1" applyAlignment="1">
      <alignment horizontal="left"/>
    </xf>
    <xf numFmtId="0" fontId="5" fillId="0" borderId="1" xfId="0" applyFont="1" applyFill="1" applyBorder="1"/>
    <xf numFmtId="0" fontId="6" fillId="0" borderId="1" xfId="0" applyFont="1" applyFill="1" applyBorder="1"/>
    <xf numFmtId="49" fontId="0" fillId="0" borderId="1" xfId="0" applyNumberFormat="1" applyFill="1" applyBorder="1" applyAlignment="1">
      <alignment horizontal="left"/>
    </xf>
  </cellXfs>
  <cellStyles count="2">
    <cellStyle name="Hyperlink" xfId="1" builtinId="8"/>
    <cellStyle name="Normal" xfId="0" builtinId="0"/>
  </cellStyles>
  <dxfs count="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drive.google.com/file/d/1zrhgYVua1XdUVtSNMVyeqyXWL9OzgKmO/view?usp=sharing"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drive.google.com/file/d/1f5c9Aukq6Zp5QX7WWbldt7ijgjC1tOrl/view?usp=sharing"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9C9D1B-A452-401C-9733-8750E50DAAFC}">
  <dimension ref="A2:I249"/>
  <sheetViews>
    <sheetView showGridLines="0" zoomScale="81" zoomScaleNormal="81" workbookViewId="0">
      <selection activeCell="F232" sqref="F232"/>
    </sheetView>
  </sheetViews>
  <sheetFormatPr defaultRowHeight="13.8" x14ac:dyDescent="0.25"/>
  <cols>
    <col min="1" max="1" width="8.796875" style="1"/>
    <col min="2" max="2" width="8.296875" style="15" customWidth="1"/>
    <col min="3" max="3" width="9.69921875" style="20" customWidth="1"/>
    <col min="4" max="4" width="61.59765625" style="20" customWidth="1"/>
    <col min="5" max="5" width="10.69921875" style="15" customWidth="1"/>
    <col min="6" max="6" width="26.5" style="6" customWidth="1"/>
    <col min="7" max="7" width="41.69921875" customWidth="1"/>
    <col min="8" max="8" width="16.19921875" customWidth="1"/>
    <col min="9" max="9" width="8.796875" style="20"/>
  </cols>
  <sheetData>
    <row r="2" spans="1:9" x14ac:dyDescent="0.25">
      <c r="B2" s="22" t="s">
        <v>330</v>
      </c>
    </row>
    <row r="3" spans="1:9" x14ac:dyDescent="0.25">
      <c r="A3" s="1" t="s">
        <v>1</v>
      </c>
      <c r="B3" s="14" t="s">
        <v>1</v>
      </c>
      <c r="C3" s="23" t="s">
        <v>8</v>
      </c>
      <c r="D3" s="23" t="s">
        <v>0</v>
      </c>
      <c r="E3" s="14" t="s">
        <v>2</v>
      </c>
      <c r="F3" s="7" t="s">
        <v>9</v>
      </c>
      <c r="G3" s="1" t="s">
        <v>8</v>
      </c>
      <c r="H3" s="3" t="s">
        <v>10</v>
      </c>
    </row>
    <row r="4" spans="1:9" s="13" customFormat="1" x14ac:dyDescent="0.25">
      <c r="A4" s="12"/>
      <c r="B4" s="16">
        <v>1</v>
      </c>
      <c r="C4" s="25" t="str">
        <f>B4&amp;E4</f>
        <v>1Struc</v>
      </c>
      <c r="D4" s="25" t="s">
        <v>112</v>
      </c>
      <c r="E4" s="16" t="s">
        <v>11</v>
      </c>
      <c r="F4" s="26"/>
      <c r="G4" s="12"/>
      <c r="H4"/>
      <c r="I4" s="20"/>
    </row>
    <row r="5" spans="1:9" x14ac:dyDescent="0.25">
      <c r="A5" s="1">
        <v>1</v>
      </c>
      <c r="B5" s="21" t="s">
        <v>13</v>
      </c>
      <c r="C5" s="24" t="str">
        <f t="shared" ref="C5:C68" si="0">B5&amp;E5</f>
        <v>1.1Viet</v>
      </c>
      <c r="D5" s="24" t="s">
        <v>248</v>
      </c>
      <c r="E5" s="21" t="s">
        <v>3</v>
      </c>
      <c r="F5" s="9" t="str">
        <f t="shared" ref="F5:F68" si="1">IF(G5="","","https://docs.google.com/uc?export=download&amp;id="&amp;G5)</f>
        <v/>
      </c>
      <c r="G5" s="5" t="str">
        <f>IFERROR(LEFT(RIGHT(H5,LEN(H5)-32),LEN(RIGHT(H5,LEN(H5)-32))-17),"")</f>
        <v/>
      </c>
    </row>
    <row r="6" spans="1:9" x14ac:dyDescent="0.25">
      <c r="B6" s="21" t="s">
        <v>13</v>
      </c>
      <c r="C6" s="24" t="str">
        <f t="shared" si="0"/>
        <v>1.1Eng</v>
      </c>
      <c r="D6" s="27" t="s">
        <v>133</v>
      </c>
      <c r="E6" s="21" t="s">
        <v>4</v>
      </c>
      <c r="F6" s="9" t="str">
        <f t="shared" si="1"/>
        <v>https://docs.google.com/uc?export=download&amp;id=1eFbkZd-D0AAFL9yfuycArR_LVl3vNnOD</v>
      </c>
      <c r="G6" s="5" t="str">
        <f t="shared" ref="G6:G69" si="2">IFERROR(LEFT(RIGHT(H6,LEN(H6)-32),LEN(RIGHT(H6,LEN(H6)-32))-17),"")</f>
        <v>1eFbkZd-D0AAFL9yfuycArR_LVl3vNnOD</v>
      </c>
      <c r="H6" t="s">
        <v>339</v>
      </c>
    </row>
    <row r="7" spans="1:9" x14ac:dyDescent="0.25">
      <c r="B7" s="21" t="s">
        <v>13</v>
      </c>
      <c r="C7" s="24" t="str">
        <f t="shared" si="0"/>
        <v>1.1Phon</v>
      </c>
      <c r="D7" s="28" t="s">
        <v>134</v>
      </c>
      <c r="E7" s="21" t="s">
        <v>5</v>
      </c>
      <c r="F7" s="9" t="str">
        <f t="shared" si="1"/>
        <v/>
      </c>
      <c r="G7" s="5" t="str">
        <f t="shared" si="2"/>
        <v/>
      </c>
    </row>
    <row r="8" spans="1:9" x14ac:dyDescent="0.25">
      <c r="A8" s="1">
        <v>2</v>
      </c>
      <c r="B8" s="21" t="s">
        <v>14</v>
      </c>
      <c r="C8" s="24" t="str">
        <f t="shared" si="0"/>
        <v>1.2Viet</v>
      </c>
      <c r="D8" s="24" t="s">
        <v>249</v>
      </c>
      <c r="E8" s="21" t="s">
        <v>3</v>
      </c>
      <c r="F8" s="9" t="str">
        <f t="shared" si="1"/>
        <v/>
      </c>
      <c r="G8" s="5" t="str">
        <f t="shared" si="2"/>
        <v/>
      </c>
    </row>
    <row r="9" spans="1:9" x14ac:dyDescent="0.25">
      <c r="B9" s="21" t="s">
        <v>14</v>
      </c>
      <c r="C9" s="24" t="str">
        <f t="shared" si="0"/>
        <v>1.2Eng</v>
      </c>
      <c r="D9" s="27" t="s">
        <v>135</v>
      </c>
      <c r="E9" s="21" t="s">
        <v>4</v>
      </c>
      <c r="F9" s="9" t="str">
        <f t="shared" si="1"/>
        <v>https://docs.google.com/uc?export=download&amp;id=1ONQ_KclH6zePyZZLCL9qylK9_uP_iWT_</v>
      </c>
      <c r="G9" s="5" t="str">
        <f t="shared" si="2"/>
        <v>1ONQ_KclH6zePyZZLCL9qylK9_uP_iWT_</v>
      </c>
      <c r="H9" t="s">
        <v>340</v>
      </c>
    </row>
    <row r="10" spans="1:9" x14ac:dyDescent="0.25">
      <c r="B10" s="21" t="s">
        <v>14</v>
      </c>
      <c r="C10" s="24" t="str">
        <f t="shared" si="0"/>
        <v>1.2Phon</v>
      </c>
      <c r="D10" s="28" t="s">
        <v>136</v>
      </c>
      <c r="E10" s="21" t="s">
        <v>5</v>
      </c>
      <c r="F10" s="9" t="str">
        <f t="shared" si="1"/>
        <v/>
      </c>
      <c r="G10" s="5" t="str">
        <f t="shared" si="2"/>
        <v/>
      </c>
    </row>
    <row r="11" spans="1:9" x14ac:dyDescent="0.25">
      <c r="A11" s="1">
        <v>3</v>
      </c>
      <c r="B11" s="21" t="s">
        <v>12</v>
      </c>
      <c r="C11" s="24" t="str">
        <f t="shared" si="0"/>
        <v>1.3Viet</v>
      </c>
      <c r="D11" s="24" t="s">
        <v>250</v>
      </c>
      <c r="E11" s="21" t="s">
        <v>3</v>
      </c>
      <c r="F11" s="9" t="str">
        <f t="shared" si="1"/>
        <v/>
      </c>
      <c r="G11" s="5" t="str">
        <f t="shared" si="2"/>
        <v/>
      </c>
    </row>
    <row r="12" spans="1:9" x14ac:dyDescent="0.25">
      <c r="B12" s="21" t="s">
        <v>12</v>
      </c>
      <c r="C12" s="24" t="str">
        <f t="shared" si="0"/>
        <v>1.3Eng</v>
      </c>
      <c r="D12" s="27" t="s">
        <v>137</v>
      </c>
      <c r="E12" s="21" t="s">
        <v>4</v>
      </c>
      <c r="F12" s="9" t="str">
        <f t="shared" si="1"/>
        <v>https://docs.google.com/uc?export=download&amp;id=1W-CY309TE21KEggFTaPrBoCEUoulqc9Y</v>
      </c>
      <c r="G12" s="5" t="str">
        <f t="shared" si="2"/>
        <v>1W-CY309TE21KEggFTaPrBoCEUoulqc9Y</v>
      </c>
      <c r="H12" t="s">
        <v>341</v>
      </c>
    </row>
    <row r="13" spans="1:9" x14ac:dyDescent="0.25">
      <c r="B13" s="21" t="s">
        <v>12</v>
      </c>
      <c r="C13" s="24" t="str">
        <f t="shared" si="0"/>
        <v>1.3Phon</v>
      </c>
      <c r="D13" s="28" t="s">
        <v>138</v>
      </c>
      <c r="E13" s="21" t="s">
        <v>5</v>
      </c>
      <c r="F13" s="9" t="str">
        <f t="shared" si="1"/>
        <v/>
      </c>
      <c r="G13" s="5" t="str">
        <f t="shared" si="2"/>
        <v/>
      </c>
    </row>
    <row r="14" spans="1:9" x14ac:dyDescent="0.25">
      <c r="A14" s="1">
        <v>4</v>
      </c>
      <c r="B14" s="21" t="s">
        <v>15</v>
      </c>
      <c r="C14" s="24" t="str">
        <f t="shared" si="0"/>
        <v>1.4Viet</v>
      </c>
      <c r="D14" s="24" t="s">
        <v>251</v>
      </c>
      <c r="E14" s="21" t="s">
        <v>3</v>
      </c>
      <c r="F14" s="9" t="str">
        <f t="shared" si="1"/>
        <v/>
      </c>
      <c r="G14" s="5" t="str">
        <f t="shared" si="2"/>
        <v/>
      </c>
    </row>
    <row r="15" spans="1:9" x14ac:dyDescent="0.25">
      <c r="B15" s="21" t="s">
        <v>15</v>
      </c>
      <c r="C15" s="24" t="str">
        <f t="shared" si="0"/>
        <v>1.4Eng</v>
      </c>
      <c r="D15" s="27" t="s">
        <v>139</v>
      </c>
      <c r="E15" s="21" t="s">
        <v>4</v>
      </c>
      <c r="F15" s="9" t="str">
        <f t="shared" si="1"/>
        <v>https://docs.google.com/uc?export=download&amp;id=1gU3HgG24ZQrA2dxDzYFTEyCy8HBvB1Yt</v>
      </c>
      <c r="G15" s="5" t="str">
        <f t="shared" si="2"/>
        <v>1gU3HgG24ZQrA2dxDzYFTEyCy8HBvB1Yt</v>
      </c>
      <c r="H15" t="s">
        <v>342</v>
      </c>
    </row>
    <row r="16" spans="1:9" x14ac:dyDescent="0.25">
      <c r="B16" s="21" t="s">
        <v>15</v>
      </c>
      <c r="C16" s="24" t="str">
        <f t="shared" si="0"/>
        <v>1.4Phon</v>
      </c>
      <c r="D16" s="28" t="s">
        <v>140</v>
      </c>
      <c r="E16" s="21" t="s">
        <v>5</v>
      </c>
      <c r="F16" s="9" t="str">
        <f t="shared" si="1"/>
        <v/>
      </c>
      <c r="G16" s="5" t="str">
        <f t="shared" si="2"/>
        <v/>
      </c>
    </row>
    <row r="17" spans="1:8" x14ac:dyDescent="0.25">
      <c r="B17" s="16">
        <v>2</v>
      </c>
      <c r="C17" s="25" t="str">
        <f t="shared" si="0"/>
        <v>2Struc</v>
      </c>
      <c r="D17" s="25" t="s">
        <v>113</v>
      </c>
      <c r="E17" s="16" t="s">
        <v>11</v>
      </c>
      <c r="F17" s="8" t="str">
        <f t="shared" si="1"/>
        <v/>
      </c>
      <c r="G17" s="5" t="str">
        <f t="shared" si="2"/>
        <v/>
      </c>
    </row>
    <row r="18" spans="1:8" x14ac:dyDescent="0.25">
      <c r="A18" s="1">
        <v>5</v>
      </c>
      <c r="B18" s="21" t="s">
        <v>16</v>
      </c>
      <c r="C18" s="24" t="str">
        <f t="shared" si="0"/>
        <v>2.1Viet</v>
      </c>
      <c r="D18" s="24" t="s">
        <v>252</v>
      </c>
      <c r="E18" s="21" t="s">
        <v>3</v>
      </c>
      <c r="F18" s="9" t="str">
        <f t="shared" si="1"/>
        <v/>
      </c>
      <c r="G18" s="5" t="str">
        <f t="shared" si="2"/>
        <v/>
      </c>
    </row>
    <row r="19" spans="1:8" x14ac:dyDescent="0.25">
      <c r="B19" s="21" t="s">
        <v>16</v>
      </c>
      <c r="C19" s="24" t="str">
        <f t="shared" si="0"/>
        <v>2.1Eng</v>
      </c>
      <c r="D19" s="27" t="s">
        <v>141</v>
      </c>
      <c r="E19" s="21" t="s">
        <v>4</v>
      </c>
      <c r="F19" s="9" t="str">
        <f t="shared" si="1"/>
        <v>https://docs.google.com/uc?export=download&amp;id=1Ro3044QFltt7T7cUvNlwYs8H-FwT60Yi</v>
      </c>
      <c r="G19" s="5" t="str">
        <f t="shared" si="2"/>
        <v>1Ro3044QFltt7T7cUvNlwYs8H-FwT60Yi</v>
      </c>
      <c r="H19" t="s">
        <v>343</v>
      </c>
    </row>
    <row r="20" spans="1:8" x14ac:dyDescent="0.25">
      <c r="B20" s="21" t="s">
        <v>16</v>
      </c>
      <c r="C20" s="24" t="str">
        <f t="shared" si="0"/>
        <v>2.1Phon</v>
      </c>
      <c r="D20" s="28" t="s">
        <v>142</v>
      </c>
      <c r="E20" s="21" t="s">
        <v>5</v>
      </c>
      <c r="F20" s="9" t="str">
        <f t="shared" si="1"/>
        <v/>
      </c>
      <c r="G20" s="5" t="str">
        <f t="shared" si="2"/>
        <v/>
      </c>
    </row>
    <row r="21" spans="1:8" x14ac:dyDescent="0.25">
      <c r="A21" s="1">
        <v>6</v>
      </c>
      <c r="B21" s="21" t="s">
        <v>18</v>
      </c>
      <c r="C21" s="24" t="str">
        <f t="shared" si="0"/>
        <v>2.2Viet</v>
      </c>
      <c r="D21" s="24" t="s">
        <v>253</v>
      </c>
      <c r="E21" s="21" t="s">
        <v>3</v>
      </c>
      <c r="F21" s="9" t="str">
        <f t="shared" si="1"/>
        <v/>
      </c>
      <c r="G21" s="5" t="str">
        <f t="shared" si="2"/>
        <v/>
      </c>
    </row>
    <row r="22" spans="1:8" x14ac:dyDescent="0.25">
      <c r="B22" s="21" t="s">
        <v>18</v>
      </c>
      <c r="C22" s="24" t="str">
        <f t="shared" si="0"/>
        <v>2.2Eng</v>
      </c>
      <c r="D22" s="27" t="s">
        <v>143</v>
      </c>
      <c r="E22" s="21" t="s">
        <v>4</v>
      </c>
      <c r="F22" s="9" t="str">
        <f t="shared" si="1"/>
        <v>https://docs.google.com/uc?export=download&amp;id=1GA4tAINFysygMz24fePZvMpIA4UfhRld</v>
      </c>
      <c r="G22" s="5" t="str">
        <f t="shared" si="2"/>
        <v>1GA4tAINFysygMz24fePZvMpIA4UfhRld</v>
      </c>
      <c r="H22" t="s">
        <v>344</v>
      </c>
    </row>
    <row r="23" spans="1:8" x14ac:dyDescent="0.25">
      <c r="B23" s="21" t="s">
        <v>18</v>
      </c>
      <c r="C23" s="24" t="str">
        <f t="shared" si="0"/>
        <v>2.2Phon</v>
      </c>
      <c r="D23" s="28" t="s">
        <v>144</v>
      </c>
      <c r="E23" s="21" t="s">
        <v>5</v>
      </c>
      <c r="F23" s="9" t="str">
        <f t="shared" si="1"/>
        <v/>
      </c>
      <c r="G23" s="5" t="str">
        <f t="shared" si="2"/>
        <v/>
      </c>
    </row>
    <row r="24" spans="1:8" x14ac:dyDescent="0.25">
      <c r="A24" s="1">
        <v>7</v>
      </c>
      <c r="B24" s="21" t="s">
        <v>17</v>
      </c>
      <c r="C24" s="24" t="str">
        <f t="shared" si="0"/>
        <v>2.3Viet</v>
      </c>
      <c r="D24" s="24" t="s">
        <v>254</v>
      </c>
      <c r="E24" s="21" t="s">
        <v>3</v>
      </c>
      <c r="F24" s="9" t="str">
        <f t="shared" si="1"/>
        <v/>
      </c>
      <c r="G24" s="5" t="str">
        <f t="shared" si="2"/>
        <v/>
      </c>
    </row>
    <row r="25" spans="1:8" x14ac:dyDescent="0.25">
      <c r="B25" s="21" t="s">
        <v>17</v>
      </c>
      <c r="C25" s="24" t="str">
        <f t="shared" si="0"/>
        <v>2.3Eng</v>
      </c>
      <c r="D25" s="27" t="s">
        <v>145</v>
      </c>
      <c r="E25" s="21" t="s">
        <v>4</v>
      </c>
      <c r="F25" s="9" t="str">
        <f t="shared" si="1"/>
        <v>https://docs.google.com/uc?export=download&amp;id=1Eq1APWBpLLpeZjB0xACYOgOVC54W8_qG</v>
      </c>
      <c r="G25" s="5" t="str">
        <f t="shared" si="2"/>
        <v>1Eq1APWBpLLpeZjB0xACYOgOVC54W8_qG</v>
      </c>
      <c r="H25" t="s">
        <v>345</v>
      </c>
    </row>
    <row r="26" spans="1:8" x14ac:dyDescent="0.25">
      <c r="B26" s="21" t="s">
        <v>17</v>
      </c>
      <c r="C26" s="24" t="str">
        <f t="shared" si="0"/>
        <v>2.3Phon</v>
      </c>
      <c r="D26" s="28" t="s">
        <v>146</v>
      </c>
      <c r="E26" s="21" t="s">
        <v>5</v>
      </c>
      <c r="F26" s="9" t="str">
        <f t="shared" si="1"/>
        <v/>
      </c>
      <c r="G26" s="5" t="str">
        <f t="shared" si="2"/>
        <v/>
      </c>
    </row>
    <row r="27" spans="1:8" x14ac:dyDescent="0.25">
      <c r="B27" s="16">
        <v>3</v>
      </c>
      <c r="C27" s="25" t="str">
        <f t="shared" si="0"/>
        <v>3Struc</v>
      </c>
      <c r="D27" s="25" t="s">
        <v>114</v>
      </c>
      <c r="E27" s="16" t="s">
        <v>11</v>
      </c>
      <c r="F27" s="8" t="str">
        <f t="shared" si="1"/>
        <v/>
      </c>
      <c r="G27" s="5" t="str">
        <f t="shared" si="2"/>
        <v/>
      </c>
    </row>
    <row r="28" spans="1:8" x14ac:dyDescent="0.25">
      <c r="A28" s="1">
        <v>8</v>
      </c>
      <c r="B28" s="21" t="s">
        <v>19</v>
      </c>
      <c r="C28" s="24" t="str">
        <f t="shared" si="0"/>
        <v>3.1Viet</v>
      </c>
      <c r="D28" s="24" t="s">
        <v>255</v>
      </c>
      <c r="E28" s="21" t="s">
        <v>3</v>
      </c>
      <c r="F28" s="9" t="str">
        <f t="shared" si="1"/>
        <v/>
      </c>
      <c r="G28" s="5" t="str">
        <f t="shared" si="2"/>
        <v/>
      </c>
    </row>
    <row r="29" spans="1:8" x14ac:dyDescent="0.25">
      <c r="B29" s="21" t="s">
        <v>19</v>
      </c>
      <c r="C29" s="24" t="str">
        <f t="shared" si="0"/>
        <v>3.1Eng</v>
      </c>
      <c r="D29" s="27" t="s">
        <v>147</v>
      </c>
      <c r="E29" s="21" t="s">
        <v>4</v>
      </c>
      <c r="F29" s="9" t="str">
        <f t="shared" si="1"/>
        <v>https://docs.google.com/uc?export=download&amp;id=1MCRBhoGBxeC6y8du1IVW1L8LAeRr3jqq</v>
      </c>
      <c r="G29" s="5" t="str">
        <f t="shared" si="2"/>
        <v>1MCRBhoGBxeC6y8du1IVW1L8LAeRr3jqq</v>
      </c>
      <c r="H29" t="s">
        <v>346</v>
      </c>
    </row>
    <row r="30" spans="1:8" x14ac:dyDescent="0.25">
      <c r="B30" s="21" t="s">
        <v>19</v>
      </c>
      <c r="C30" s="24" t="str">
        <f t="shared" si="0"/>
        <v>3.1Phon</v>
      </c>
      <c r="D30" s="28" t="s">
        <v>148</v>
      </c>
      <c r="E30" s="21" t="s">
        <v>5</v>
      </c>
      <c r="F30" s="9" t="str">
        <f t="shared" si="1"/>
        <v/>
      </c>
      <c r="G30" s="5" t="str">
        <f t="shared" si="2"/>
        <v/>
      </c>
    </row>
    <row r="31" spans="1:8" x14ac:dyDescent="0.25">
      <c r="A31" s="1">
        <v>9</v>
      </c>
      <c r="B31" s="21" t="s">
        <v>20</v>
      </c>
      <c r="C31" s="24" t="str">
        <f t="shared" si="0"/>
        <v>3.2Viet</v>
      </c>
      <c r="D31" s="24" t="s">
        <v>256</v>
      </c>
      <c r="E31" s="21" t="s">
        <v>3</v>
      </c>
      <c r="F31" s="9" t="str">
        <f t="shared" si="1"/>
        <v/>
      </c>
      <c r="G31" s="5" t="str">
        <f t="shared" si="2"/>
        <v/>
      </c>
    </row>
    <row r="32" spans="1:8" x14ac:dyDescent="0.25">
      <c r="B32" s="21" t="s">
        <v>20</v>
      </c>
      <c r="C32" s="24" t="str">
        <f t="shared" si="0"/>
        <v>3.2Eng</v>
      </c>
      <c r="D32" s="27" t="s">
        <v>149</v>
      </c>
      <c r="E32" s="21" t="s">
        <v>4</v>
      </c>
      <c r="F32" s="9" t="str">
        <f t="shared" si="1"/>
        <v>https://docs.google.com/uc?export=download&amp;id=13DOWP5CcepnrfI3uvW1PF6bxiOUVpAHM</v>
      </c>
      <c r="G32" s="5" t="str">
        <f t="shared" si="2"/>
        <v>13DOWP5CcepnrfI3uvW1PF6bxiOUVpAHM</v>
      </c>
      <c r="H32" t="s">
        <v>347</v>
      </c>
    </row>
    <row r="33" spans="1:8" x14ac:dyDescent="0.25">
      <c r="B33" s="21" t="s">
        <v>20</v>
      </c>
      <c r="C33" s="24" t="str">
        <f t="shared" si="0"/>
        <v>3.2Phon</v>
      </c>
      <c r="D33" s="28" t="s">
        <v>150</v>
      </c>
      <c r="E33" s="21" t="s">
        <v>5</v>
      </c>
      <c r="F33" s="9" t="str">
        <f t="shared" si="1"/>
        <v/>
      </c>
      <c r="G33" s="5" t="str">
        <f t="shared" si="2"/>
        <v/>
      </c>
    </row>
    <row r="34" spans="1:8" x14ac:dyDescent="0.25">
      <c r="A34" s="1">
        <v>10</v>
      </c>
      <c r="B34" s="21" t="s">
        <v>21</v>
      </c>
      <c r="C34" s="24" t="str">
        <f t="shared" si="0"/>
        <v>3.3Viet</v>
      </c>
      <c r="D34" s="24" t="s">
        <v>257</v>
      </c>
      <c r="E34" s="21" t="s">
        <v>3</v>
      </c>
      <c r="F34" s="9" t="str">
        <f t="shared" si="1"/>
        <v/>
      </c>
      <c r="G34" s="5" t="str">
        <f t="shared" si="2"/>
        <v/>
      </c>
    </row>
    <row r="35" spans="1:8" x14ac:dyDescent="0.25">
      <c r="B35" s="21" t="s">
        <v>21</v>
      </c>
      <c r="C35" s="24" t="str">
        <f t="shared" si="0"/>
        <v>3.3Eng</v>
      </c>
      <c r="D35" s="27" t="s">
        <v>151</v>
      </c>
      <c r="E35" s="21" t="s">
        <v>4</v>
      </c>
      <c r="F35" s="9" t="str">
        <f t="shared" si="1"/>
        <v>https://docs.google.com/uc?export=download&amp;id=1KNW93gQ9isYuoe9vZCRmoPdL4BwHOASn</v>
      </c>
      <c r="G35" s="5" t="str">
        <f t="shared" si="2"/>
        <v>1KNW93gQ9isYuoe9vZCRmoPdL4BwHOASn</v>
      </c>
      <c r="H35" t="s">
        <v>348</v>
      </c>
    </row>
    <row r="36" spans="1:8" x14ac:dyDescent="0.25">
      <c r="B36" s="21" t="s">
        <v>21</v>
      </c>
      <c r="C36" s="24" t="str">
        <f t="shared" si="0"/>
        <v>3.3Phon</v>
      </c>
      <c r="D36" s="28" t="s">
        <v>152</v>
      </c>
      <c r="E36" s="21" t="s">
        <v>5</v>
      </c>
      <c r="F36" s="9" t="str">
        <f t="shared" si="1"/>
        <v/>
      </c>
      <c r="G36" s="5" t="str">
        <f t="shared" si="2"/>
        <v/>
      </c>
    </row>
    <row r="37" spans="1:8" x14ac:dyDescent="0.25">
      <c r="A37" s="1">
        <v>11</v>
      </c>
      <c r="B37" s="21" t="s">
        <v>22</v>
      </c>
      <c r="C37" s="24" t="str">
        <f t="shared" si="0"/>
        <v>3.4Viet</v>
      </c>
      <c r="D37" s="24" t="s">
        <v>258</v>
      </c>
      <c r="E37" s="21" t="s">
        <v>3</v>
      </c>
      <c r="F37" s="9" t="str">
        <f t="shared" si="1"/>
        <v/>
      </c>
      <c r="G37" s="5" t="str">
        <f t="shared" si="2"/>
        <v/>
      </c>
    </row>
    <row r="38" spans="1:8" x14ac:dyDescent="0.25">
      <c r="B38" s="21" t="s">
        <v>22</v>
      </c>
      <c r="C38" s="24" t="str">
        <f t="shared" si="0"/>
        <v>3.4Eng</v>
      </c>
      <c r="D38" s="27" t="s">
        <v>91</v>
      </c>
      <c r="E38" s="21" t="s">
        <v>4</v>
      </c>
      <c r="F38" s="9" t="str">
        <f t="shared" si="1"/>
        <v>https://docs.google.com/uc?export=download&amp;id=1tqg_Hk61k0MGfGaRqTjTWrQUBAzVem9r</v>
      </c>
      <c r="G38" s="5" t="str">
        <f t="shared" si="2"/>
        <v>1tqg_Hk61k0MGfGaRqTjTWrQUBAzVem9r</v>
      </c>
      <c r="H38" t="s">
        <v>349</v>
      </c>
    </row>
    <row r="39" spans="1:8" x14ac:dyDescent="0.25">
      <c r="B39" s="21" t="s">
        <v>22</v>
      </c>
      <c r="C39" s="24" t="str">
        <f t="shared" si="0"/>
        <v>3.4Phon</v>
      </c>
      <c r="D39" s="28" t="s">
        <v>92</v>
      </c>
      <c r="E39" s="21" t="s">
        <v>5</v>
      </c>
      <c r="F39" s="9" t="str">
        <f t="shared" si="1"/>
        <v/>
      </c>
      <c r="G39" s="5" t="str">
        <f t="shared" si="2"/>
        <v/>
      </c>
    </row>
    <row r="40" spans="1:8" x14ac:dyDescent="0.25">
      <c r="B40" s="16">
        <v>4</v>
      </c>
      <c r="C40" s="25" t="str">
        <f t="shared" si="0"/>
        <v>4Struc</v>
      </c>
      <c r="D40" s="25" t="s">
        <v>115</v>
      </c>
      <c r="E40" s="16" t="s">
        <v>11</v>
      </c>
      <c r="F40" s="8" t="str">
        <f t="shared" si="1"/>
        <v/>
      </c>
      <c r="G40" s="5" t="str">
        <f t="shared" si="2"/>
        <v/>
      </c>
    </row>
    <row r="41" spans="1:8" x14ac:dyDescent="0.25">
      <c r="A41" s="1">
        <v>12</v>
      </c>
      <c r="B41" s="21" t="s">
        <v>23</v>
      </c>
      <c r="C41" s="24" t="str">
        <f t="shared" si="0"/>
        <v>4.1Viet</v>
      </c>
      <c r="D41" s="24" t="s">
        <v>259</v>
      </c>
      <c r="E41" s="21" t="s">
        <v>3</v>
      </c>
      <c r="F41" s="9" t="str">
        <f t="shared" si="1"/>
        <v/>
      </c>
      <c r="G41" s="5" t="str">
        <f t="shared" si="2"/>
        <v/>
      </c>
    </row>
    <row r="42" spans="1:8" x14ac:dyDescent="0.25">
      <c r="B42" s="21" t="s">
        <v>23</v>
      </c>
      <c r="C42" s="24" t="str">
        <f t="shared" si="0"/>
        <v>4.1Eng</v>
      </c>
      <c r="D42" s="27" t="s">
        <v>153</v>
      </c>
      <c r="E42" s="21" t="s">
        <v>4</v>
      </c>
      <c r="F42" s="9" t="str">
        <f t="shared" si="1"/>
        <v>https://docs.google.com/uc?export=download&amp;id=1dQOJ-AnZee4X0oE_QkOfvf0vI2r-dZyD</v>
      </c>
      <c r="G42" s="5" t="str">
        <f t="shared" si="2"/>
        <v>1dQOJ-AnZee4X0oE_QkOfvf0vI2r-dZyD</v>
      </c>
      <c r="H42" t="s">
        <v>350</v>
      </c>
    </row>
    <row r="43" spans="1:8" x14ac:dyDescent="0.25">
      <c r="B43" s="21" t="s">
        <v>23</v>
      </c>
      <c r="C43" s="24" t="str">
        <f t="shared" si="0"/>
        <v>4.1Phon</v>
      </c>
      <c r="D43" s="28" t="s">
        <v>154</v>
      </c>
      <c r="E43" s="21" t="s">
        <v>5</v>
      </c>
      <c r="F43" s="9" t="str">
        <f t="shared" si="1"/>
        <v/>
      </c>
      <c r="G43" s="5" t="str">
        <f t="shared" si="2"/>
        <v/>
      </c>
    </row>
    <row r="44" spans="1:8" x14ac:dyDescent="0.25">
      <c r="A44" s="1">
        <v>13</v>
      </c>
      <c r="B44" s="21" t="s">
        <v>24</v>
      </c>
      <c r="C44" s="24" t="str">
        <f t="shared" si="0"/>
        <v>4.2Viet</v>
      </c>
      <c r="D44" s="24" t="s">
        <v>260</v>
      </c>
      <c r="E44" s="21" t="s">
        <v>3</v>
      </c>
      <c r="F44" s="9" t="str">
        <f t="shared" si="1"/>
        <v/>
      </c>
      <c r="G44" s="5" t="str">
        <f t="shared" si="2"/>
        <v/>
      </c>
    </row>
    <row r="45" spans="1:8" x14ac:dyDescent="0.25">
      <c r="B45" s="21" t="s">
        <v>24</v>
      </c>
      <c r="C45" s="24" t="str">
        <f t="shared" si="0"/>
        <v>4.2Eng</v>
      </c>
      <c r="D45" s="27" t="s">
        <v>155</v>
      </c>
      <c r="E45" s="21" t="s">
        <v>4</v>
      </c>
      <c r="F45" s="9" t="str">
        <f t="shared" si="1"/>
        <v>https://docs.google.com/uc?export=download&amp;id=1vXsgNfTykocf_78BAO9BM32t_cyf_EVR</v>
      </c>
      <c r="G45" s="5" t="str">
        <f t="shared" si="2"/>
        <v>1vXsgNfTykocf_78BAO9BM32t_cyf_EVR</v>
      </c>
      <c r="H45" t="s">
        <v>351</v>
      </c>
    </row>
    <row r="46" spans="1:8" x14ac:dyDescent="0.25">
      <c r="B46" s="21" t="s">
        <v>24</v>
      </c>
      <c r="C46" s="24" t="str">
        <f t="shared" si="0"/>
        <v>4.2Phon</v>
      </c>
      <c r="D46" s="28" t="s">
        <v>156</v>
      </c>
      <c r="E46" s="21" t="s">
        <v>5</v>
      </c>
      <c r="F46" s="9" t="str">
        <f t="shared" si="1"/>
        <v/>
      </c>
      <c r="G46" s="5" t="str">
        <f t="shared" si="2"/>
        <v/>
      </c>
    </row>
    <row r="47" spans="1:8" x14ac:dyDescent="0.25">
      <c r="A47" s="1">
        <v>14</v>
      </c>
      <c r="B47" s="21" t="s">
        <v>25</v>
      </c>
      <c r="C47" s="24" t="str">
        <f t="shared" si="0"/>
        <v>4.3Viet</v>
      </c>
      <c r="D47" s="24" t="s">
        <v>261</v>
      </c>
      <c r="E47" s="21" t="s">
        <v>3</v>
      </c>
      <c r="F47" s="9" t="str">
        <f t="shared" si="1"/>
        <v/>
      </c>
      <c r="G47" s="5" t="str">
        <f t="shared" si="2"/>
        <v/>
      </c>
    </row>
    <row r="48" spans="1:8" x14ac:dyDescent="0.25">
      <c r="B48" s="21" t="s">
        <v>25</v>
      </c>
      <c r="C48" s="24" t="str">
        <f t="shared" si="0"/>
        <v>4.3Eng</v>
      </c>
      <c r="D48" s="27" t="s">
        <v>157</v>
      </c>
      <c r="E48" s="21" t="s">
        <v>4</v>
      </c>
      <c r="F48" s="9" t="str">
        <f t="shared" si="1"/>
        <v>https://docs.google.com/uc?export=download&amp;id=1jRLag9BaFG3AvNWkAZ4UmMPBYa9Uk5Ie</v>
      </c>
      <c r="G48" s="5" t="str">
        <f t="shared" si="2"/>
        <v>1jRLag9BaFG3AvNWkAZ4UmMPBYa9Uk5Ie</v>
      </c>
      <c r="H48" t="s">
        <v>352</v>
      </c>
    </row>
    <row r="49" spans="1:8" x14ac:dyDescent="0.25">
      <c r="B49" s="21" t="s">
        <v>25</v>
      </c>
      <c r="C49" s="24" t="str">
        <f t="shared" si="0"/>
        <v>4.3Phon</v>
      </c>
      <c r="D49" s="28" t="s">
        <v>158</v>
      </c>
      <c r="E49" s="21" t="s">
        <v>5</v>
      </c>
      <c r="F49" s="9" t="str">
        <f t="shared" si="1"/>
        <v/>
      </c>
      <c r="G49" s="5" t="str">
        <f t="shared" si="2"/>
        <v/>
      </c>
    </row>
    <row r="50" spans="1:8" x14ac:dyDescent="0.25">
      <c r="A50" s="1">
        <v>15</v>
      </c>
      <c r="B50" s="21" t="s">
        <v>26</v>
      </c>
      <c r="C50" s="24" t="str">
        <f t="shared" si="0"/>
        <v>4.4Viet</v>
      </c>
      <c r="D50" s="24" t="s">
        <v>262</v>
      </c>
      <c r="E50" s="21" t="s">
        <v>3</v>
      </c>
      <c r="F50" s="9" t="str">
        <f t="shared" si="1"/>
        <v/>
      </c>
      <c r="G50" s="5" t="str">
        <f t="shared" si="2"/>
        <v/>
      </c>
    </row>
    <row r="51" spans="1:8" x14ac:dyDescent="0.25">
      <c r="B51" s="21" t="s">
        <v>26</v>
      </c>
      <c r="C51" s="24" t="str">
        <f t="shared" si="0"/>
        <v>4.4Eng</v>
      </c>
      <c r="D51" s="27" t="s">
        <v>159</v>
      </c>
      <c r="E51" s="21" t="s">
        <v>4</v>
      </c>
      <c r="F51" s="9" t="str">
        <f t="shared" si="1"/>
        <v>https://docs.google.com/uc?export=download&amp;id=128VtKzNXRUog8g5_3fBk9WwXSjZoYb-e</v>
      </c>
      <c r="G51" s="5" t="str">
        <f t="shared" si="2"/>
        <v>128VtKzNXRUog8g5_3fBk9WwXSjZoYb-e</v>
      </c>
      <c r="H51" t="s">
        <v>353</v>
      </c>
    </row>
    <row r="52" spans="1:8" x14ac:dyDescent="0.25">
      <c r="B52" s="21" t="s">
        <v>26</v>
      </c>
      <c r="C52" s="24" t="str">
        <f t="shared" si="0"/>
        <v>4.4Phon</v>
      </c>
      <c r="D52" s="28" t="s">
        <v>160</v>
      </c>
      <c r="E52" s="21" t="s">
        <v>5</v>
      </c>
      <c r="F52" s="9" t="str">
        <f t="shared" si="1"/>
        <v/>
      </c>
      <c r="G52" s="5" t="str">
        <f t="shared" si="2"/>
        <v/>
      </c>
    </row>
    <row r="53" spans="1:8" x14ac:dyDescent="0.25">
      <c r="B53" s="16">
        <v>5</v>
      </c>
      <c r="C53" s="25" t="str">
        <f t="shared" si="0"/>
        <v>5Struc</v>
      </c>
      <c r="D53" s="25" t="s">
        <v>116</v>
      </c>
      <c r="E53" s="16" t="s">
        <v>11</v>
      </c>
      <c r="F53" s="8" t="str">
        <f t="shared" si="1"/>
        <v/>
      </c>
      <c r="G53" s="5" t="str">
        <f t="shared" si="2"/>
        <v/>
      </c>
    </row>
    <row r="54" spans="1:8" x14ac:dyDescent="0.25">
      <c r="A54" s="1">
        <v>16</v>
      </c>
      <c r="B54" s="21" t="s">
        <v>27</v>
      </c>
      <c r="C54" s="24" t="str">
        <f t="shared" si="0"/>
        <v>5.1Viet</v>
      </c>
      <c r="D54" s="24" t="s">
        <v>263</v>
      </c>
      <c r="E54" s="21" t="s">
        <v>3</v>
      </c>
      <c r="F54" s="9" t="str">
        <f t="shared" si="1"/>
        <v/>
      </c>
      <c r="G54" s="5" t="str">
        <f t="shared" si="2"/>
        <v/>
      </c>
    </row>
    <row r="55" spans="1:8" x14ac:dyDescent="0.25">
      <c r="B55" s="21" t="s">
        <v>27</v>
      </c>
      <c r="C55" s="24" t="str">
        <f t="shared" si="0"/>
        <v>5.1Eng</v>
      </c>
      <c r="D55" s="27" t="s">
        <v>161</v>
      </c>
      <c r="E55" s="21" t="s">
        <v>4</v>
      </c>
      <c r="F55" s="9" t="str">
        <f t="shared" si="1"/>
        <v>https://docs.google.com/uc?export=download&amp;id=1hvT1H2FqXwXb1wzPAJwUw9Oj9IVxnbTP</v>
      </c>
      <c r="G55" s="5" t="str">
        <f t="shared" si="2"/>
        <v>1hvT1H2FqXwXb1wzPAJwUw9Oj9IVxnbTP</v>
      </c>
      <c r="H55" t="s">
        <v>356</v>
      </c>
    </row>
    <row r="56" spans="1:8" x14ac:dyDescent="0.25">
      <c r="B56" s="21" t="s">
        <v>27</v>
      </c>
      <c r="C56" s="24" t="str">
        <f t="shared" si="0"/>
        <v>5.1Phon</v>
      </c>
      <c r="D56" s="28" t="s">
        <v>162</v>
      </c>
      <c r="E56" s="21" t="s">
        <v>5</v>
      </c>
      <c r="F56" s="9" t="str">
        <f t="shared" si="1"/>
        <v/>
      </c>
      <c r="G56" s="5" t="str">
        <f t="shared" si="2"/>
        <v/>
      </c>
    </row>
    <row r="57" spans="1:8" x14ac:dyDescent="0.25">
      <c r="A57" s="1">
        <v>17</v>
      </c>
      <c r="B57" s="21" t="s">
        <v>28</v>
      </c>
      <c r="C57" s="24" t="str">
        <f t="shared" si="0"/>
        <v>5.2Viet</v>
      </c>
      <c r="D57" s="24" t="s">
        <v>264</v>
      </c>
      <c r="E57" s="21" t="s">
        <v>3</v>
      </c>
      <c r="F57" s="9" t="str">
        <f t="shared" si="1"/>
        <v/>
      </c>
      <c r="G57" s="5" t="str">
        <f t="shared" si="2"/>
        <v/>
      </c>
    </row>
    <row r="58" spans="1:8" x14ac:dyDescent="0.25">
      <c r="B58" s="21" t="s">
        <v>28</v>
      </c>
      <c r="C58" s="24" t="str">
        <f t="shared" si="0"/>
        <v>5.2Eng</v>
      </c>
      <c r="D58" s="27" t="s">
        <v>93</v>
      </c>
      <c r="E58" s="21" t="s">
        <v>4</v>
      </c>
      <c r="F58" s="9" t="str">
        <f t="shared" si="1"/>
        <v>https://docs.google.com/uc?export=download&amp;id=1ZRb7LZHkMBZgedtAgWQPfOey_D4u8ofU</v>
      </c>
      <c r="G58" s="5" t="str">
        <f t="shared" si="2"/>
        <v>1ZRb7LZHkMBZgedtAgWQPfOey_D4u8ofU</v>
      </c>
      <c r="H58" t="s">
        <v>354</v>
      </c>
    </row>
    <row r="59" spans="1:8" x14ac:dyDescent="0.25">
      <c r="B59" s="21" t="s">
        <v>28</v>
      </c>
      <c r="C59" s="24" t="str">
        <f t="shared" si="0"/>
        <v>5.2Phon</v>
      </c>
      <c r="D59" s="28" t="s">
        <v>94</v>
      </c>
      <c r="E59" s="21" t="s">
        <v>5</v>
      </c>
      <c r="F59" s="9" t="str">
        <f t="shared" si="1"/>
        <v/>
      </c>
      <c r="G59" s="5" t="str">
        <f t="shared" si="2"/>
        <v/>
      </c>
    </row>
    <row r="60" spans="1:8" x14ac:dyDescent="0.25">
      <c r="A60" s="1">
        <v>18</v>
      </c>
      <c r="B60" s="21" t="s">
        <v>29</v>
      </c>
      <c r="C60" s="24" t="str">
        <f t="shared" si="0"/>
        <v>5.3Viet</v>
      </c>
      <c r="D60" s="24" t="s">
        <v>265</v>
      </c>
      <c r="E60" s="21" t="s">
        <v>3</v>
      </c>
      <c r="F60" s="9" t="str">
        <f t="shared" si="1"/>
        <v/>
      </c>
      <c r="G60" s="5" t="str">
        <f t="shared" si="2"/>
        <v/>
      </c>
    </row>
    <row r="61" spans="1:8" x14ac:dyDescent="0.25">
      <c r="B61" s="21" t="s">
        <v>29</v>
      </c>
      <c r="C61" s="24" t="str">
        <f t="shared" si="0"/>
        <v>5.3Eng</v>
      </c>
      <c r="D61" s="27" t="s">
        <v>163</v>
      </c>
      <c r="E61" s="21" t="s">
        <v>4</v>
      </c>
      <c r="F61" s="9" t="str">
        <f t="shared" si="1"/>
        <v>https://docs.google.com/uc?export=download&amp;id=1PJD1SR_BgH94MZM4VngvRFXdSX44PsUN</v>
      </c>
      <c r="G61" s="5" t="str">
        <f t="shared" si="2"/>
        <v>1PJD1SR_BgH94MZM4VngvRFXdSX44PsUN</v>
      </c>
      <c r="H61" t="s">
        <v>355</v>
      </c>
    </row>
    <row r="62" spans="1:8" x14ac:dyDescent="0.25">
      <c r="B62" s="21" t="s">
        <v>29</v>
      </c>
      <c r="C62" s="24" t="str">
        <f t="shared" si="0"/>
        <v>5.3Phon</v>
      </c>
      <c r="D62" s="28" t="s">
        <v>164</v>
      </c>
      <c r="E62" s="21" t="s">
        <v>5</v>
      </c>
      <c r="F62" s="9" t="str">
        <f t="shared" si="1"/>
        <v/>
      </c>
      <c r="G62" s="5" t="str">
        <f t="shared" si="2"/>
        <v/>
      </c>
    </row>
    <row r="63" spans="1:8" x14ac:dyDescent="0.25">
      <c r="B63" s="16">
        <v>6</v>
      </c>
      <c r="C63" s="25" t="str">
        <f t="shared" si="0"/>
        <v>6Struc</v>
      </c>
      <c r="D63" s="25" t="s">
        <v>117</v>
      </c>
      <c r="E63" s="16" t="s">
        <v>11</v>
      </c>
      <c r="F63" s="8" t="str">
        <f t="shared" si="1"/>
        <v/>
      </c>
      <c r="G63" s="5" t="str">
        <f t="shared" si="2"/>
        <v/>
      </c>
    </row>
    <row r="64" spans="1:8" x14ac:dyDescent="0.25">
      <c r="A64" s="1">
        <v>19</v>
      </c>
      <c r="B64" s="21" t="s">
        <v>30</v>
      </c>
      <c r="C64" s="24" t="str">
        <f t="shared" si="0"/>
        <v>6.1Viet</v>
      </c>
      <c r="D64" s="24" t="s">
        <v>266</v>
      </c>
      <c r="E64" s="21" t="s">
        <v>3</v>
      </c>
      <c r="F64" s="9" t="str">
        <f t="shared" si="1"/>
        <v/>
      </c>
      <c r="G64" s="5" t="str">
        <f t="shared" si="2"/>
        <v/>
      </c>
    </row>
    <row r="65" spans="1:8" x14ac:dyDescent="0.25">
      <c r="B65" s="21" t="s">
        <v>30</v>
      </c>
      <c r="C65" s="24" t="str">
        <f t="shared" si="0"/>
        <v>6.1Eng</v>
      </c>
      <c r="D65" s="27" t="s">
        <v>95</v>
      </c>
      <c r="E65" s="21" t="s">
        <v>4</v>
      </c>
      <c r="F65" s="9" t="str">
        <f t="shared" si="1"/>
        <v>https://docs.google.com/uc?export=download&amp;id=1hBU6ciyl59HlcpZKvrCXnPj2WK0xHVTc</v>
      </c>
      <c r="G65" s="5" t="str">
        <f t="shared" si="2"/>
        <v>1hBU6ciyl59HlcpZKvrCXnPj2WK0xHVTc</v>
      </c>
      <c r="H65" t="s">
        <v>357</v>
      </c>
    </row>
    <row r="66" spans="1:8" x14ac:dyDescent="0.25">
      <c r="B66" s="21" t="s">
        <v>30</v>
      </c>
      <c r="C66" s="24" t="str">
        <f t="shared" si="0"/>
        <v>6.1Phon</v>
      </c>
      <c r="D66" s="28" t="s">
        <v>96</v>
      </c>
      <c r="E66" s="21" t="s">
        <v>5</v>
      </c>
      <c r="F66" s="9" t="str">
        <f t="shared" si="1"/>
        <v/>
      </c>
      <c r="G66" s="5" t="str">
        <f t="shared" si="2"/>
        <v/>
      </c>
    </row>
    <row r="67" spans="1:8" x14ac:dyDescent="0.25">
      <c r="A67" s="1">
        <v>20</v>
      </c>
      <c r="B67" s="21" t="s">
        <v>31</v>
      </c>
      <c r="C67" s="24" t="str">
        <f t="shared" si="0"/>
        <v>6.2Viet</v>
      </c>
      <c r="D67" s="24" t="s">
        <v>267</v>
      </c>
      <c r="E67" s="21" t="s">
        <v>3</v>
      </c>
      <c r="F67" s="9" t="str">
        <f t="shared" si="1"/>
        <v/>
      </c>
      <c r="G67" s="5" t="str">
        <f t="shared" si="2"/>
        <v/>
      </c>
    </row>
    <row r="68" spans="1:8" x14ac:dyDescent="0.25">
      <c r="B68" s="21" t="s">
        <v>31</v>
      </c>
      <c r="C68" s="24" t="str">
        <f t="shared" si="0"/>
        <v>6.2Eng</v>
      </c>
      <c r="D68" s="27" t="s">
        <v>165</v>
      </c>
      <c r="E68" s="21" t="s">
        <v>4</v>
      </c>
      <c r="F68" s="9" t="str">
        <f t="shared" si="1"/>
        <v>https://docs.google.com/uc?export=download&amp;id=1LmVRZfRES4K8_DTFLzBFh5op_CZeb-cb</v>
      </c>
      <c r="G68" s="5" t="str">
        <f t="shared" si="2"/>
        <v>1LmVRZfRES4K8_DTFLzBFh5op_CZeb-cb</v>
      </c>
      <c r="H68" t="s">
        <v>358</v>
      </c>
    </row>
    <row r="69" spans="1:8" x14ac:dyDescent="0.25">
      <c r="B69" s="21" t="s">
        <v>31</v>
      </c>
      <c r="C69" s="24" t="str">
        <f t="shared" ref="C69:C132" si="3">B69&amp;E69</f>
        <v>6.2Phon</v>
      </c>
      <c r="D69" s="28" t="s">
        <v>166</v>
      </c>
      <c r="E69" s="21" t="s">
        <v>5</v>
      </c>
      <c r="F69" s="9" t="str">
        <f t="shared" ref="F69:F132" si="4">IF(G69="","","https://docs.google.com/uc?export=download&amp;id="&amp;G69)</f>
        <v/>
      </c>
      <c r="G69" s="5" t="str">
        <f t="shared" si="2"/>
        <v/>
      </c>
    </row>
    <row r="70" spans="1:8" x14ac:dyDescent="0.25">
      <c r="A70" s="1">
        <v>21</v>
      </c>
      <c r="B70" s="21" t="s">
        <v>32</v>
      </c>
      <c r="C70" s="24" t="str">
        <f t="shared" si="3"/>
        <v>6.3Viet</v>
      </c>
      <c r="D70" s="24" t="s">
        <v>268</v>
      </c>
      <c r="E70" s="21" t="s">
        <v>3</v>
      </c>
      <c r="F70" s="9" t="str">
        <f t="shared" si="4"/>
        <v/>
      </c>
      <c r="G70" s="5" t="str">
        <f t="shared" ref="G70:G134" si="5">IFERROR(LEFT(RIGHT(H70,LEN(H70)-32),LEN(RIGHT(H70,LEN(H70)-32))-17),"")</f>
        <v/>
      </c>
    </row>
    <row r="71" spans="1:8" x14ac:dyDescent="0.25">
      <c r="B71" s="21" t="s">
        <v>32</v>
      </c>
      <c r="C71" s="24" t="str">
        <f t="shared" si="3"/>
        <v>6.3Eng</v>
      </c>
      <c r="D71" s="27" t="s">
        <v>167</v>
      </c>
      <c r="E71" s="21" t="s">
        <v>4</v>
      </c>
      <c r="F71" s="9" t="str">
        <f t="shared" si="4"/>
        <v>https://docs.google.com/uc?export=download&amp;id=1Ee9B1r47UDLpesTPjLeTjDv8RRfdenvV</v>
      </c>
      <c r="G71" s="5" t="str">
        <f t="shared" si="5"/>
        <v>1Ee9B1r47UDLpesTPjLeTjDv8RRfdenvV</v>
      </c>
      <c r="H71" t="s">
        <v>359</v>
      </c>
    </row>
    <row r="72" spans="1:8" x14ac:dyDescent="0.25">
      <c r="B72" s="21" t="s">
        <v>32</v>
      </c>
      <c r="C72" s="24" t="str">
        <f t="shared" si="3"/>
        <v>6.3Phon</v>
      </c>
      <c r="D72" s="28" t="s">
        <v>168</v>
      </c>
      <c r="E72" s="21" t="s">
        <v>5</v>
      </c>
      <c r="F72" s="9" t="str">
        <f t="shared" si="4"/>
        <v/>
      </c>
      <c r="G72" s="5" t="str">
        <f t="shared" si="5"/>
        <v/>
      </c>
    </row>
    <row r="73" spans="1:8" x14ac:dyDescent="0.25">
      <c r="A73" s="1">
        <v>22</v>
      </c>
      <c r="B73" s="21" t="s">
        <v>33</v>
      </c>
      <c r="C73" s="24" t="str">
        <f t="shared" si="3"/>
        <v>6.4Viet</v>
      </c>
      <c r="D73" s="24" t="s">
        <v>269</v>
      </c>
      <c r="E73" s="21" t="s">
        <v>3</v>
      </c>
      <c r="F73" s="9" t="str">
        <f t="shared" si="4"/>
        <v/>
      </c>
      <c r="G73" s="5" t="str">
        <f t="shared" si="5"/>
        <v/>
      </c>
    </row>
    <row r="74" spans="1:8" x14ac:dyDescent="0.25">
      <c r="B74" s="21" t="s">
        <v>33</v>
      </c>
      <c r="C74" s="24" t="str">
        <f t="shared" si="3"/>
        <v>6.4Eng</v>
      </c>
      <c r="D74" s="27" t="s">
        <v>169</v>
      </c>
      <c r="E74" s="21" t="s">
        <v>4</v>
      </c>
      <c r="F74" s="9" t="str">
        <f t="shared" si="4"/>
        <v>https://docs.google.com/uc?export=download&amp;id=1IjEv3OJctfO4nC0tDSDoEnbRqBFy-Ifl</v>
      </c>
      <c r="G74" s="5" t="str">
        <f t="shared" si="5"/>
        <v>1IjEv3OJctfO4nC0tDSDoEnbRqBFy-Ifl</v>
      </c>
      <c r="H74" t="s">
        <v>360</v>
      </c>
    </row>
    <row r="75" spans="1:8" x14ac:dyDescent="0.25">
      <c r="B75" s="21" t="s">
        <v>33</v>
      </c>
      <c r="C75" s="24" t="str">
        <f t="shared" si="3"/>
        <v>6.4Phon</v>
      </c>
      <c r="D75" s="28" t="s">
        <v>170</v>
      </c>
      <c r="E75" s="21" t="s">
        <v>5</v>
      </c>
      <c r="F75" s="9" t="str">
        <f t="shared" si="4"/>
        <v/>
      </c>
      <c r="G75" s="5" t="str">
        <f t="shared" si="5"/>
        <v/>
      </c>
    </row>
    <row r="76" spans="1:8" x14ac:dyDescent="0.25">
      <c r="B76" s="16">
        <v>7</v>
      </c>
      <c r="C76" s="25" t="str">
        <f t="shared" si="3"/>
        <v>7Struc</v>
      </c>
      <c r="D76" s="25" t="s">
        <v>118</v>
      </c>
      <c r="E76" s="16" t="s">
        <v>11</v>
      </c>
      <c r="F76" s="8" t="str">
        <f t="shared" si="4"/>
        <v/>
      </c>
      <c r="G76" s="5" t="str">
        <f t="shared" si="5"/>
        <v/>
      </c>
    </row>
    <row r="77" spans="1:8" x14ac:dyDescent="0.25">
      <c r="A77" s="1">
        <v>23</v>
      </c>
      <c r="B77" s="21" t="s">
        <v>34</v>
      </c>
      <c r="C77" s="24" t="str">
        <f t="shared" si="3"/>
        <v>7.1Viet</v>
      </c>
      <c r="D77" s="24" t="s">
        <v>270</v>
      </c>
      <c r="E77" s="21" t="s">
        <v>3</v>
      </c>
      <c r="F77" s="9" t="str">
        <f t="shared" si="4"/>
        <v/>
      </c>
      <c r="G77" s="5" t="str">
        <f t="shared" si="5"/>
        <v/>
      </c>
    </row>
    <row r="78" spans="1:8" x14ac:dyDescent="0.25">
      <c r="B78" s="21" t="s">
        <v>34</v>
      </c>
      <c r="C78" s="24" t="str">
        <f t="shared" si="3"/>
        <v>7.1Eng</v>
      </c>
      <c r="D78" s="27" t="s">
        <v>171</v>
      </c>
      <c r="E78" s="21" t="s">
        <v>4</v>
      </c>
      <c r="F78" s="9" t="str">
        <f t="shared" si="4"/>
        <v>https://docs.google.com/uc?export=download&amp;id=1KvOcNqSN12WFPqLz6RsXyitKPygenqUc</v>
      </c>
      <c r="G78" s="5" t="str">
        <f t="shared" si="5"/>
        <v>1KvOcNqSN12WFPqLz6RsXyitKPygenqUc</v>
      </c>
      <c r="H78" t="s">
        <v>361</v>
      </c>
    </row>
    <row r="79" spans="1:8" x14ac:dyDescent="0.25">
      <c r="B79" s="21" t="s">
        <v>34</v>
      </c>
      <c r="C79" s="24" t="str">
        <f t="shared" si="3"/>
        <v>7.1Phon</v>
      </c>
      <c r="D79" s="28" t="s">
        <v>172</v>
      </c>
      <c r="E79" s="21" t="s">
        <v>5</v>
      </c>
      <c r="F79" s="9" t="str">
        <f t="shared" si="4"/>
        <v/>
      </c>
      <c r="G79" s="5" t="str">
        <f t="shared" si="5"/>
        <v/>
      </c>
    </row>
    <row r="80" spans="1:8" x14ac:dyDescent="0.25">
      <c r="A80" s="1">
        <v>24</v>
      </c>
      <c r="B80" s="21" t="s">
        <v>35</v>
      </c>
      <c r="C80" s="24" t="str">
        <f t="shared" si="3"/>
        <v>7.2Viet</v>
      </c>
      <c r="D80" s="24" t="s">
        <v>271</v>
      </c>
      <c r="E80" s="21" t="s">
        <v>3</v>
      </c>
      <c r="F80" s="9" t="str">
        <f t="shared" si="4"/>
        <v/>
      </c>
      <c r="G80" s="5" t="str">
        <f t="shared" si="5"/>
        <v/>
      </c>
    </row>
    <row r="81" spans="1:8" x14ac:dyDescent="0.25">
      <c r="B81" s="21" t="s">
        <v>35</v>
      </c>
      <c r="C81" s="24" t="str">
        <f t="shared" si="3"/>
        <v>7.2Eng</v>
      </c>
      <c r="D81" s="27" t="s">
        <v>173</v>
      </c>
      <c r="E81" s="21" t="s">
        <v>4</v>
      </c>
      <c r="F81" s="9" t="str">
        <f t="shared" si="4"/>
        <v>https://docs.google.com/uc?export=download&amp;id=1slldgTFp2ggILvyNsX4McJ5POOI4sJRj</v>
      </c>
      <c r="G81" s="5" t="str">
        <f t="shared" si="5"/>
        <v>1slldgTFp2ggILvyNsX4McJ5POOI4sJRj</v>
      </c>
      <c r="H81" t="s">
        <v>362</v>
      </c>
    </row>
    <row r="82" spans="1:8" x14ac:dyDescent="0.25">
      <c r="B82" s="21" t="s">
        <v>35</v>
      </c>
      <c r="C82" s="24" t="str">
        <f t="shared" si="3"/>
        <v>7.2Phon</v>
      </c>
      <c r="D82" s="28" t="s">
        <v>174</v>
      </c>
      <c r="E82" s="21" t="s">
        <v>5</v>
      </c>
      <c r="F82" s="9" t="str">
        <f t="shared" si="4"/>
        <v/>
      </c>
      <c r="G82" s="5" t="str">
        <f t="shared" si="5"/>
        <v/>
      </c>
    </row>
    <row r="83" spans="1:8" x14ac:dyDescent="0.25">
      <c r="A83" s="1">
        <v>25</v>
      </c>
      <c r="B83" s="21" t="s">
        <v>36</v>
      </c>
      <c r="C83" s="24" t="str">
        <f t="shared" si="3"/>
        <v>7.3Viet</v>
      </c>
      <c r="D83" s="24" t="s">
        <v>272</v>
      </c>
      <c r="E83" s="21" t="s">
        <v>3</v>
      </c>
      <c r="F83" s="9" t="str">
        <f t="shared" si="4"/>
        <v/>
      </c>
      <c r="G83" s="5" t="str">
        <f t="shared" si="5"/>
        <v/>
      </c>
    </row>
    <row r="84" spans="1:8" x14ac:dyDescent="0.25">
      <c r="B84" s="21" t="s">
        <v>36</v>
      </c>
      <c r="C84" s="24" t="str">
        <f t="shared" si="3"/>
        <v>7.3Eng</v>
      </c>
      <c r="D84" s="27" t="s">
        <v>175</v>
      </c>
      <c r="E84" s="21" t="s">
        <v>4</v>
      </c>
      <c r="F84" s="9" t="str">
        <f t="shared" si="4"/>
        <v>https://docs.google.com/uc?export=download&amp;id=1qUu7o3iJxIAL6RDQeZ0wXPwdKmD7EM2x</v>
      </c>
      <c r="G84" s="5" t="str">
        <f t="shared" si="5"/>
        <v>1qUu7o3iJxIAL6RDQeZ0wXPwdKmD7EM2x</v>
      </c>
      <c r="H84" t="s">
        <v>363</v>
      </c>
    </row>
    <row r="85" spans="1:8" x14ac:dyDescent="0.25">
      <c r="B85" s="21" t="s">
        <v>36</v>
      </c>
      <c r="C85" s="24" t="str">
        <f t="shared" si="3"/>
        <v>7.3Phon</v>
      </c>
      <c r="D85" s="28" t="s">
        <v>176</v>
      </c>
      <c r="E85" s="21" t="s">
        <v>5</v>
      </c>
      <c r="F85" s="9" t="str">
        <f t="shared" si="4"/>
        <v/>
      </c>
      <c r="G85" s="5" t="str">
        <f t="shared" si="5"/>
        <v/>
      </c>
    </row>
    <row r="86" spans="1:8" x14ac:dyDescent="0.25">
      <c r="A86" s="1">
        <v>26</v>
      </c>
      <c r="B86" s="21" t="s">
        <v>37</v>
      </c>
      <c r="C86" s="24" t="str">
        <f t="shared" si="3"/>
        <v>7.4Viet</v>
      </c>
      <c r="D86" s="24" t="s">
        <v>273</v>
      </c>
      <c r="E86" s="21" t="s">
        <v>3</v>
      </c>
      <c r="F86" s="9" t="str">
        <f t="shared" si="4"/>
        <v/>
      </c>
      <c r="G86" s="5" t="str">
        <f t="shared" si="5"/>
        <v/>
      </c>
    </row>
    <row r="87" spans="1:8" x14ac:dyDescent="0.25">
      <c r="B87" s="21" t="s">
        <v>37</v>
      </c>
      <c r="C87" s="24" t="str">
        <f t="shared" si="3"/>
        <v>7.4Eng</v>
      </c>
      <c r="D87" s="27" t="s">
        <v>177</v>
      </c>
      <c r="E87" s="21" t="s">
        <v>4</v>
      </c>
      <c r="F87" s="9" t="str">
        <f t="shared" si="4"/>
        <v>https://docs.google.com/uc?export=download&amp;id=1j9RuEm0_mKdemHAJnwsYfDkicY8AFCW5</v>
      </c>
      <c r="G87" s="5" t="str">
        <f t="shared" si="5"/>
        <v>1j9RuEm0_mKdemHAJnwsYfDkicY8AFCW5</v>
      </c>
      <c r="H87" t="s">
        <v>364</v>
      </c>
    </row>
    <row r="88" spans="1:8" x14ac:dyDescent="0.25">
      <c r="B88" s="21" t="s">
        <v>37</v>
      </c>
      <c r="C88" s="24" t="str">
        <f t="shared" si="3"/>
        <v>7.4Phon</v>
      </c>
      <c r="D88" s="28" t="s">
        <v>178</v>
      </c>
      <c r="E88" s="21" t="s">
        <v>5</v>
      </c>
      <c r="F88" s="9" t="str">
        <f t="shared" si="4"/>
        <v/>
      </c>
      <c r="G88" s="5" t="str">
        <f t="shared" si="5"/>
        <v/>
      </c>
    </row>
    <row r="89" spans="1:8" x14ac:dyDescent="0.25">
      <c r="B89" s="16">
        <v>8</v>
      </c>
      <c r="C89" s="25" t="str">
        <f t="shared" si="3"/>
        <v>8Struc</v>
      </c>
      <c r="D89" s="25" t="s">
        <v>119</v>
      </c>
      <c r="E89" s="16" t="s">
        <v>11</v>
      </c>
      <c r="F89" s="8" t="str">
        <f t="shared" si="4"/>
        <v/>
      </c>
      <c r="G89" s="5" t="str">
        <f t="shared" si="5"/>
        <v/>
      </c>
    </row>
    <row r="90" spans="1:8" x14ac:dyDescent="0.25">
      <c r="A90" s="1">
        <v>27</v>
      </c>
      <c r="B90" s="21" t="s">
        <v>38</v>
      </c>
      <c r="C90" s="24" t="str">
        <f t="shared" si="3"/>
        <v>8.1Viet</v>
      </c>
      <c r="D90" s="24" t="s">
        <v>274</v>
      </c>
      <c r="E90" s="21" t="s">
        <v>3</v>
      </c>
      <c r="F90" s="9" t="str">
        <f t="shared" si="4"/>
        <v/>
      </c>
      <c r="G90" s="5" t="str">
        <f t="shared" si="5"/>
        <v/>
      </c>
    </row>
    <row r="91" spans="1:8" x14ac:dyDescent="0.25">
      <c r="B91" s="21" t="s">
        <v>38</v>
      </c>
      <c r="C91" s="24" t="str">
        <f t="shared" si="3"/>
        <v>8.1Eng</v>
      </c>
      <c r="D91" s="27" t="s">
        <v>179</v>
      </c>
      <c r="E91" s="21" t="s">
        <v>4</v>
      </c>
      <c r="F91" s="9" t="str">
        <f t="shared" si="4"/>
        <v>https://docs.google.com/uc?export=download&amp;id=1mq7iYs_Z1bRAEpHietFCW0kT_BsxFcd8</v>
      </c>
      <c r="G91" s="5" t="str">
        <f t="shared" si="5"/>
        <v>1mq7iYs_Z1bRAEpHietFCW0kT_BsxFcd8</v>
      </c>
      <c r="H91" t="s">
        <v>365</v>
      </c>
    </row>
    <row r="92" spans="1:8" x14ac:dyDescent="0.25">
      <c r="B92" s="21" t="s">
        <v>38</v>
      </c>
      <c r="C92" s="24" t="str">
        <f t="shared" si="3"/>
        <v>8.1Phon</v>
      </c>
      <c r="D92" s="28" t="s">
        <v>180</v>
      </c>
      <c r="E92" s="21" t="s">
        <v>5</v>
      </c>
      <c r="F92" s="9" t="str">
        <f t="shared" si="4"/>
        <v/>
      </c>
      <c r="G92" s="5" t="str">
        <f t="shared" si="5"/>
        <v/>
      </c>
    </row>
    <row r="93" spans="1:8" x14ac:dyDescent="0.25">
      <c r="A93" s="1">
        <v>28</v>
      </c>
      <c r="B93" s="21" t="s">
        <v>39</v>
      </c>
      <c r="C93" s="24" t="str">
        <f t="shared" si="3"/>
        <v>8.2Viet</v>
      </c>
      <c r="D93" s="24" t="s">
        <v>275</v>
      </c>
      <c r="E93" s="21" t="s">
        <v>3</v>
      </c>
      <c r="F93" s="9" t="str">
        <f t="shared" si="4"/>
        <v/>
      </c>
      <c r="G93" s="5" t="str">
        <f t="shared" si="5"/>
        <v/>
      </c>
    </row>
    <row r="94" spans="1:8" x14ac:dyDescent="0.25">
      <c r="B94" s="21" t="s">
        <v>39</v>
      </c>
      <c r="C94" s="24" t="str">
        <f t="shared" si="3"/>
        <v>8.2Eng</v>
      </c>
      <c r="D94" s="27" t="s">
        <v>181</v>
      </c>
      <c r="E94" s="21" t="s">
        <v>4</v>
      </c>
      <c r="F94" s="9" t="str">
        <f t="shared" si="4"/>
        <v>https://docs.google.com/uc?export=download&amp;id=1ZuJNuXOyiABSvtnxZHZsIgGlPhM-5alB</v>
      </c>
      <c r="G94" s="5" t="str">
        <f t="shared" si="5"/>
        <v>1ZuJNuXOyiABSvtnxZHZsIgGlPhM-5alB</v>
      </c>
      <c r="H94" t="s">
        <v>366</v>
      </c>
    </row>
    <row r="95" spans="1:8" x14ac:dyDescent="0.25">
      <c r="B95" s="21" t="s">
        <v>39</v>
      </c>
      <c r="C95" s="24" t="str">
        <f t="shared" si="3"/>
        <v>8.2Phon</v>
      </c>
      <c r="D95" s="28" t="s">
        <v>182</v>
      </c>
      <c r="E95" s="21" t="s">
        <v>5</v>
      </c>
      <c r="F95" s="9" t="str">
        <f t="shared" si="4"/>
        <v/>
      </c>
      <c r="G95" s="5" t="str">
        <f t="shared" si="5"/>
        <v/>
      </c>
    </row>
    <row r="96" spans="1:8" x14ac:dyDescent="0.25">
      <c r="A96" s="1">
        <v>29</v>
      </c>
      <c r="B96" s="21" t="s">
        <v>40</v>
      </c>
      <c r="C96" s="24" t="str">
        <f t="shared" si="3"/>
        <v>8.3Viet</v>
      </c>
      <c r="D96" s="24" t="s">
        <v>276</v>
      </c>
      <c r="E96" s="21" t="s">
        <v>3</v>
      </c>
      <c r="F96" s="9" t="str">
        <f t="shared" si="4"/>
        <v/>
      </c>
      <c r="G96" s="5" t="str">
        <f t="shared" si="5"/>
        <v/>
      </c>
    </row>
    <row r="97" spans="1:8" x14ac:dyDescent="0.25">
      <c r="B97" s="21" t="s">
        <v>40</v>
      </c>
      <c r="C97" s="24" t="str">
        <f t="shared" si="3"/>
        <v>8.3Eng</v>
      </c>
      <c r="D97" s="27" t="s">
        <v>183</v>
      </c>
      <c r="E97" s="21" t="s">
        <v>4</v>
      </c>
      <c r="F97" s="9" t="str">
        <f t="shared" si="4"/>
        <v>https://docs.google.com/uc?export=download&amp;id=1_7JRe5nGO6FV7w8kPnCKxZtXxtttTBFG</v>
      </c>
      <c r="G97" s="5" t="str">
        <f t="shared" si="5"/>
        <v>1_7JRe5nGO6FV7w8kPnCKxZtXxtttTBFG</v>
      </c>
      <c r="H97" t="s">
        <v>367</v>
      </c>
    </row>
    <row r="98" spans="1:8" x14ac:dyDescent="0.25">
      <c r="B98" s="21" t="s">
        <v>40</v>
      </c>
      <c r="C98" s="24" t="str">
        <f t="shared" si="3"/>
        <v>8.3Phon</v>
      </c>
      <c r="D98" s="28" t="s">
        <v>184</v>
      </c>
      <c r="E98" s="21" t="s">
        <v>5</v>
      </c>
      <c r="F98" s="9" t="str">
        <f t="shared" si="4"/>
        <v/>
      </c>
      <c r="G98" s="5" t="str">
        <f t="shared" si="5"/>
        <v/>
      </c>
    </row>
    <row r="99" spans="1:8" x14ac:dyDescent="0.25">
      <c r="B99" s="16">
        <v>9</v>
      </c>
      <c r="C99" s="25" t="str">
        <f t="shared" si="3"/>
        <v>9Struc</v>
      </c>
      <c r="D99" s="25" t="s">
        <v>120</v>
      </c>
      <c r="E99" s="16" t="s">
        <v>11</v>
      </c>
      <c r="F99" s="8" t="str">
        <f t="shared" si="4"/>
        <v/>
      </c>
      <c r="G99" s="5" t="str">
        <f t="shared" si="5"/>
        <v/>
      </c>
    </row>
    <row r="100" spans="1:8" x14ac:dyDescent="0.25">
      <c r="A100" s="1">
        <v>30</v>
      </c>
      <c r="B100" s="21" t="s">
        <v>41</v>
      </c>
      <c r="C100" s="24" t="str">
        <f t="shared" si="3"/>
        <v>9.1Viet</v>
      </c>
      <c r="D100" s="24" t="s">
        <v>324</v>
      </c>
      <c r="E100" s="21" t="s">
        <v>3</v>
      </c>
      <c r="F100" s="9" t="str">
        <f t="shared" si="4"/>
        <v/>
      </c>
      <c r="G100" s="5" t="str">
        <f t="shared" si="5"/>
        <v/>
      </c>
    </row>
    <row r="101" spans="1:8" x14ac:dyDescent="0.25">
      <c r="B101" s="21" t="s">
        <v>41</v>
      </c>
      <c r="C101" s="24" t="str">
        <f t="shared" si="3"/>
        <v>9.1Eng</v>
      </c>
      <c r="D101" s="27" t="s">
        <v>323</v>
      </c>
      <c r="E101" s="21" t="s">
        <v>4</v>
      </c>
      <c r="F101" s="9" t="str">
        <f t="shared" si="4"/>
        <v>https://docs.google.com/uc?export=download&amp;id=14zYZl8VbYwuXlwTzBcFxDjgAUwbvM0QZ</v>
      </c>
      <c r="G101" s="5" t="str">
        <f t="shared" si="5"/>
        <v>14zYZl8VbYwuXlwTzBcFxDjgAUwbvM0QZ</v>
      </c>
      <c r="H101" t="s">
        <v>368</v>
      </c>
    </row>
    <row r="102" spans="1:8" x14ac:dyDescent="0.25">
      <c r="B102" s="21" t="s">
        <v>41</v>
      </c>
      <c r="C102" s="24" t="str">
        <f t="shared" si="3"/>
        <v>9.1Phon</v>
      </c>
      <c r="D102" s="28" t="s">
        <v>185</v>
      </c>
      <c r="E102" s="21" t="s">
        <v>5</v>
      </c>
      <c r="F102" s="9" t="str">
        <f t="shared" si="4"/>
        <v/>
      </c>
      <c r="G102" s="5" t="str">
        <f t="shared" si="5"/>
        <v/>
      </c>
    </row>
    <row r="103" spans="1:8" x14ac:dyDescent="0.25">
      <c r="A103" s="1">
        <v>31</v>
      </c>
      <c r="B103" s="21" t="s">
        <v>42</v>
      </c>
      <c r="C103" s="24" t="str">
        <f t="shared" si="3"/>
        <v>9.2Viet</v>
      </c>
      <c r="D103" s="24" t="s">
        <v>277</v>
      </c>
      <c r="E103" s="21" t="s">
        <v>3</v>
      </c>
      <c r="F103" s="9" t="str">
        <f t="shared" si="4"/>
        <v/>
      </c>
      <c r="G103" s="5" t="str">
        <f t="shared" si="5"/>
        <v/>
      </c>
    </row>
    <row r="104" spans="1:8" x14ac:dyDescent="0.25">
      <c r="B104" s="21" t="s">
        <v>42</v>
      </c>
      <c r="C104" s="24" t="str">
        <f t="shared" si="3"/>
        <v>9.2Eng</v>
      </c>
      <c r="D104" s="27" t="s">
        <v>97</v>
      </c>
      <c r="E104" s="21" t="s">
        <v>4</v>
      </c>
      <c r="F104" s="9" t="str">
        <f t="shared" si="4"/>
        <v>https://docs.google.com/uc?export=download&amp;id=1Zmu8wx92yRWHOnHArflxNaLkAadqCO7v</v>
      </c>
      <c r="G104" s="5" t="str">
        <f t="shared" si="5"/>
        <v>1Zmu8wx92yRWHOnHArflxNaLkAadqCO7v</v>
      </c>
      <c r="H104" t="s">
        <v>369</v>
      </c>
    </row>
    <row r="105" spans="1:8" x14ac:dyDescent="0.25">
      <c r="B105" s="21" t="s">
        <v>42</v>
      </c>
      <c r="C105" s="24" t="str">
        <f t="shared" si="3"/>
        <v>9.2Phon</v>
      </c>
      <c r="D105" s="28" t="s">
        <v>98</v>
      </c>
      <c r="E105" s="21" t="s">
        <v>5</v>
      </c>
      <c r="F105" s="9" t="str">
        <f t="shared" si="4"/>
        <v/>
      </c>
      <c r="G105" s="5" t="str">
        <f t="shared" si="5"/>
        <v/>
      </c>
    </row>
    <row r="106" spans="1:8" x14ac:dyDescent="0.25">
      <c r="A106" s="1">
        <v>32</v>
      </c>
      <c r="B106" s="21" t="s">
        <v>43</v>
      </c>
      <c r="C106" s="24" t="str">
        <f t="shared" si="3"/>
        <v>9.3Viet</v>
      </c>
      <c r="D106" s="24" t="s">
        <v>278</v>
      </c>
      <c r="E106" s="21" t="s">
        <v>3</v>
      </c>
      <c r="F106" s="9" t="str">
        <f t="shared" si="4"/>
        <v/>
      </c>
      <c r="G106" s="5" t="str">
        <f t="shared" si="5"/>
        <v/>
      </c>
    </row>
    <row r="107" spans="1:8" x14ac:dyDescent="0.25">
      <c r="B107" s="21" t="s">
        <v>43</v>
      </c>
      <c r="C107" s="24" t="str">
        <f t="shared" si="3"/>
        <v>9.3Eng</v>
      </c>
      <c r="D107" s="27" t="s">
        <v>186</v>
      </c>
      <c r="E107" s="21" t="s">
        <v>4</v>
      </c>
      <c r="F107" s="9" t="str">
        <f t="shared" si="4"/>
        <v>https://docs.google.com/uc?export=download&amp;id=1nOFIqcz78uR-LIR_G7yUCiu9E2g_PFm_</v>
      </c>
      <c r="G107" s="5" t="str">
        <f t="shared" si="5"/>
        <v>1nOFIqcz78uR-LIR_G7yUCiu9E2g_PFm_</v>
      </c>
      <c r="H107" t="s">
        <v>370</v>
      </c>
    </row>
    <row r="108" spans="1:8" x14ac:dyDescent="0.25">
      <c r="B108" s="21" t="s">
        <v>43</v>
      </c>
      <c r="C108" s="24" t="str">
        <f t="shared" si="3"/>
        <v>9.3Phon</v>
      </c>
      <c r="D108" s="28" t="s">
        <v>187</v>
      </c>
      <c r="E108" s="21" t="s">
        <v>5</v>
      </c>
      <c r="F108" s="9" t="str">
        <f t="shared" si="4"/>
        <v/>
      </c>
      <c r="G108" s="5" t="str">
        <f t="shared" si="5"/>
        <v/>
      </c>
    </row>
    <row r="109" spans="1:8" x14ac:dyDescent="0.25">
      <c r="B109" s="16">
        <v>10</v>
      </c>
      <c r="C109" s="25" t="str">
        <f t="shared" si="3"/>
        <v>10Struc</v>
      </c>
      <c r="D109" s="25" t="s">
        <v>121</v>
      </c>
      <c r="E109" s="16" t="s">
        <v>11</v>
      </c>
      <c r="F109" s="8" t="str">
        <f t="shared" si="4"/>
        <v/>
      </c>
      <c r="G109" s="5" t="str">
        <f t="shared" si="5"/>
        <v/>
      </c>
    </row>
    <row r="110" spans="1:8" x14ac:dyDescent="0.25">
      <c r="A110" s="1">
        <v>33</v>
      </c>
      <c r="B110" s="21" t="s">
        <v>44</v>
      </c>
      <c r="C110" s="24" t="str">
        <f t="shared" si="3"/>
        <v>10.1Viet</v>
      </c>
      <c r="D110" s="24" t="s">
        <v>279</v>
      </c>
      <c r="E110" s="21" t="s">
        <v>3</v>
      </c>
      <c r="F110" s="9" t="str">
        <f t="shared" si="4"/>
        <v/>
      </c>
      <c r="G110" s="5" t="str">
        <f t="shared" si="5"/>
        <v/>
      </c>
    </row>
    <row r="111" spans="1:8" x14ac:dyDescent="0.25">
      <c r="B111" s="21" t="s">
        <v>44</v>
      </c>
      <c r="C111" s="24" t="str">
        <f t="shared" si="3"/>
        <v>10.1Eng</v>
      </c>
      <c r="D111" s="27" t="s">
        <v>188</v>
      </c>
      <c r="E111" s="21" t="s">
        <v>4</v>
      </c>
      <c r="F111" s="9" t="str">
        <f t="shared" si="4"/>
        <v>https://docs.google.com/uc?export=download&amp;id=14ZHmZwFU6OkR7r6U6KZUHdQ_RByaKoyk</v>
      </c>
      <c r="G111" s="5" t="str">
        <f t="shared" si="5"/>
        <v>14ZHmZwFU6OkR7r6U6KZUHdQ_RByaKoyk</v>
      </c>
      <c r="H111" t="s">
        <v>371</v>
      </c>
    </row>
    <row r="112" spans="1:8" x14ac:dyDescent="0.25">
      <c r="B112" s="21" t="s">
        <v>44</v>
      </c>
      <c r="C112" s="24" t="str">
        <f t="shared" si="3"/>
        <v>10.1Phon</v>
      </c>
      <c r="D112" s="28" t="s">
        <v>189</v>
      </c>
      <c r="E112" s="21" t="s">
        <v>5</v>
      </c>
      <c r="F112" s="9" t="str">
        <f t="shared" si="4"/>
        <v/>
      </c>
      <c r="G112" s="5" t="str">
        <f t="shared" si="5"/>
        <v/>
      </c>
    </row>
    <row r="113" spans="1:8" x14ac:dyDescent="0.25">
      <c r="A113" s="1">
        <v>34</v>
      </c>
      <c r="B113" s="21" t="s">
        <v>45</v>
      </c>
      <c r="C113" s="24" t="str">
        <f t="shared" si="3"/>
        <v>10.2Viet</v>
      </c>
      <c r="D113" s="24" t="s">
        <v>280</v>
      </c>
      <c r="E113" s="21" t="s">
        <v>3</v>
      </c>
      <c r="F113" s="9" t="str">
        <f t="shared" si="4"/>
        <v/>
      </c>
      <c r="G113" s="5" t="str">
        <f t="shared" si="5"/>
        <v/>
      </c>
    </row>
    <row r="114" spans="1:8" x14ac:dyDescent="0.25">
      <c r="B114" s="21" t="s">
        <v>45</v>
      </c>
      <c r="C114" s="24" t="str">
        <f t="shared" si="3"/>
        <v>10.2Eng</v>
      </c>
      <c r="D114" s="27" t="s">
        <v>190</v>
      </c>
      <c r="E114" s="21" t="s">
        <v>4</v>
      </c>
      <c r="F114" s="9" t="str">
        <f t="shared" si="4"/>
        <v>https://docs.google.com/uc?export=download&amp;id=1fnwYQFd9K_-2PBSOe6OBJzJ3WLQj2xOB</v>
      </c>
      <c r="G114" s="5" t="str">
        <f t="shared" si="5"/>
        <v>1fnwYQFd9K_-2PBSOe6OBJzJ3WLQj2xOB</v>
      </c>
      <c r="H114" t="s">
        <v>372</v>
      </c>
    </row>
    <row r="115" spans="1:8" x14ac:dyDescent="0.25">
      <c r="B115" s="21" t="s">
        <v>45</v>
      </c>
      <c r="C115" s="24" t="str">
        <f t="shared" si="3"/>
        <v>10.2Phon</v>
      </c>
      <c r="D115" s="28" t="s">
        <v>191</v>
      </c>
      <c r="E115" s="21" t="s">
        <v>5</v>
      </c>
      <c r="F115" s="9" t="str">
        <f t="shared" si="4"/>
        <v/>
      </c>
      <c r="G115" s="5" t="str">
        <f t="shared" si="5"/>
        <v/>
      </c>
    </row>
    <row r="116" spans="1:8" x14ac:dyDescent="0.25">
      <c r="A116" s="1">
        <v>35</v>
      </c>
      <c r="B116" s="21" t="s">
        <v>46</v>
      </c>
      <c r="C116" s="24" t="str">
        <f t="shared" si="3"/>
        <v>10.3Viet</v>
      </c>
      <c r="D116" s="24" t="s">
        <v>281</v>
      </c>
      <c r="E116" s="21" t="s">
        <v>3</v>
      </c>
      <c r="F116" s="9" t="str">
        <f t="shared" si="4"/>
        <v/>
      </c>
      <c r="G116" s="5" t="str">
        <f t="shared" si="5"/>
        <v/>
      </c>
    </row>
    <row r="117" spans="1:8" x14ac:dyDescent="0.25">
      <c r="B117" s="21" t="s">
        <v>46</v>
      </c>
      <c r="C117" s="24" t="str">
        <f t="shared" si="3"/>
        <v>10.3Eng</v>
      </c>
      <c r="D117" s="27" t="s">
        <v>192</v>
      </c>
      <c r="E117" s="21" t="s">
        <v>4</v>
      </c>
      <c r="F117" s="9" t="str">
        <f t="shared" si="4"/>
        <v>https://docs.google.com/uc?export=download&amp;id=1_YzyWWKSsvu5ijtDwTqJJLQsX9nQBroU</v>
      </c>
      <c r="G117" s="5" t="str">
        <f t="shared" si="5"/>
        <v>1_YzyWWKSsvu5ijtDwTqJJLQsX9nQBroU</v>
      </c>
      <c r="H117" t="s">
        <v>373</v>
      </c>
    </row>
    <row r="118" spans="1:8" x14ac:dyDescent="0.25">
      <c r="B118" s="21" t="s">
        <v>46</v>
      </c>
      <c r="C118" s="24" t="str">
        <f t="shared" si="3"/>
        <v>10.3Phon</v>
      </c>
      <c r="D118" s="28" t="s">
        <v>193</v>
      </c>
      <c r="E118" s="21" t="s">
        <v>5</v>
      </c>
      <c r="F118" s="9" t="str">
        <f t="shared" si="4"/>
        <v/>
      </c>
      <c r="G118" s="5" t="str">
        <f t="shared" si="5"/>
        <v/>
      </c>
    </row>
    <row r="119" spans="1:8" x14ac:dyDescent="0.25">
      <c r="A119" s="1">
        <v>36</v>
      </c>
      <c r="B119" s="21" t="s">
        <v>47</v>
      </c>
      <c r="C119" s="24" t="str">
        <f t="shared" si="3"/>
        <v>10.4Viet</v>
      </c>
      <c r="D119" s="24" t="s">
        <v>282</v>
      </c>
      <c r="E119" s="21" t="s">
        <v>3</v>
      </c>
      <c r="F119" s="9" t="str">
        <f t="shared" si="4"/>
        <v/>
      </c>
      <c r="G119" s="5" t="str">
        <f t="shared" si="5"/>
        <v/>
      </c>
    </row>
    <row r="120" spans="1:8" x14ac:dyDescent="0.25">
      <c r="B120" s="21" t="s">
        <v>47</v>
      </c>
      <c r="C120" s="24" t="str">
        <f t="shared" si="3"/>
        <v>10.4Eng</v>
      </c>
      <c r="D120" s="27" t="s">
        <v>194</v>
      </c>
      <c r="E120" s="21" t="s">
        <v>4</v>
      </c>
      <c r="F120" s="9" t="str">
        <f t="shared" si="4"/>
        <v>https://docs.google.com/uc?export=download&amp;id=1qsyWw_nlx9grXEd3TRO9unk1oScg2mjm</v>
      </c>
      <c r="G120" s="5" t="str">
        <f t="shared" si="5"/>
        <v>1qsyWw_nlx9grXEd3TRO9unk1oScg2mjm</v>
      </c>
      <c r="H120" t="s">
        <v>374</v>
      </c>
    </row>
    <row r="121" spans="1:8" x14ac:dyDescent="0.25">
      <c r="B121" s="21" t="s">
        <v>47</v>
      </c>
      <c r="C121" s="24" t="str">
        <f t="shared" si="3"/>
        <v>10.4Phon</v>
      </c>
      <c r="D121" s="28" t="s">
        <v>195</v>
      </c>
      <c r="E121" s="21" t="s">
        <v>5</v>
      </c>
      <c r="F121" s="9" t="str">
        <f t="shared" si="4"/>
        <v/>
      </c>
      <c r="G121" s="5" t="str">
        <f t="shared" si="5"/>
        <v/>
      </c>
    </row>
    <row r="122" spans="1:8" x14ac:dyDescent="0.25">
      <c r="B122" s="16">
        <v>11</v>
      </c>
      <c r="C122" s="25" t="str">
        <f t="shared" si="3"/>
        <v>11Struc</v>
      </c>
      <c r="D122" s="25" t="s">
        <v>122</v>
      </c>
      <c r="E122" s="16" t="s">
        <v>11</v>
      </c>
      <c r="F122" s="8" t="str">
        <f t="shared" si="4"/>
        <v/>
      </c>
      <c r="G122" s="5" t="str">
        <f t="shared" si="5"/>
        <v/>
      </c>
    </row>
    <row r="123" spans="1:8" x14ac:dyDescent="0.25">
      <c r="A123" s="1">
        <v>37</v>
      </c>
      <c r="B123" s="21" t="s">
        <v>50</v>
      </c>
      <c r="C123" s="24" t="str">
        <f t="shared" si="3"/>
        <v>11.1Viet</v>
      </c>
      <c r="D123" s="24" t="s">
        <v>283</v>
      </c>
      <c r="E123" s="21" t="s">
        <v>3</v>
      </c>
      <c r="F123" s="9" t="str">
        <f t="shared" si="4"/>
        <v/>
      </c>
      <c r="G123" s="5" t="str">
        <f t="shared" si="5"/>
        <v/>
      </c>
    </row>
    <row r="124" spans="1:8" x14ac:dyDescent="0.25">
      <c r="B124" s="21" t="s">
        <v>50</v>
      </c>
      <c r="C124" s="24" t="str">
        <f t="shared" si="3"/>
        <v>11.1Eng</v>
      </c>
      <c r="D124" s="27" t="s">
        <v>196</v>
      </c>
      <c r="E124" s="21" t="s">
        <v>4</v>
      </c>
      <c r="F124" s="9" t="str">
        <f t="shared" si="4"/>
        <v>https://docs.google.com/uc?export=download&amp;id=1ZIy2dUaf1iV70AJjB7wQAryc8JtPIgU1</v>
      </c>
      <c r="G124" s="5" t="str">
        <f t="shared" si="5"/>
        <v>1ZIy2dUaf1iV70AJjB7wQAryc8JtPIgU1</v>
      </c>
      <c r="H124" t="s">
        <v>375</v>
      </c>
    </row>
    <row r="125" spans="1:8" x14ac:dyDescent="0.25">
      <c r="B125" s="21" t="s">
        <v>50</v>
      </c>
      <c r="C125" s="24" t="str">
        <f t="shared" si="3"/>
        <v>11.1Phon</v>
      </c>
      <c r="D125" s="28" t="s">
        <v>197</v>
      </c>
      <c r="E125" s="21" t="s">
        <v>5</v>
      </c>
      <c r="F125" s="9" t="str">
        <f t="shared" si="4"/>
        <v/>
      </c>
      <c r="G125" s="5" t="str">
        <f t="shared" si="5"/>
        <v/>
      </c>
    </row>
    <row r="126" spans="1:8" x14ac:dyDescent="0.25">
      <c r="A126" s="1">
        <v>38</v>
      </c>
      <c r="B126" s="21" t="s">
        <v>51</v>
      </c>
      <c r="C126" s="24" t="str">
        <f t="shared" si="3"/>
        <v>11.2Viet</v>
      </c>
      <c r="D126" s="24" t="s">
        <v>284</v>
      </c>
      <c r="E126" s="21" t="s">
        <v>3</v>
      </c>
      <c r="F126" s="9" t="str">
        <f t="shared" si="4"/>
        <v/>
      </c>
      <c r="G126" s="5" t="str">
        <f t="shared" si="5"/>
        <v/>
      </c>
    </row>
    <row r="127" spans="1:8" x14ac:dyDescent="0.25">
      <c r="B127" s="21" t="s">
        <v>51</v>
      </c>
      <c r="C127" s="24" t="str">
        <f t="shared" si="3"/>
        <v>11.2Eng</v>
      </c>
      <c r="D127" s="27" t="s">
        <v>198</v>
      </c>
      <c r="E127" s="21" t="s">
        <v>4</v>
      </c>
      <c r="F127" s="9" t="str">
        <f t="shared" si="4"/>
        <v>https://docs.google.com/uc?export=download&amp;id=1D1WBqW84jtbUN8aUZFjUDDXXkxz-5oSm</v>
      </c>
      <c r="G127" s="5" t="str">
        <f t="shared" si="5"/>
        <v>1D1WBqW84jtbUN8aUZFjUDDXXkxz-5oSm</v>
      </c>
      <c r="H127" t="s">
        <v>376</v>
      </c>
    </row>
    <row r="128" spans="1:8" x14ac:dyDescent="0.25">
      <c r="B128" s="21" t="s">
        <v>51</v>
      </c>
      <c r="C128" s="24" t="str">
        <f t="shared" si="3"/>
        <v>11.2Phon</v>
      </c>
      <c r="D128" s="28" t="s">
        <v>199</v>
      </c>
      <c r="E128" s="21" t="s">
        <v>5</v>
      </c>
      <c r="F128" s="9" t="str">
        <f t="shared" si="4"/>
        <v/>
      </c>
      <c r="G128" s="5" t="str">
        <f t="shared" si="5"/>
        <v/>
      </c>
    </row>
    <row r="129" spans="1:8" x14ac:dyDescent="0.25">
      <c r="A129" s="1">
        <v>39</v>
      </c>
      <c r="B129" s="21" t="s">
        <v>52</v>
      </c>
      <c r="C129" s="24" t="str">
        <f t="shared" si="3"/>
        <v>11.3Viet</v>
      </c>
      <c r="D129" s="24" t="s">
        <v>285</v>
      </c>
      <c r="E129" s="21" t="s">
        <v>3</v>
      </c>
      <c r="F129" s="9" t="str">
        <f t="shared" si="4"/>
        <v/>
      </c>
      <c r="G129" s="5" t="str">
        <f t="shared" si="5"/>
        <v/>
      </c>
    </row>
    <row r="130" spans="1:8" x14ac:dyDescent="0.25">
      <c r="B130" s="21" t="s">
        <v>52</v>
      </c>
      <c r="C130" s="24" t="str">
        <f t="shared" si="3"/>
        <v>11.3Eng</v>
      </c>
      <c r="D130" s="27" t="s">
        <v>200</v>
      </c>
      <c r="E130" s="21" t="s">
        <v>4</v>
      </c>
      <c r="F130" s="9" t="str">
        <f t="shared" si="4"/>
        <v>https://docs.google.com/uc?export=download&amp;id=1zXSHiL3Cifgu7yXvOuIDqxEISoXbcYag</v>
      </c>
      <c r="G130" s="5" t="str">
        <f t="shared" si="5"/>
        <v>1zXSHiL3Cifgu7yXvOuIDqxEISoXbcYag</v>
      </c>
      <c r="H130" t="s">
        <v>377</v>
      </c>
    </row>
    <row r="131" spans="1:8" x14ac:dyDescent="0.25">
      <c r="B131" s="21" t="s">
        <v>52</v>
      </c>
      <c r="C131" s="24" t="str">
        <f t="shared" si="3"/>
        <v>11.3Phon</v>
      </c>
      <c r="D131" s="28" t="s">
        <v>201</v>
      </c>
      <c r="E131" s="21" t="s">
        <v>5</v>
      </c>
      <c r="F131" s="9" t="str">
        <f t="shared" si="4"/>
        <v/>
      </c>
      <c r="G131" s="5" t="str">
        <f t="shared" si="5"/>
        <v/>
      </c>
    </row>
    <row r="132" spans="1:8" x14ac:dyDescent="0.25">
      <c r="A132" s="1">
        <v>40</v>
      </c>
      <c r="B132" s="21" t="s">
        <v>53</v>
      </c>
      <c r="C132" s="24" t="str">
        <f t="shared" si="3"/>
        <v>11.4Viet</v>
      </c>
      <c r="D132" s="24" t="s">
        <v>286</v>
      </c>
      <c r="E132" s="21" t="s">
        <v>3</v>
      </c>
      <c r="F132" s="9" t="str">
        <f t="shared" si="4"/>
        <v/>
      </c>
      <c r="G132" s="5" t="str">
        <f t="shared" si="5"/>
        <v/>
      </c>
    </row>
    <row r="133" spans="1:8" x14ac:dyDescent="0.25">
      <c r="B133" s="21" t="s">
        <v>53</v>
      </c>
      <c r="C133" s="24" t="str">
        <f t="shared" ref="C133:C196" si="6">B133&amp;E133</f>
        <v>11.4Eng</v>
      </c>
      <c r="D133" s="27" t="s">
        <v>202</v>
      </c>
      <c r="E133" s="21" t="s">
        <v>4</v>
      </c>
      <c r="F133" s="9" t="str">
        <f t="shared" ref="F133:F196" si="7">IF(G133="","","https://docs.google.com/uc?export=download&amp;id="&amp;G133)</f>
        <v>https://docs.google.com/uc?export=download&amp;id=1xGd8befY9fE2prrHjOEuVCiwW2dWu6S0</v>
      </c>
      <c r="G133" s="5" t="str">
        <f t="shared" si="5"/>
        <v>1xGd8befY9fE2prrHjOEuVCiwW2dWu6S0</v>
      </c>
      <c r="H133" t="s">
        <v>378</v>
      </c>
    </row>
    <row r="134" spans="1:8" x14ac:dyDescent="0.25">
      <c r="B134" s="21" t="s">
        <v>53</v>
      </c>
      <c r="C134" s="24" t="str">
        <f t="shared" si="6"/>
        <v>11.4Phon</v>
      </c>
      <c r="D134" s="28" t="s">
        <v>203</v>
      </c>
      <c r="E134" s="21" t="s">
        <v>5</v>
      </c>
      <c r="F134" s="9" t="str">
        <f t="shared" si="7"/>
        <v/>
      </c>
      <c r="G134" s="5" t="str">
        <f t="shared" si="5"/>
        <v/>
      </c>
    </row>
    <row r="135" spans="1:8" x14ac:dyDescent="0.25">
      <c r="B135" s="16">
        <v>12</v>
      </c>
      <c r="C135" s="25" t="str">
        <f t="shared" si="6"/>
        <v>12Struc</v>
      </c>
      <c r="D135" s="25" t="s">
        <v>123</v>
      </c>
      <c r="E135" s="16" t="s">
        <v>11</v>
      </c>
      <c r="F135" s="8" t="str">
        <f t="shared" si="7"/>
        <v/>
      </c>
      <c r="G135" s="5" t="str">
        <f t="shared" ref="G135:G198" si="8">IFERROR(LEFT(RIGHT(H135,LEN(H135)-32),LEN(RIGHT(H135,LEN(H135)-32))-17),"")</f>
        <v/>
      </c>
    </row>
    <row r="136" spans="1:8" x14ac:dyDescent="0.25">
      <c r="A136" s="1">
        <v>41</v>
      </c>
      <c r="B136" s="21" t="s">
        <v>54</v>
      </c>
      <c r="C136" s="24" t="str">
        <f t="shared" si="6"/>
        <v>12.1Viet</v>
      </c>
      <c r="D136" s="24" t="s">
        <v>287</v>
      </c>
      <c r="E136" s="21" t="s">
        <v>3</v>
      </c>
      <c r="F136" s="9" t="str">
        <f t="shared" si="7"/>
        <v/>
      </c>
      <c r="G136" s="5" t="str">
        <f t="shared" si="8"/>
        <v/>
      </c>
    </row>
    <row r="137" spans="1:8" x14ac:dyDescent="0.25">
      <c r="B137" s="21" t="s">
        <v>54</v>
      </c>
      <c r="C137" s="24" t="str">
        <f t="shared" si="6"/>
        <v>12.1Eng</v>
      </c>
      <c r="D137" s="27" t="s">
        <v>204</v>
      </c>
      <c r="E137" s="21" t="s">
        <v>4</v>
      </c>
      <c r="F137" s="9" t="str">
        <f t="shared" si="7"/>
        <v>https://docs.google.com/uc?export=download&amp;id=1Z2FpdYdFj-94w2MDviF9O1ER4X3ARN4X</v>
      </c>
      <c r="G137" s="5" t="str">
        <f t="shared" si="8"/>
        <v>1Z2FpdYdFj-94w2MDviF9O1ER4X3ARN4X</v>
      </c>
      <c r="H137" t="s">
        <v>379</v>
      </c>
    </row>
    <row r="138" spans="1:8" x14ac:dyDescent="0.25">
      <c r="B138" s="21" t="s">
        <v>54</v>
      </c>
      <c r="C138" s="24" t="str">
        <f t="shared" si="6"/>
        <v>12.1Phon</v>
      </c>
      <c r="D138" s="28" t="s">
        <v>457</v>
      </c>
      <c r="E138" s="21" t="s">
        <v>5</v>
      </c>
      <c r="F138" s="9" t="str">
        <f t="shared" si="7"/>
        <v/>
      </c>
      <c r="G138" s="5" t="str">
        <f t="shared" si="8"/>
        <v/>
      </c>
    </row>
    <row r="139" spans="1:8" x14ac:dyDescent="0.25">
      <c r="A139" s="1">
        <v>42</v>
      </c>
      <c r="B139" s="21" t="s">
        <v>55</v>
      </c>
      <c r="C139" s="24" t="str">
        <f t="shared" si="6"/>
        <v>12.2Viet</v>
      </c>
      <c r="D139" s="24" t="s">
        <v>288</v>
      </c>
      <c r="E139" s="21" t="s">
        <v>3</v>
      </c>
      <c r="F139" s="9" t="str">
        <f t="shared" si="7"/>
        <v/>
      </c>
      <c r="G139" s="5" t="str">
        <f t="shared" si="8"/>
        <v/>
      </c>
    </row>
    <row r="140" spans="1:8" x14ac:dyDescent="0.25">
      <c r="B140" s="21" t="s">
        <v>55</v>
      </c>
      <c r="C140" s="24" t="str">
        <f t="shared" si="6"/>
        <v>12.2Eng</v>
      </c>
      <c r="D140" s="27" t="s">
        <v>205</v>
      </c>
      <c r="E140" s="21" t="s">
        <v>4</v>
      </c>
      <c r="F140" s="9" t="str">
        <f t="shared" si="7"/>
        <v>https://docs.google.com/uc?export=download&amp;id=14QHfrDCUdchvZ5Nbpmkfw9WlwKiK2ttQ</v>
      </c>
      <c r="G140" s="5" t="str">
        <f t="shared" si="8"/>
        <v>14QHfrDCUdchvZ5Nbpmkfw9WlwKiK2ttQ</v>
      </c>
      <c r="H140" t="s">
        <v>380</v>
      </c>
    </row>
    <row r="141" spans="1:8" x14ac:dyDescent="0.25">
      <c r="B141" s="21" t="s">
        <v>55</v>
      </c>
      <c r="C141" s="24" t="str">
        <f t="shared" si="6"/>
        <v>12.2Phon</v>
      </c>
      <c r="D141" s="28" t="s">
        <v>458</v>
      </c>
      <c r="E141" s="21" t="s">
        <v>5</v>
      </c>
      <c r="F141" s="9" t="str">
        <f t="shared" si="7"/>
        <v/>
      </c>
      <c r="G141" s="5" t="str">
        <f t="shared" si="8"/>
        <v/>
      </c>
    </row>
    <row r="142" spans="1:8" x14ac:dyDescent="0.25">
      <c r="A142" s="1">
        <v>43</v>
      </c>
      <c r="B142" s="21" t="s">
        <v>56</v>
      </c>
      <c r="C142" s="24" t="str">
        <f t="shared" si="6"/>
        <v>12.3Viet</v>
      </c>
      <c r="D142" s="24" t="s">
        <v>289</v>
      </c>
      <c r="E142" s="21" t="s">
        <v>3</v>
      </c>
      <c r="F142" s="9" t="str">
        <f t="shared" si="7"/>
        <v/>
      </c>
      <c r="G142" s="5" t="str">
        <f t="shared" si="8"/>
        <v/>
      </c>
    </row>
    <row r="143" spans="1:8" x14ac:dyDescent="0.25">
      <c r="B143" s="21" t="s">
        <v>56</v>
      </c>
      <c r="C143" s="24" t="str">
        <f t="shared" si="6"/>
        <v>12.3Eng</v>
      </c>
      <c r="D143" s="27" t="s">
        <v>206</v>
      </c>
      <c r="E143" s="21" t="s">
        <v>4</v>
      </c>
      <c r="F143" s="9" t="str">
        <f t="shared" si="7"/>
        <v>https://docs.google.com/uc?export=download&amp;id=1nx7TWlzna8-m3lX5qFvFO_R9Q2DY9AW9</v>
      </c>
      <c r="G143" s="5" t="str">
        <f t="shared" si="8"/>
        <v>1nx7TWlzna8-m3lX5qFvFO_R9Q2DY9AW9</v>
      </c>
      <c r="H143" t="s">
        <v>381</v>
      </c>
    </row>
    <row r="144" spans="1:8" x14ac:dyDescent="0.25">
      <c r="B144" s="21" t="s">
        <v>56</v>
      </c>
      <c r="C144" s="24" t="str">
        <f t="shared" si="6"/>
        <v>12.3Phon</v>
      </c>
      <c r="D144" s="28" t="s">
        <v>459</v>
      </c>
      <c r="E144" s="21" t="s">
        <v>5</v>
      </c>
      <c r="F144" s="9" t="str">
        <f t="shared" si="7"/>
        <v/>
      </c>
      <c r="G144" s="5" t="str">
        <f t="shared" si="8"/>
        <v/>
      </c>
    </row>
    <row r="145" spans="1:8" x14ac:dyDescent="0.25">
      <c r="A145" s="1">
        <v>44</v>
      </c>
      <c r="B145" s="21" t="s">
        <v>89</v>
      </c>
      <c r="C145" s="24" t="str">
        <f t="shared" si="6"/>
        <v>12.4Viet</v>
      </c>
      <c r="D145" s="24" t="s">
        <v>290</v>
      </c>
      <c r="E145" s="21" t="s">
        <v>3</v>
      </c>
      <c r="F145" s="9" t="str">
        <f t="shared" si="7"/>
        <v/>
      </c>
      <c r="G145" s="5" t="str">
        <f t="shared" si="8"/>
        <v/>
      </c>
    </row>
    <row r="146" spans="1:8" x14ac:dyDescent="0.25">
      <c r="B146" s="21" t="s">
        <v>89</v>
      </c>
      <c r="C146" s="24" t="str">
        <f t="shared" si="6"/>
        <v>12.4Eng</v>
      </c>
      <c r="D146" s="27" t="s">
        <v>207</v>
      </c>
      <c r="E146" s="21" t="s">
        <v>4</v>
      </c>
      <c r="F146" s="9" t="str">
        <f t="shared" si="7"/>
        <v>https://docs.google.com/uc?export=download&amp;id=1udAlQMWDMdXcfGdPDYsKtyZvT_gfD-sC</v>
      </c>
      <c r="G146" s="5" t="str">
        <f t="shared" si="8"/>
        <v>1udAlQMWDMdXcfGdPDYsKtyZvT_gfD-sC</v>
      </c>
      <c r="H146" t="s">
        <v>382</v>
      </c>
    </row>
    <row r="147" spans="1:8" x14ac:dyDescent="0.25">
      <c r="B147" s="21" t="s">
        <v>89</v>
      </c>
      <c r="C147" s="24" t="str">
        <f t="shared" si="6"/>
        <v>12.4Phon</v>
      </c>
      <c r="D147" s="28" t="s">
        <v>460</v>
      </c>
      <c r="E147" s="21" t="s">
        <v>5</v>
      </c>
      <c r="F147" s="9" t="str">
        <f t="shared" si="7"/>
        <v/>
      </c>
      <c r="G147" s="5" t="str">
        <f t="shared" si="8"/>
        <v/>
      </c>
    </row>
    <row r="148" spans="1:8" x14ac:dyDescent="0.25">
      <c r="A148" s="1">
        <v>45</v>
      </c>
      <c r="B148" s="21" t="s">
        <v>90</v>
      </c>
      <c r="C148" s="24" t="str">
        <f t="shared" si="6"/>
        <v>12.5Viet</v>
      </c>
      <c r="D148" s="24" t="s">
        <v>291</v>
      </c>
      <c r="E148" s="21" t="s">
        <v>3</v>
      </c>
      <c r="F148" s="9" t="str">
        <f t="shared" si="7"/>
        <v/>
      </c>
      <c r="G148" s="5" t="str">
        <f t="shared" si="8"/>
        <v/>
      </c>
    </row>
    <row r="149" spans="1:8" x14ac:dyDescent="0.25">
      <c r="B149" s="21" t="s">
        <v>90</v>
      </c>
      <c r="C149" s="24" t="str">
        <f t="shared" si="6"/>
        <v>12.5Eng</v>
      </c>
      <c r="D149" s="27" t="s">
        <v>208</v>
      </c>
      <c r="E149" s="21" t="s">
        <v>4</v>
      </c>
      <c r="F149" s="9" t="str">
        <f t="shared" si="7"/>
        <v>https://docs.google.com/uc?export=download&amp;id=1qZMmtMkzx63kr3TG3zYfDfmCb17IoITR</v>
      </c>
      <c r="G149" s="5" t="str">
        <f t="shared" si="8"/>
        <v>1qZMmtMkzx63kr3TG3zYfDfmCb17IoITR</v>
      </c>
      <c r="H149" t="s">
        <v>383</v>
      </c>
    </row>
    <row r="150" spans="1:8" x14ac:dyDescent="0.25">
      <c r="B150" s="21" t="s">
        <v>90</v>
      </c>
      <c r="C150" s="24" t="str">
        <f t="shared" si="6"/>
        <v>12.5Phon</v>
      </c>
      <c r="D150" s="28" t="s">
        <v>461</v>
      </c>
      <c r="E150" s="21" t="s">
        <v>5</v>
      </c>
      <c r="F150" s="9" t="str">
        <f t="shared" si="7"/>
        <v/>
      </c>
      <c r="G150" s="5" t="str">
        <f t="shared" si="8"/>
        <v/>
      </c>
    </row>
    <row r="151" spans="1:8" x14ac:dyDescent="0.25">
      <c r="B151" s="16">
        <v>13</v>
      </c>
      <c r="C151" s="25" t="str">
        <f t="shared" si="6"/>
        <v>13Struc</v>
      </c>
      <c r="D151" s="25" t="s">
        <v>124</v>
      </c>
      <c r="E151" s="16" t="s">
        <v>11</v>
      </c>
      <c r="F151" s="8" t="str">
        <f t="shared" si="7"/>
        <v/>
      </c>
      <c r="G151" s="5" t="str">
        <f t="shared" si="8"/>
        <v/>
      </c>
    </row>
    <row r="152" spans="1:8" x14ac:dyDescent="0.25">
      <c r="A152" s="1">
        <v>46</v>
      </c>
      <c r="B152" s="21" t="s">
        <v>57</v>
      </c>
      <c r="C152" s="24" t="str">
        <f t="shared" si="6"/>
        <v>13.1Viet</v>
      </c>
      <c r="D152" s="24" t="s">
        <v>292</v>
      </c>
      <c r="E152" s="21" t="s">
        <v>3</v>
      </c>
      <c r="F152" s="9" t="str">
        <f t="shared" si="7"/>
        <v/>
      </c>
      <c r="G152" s="5" t="str">
        <f t="shared" si="8"/>
        <v/>
      </c>
    </row>
    <row r="153" spans="1:8" x14ac:dyDescent="0.25">
      <c r="B153" s="21" t="s">
        <v>57</v>
      </c>
      <c r="C153" s="24" t="str">
        <f t="shared" si="6"/>
        <v>13.1Eng</v>
      </c>
      <c r="D153" s="27" t="s">
        <v>209</v>
      </c>
      <c r="E153" s="21" t="s">
        <v>4</v>
      </c>
      <c r="F153" s="9" t="str">
        <f t="shared" si="7"/>
        <v>https://docs.google.com/uc?export=download&amp;id=1Czxa3t6ccBe4KxHdTr4RtNrHEwb9VjeO</v>
      </c>
      <c r="G153" s="5" t="str">
        <f t="shared" si="8"/>
        <v>1Czxa3t6ccBe4KxHdTr4RtNrHEwb9VjeO</v>
      </c>
      <c r="H153" t="s">
        <v>384</v>
      </c>
    </row>
    <row r="154" spans="1:8" x14ac:dyDescent="0.25">
      <c r="B154" s="21" t="s">
        <v>57</v>
      </c>
      <c r="C154" s="24" t="str">
        <f t="shared" si="6"/>
        <v>13.1Phon</v>
      </c>
      <c r="D154" s="28" t="s">
        <v>210</v>
      </c>
      <c r="E154" s="21" t="s">
        <v>5</v>
      </c>
      <c r="F154" s="9" t="str">
        <f t="shared" si="7"/>
        <v/>
      </c>
      <c r="G154" s="5" t="str">
        <f t="shared" si="8"/>
        <v/>
      </c>
    </row>
    <row r="155" spans="1:8" x14ac:dyDescent="0.25">
      <c r="A155" s="1">
        <v>47</v>
      </c>
      <c r="B155" s="21" t="s">
        <v>58</v>
      </c>
      <c r="C155" s="24" t="str">
        <f t="shared" si="6"/>
        <v>13.2Viet</v>
      </c>
      <c r="D155" s="24" t="s">
        <v>293</v>
      </c>
      <c r="E155" s="21" t="s">
        <v>3</v>
      </c>
      <c r="F155" s="9" t="str">
        <f t="shared" si="7"/>
        <v/>
      </c>
      <c r="G155" s="5" t="str">
        <f t="shared" si="8"/>
        <v/>
      </c>
    </row>
    <row r="156" spans="1:8" x14ac:dyDescent="0.25">
      <c r="B156" s="21" t="s">
        <v>58</v>
      </c>
      <c r="C156" s="24" t="str">
        <f t="shared" si="6"/>
        <v>13.2Eng</v>
      </c>
      <c r="D156" s="27" t="s">
        <v>211</v>
      </c>
      <c r="E156" s="21" t="s">
        <v>4</v>
      </c>
      <c r="F156" s="9" t="str">
        <f t="shared" si="7"/>
        <v>https://docs.google.com/uc?export=download&amp;id=1JLxrsRbFZpUWZGz8cuGqf9NEXhtuEdXF</v>
      </c>
      <c r="G156" s="5" t="str">
        <f t="shared" si="8"/>
        <v>1JLxrsRbFZpUWZGz8cuGqf9NEXhtuEdXF</v>
      </c>
      <c r="H156" t="s">
        <v>385</v>
      </c>
    </row>
    <row r="157" spans="1:8" x14ac:dyDescent="0.25">
      <c r="B157" s="21" t="s">
        <v>58</v>
      </c>
      <c r="C157" s="24" t="str">
        <f t="shared" si="6"/>
        <v>13.2Phon</v>
      </c>
      <c r="D157" s="28" t="s">
        <v>212</v>
      </c>
      <c r="E157" s="21" t="s">
        <v>5</v>
      </c>
      <c r="F157" s="9" t="str">
        <f t="shared" si="7"/>
        <v/>
      </c>
      <c r="G157" s="5" t="str">
        <f t="shared" si="8"/>
        <v/>
      </c>
    </row>
    <row r="158" spans="1:8" x14ac:dyDescent="0.25">
      <c r="A158" s="1">
        <v>48</v>
      </c>
      <c r="B158" s="21" t="s">
        <v>59</v>
      </c>
      <c r="C158" s="24" t="str">
        <f t="shared" si="6"/>
        <v>13.3Viet</v>
      </c>
      <c r="D158" s="24" t="s">
        <v>294</v>
      </c>
      <c r="E158" s="21" t="s">
        <v>3</v>
      </c>
      <c r="F158" s="9" t="str">
        <f t="shared" si="7"/>
        <v/>
      </c>
      <c r="G158" s="5" t="str">
        <f t="shared" si="8"/>
        <v/>
      </c>
    </row>
    <row r="159" spans="1:8" x14ac:dyDescent="0.25">
      <c r="B159" s="21" t="s">
        <v>59</v>
      </c>
      <c r="C159" s="24" t="str">
        <f t="shared" si="6"/>
        <v>13.3Eng</v>
      </c>
      <c r="D159" s="27" t="s">
        <v>213</v>
      </c>
      <c r="E159" s="21" t="s">
        <v>4</v>
      </c>
      <c r="F159" s="9" t="str">
        <f t="shared" si="7"/>
        <v>https://docs.google.com/uc?export=download&amp;id=1xG3-HB8LOYiLuQldc_Vc2kzELoqgLVqE</v>
      </c>
      <c r="G159" s="5" t="str">
        <f t="shared" si="8"/>
        <v>1xG3-HB8LOYiLuQldc_Vc2kzELoqgLVqE</v>
      </c>
      <c r="H159" t="s">
        <v>386</v>
      </c>
    </row>
    <row r="160" spans="1:8" x14ac:dyDescent="0.25">
      <c r="B160" s="21" t="s">
        <v>59</v>
      </c>
      <c r="C160" s="24" t="str">
        <f t="shared" si="6"/>
        <v>13.3Phon</v>
      </c>
      <c r="D160" s="28" t="s">
        <v>214</v>
      </c>
      <c r="E160" s="21" t="s">
        <v>5</v>
      </c>
      <c r="F160" s="9" t="str">
        <f t="shared" si="7"/>
        <v/>
      </c>
      <c r="G160" s="5" t="str">
        <f t="shared" si="8"/>
        <v/>
      </c>
    </row>
    <row r="161" spans="1:8" x14ac:dyDescent="0.25">
      <c r="A161" s="1">
        <v>49</v>
      </c>
      <c r="B161" s="21" t="s">
        <v>60</v>
      </c>
      <c r="C161" s="24" t="str">
        <f t="shared" si="6"/>
        <v>13.4Viet</v>
      </c>
      <c r="D161" s="24" t="s">
        <v>295</v>
      </c>
      <c r="E161" s="21" t="s">
        <v>3</v>
      </c>
      <c r="F161" s="9" t="str">
        <f t="shared" si="7"/>
        <v/>
      </c>
      <c r="G161" s="5" t="str">
        <f t="shared" si="8"/>
        <v/>
      </c>
    </row>
    <row r="162" spans="1:8" x14ac:dyDescent="0.25">
      <c r="B162" s="21" t="s">
        <v>60</v>
      </c>
      <c r="C162" s="24" t="str">
        <f t="shared" si="6"/>
        <v>13.4Eng</v>
      </c>
      <c r="D162" s="27" t="s">
        <v>215</v>
      </c>
      <c r="E162" s="21" t="s">
        <v>4</v>
      </c>
      <c r="F162" s="9" t="str">
        <f t="shared" si="7"/>
        <v>https://docs.google.com/uc?export=download&amp;id=1-1gGF6b4RIuPvu1cfUyfLQG_4A0kH46I</v>
      </c>
      <c r="G162" s="5" t="str">
        <f t="shared" si="8"/>
        <v>1-1gGF6b4RIuPvu1cfUyfLQG_4A0kH46I</v>
      </c>
      <c r="H162" t="s">
        <v>387</v>
      </c>
    </row>
    <row r="163" spans="1:8" x14ac:dyDescent="0.25">
      <c r="B163" s="21" t="s">
        <v>60</v>
      </c>
      <c r="C163" s="24" t="str">
        <f t="shared" si="6"/>
        <v>13.4Phon</v>
      </c>
      <c r="D163" s="28" t="s">
        <v>216</v>
      </c>
      <c r="E163" s="21" t="s">
        <v>5</v>
      </c>
      <c r="F163" s="9" t="str">
        <f t="shared" si="7"/>
        <v/>
      </c>
      <c r="G163" s="5" t="str">
        <f t="shared" si="8"/>
        <v/>
      </c>
    </row>
    <row r="164" spans="1:8" x14ac:dyDescent="0.25">
      <c r="B164" s="16">
        <v>14</v>
      </c>
      <c r="C164" s="25" t="str">
        <f t="shared" si="6"/>
        <v>14Struc</v>
      </c>
      <c r="D164" s="25" t="s">
        <v>125</v>
      </c>
      <c r="E164" s="16" t="s">
        <v>11</v>
      </c>
      <c r="F164" s="8" t="str">
        <f t="shared" si="7"/>
        <v/>
      </c>
      <c r="G164" s="5" t="str">
        <f t="shared" si="8"/>
        <v/>
      </c>
    </row>
    <row r="165" spans="1:8" x14ac:dyDescent="0.25">
      <c r="A165" s="1">
        <v>50</v>
      </c>
      <c r="B165" s="21" t="s">
        <v>61</v>
      </c>
      <c r="C165" s="24" t="str">
        <f t="shared" si="6"/>
        <v>14.1Viet</v>
      </c>
      <c r="D165" s="24" t="s">
        <v>296</v>
      </c>
      <c r="E165" s="21" t="s">
        <v>3</v>
      </c>
      <c r="F165" s="9" t="str">
        <f t="shared" si="7"/>
        <v/>
      </c>
      <c r="G165" s="5" t="str">
        <f t="shared" si="8"/>
        <v/>
      </c>
    </row>
    <row r="166" spans="1:8" x14ac:dyDescent="0.25">
      <c r="B166" s="21" t="s">
        <v>61</v>
      </c>
      <c r="C166" s="24" t="str">
        <f t="shared" si="6"/>
        <v>14.1Eng</v>
      </c>
      <c r="D166" s="27" t="s">
        <v>217</v>
      </c>
      <c r="E166" s="21" t="s">
        <v>4</v>
      </c>
      <c r="F166" s="9" t="str">
        <f t="shared" si="7"/>
        <v>https://docs.google.com/uc?export=download&amp;id=1mK-OfgYsarB--ZzuWt5QJpr9STjtET3c</v>
      </c>
      <c r="G166" s="5" t="str">
        <f t="shared" si="8"/>
        <v>1mK-OfgYsarB--ZzuWt5QJpr9STjtET3c</v>
      </c>
      <c r="H166" t="s">
        <v>388</v>
      </c>
    </row>
    <row r="167" spans="1:8" x14ac:dyDescent="0.25">
      <c r="B167" s="21" t="s">
        <v>61</v>
      </c>
      <c r="C167" s="24" t="str">
        <f t="shared" si="6"/>
        <v>14.1Phon</v>
      </c>
      <c r="D167" s="28" t="s">
        <v>218</v>
      </c>
      <c r="E167" s="21" t="s">
        <v>5</v>
      </c>
      <c r="F167" s="9" t="str">
        <f t="shared" si="7"/>
        <v/>
      </c>
      <c r="G167" s="5" t="str">
        <f t="shared" si="8"/>
        <v/>
      </c>
    </row>
    <row r="168" spans="1:8" x14ac:dyDescent="0.25">
      <c r="A168" s="1">
        <v>51</v>
      </c>
      <c r="B168" s="21" t="s">
        <v>62</v>
      </c>
      <c r="C168" s="24" t="str">
        <f t="shared" si="6"/>
        <v>14.2Viet</v>
      </c>
      <c r="D168" s="24" t="s">
        <v>297</v>
      </c>
      <c r="E168" s="21" t="s">
        <v>3</v>
      </c>
      <c r="F168" s="9" t="str">
        <f t="shared" si="7"/>
        <v/>
      </c>
      <c r="G168" s="5" t="str">
        <f t="shared" si="8"/>
        <v/>
      </c>
    </row>
    <row r="169" spans="1:8" x14ac:dyDescent="0.25">
      <c r="B169" s="21" t="s">
        <v>62</v>
      </c>
      <c r="C169" s="24" t="str">
        <f t="shared" si="6"/>
        <v>14.2Eng</v>
      </c>
      <c r="D169" s="27" t="s">
        <v>219</v>
      </c>
      <c r="E169" s="21" t="s">
        <v>4</v>
      </c>
      <c r="F169" s="9" t="str">
        <f t="shared" si="7"/>
        <v>https://docs.google.com/uc?export=download&amp;id=1VDhxSCG0y4JHXRv3gHeaX-ctrDQuBhDn</v>
      </c>
      <c r="G169" s="5" t="str">
        <f t="shared" si="8"/>
        <v>1VDhxSCG0y4JHXRv3gHeaX-ctrDQuBhDn</v>
      </c>
      <c r="H169" t="s">
        <v>389</v>
      </c>
    </row>
    <row r="170" spans="1:8" x14ac:dyDescent="0.25">
      <c r="B170" s="21" t="s">
        <v>62</v>
      </c>
      <c r="C170" s="24" t="str">
        <f t="shared" si="6"/>
        <v>14.2Phon</v>
      </c>
      <c r="D170" s="28" t="s">
        <v>220</v>
      </c>
      <c r="E170" s="21" t="s">
        <v>5</v>
      </c>
      <c r="F170" s="9" t="str">
        <f t="shared" si="7"/>
        <v/>
      </c>
      <c r="G170" s="5" t="str">
        <f t="shared" si="8"/>
        <v/>
      </c>
    </row>
    <row r="171" spans="1:8" x14ac:dyDescent="0.25">
      <c r="A171" s="1">
        <v>52</v>
      </c>
      <c r="B171" s="21" t="s">
        <v>63</v>
      </c>
      <c r="C171" s="24" t="str">
        <f t="shared" si="6"/>
        <v>14.3Viet</v>
      </c>
      <c r="D171" s="24" t="s">
        <v>298</v>
      </c>
      <c r="E171" s="21" t="s">
        <v>3</v>
      </c>
      <c r="F171" s="9" t="str">
        <f t="shared" si="7"/>
        <v/>
      </c>
      <c r="G171" s="5" t="str">
        <f t="shared" si="8"/>
        <v/>
      </c>
    </row>
    <row r="172" spans="1:8" x14ac:dyDescent="0.25">
      <c r="B172" s="21" t="s">
        <v>63</v>
      </c>
      <c r="C172" s="24" t="str">
        <f t="shared" si="6"/>
        <v>14.3Eng</v>
      </c>
      <c r="D172" s="27" t="s">
        <v>221</v>
      </c>
      <c r="E172" s="21" t="s">
        <v>4</v>
      </c>
      <c r="F172" s="9" t="str">
        <f t="shared" si="7"/>
        <v>https://docs.google.com/uc?export=download&amp;id=1P9bVLOQkXkBTDBvnnEQw-od7Gh0hm-Kh</v>
      </c>
      <c r="G172" s="5" t="str">
        <f t="shared" si="8"/>
        <v>1P9bVLOQkXkBTDBvnnEQw-od7Gh0hm-Kh</v>
      </c>
      <c r="H172" t="s">
        <v>390</v>
      </c>
    </row>
    <row r="173" spans="1:8" x14ac:dyDescent="0.25">
      <c r="B173" s="21" t="s">
        <v>63</v>
      </c>
      <c r="C173" s="24" t="str">
        <f t="shared" si="6"/>
        <v>14.3Phon</v>
      </c>
      <c r="D173" s="28" t="s">
        <v>222</v>
      </c>
      <c r="E173" s="21" t="s">
        <v>5</v>
      </c>
      <c r="F173" s="9" t="str">
        <f t="shared" si="7"/>
        <v/>
      </c>
      <c r="G173" s="5" t="str">
        <f t="shared" si="8"/>
        <v/>
      </c>
    </row>
    <row r="174" spans="1:8" x14ac:dyDescent="0.25">
      <c r="A174" s="1">
        <v>53</v>
      </c>
      <c r="B174" s="21" t="s">
        <v>64</v>
      </c>
      <c r="C174" s="24" t="str">
        <f t="shared" si="6"/>
        <v>14.4Viet</v>
      </c>
      <c r="D174" s="24" t="s">
        <v>299</v>
      </c>
      <c r="E174" s="21" t="s">
        <v>3</v>
      </c>
      <c r="F174" s="9" t="str">
        <f t="shared" si="7"/>
        <v/>
      </c>
      <c r="G174" s="5" t="str">
        <f t="shared" si="8"/>
        <v/>
      </c>
    </row>
    <row r="175" spans="1:8" x14ac:dyDescent="0.25">
      <c r="B175" s="21" t="s">
        <v>64</v>
      </c>
      <c r="C175" s="24" t="str">
        <f t="shared" si="6"/>
        <v>14.4Eng</v>
      </c>
      <c r="D175" s="27" t="s">
        <v>223</v>
      </c>
      <c r="E175" s="21" t="s">
        <v>4</v>
      </c>
      <c r="F175" s="9" t="str">
        <f t="shared" si="7"/>
        <v>https://docs.google.com/uc?export=download&amp;id=1NxxKFdQHjiP5mVbn9Z8bT4U7CwkNLdRc</v>
      </c>
      <c r="G175" s="5" t="str">
        <f t="shared" si="8"/>
        <v>1NxxKFdQHjiP5mVbn9Z8bT4U7CwkNLdRc</v>
      </c>
      <c r="H175" t="s">
        <v>391</v>
      </c>
    </row>
    <row r="176" spans="1:8" x14ac:dyDescent="0.25">
      <c r="B176" s="21" t="s">
        <v>64</v>
      </c>
      <c r="C176" s="24" t="str">
        <f t="shared" si="6"/>
        <v>14.4Phon</v>
      </c>
      <c r="D176" s="28" t="s">
        <v>224</v>
      </c>
      <c r="E176" s="21" t="s">
        <v>5</v>
      </c>
      <c r="F176" s="9" t="str">
        <f t="shared" si="7"/>
        <v/>
      </c>
      <c r="G176" s="5" t="str">
        <f t="shared" si="8"/>
        <v/>
      </c>
    </row>
    <row r="177" spans="1:8" x14ac:dyDescent="0.25">
      <c r="B177" s="16">
        <v>15</v>
      </c>
      <c r="C177" s="25" t="str">
        <f t="shared" si="6"/>
        <v>15Struc</v>
      </c>
      <c r="D177" s="25" t="s">
        <v>126</v>
      </c>
      <c r="E177" s="16" t="s">
        <v>11</v>
      </c>
      <c r="F177" s="8" t="str">
        <f t="shared" si="7"/>
        <v/>
      </c>
      <c r="G177" s="5" t="str">
        <f t="shared" si="8"/>
        <v/>
      </c>
    </row>
    <row r="178" spans="1:8" x14ac:dyDescent="0.25">
      <c r="A178" s="1">
        <v>54</v>
      </c>
      <c r="B178" s="21" t="s">
        <v>65</v>
      </c>
      <c r="C178" s="24" t="str">
        <f t="shared" si="6"/>
        <v>15.1Viet</v>
      </c>
      <c r="D178" s="24" t="s">
        <v>300</v>
      </c>
      <c r="E178" s="21" t="s">
        <v>3</v>
      </c>
      <c r="F178" s="9" t="str">
        <f t="shared" si="7"/>
        <v/>
      </c>
      <c r="G178" s="5" t="str">
        <f t="shared" si="8"/>
        <v/>
      </c>
    </row>
    <row r="179" spans="1:8" x14ac:dyDescent="0.25">
      <c r="B179" s="21" t="s">
        <v>65</v>
      </c>
      <c r="C179" s="24" t="str">
        <f t="shared" si="6"/>
        <v>15.1Eng</v>
      </c>
      <c r="D179" s="27" t="s">
        <v>225</v>
      </c>
      <c r="E179" s="21" t="s">
        <v>4</v>
      </c>
      <c r="F179" s="9" t="str">
        <f t="shared" si="7"/>
        <v>https://docs.google.com/uc?export=download&amp;id=1lU3O_CE379NvQ-e33KCcRJjED0YkxpnK</v>
      </c>
      <c r="G179" s="5" t="str">
        <f t="shared" si="8"/>
        <v>1lU3O_CE379NvQ-e33KCcRJjED0YkxpnK</v>
      </c>
      <c r="H179" t="s">
        <v>392</v>
      </c>
    </row>
    <row r="180" spans="1:8" x14ac:dyDescent="0.25">
      <c r="B180" s="21" t="s">
        <v>65</v>
      </c>
      <c r="C180" s="24" t="str">
        <f t="shared" si="6"/>
        <v>15.1Phon</v>
      </c>
      <c r="D180" s="28" t="s">
        <v>226</v>
      </c>
      <c r="E180" s="21" t="s">
        <v>5</v>
      </c>
      <c r="F180" s="9" t="str">
        <f t="shared" si="7"/>
        <v/>
      </c>
      <c r="G180" s="5" t="str">
        <f t="shared" si="8"/>
        <v/>
      </c>
    </row>
    <row r="181" spans="1:8" x14ac:dyDescent="0.25">
      <c r="A181" s="1">
        <v>55</v>
      </c>
      <c r="B181" s="21" t="s">
        <v>66</v>
      </c>
      <c r="C181" s="24" t="str">
        <f t="shared" si="6"/>
        <v>15.2Viet</v>
      </c>
      <c r="D181" s="24" t="s">
        <v>301</v>
      </c>
      <c r="E181" s="21" t="s">
        <v>3</v>
      </c>
      <c r="F181" s="9" t="str">
        <f t="shared" si="7"/>
        <v/>
      </c>
      <c r="G181" s="5" t="str">
        <f t="shared" si="8"/>
        <v/>
      </c>
    </row>
    <row r="182" spans="1:8" x14ac:dyDescent="0.25">
      <c r="B182" s="21" t="s">
        <v>66</v>
      </c>
      <c r="C182" s="24" t="str">
        <f t="shared" si="6"/>
        <v>15.2Eng</v>
      </c>
      <c r="D182" s="27" t="s">
        <v>99</v>
      </c>
      <c r="E182" s="21" t="s">
        <v>4</v>
      </c>
      <c r="F182" s="9" t="str">
        <f t="shared" si="7"/>
        <v>https://docs.google.com/uc?export=download&amp;id=1B0VjiNg9YZlI9GZriMPdngMfqmlVr-vQ</v>
      </c>
      <c r="G182" s="5" t="str">
        <f t="shared" si="8"/>
        <v>1B0VjiNg9YZlI9GZriMPdngMfqmlVr-vQ</v>
      </c>
      <c r="H182" t="s">
        <v>393</v>
      </c>
    </row>
    <row r="183" spans="1:8" x14ac:dyDescent="0.25">
      <c r="B183" s="21" t="s">
        <v>66</v>
      </c>
      <c r="C183" s="24" t="str">
        <f t="shared" si="6"/>
        <v>15.2Phon</v>
      </c>
      <c r="D183" s="28" t="s">
        <v>100</v>
      </c>
      <c r="E183" s="21" t="s">
        <v>5</v>
      </c>
      <c r="F183" s="9" t="str">
        <f t="shared" si="7"/>
        <v/>
      </c>
      <c r="G183" s="5" t="str">
        <f t="shared" si="8"/>
        <v/>
      </c>
    </row>
    <row r="184" spans="1:8" x14ac:dyDescent="0.25">
      <c r="A184" s="1">
        <v>56</v>
      </c>
      <c r="B184" s="21" t="s">
        <v>67</v>
      </c>
      <c r="C184" s="24" t="str">
        <f t="shared" si="6"/>
        <v>15.3Viet</v>
      </c>
      <c r="D184" s="24" t="s">
        <v>302</v>
      </c>
      <c r="E184" s="21" t="s">
        <v>3</v>
      </c>
      <c r="F184" s="9" t="str">
        <f t="shared" si="7"/>
        <v/>
      </c>
      <c r="G184" s="5" t="str">
        <f t="shared" si="8"/>
        <v/>
      </c>
    </row>
    <row r="185" spans="1:8" x14ac:dyDescent="0.25">
      <c r="B185" s="21" t="s">
        <v>67</v>
      </c>
      <c r="C185" s="24" t="str">
        <f t="shared" si="6"/>
        <v>15.3Eng</v>
      </c>
      <c r="D185" s="27" t="s">
        <v>101</v>
      </c>
      <c r="E185" s="21" t="s">
        <v>4</v>
      </c>
      <c r="F185" s="9" t="str">
        <f t="shared" si="7"/>
        <v>https://docs.google.com/uc?export=download&amp;id=1eqCaGtdf88sHubaR82a8Xo1YCQzNDn2O</v>
      </c>
      <c r="G185" s="5" t="str">
        <f t="shared" si="8"/>
        <v>1eqCaGtdf88sHubaR82a8Xo1YCQzNDn2O</v>
      </c>
      <c r="H185" t="s">
        <v>394</v>
      </c>
    </row>
    <row r="186" spans="1:8" x14ac:dyDescent="0.25">
      <c r="B186" s="21" t="s">
        <v>67</v>
      </c>
      <c r="C186" s="24" t="str">
        <f t="shared" si="6"/>
        <v>15.3Phon</v>
      </c>
      <c r="D186" s="28" t="s">
        <v>102</v>
      </c>
      <c r="E186" s="21" t="s">
        <v>5</v>
      </c>
      <c r="F186" s="9" t="str">
        <f t="shared" si="7"/>
        <v/>
      </c>
      <c r="G186" s="5" t="str">
        <f t="shared" si="8"/>
        <v/>
      </c>
    </row>
    <row r="187" spans="1:8" x14ac:dyDescent="0.25">
      <c r="B187" s="16">
        <v>16</v>
      </c>
      <c r="C187" s="25" t="str">
        <f t="shared" si="6"/>
        <v>16Struc</v>
      </c>
      <c r="D187" s="25" t="s">
        <v>127</v>
      </c>
      <c r="E187" s="16" t="s">
        <v>11</v>
      </c>
      <c r="F187" s="8" t="str">
        <f t="shared" si="7"/>
        <v/>
      </c>
      <c r="G187" s="5" t="str">
        <f t="shared" si="8"/>
        <v/>
      </c>
    </row>
    <row r="188" spans="1:8" x14ac:dyDescent="0.25">
      <c r="A188" s="1">
        <v>57</v>
      </c>
      <c r="B188" s="21" t="s">
        <v>68</v>
      </c>
      <c r="C188" s="24" t="str">
        <f t="shared" si="6"/>
        <v>16.1Viet</v>
      </c>
      <c r="D188" s="24" t="s">
        <v>303</v>
      </c>
      <c r="E188" s="21" t="s">
        <v>3</v>
      </c>
      <c r="F188" s="9" t="str">
        <f t="shared" si="7"/>
        <v/>
      </c>
      <c r="G188" s="5" t="str">
        <f t="shared" si="8"/>
        <v/>
      </c>
    </row>
    <row r="189" spans="1:8" x14ac:dyDescent="0.25">
      <c r="B189" s="21" t="s">
        <v>68</v>
      </c>
      <c r="C189" s="24" t="str">
        <f t="shared" si="6"/>
        <v>16.1Eng</v>
      </c>
      <c r="D189" s="27" t="s">
        <v>103</v>
      </c>
      <c r="E189" s="21" t="s">
        <v>4</v>
      </c>
      <c r="F189" s="9" t="str">
        <f t="shared" si="7"/>
        <v>https://docs.google.com/uc?export=download&amp;id=1br2lKzzv6iuXu7HJej4dfkJnqr38KUWZ</v>
      </c>
      <c r="G189" s="5" t="str">
        <f t="shared" si="8"/>
        <v>1br2lKzzv6iuXu7HJej4dfkJnqr38KUWZ</v>
      </c>
      <c r="H189" t="s">
        <v>462</v>
      </c>
    </row>
    <row r="190" spans="1:8" x14ac:dyDescent="0.25">
      <c r="B190" s="21" t="s">
        <v>68</v>
      </c>
      <c r="C190" s="24" t="str">
        <f t="shared" si="6"/>
        <v>16.1Phon</v>
      </c>
      <c r="D190" s="28" t="s">
        <v>104</v>
      </c>
      <c r="E190" s="21" t="s">
        <v>5</v>
      </c>
      <c r="F190" s="9" t="str">
        <f t="shared" si="7"/>
        <v/>
      </c>
      <c r="G190" s="5" t="str">
        <f t="shared" si="8"/>
        <v/>
      </c>
    </row>
    <row r="191" spans="1:8" x14ac:dyDescent="0.25">
      <c r="A191" s="1">
        <v>58</v>
      </c>
      <c r="B191" s="21" t="s">
        <v>69</v>
      </c>
      <c r="C191" s="24" t="str">
        <f t="shared" si="6"/>
        <v>16.2Viet</v>
      </c>
      <c r="D191" s="24" t="s">
        <v>304</v>
      </c>
      <c r="E191" s="21" t="s">
        <v>3</v>
      </c>
      <c r="F191" s="9" t="str">
        <f t="shared" si="7"/>
        <v/>
      </c>
      <c r="G191" s="5" t="str">
        <f t="shared" si="8"/>
        <v/>
      </c>
    </row>
    <row r="192" spans="1:8" x14ac:dyDescent="0.25">
      <c r="B192" s="21" t="s">
        <v>69</v>
      </c>
      <c r="C192" s="24" t="str">
        <f t="shared" si="6"/>
        <v>16.2Eng</v>
      </c>
      <c r="D192" s="27" t="s">
        <v>105</v>
      </c>
      <c r="E192" s="21" t="s">
        <v>4</v>
      </c>
      <c r="F192" s="9" t="str">
        <f t="shared" si="7"/>
        <v>https://docs.google.com/uc?export=download&amp;id=1r2XzQqk3XWMoqS9bn81evCXInTyU0EES</v>
      </c>
      <c r="G192" s="5" t="str">
        <f t="shared" si="8"/>
        <v>1r2XzQqk3XWMoqS9bn81evCXInTyU0EES</v>
      </c>
      <c r="H192" t="s">
        <v>463</v>
      </c>
    </row>
    <row r="193" spans="1:8" x14ac:dyDescent="0.25">
      <c r="B193" s="21" t="s">
        <v>69</v>
      </c>
      <c r="C193" s="24" t="str">
        <f t="shared" si="6"/>
        <v>16.2Phon</v>
      </c>
      <c r="D193" s="28" t="s">
        <v>106</v>
      </c>
      <c r="E193" s="21" t="s">
        <v>5</v>
      </c>
      <c r="F193" s="9" t="str">
        <f t="shared" si="7"/>
        <v/>
      </c>
      <c r="G193" s="5" t="str">
        <f t="shared" si="8"/>
        <v/>
      </c>
    </row>
    <row r="194" spans="1:8" x14ac:dyDescent="0.25">
      <c r="A194" s="1">
        <v>59</v>
      </c>
      <c r="B194" s="21" t="s">
        <v>70</v>
      </c>
      <c r="C194" s="24" t="str">
        <f t="shared" si="6"/>
        <v>16.3Viet</v>
      </c>
      <c r="D194" s="24" t="s">
        <v>305</v>
      </c>
      <c r="E194" s="21" t="s">
        <v>3</v>
      </c>
      <c r="F194" s="9" t="str">
        <f t="shared" si="7"/>
        <v/>
      </c>
      <c r="G194" s="5" t="str">
        <f t="shared" si="8"/>
        <v/>
      </c>
    </row>
    <row r="195" spans="1:8" x14ac:dyDescent="0.25">
      <c r="B195" s="21" t="s">
        <v>70</v>
      </c>
      <c r="C195" s="24" t="str">
        <f t="shared" si="6"/>
        <v>16.3Eng</v>
      </c>
      <c r="D195" s="27" t="s">
        <v>107</v>
      </c>
      <c r="E195" s="21" t="s">
        <v>4</v>
      </c>
      <c r="F195" s="9" t="str">
        <f t="shared" si="7"/>
        <v>https://docs.google.com/uc?export=download&amp;id=1s1AULhAlWKHooi3WvuL1N51B4lwxkZHT</v>
      </c>
      <c r="G195" s="5" t="str">
        <f t="shared" si="8"/>
        <v>1s1AULhAlWKHooi3WvuL1N51B4lwxkZHT</v>
      </c>
      <c r="H195" t="s">
        <v>464</v>
      </c>
    </row>
    <row r="196" spans="1:8" x14ac:dyDescent="0.25">
      <c r="B196" s="21" t="s">
        <v>70</v>
      </c>
      <c r="C196" s="24" t="str">
        <f t="shared" si="6"/>
        <v>16.3Phon</v>
      </c>
      <c r="D196" s="28" t="s">
        <v>108</v>
      </c>
      <c r="E196" s="21" t="s">
        <v>5</v>
      </c>
      <c r="F196" s="9" t="str">
        <f t="shared" si="7"/>
        <v/>
      </c>
      <c r="G196" s="5" t="str">
        <f t="shared" si="8"/>
        <v/>
      </c>
    </row>
    <row r="197" spans="1:8" x14ac:dyDescent="0.25">
      <c r="B197" s="16">
        <v>17</v>
      </c>
      <c r="C197" s="25" t="str">
        <f t="shared" ref="C197:C249" si="9">B197&amp;E197</f>
        <v>17Struc</v>
      </c>
      <c r="D197" s="25" t="s">
        <v>128</v>
      </c>
      <c r="E197" s="16" t="s">
        <v>11</v>
      </c>
      <c r="F197" s="8" t="str">
        <f t="shared" ref="F197:F249" si="10">IF(G197="","","https://docs.google.com/uc?export=download&amp;id="&amp;G197)</f>
        <v/>
      </c>
      <c r="G197" s="5" t="str">
        <f t="shared" si="8"/>
        <v/>
      </c>
    </row>
    <row r="198" spans="1:8" x14ac:dyDescent="0.25">
      <c r="A198" s="1">
        <v>60</v>
      </c>
      <c r="B198" s="21" t="s">
        <v>71</v>
      </c>
      <c r="C198" s="24" t="str">
        <f t="shared" si="9"/>
        <v>17.1Viet</v>
      </c>
      <c r="D198" s="24" t="s">
        <v>306</v>
      </c>
      <c r="E198" s="21" t="s">
        <v>3</v>
      </c>
      <c r="F198" s="9" t="str">
        <f t="shared" si="10"/>
        <v/>
      </c>
      <c r="G198" s="5" t="str">
        <f t="shared" si="8"/>
        <v/>
      </c>
    </row>
    <row r="199" spans="1:8" x14ac:dyDescent="0.25">
      <c r="B199" s="21" t="s">
        <v>71</v>
      </c>
      <c r="C199" s="24" t="str">
        <f t="shared" si="9"/>
        <v>17.1Eng</v>
      </c>
      <c r="D199" s="27" t="s">
        <v>109</v>
      </c>
      <c r="E199" s="21" t="s">
        <v>4</v>
      </c>
      <c r="F199" s="9" t="str">
        <f t="shared" si="10"/>
        <v>https://docs.google.com/uc?export=download&amp;id=11JNwfoMqsA2Rs3tU15Zb76HakYYDo-z_</v>
      </c>
      <c r="G199" s="5" t="str">
        <f t="shared" ref="G199:G249" si="11">IFERROR(LEFT(RIGHT(H199,LEN(H199)-32),LEN(RIGHT(H199,LEN(H199)-32))-17),"")</f>
        <v>11JNwfoMqsA2Rs3tU15Zb76HakYYDo-z_</v>
      </c>
      <c r="H199" t="s">
        <v>465</v>
      </c>
    </row>
    <row r="200" spans="1:8" x14ac:dyDescent="0.25">
      <c r="B200" s="21" t="s">
        <v>71</v>
      </c>
      <c r="C200" s="24" t="str">
        <f t="shared" si="9"/>
        <v>17.1Phon</v>
      </c>
      <c r="D200" s="28" t="s">
        <v>325</v>
      </c>
      <c r="E200" s="21" t="s">
        <v>5</v>
      </c>
      <c r="F200" s="9" t="str">
        <f t="shared" si="10"/>
        <v/>
      </c>
      <c r="G200" s="5" t="str">
        <f t="shared" si="11"/>
        <v/>
      </c>
    </row>
    <row r="201" spans="1:8" x14ac:dyDescent="0.25">
      <c r="A201" s="1">
        <v>61</v>
      </c>
      <c r="B201" s="21" t="s">
        <v>72</v>
      </c>
      <c r="C201" s="24" t="str">
        <f t="shared" si="9"/>
        <v>17.2Viet</v>
      </c>
      <c r="D201" s="24" t="s">
        <v>307</v>
      </c>
      <c r="E201" s="21" t="s">
        <v>3</v>
      </c>
      <c r="F201" s="9" t="str">
        <f t="shared" si="10"/>
        <v/>
      </c>
      <c r="G201" s="5" t="str">
        <f t="shared" si="11"/>
        <v/>
      </c>
    </row>
    <row r="202" spans="1:8" x14ac:dyDescent="0.25">
      <c r="B202" s="21" t="s">
        <v>72</v>
      </c>
      <c r="C202" s="24" t="str">
        <f t="shared" si="9"/>
        <v>17.2Eng</v>
      </c>
      <c r="D202" s="27" t="s">
        <v>110</v>
      </c>
      <c r="E202" s="21" t="s">
        <v>4</v>
      </c>
      <c r="F202" s="9" t="str">
        <f t="shared" si="10"/>
        <v>https://docs.google.com/uc?export=download&amp;id=1u7j4GYTW9lqYLTKD4Voyanmx89XIdvNf</v>
      </c>
      <c r="G202" s="5" t="str">
        <f t="shared" si="11"/>
        <v>1u7j4GYTW9lqYLTKD4Voyanmx89XIdvNf</v>
      </c>
      <c r="H202" t="s">
        <v>466</v>
      </c>
    </row>
    <row r="203" spans="1:8" x14ac:dyDescent="0.25">
      <c r="B203" s="21" t="s">
        <v>72</v>
      </c>
      <c r="C203" s="24" t="str">
        <f t="shared" si="9"/>
        <v>17.2Phon</v>
      </c>
      <c r="D203" s="28" t="s">
        <v>326</v>
      </c>
      <c r="E203" s="21" t="s">
        <v>5</v>
      </c>
      <c r="F203" s="9" t="str">
        <f t="shared" si="10"/>
        <v/>
      </c>
      <c r="G203" s="5" t="str">
        <f t="shared" si="11"/>
        <v/>
      </c>
    </row>
    <row r="204" spans="1:8" x14ac:dyDescent="0.25">
      <c r="A204" s="1">
        <v>62</v>
      </c>
      <c r="B204" s="21" t="s">
        <v>73</v>
      </c>
      <c r="C204" s="24" t="str">
        <f t="shared" si="9"/>
        <v>17.3Viet</v>
      </c>
      <c r="D204" s="24" t="s">
        <v>308</v>
      </c>
      <c r="E204" s="21" t="s">
        <v>3</v>
      </c>
      <c r="F204" s="9" t="str">
        <f t="shared" si="10"/>
        <v/>
      </c>
      <c r="G204" s="5" t="str">
        <f t="shared" si="11"/>
        <v/>
      </c>
    </row>
    <row r="205" spans="1:8" x14ac:dyDescent="0.25">
      <c r="B205" s="21" t="s">
        <v>73</v>
      </c>
      <c r="C205" s="24" t="str">
        <f t="shared" si="9"/>
        <v>17.3Eng</v>
      </c>
      <c r="D205" s="27" t="s">
        <v>111</v>
      </c>
      <c r="E205" s="21" t="s">
        <v>4</v>
      </c>
      <c r="F205" s="9" t="str">
        <f t="shared" si="10"/>
        <v>https://docs.google.com/uc?export=download&amp;id=1DIpt99v52jom8NxXC2FZcQgX3pQ9KWuQ</v>
      </c>
      <c r="G205" s="5" t="str">
        <f t="shared" si="11"/>
        <v>1DIpt99v52jom8NxXC2FZcQgX3pQ9KWuQ</v>
      </c>
      <c r="H205" t="s">
        <v>467</v>
      </c>
    </row>
    <row r="206" spans="1:8" x14ac:dyDescent="0.25">
      <c r="B206" s="21" t="s">
        <v>73</v>
      </c>
      <c r="C206" s="24" t="str">
        <f t="shared" si="9"/>
        <v>17.3Phon</v>
      </c>
      <c r="D206" s="28" t="s">
        <v>327</v>
      </c>
      <c r="E206" s="21" t="s">
        <v>5</v>
      </c>
      <c r="F206" s="9" t="str">
        <f t="shared" si="10"/>
        <v/>
      </c>
      <c r="G206" s="5"/>
    </row>
    <row r="207" spans="1:8" x14ac:dyDescent="0.25">
      <c r="B207" s="16">
        <v>18</v>
      </c>
      <c r="C207" s="25" t="str">
        <f t="shared" si="9"/>
        <v>18Struc</v>
      </c>
      <c r="D207" s="25" t="s">
        <v>129</v>
      </c>
      <c r="E207" s="16" t="s">
        <v>11</v>
      </c>
      <c r="F207" s="8" t="str">
        <f t="shared" si="10"/>
        <v/>
      </c>
      <c r="G207" s="5" t="str">
        <f t="shared" si="11"/>
        <v/>
      </c>
    </row>
    <row r="208" spans="1:8" x14ac:dyDescent="0.25">
      <c r="A208" s="1">
        <v>63</v>
      </c>
      <c r="B208" s="21" t="s">
        <v>74</v>
      </c>
      <c r="C208" s="24" t="str">
        <f t="shared" si="9"/>
        <v>18.1Viet</v>
      </c>
      <c r="D208" s="24" t="s">
        <v>309</v>
      </c>
      <c r="E208" s="21" t="s">
        <v>3</v>
      </c>
      <c r="F208" s="9" t="str">
        <f t="shared" si="10"/>
        <v/>
      </c>
      <c r="G208" s="5" t="str">
        <f t="shared" si="11"/>
        <v/>
      </c>
    </row>
    <row r="209" spans="1:8" x14ac:dyDescent="0.25">
      <c r="B209" s="21" t="s">
        <v>74</v>
      </c>
      <c r="C209" s="24" t="str">
        <f t="shared" si="9"/>
        <v>18.1Eng</v>
      </c>
      <c r="D209" s="27" t="s">
        <v>334</v>
      </c>
      <c r="E209" s="21" t="s">
        <v>4</v>
      </c>
      <c r="F209" s="9" t="str">
        <f t="shared" si="10"/>
        <v>https://docs.google.com/uc?export=download&amp;id=1Ggd8ZpSahGXMshpW6qE3oegZ-vQW7yx5</v>
      </c>
      <c r="G209" s="5" t="str">
        <f t="shared" si="11"/>
        <v>1Ggd8ZpSahGXMshpW6qE3oegZ-vQW7yx5</v>
      </c>
      <c r="H209" t="s">
        <v>468</v>
      </c>
    </row>
    <row r="210" spans="1:8" x14ac:dyDescent="0.25">
      <c r="B210" s="21" t="s">
        <v>74</v>
      </c>
      <c r="C210" s="24" t="str">
        <f t="shared" si="9"/>
        <v>18.1Phon</v>
      </c>
      <c r="D210" s="28" t="s">
        <v>227</v>
      </c>
      <c r="E210" s="21" t="s">
        <v>5</v>
      </c>
      <c r="F210" s="9" t="str">
        <f t="shared" si="10"/>
        <v/>
      </c>
      <c r="G210" s="5" t="str">
        <f t="shared" si="11"/>
        <v/>
      </c>
    </row>
    <row r="211" spans="1:8" x14ac:dyDescent="0.25">
      <c r="A211" s="1">
        <v>64</v>
      </c>
      <c r="B211" s="21" t="s">
        <v>75</v>
      </c>
      <c r="C211" s="24" t="str">
        <f t="shared" si="9"/>
        <v>18.2Viet</v>
      </c>
      <c r="D211" s="24" t="s">
        <v>310</v>
      </c>
      <c r="E211" s="21" t="s">
        <v>3</v>
      </c>
      <c r="F211" s="9" t="str">
        <f t="shared" si="10"/>
        <v/>
      </c>
      <c r="G211" s="5" t="str">
        <f t="shared" si="11"/>
        <v/>
      </c>
    </row>
    <row r="212" spans="1:8" x14ac:dyDescent="0.25">
      <c r="B212" s="21" t="s">
        <v>75</v>
      </c>
      <c r="C212" s="24" t="str">
        <f t="shared" si="9"/>
        <v>18.2Eng</v>
      </c>
      <c r="D212" s="27" t="s">
        <v>333</v>
      </c>
      <c r="E212" s="21" t="s">
        <v>4</v>
      </c>
      <c r="F212" s="9" t="str">
        <f t="shared" si="10"/>
        <v>https://docs.google.com/uc?export=download&amp;id=11WiENcNOfcTExc_4wp58viYeUxC8ESFd</v>
      </c>
      <c r="G212" s="5" t="str">
        <f t="shared" si="11"/>
        <v>11WiENcNOfcTExc_4wp58viYeUxC8ESFd</v>
      </c>
      <c r="H212" t="s">
        <v>469</v>
      </c>
    </row>
    <row r="213" spans="1:8" x14ac:dyDescent="0.25">
      <c r="B213" s="21" t="s">
        <v>75</v>
      </c>
      <c r="C213" s="24" t="str">
        <f t="shared" si="9"/>
        <v>18.2Phon</v>
      </c>
      <c r="D213" s="28" t="s">
        <v>228</v>
      </c>
      <c r="E213" s="21" t="s">
        <v>5</v>
      </c>
      <c r="F213" s="9" t="str">
        <f t="shared" si="10"/>
        <v/>
      </c>
      <c r="G213" s="5" t="str">
        <f t="shared" si="11"/>
        <v/>
      </c>
    </row>
    <row r="214" spans="1:8" x14ac:dyDescent="0.25">
      <c r="A214" s="1">
        <v>65</v>
      </c>
      <c r="B214" s="21" t="s">
        <v>76</v>
      </c>
      <c r="C214" s="24" t="str">
        <f t="shared" si="9"/>
        <v>18.3Viet</v>
      </c>
      <c r="D214" s="24" t="s">
        <v>311</v>
      </c>
      <c r="E214" s="21" t="s">
        <v>3</v>
      </c>
      <c r="F214" s="9" t="str">
        <f t="shared" si="10"/>
        <v/>
      </c>
      <c r="G214" s="5" t="str">
        <f t="shared" si="11"/>
        <v/>
      </c>
    </row>
    <row r="215" spans="1:8" x14ac:dyDescent="0.25">
      <c r="B215" s="21" t="s">
        <v>76</v>
      </c>
      <c r="C215" s="24" t="str">
        <f t="shared" si="9"/>
        <v>18.3Eng</v>
      </c>
      <c r="D215" s="27" t="s">
        <v>229</v>
      </c>
      <c r="E215" s="21" t="s">
        <v>4</v>
      </c>
      <c r="F215" s="9" t="str">
        <f t="shared" si="10"/>
        <v>https://docs.google.com/uc?export=download&amp;id=1Qvcak3fBV34a7y0Pkh0HG6uizk6vkVeD</v>
      </c>
      <c r="G215" s="5" t="str">
        <f t="shared" si="11"/>
        <v>1Qvcak3fBV34a7y0Pkh0HG6uizk6vkVeD</v>
      </c>
      <c r="H215" t="s">
        <v>470</v>
      </c>
    </row>
    <row r="216" spans="1:8" x14ac:dyDescent="0.25">
      <c r="A216" s="1">
        <v>65</v>
      </c>
      <c r="B216" s="21" t="s">
        <v>76</v>
      </c>
      <c r="C216" s="24" t="str">
        <f t="shared" si="9"/>
        <v>18.3Phon</v>
      </c>
      <c r="D216" s="28" t="s">
        <v>230</v>
      </c>
      <c r="E216" s="21" t="s">
        <v>5</v>
      </c>
      <c r="F216" s="9" t="str">
        <f t="shared" si="10"/>
        <v/>
      </c>
      <c r="G216" s="5" t="str">
        <f t="shared" si="11"/>
        <v/>
      </c>
    </row>
    <row r="217" spans="1:8" x14ac:dyDescent="0.25">
      <c r="B217" s="16">
        <v>19</v>
      </c>
      <c r="C217" s="25" t="str">
        <f t="shared" si="9"/>
        <v>19Struc</v>
      </c>
      <c r="D217" s="25" t="s">
        <v>130</v>
      </c>
      <c r="E217" s="16" t="s">
        <v>11</v>
      </c>
      <c r="F217" s="8" t="str">
        <f t="shared" si="10"/>
        <v/>
      </c>
      <c r="G217" s="5" t="str">
        <f t="shared" si="11"/>
        <v/>
      </c>
    </row>
    <row r="218" spans="1:8" x14ac:dyDescent="0.25">
      <c r="A218" s="1">
        <v>66</v>
      </c>
      <c r="B218" s="21" t="s">
        <v>77</v>
      </c>
      <c r="C218" s="24" t="str">
        <f t="shared" si="9"/>
        <v>19.1Viet</v>
      </c>
      <c r="D218" s="24" t="s">
        <v>320</v>
      </c>
      <c r="E218" s="21" t="s">
        <v>3</v>
      </c>
      <c r="F218" s="9" t="str">
        <f t="shared" si="10"/>
        <v/>
      </c>
      <c r="G218" s="5" t="str">
        <f t="shared" si="11"/>
        <v/>
      </c>
    </row>
    <row r="219" spans="1:8" x14ac:dyDescent="0.25">
      <c r="B219" s="21" t="s">
        <v>77</v>
      </c>
      <c r="C219" s="24" t="str">
        <f t="shared" si="9"/>
        <v>19.1Eng</v>
      </c>
      <c r="D219" s="27" t="s">
        <v>321</v>
      </c>
      <c r="E219" s="21" t="s">
        <v>4</v>
      </c>
      <c r="F219" s="9" t="str">
        <f t="shared" si="10"/>
        <v>https://docs.google.com/uc?export=download&amp;id=1TRaNwMXJ_yoHSnlzT1L8Ks0qX2DxdJ4u</v>
      </c>
      <c r="G219" s="5" t="str">
        <f t="shared" si="11"/>
        <v>1TRaNwMXJ_yoHSnlzT1L8Ks0qX2DxdJ4u</v>
      </c>
      <c r="H219" t="s">
        <v>471</v>
      </c>
    </row>
    <row r="220" spans="1:8" x14ac:dyDescent="0.25">
      <c r="B220" s="21" t="s">
        <v>77</v>
      </c>
      <c r="C220" s="24" t="str">
        <f t="shared" si="9"/>
        <v>19.1Phon</v>
      </c>
      <c r="D220" s="28" t="s">
        <v>322</v>
      </c>
      <c r="E220" s="21" t="s">
        <v>5</v>
      </c>
      <c r="F220" s="9" t="str">
        <f t="shared" si="10"/>
        <v/>
      </c>
      <c r="G220" s="5" t="str">
        <f t="shared" si="11"/>
        <v/>
      </c>
    </row>
    <row r="221" spans="1:8" x14ac:dyDescent="0.25">
      <c r="A221" s="1">
        <v>67</v>
      </c>
      <c r="B221" s="21" t="s">
        <v>78</v>
      </c>
      <c r="C221" s="24" t="str">
        <f t="shared" si="9"/>
        <v>19.2Viet</v>
      </c>
      <c r="D221" s="24" t="s">
        <v>312</v>
      </c>
      <c r="E221" s="21" t="s">
        <v>3</v>
      </c>
      <c r="F221" s="9" t="str">
        <f t="shared" si="10"/>
        <v/>
      </c>
      <c r="G221" s="5" t="str">
        <f t="shared" si="11"/>
        <v/>
      </c>
    </row>
    <row r="222" spans="1:8" x14ac:dyDescent="0.25">
      <c r="B222" s="21" t="s">
        <v>78</v>
      </c>
      <c r="C222" s="24" t="str">
        <f t="shared" si="9"/>
        <v>19.2Eng</v>
      </c>
      <c r="D222" s="27" t="s">
        <v>231</v>
      </c>
      <c r="E222" s="21" t="s">
        <v>4</v>
      </c>
      <c r="F222" s="9" t="str">
        <f t="shared" si="10"/>
        <v>https://docs.google.com/uc?export=download&amp;id=1zrhgYVua1XdUVtSNMVyeqyXWL9OzgKmO</v>
      </c>
      <c r="G222" s="5" t="str">
        <f t="shared" si="11"/>
        <v>1zrhgYVua1XdUVtSNMVyeqyXWL9OzgKmO</v>
      </c>
      <c r="H222" s="5" t="s">
        <v>472</v>
      </c>
    </row>
    <row r="223" spans="1:8" x14ac:dyDescent="0.25">
      <c r="B223" s="21" t="s">
        <v>78</v>
      </c>
      <c r="C223" s="24" t="str">
        <f t="shared" si="9"/>
        <v>19.2Phon</v>
      </c>
      <c r="D223" s="28" t="s">
        <v>232</v>
      </c>
      <c r="E223" s="21" t="s">
        <v>5</v>
      </c>
      <c r="F223" s="9" t="str">
        <f t="shared" si="10"/>
        <v/>
      </c>
      <c r="G223" s="5" t="str">
        <f t="shared" si="11"/>
        <v/>
      </c>
    </row>
    <row r="224" spans="1:8" x14ac:dyDescent="0.25">
      <c r="A224" s="1">
        <v>68</v>
      </c>
      <c r="B224" s="21" t="s">
        <v>79</v>
      </c>
      <c r="C224" s="24" t="str">
        <f t="shared" si="9"/>
        <v>19.3Viet</v>
      </c>
      <c r="D224" s="24" t="s">
        <v>313</v>
      </c>
      <c r="E224" s="21" t="s">
        <v>3</v>
      </c>
      <c r="F224" s="9" t="str">
        <f t="shared" si="10"/>
        <v/>
      </c>
      <c r="G224" s="5" t="str">
        <f t="shared" si="11"/>
        <v/>
      </c>
    </row>
    <row r="225" spans="1:8" x14ac:dyDescent="0.25">
      <c r="B225" s="21" t="s">
        <v>79</v>
      </c>
      <c r="C225" s="24" t="str">
        <f t="shared" si="9"/>
        <v>19.3Eng</v>
      </c>
      <c r="D225" s="27" t="s">
        <v>233</v>
      </c>
      <c r="E225" s="21" t="s">
        <v>4</v>
      </c>
      <c r="F225" s="9" t="str">
        <f t="shared" si="10"/>
        <v>https://docs.google.com/uc?export=download&amp;id=11Ruy3AQFSMZ045j9GWV2ObyGyG-alpYR</v>
      </c>
      <c r="G225" s="5" t="str">
        <f t="shared" si="11"/>
        <v>11Ruy3AQFSMZ045j9GWV2ObyGyG-alpYR</v>
      </c>
      <c r="H225" t="s">
        <v>473</v>
      </c>
    </row>
    <row r="226" spans="1:8" x14ac:dyDescent="0.25">
      <c r="B226" s="21" t="s">
        <v>79</v>
      </c>
      <c r="C226" s="24" t="str">
        <f t="shared" si="9"/>
        <v>19.3Phon</v>
      </c>
      <c r="D226" s="28" t="s">
        <v>234</v>
      </c>
      <c r="E226" s="21" t="s">
        <v>5</v>
      </c>
      <c r="F226" s="9" t="str">
        <f t="shared" si="10"/>
        <v/>
      </c>
      <c r="G226" s="5" t="str">
        <f t="shared" si="11"/>
        <v/>
      </c>
    </row>
    <row r="227" spans="1:8" x14ac:dyDescent="0.25">
      <c r="B227" s="16">
        <v>20</v>
      </c>
      <c r="C227" s="25" t="str">
        <f t="shared" si="9"/>
        <v>20Struc</v>
      </c>
      <c r="D227" s="25" t="s">
        <v>131</v>
      </c>
      <c r="E227" s="16" t="s">
        <v>11</v>
      </c>
      <c r="F227" s="8" t="str">
        <f t="shared" si="10"/>
        <v/>
      </c>
      <c r="G227" s="5" t="str">
        <f t="shared" si="11"/>
        <v/>
      </c>
    </row>
    <row r="228" spans="1:8" x14ac:dyDescent="0.25">
      <c r="A228" s="1">
        <v>69</v>
      </c>
      <c r="B228" s="21" t="s">
        <v>80</v>
      </c>
      <c r="C228" s="24" t="str">
        <f t="shared" si="9"/>
        <v>20.1Viet</v>
      </c>
      <c r="D228" s="24" t="s">
        <v>314</v>
      </c>
      <c r="E228" s="21" t="s">
        <v>3</v>
      </c>
      <c r="F228" s="9" t="str">
        <f t="shared" si="10"/>
        <v/>
      </c>
      <c r="G228" s="5" t="str">
        <f t="shared" si="11"/>
        <v/>
      </c>
    </row>
    <row r="229" spans="1:8" x14ac:dyDescent="0.25">
      <c r="B229" s="21" t="s">
        <v>80</v>
      </c>
      <c r="C229" s="24" t="str">
        <f t="shared" si="9"/>
        <v>20.1Eng</v>
      </c>
      <c r="D229" s="27" t="s">
        <v>235</v>
      </c>
      <c r="E229" s="21" t="s">
        <v>4</v>
      </c>
      <c r="F229" s="9" t="str">
        <f t="shared" si="10"/>
        <v>https://docs.google.com/uc?export=download&amp;id=1yekAtpZZRTC_b69mRCOuh5b93OiiJzeE</v>
      </c>
      <c r="G229" s="5" t="str">
        <f t="shared" si="11"/>
        <v>1yekAtpZZRTC_b69mRCOuh5b93OiiJzeE</v>
      </c>
      <c r="H229" t="s">
        <v>474</v>
      </c>
    </row>
    <row r="230" spans="1:8" x14ac:dyDescent="0.25">
      <c r="B230" s="21" t="s">
        <v>80</v>
      </c>
      <c r="C230" s="24" t="str">
        <f t="shared" si="9"/>
        <v>20.1Phon</v>
      </c>
      <c r="D230" s="28" t="s">
        <v>236</v>
      </c>
      <c r="E230" s="21" t="s">
        <v>5</v>
      </c>
      <c r="F230" s="9" t="str">
        <f t="shared" si="10"/>
        <v/>
      </c>
      <c r="G230" s="5" t="str">
        <f t="shared" si="11"/>
        <v/>
      </c>
    </row>
    <row r="231" spans="1:8" x14ac:dyDescent="0.25">
      <c r="A231" s="1">
        <v>70</v>
      </c>
      <c r="B231" s="21" t="s">
        <v>81</v>
      </c>
      <c r="C231" s="24" t="str">
        <f t="shared" si="9"/>
        <v>20.2Viet</v>
      </c>
      <c r="D231" s="24" t="s">
        <v>315</v>
      </c>
      <c r="E231" s="21" t="s">
        <v>3</v>
      </c>
      <c r="F231" s="9" t="str">
        <f t="shared" si="10"/>
        <v/>
      </c>
      <c r="G231" s="5" t="str">
        <f t="shared" si="11"/>
        <v/>
      </c>
    </row>
    <row r="232" spans="1:8" x14ac:dyDescent="0.25">
      <c r="B232" s="21" t="s">
        <v>81</v>
      </c>
      <c r="C232" s="24" t="str">
        <f t="shared" si="9"/>
        <v>20.2Eng</v>
      </c>
      <c r="D232" s="27" t="s">
        <v>237</v>
      </c>
      <c r="E232" s="21" t="s">
        <v>4</v>
      </c>
      <c r="F232" s="9" t="str">
        <f t="shared" si="10"/>
        <v>https://docs.google.com/uc?export=download&amp;id=1kPVKZzn0mwedqai_wUuboTrvsfl2wMkr</v>
      </c>
      <c r="G232" s="5" t="str">
        <f t="shared" si="11"/>
        <v>1kPVKZzn0mwedqai_wUuboTrvsfl2wMkr</v>
      </c>
      <c r="H232" t="s">
        <v>475</v>
      </c>
    </row>
    <row r="233" spans="1:8" x14ac:dyDescent="0.25">
      <c r="B233" s="21" t="s">
        <v>81</v>
      </c>
      <c r="C233" s="24" t="str">
        <f t="shared" si="9"/>
        <v>20.2Phon</v>
      </c>
      <c r="D233" s="28" t="s">
        <v>238</v>
      </c>
      <c r="E233" s="21" t="s">
        <v>5</v>
      </c>
      <c r="F233" s="9" t="str">
        <f t="shared" si="10"/>
        <v/>
      </c>
      <c r="G233" s="5" t="str">
        <f t="shared" si="11"/>
        <v/>
      </c>
    </row>
    <row r="234" spans="1:8" x14ac:dyDescent="0.25">
      <c r="A234" s="1">
        <v>71</v>
      </c>
      <c r="B234" s="21" t="s">
        <v>82</v>
      </c>
      <c r="C234" s="24" t="str">
        <f t="shared" si="9"/>
        <v>20.3Viet</v>
      </c>
      <c r="D234" s="24" t="s">
        <v>328</v>
      </c>
      <c r="E234" s="21" t="s">
        <v>3</v>
      </c>
      <c r="F234" s="9" t="str">
        <f t="shared" si="10"/>
        <v/>
      </c>
      <c r="G234" s="5" t="str">
        <f t="shared" si="11"/>
        <v/>
      </c>
    </row>
    <row r="235" spans="1:8" x14ac:dyDescent="0.25">
      <c r="B235" s="21" t="s">
        <v>82</v>
      </c>
      <c r="C235" s="24" t="str">
        <f t="shared" si="9"/>
        <v>20.3Eng</v>
      </c>
      <c r="D235" s="27" t="s">
        <v>329</v>
      </c>
      <c r="E235" s="21" t="s">
        <v>4</v>
      </c>
      <c r="F235" s="9" t="str">
        <f t="shared" si="10"/>
        <v>https://docs.google.com/uc?export=download&amp;id=1fQx7G8Hphcv4tpsZ6sgdLYa7g0hwh7jD</v>
      </c>
      <c r="G235" s="5" t="str">
        <f t="shared" si="11"/>
        <v>1fQx7G8Hphcv4tpsZ6sgdLYa7g0hwh7jD</v>
      </c>
      <c r="H235" t="s">
        <v>476</v>
      </c>
    </row>
    <row r="236" spans="1:8" x14ac:dyDescent="0.25">
      <c r="B236" s="21" t="s">
        <v>82</v>
      </c>
      <c r="C236" s="24" t="str">
        <f t="shared" si="9"/>
        <v>20.3Phon</v>
      </c>
      <c r="D236" s="28" t="s">
        <v>239</v>
      </c>
      <c r="E236" s="21" t="s">
        <v>5</v>
      </c>
      <c r="F236" s="9" t="str">
        <f t="shared" si="10"/>
        <v/>
      </c>
      <c r="G236" s="5" t="str">
        <f t="shared" si="11"/>
        <v/>
      </c>
    </row>
    <row r="237" spans="1:8" x14ac:dyDescent="0.25">
      <c r="B237" s="16">
        <v>21</v>
      </c>
      <c r="C237" s="25" t="str">
        <f t="shared" si="9"/>
        <v>21Struc</v>
      </c>
      <c r="D237" s="25" t="s">
        <v>132</v>
      </c>
      <c r="E237" s="16" t="s">
        <v>11</v>
      </c>
      <c r="F237" s="8" t="str">
        <f t="shared" si="10"/>
        <v/>
      </c>
      <c r="G237" s="5" t="str">
        <f t="shared" si="11"/>
        <v/>
      </c>
    </row>
    <row r="238" spans="1:8" x14ac:dyDescent="0.25">
      <c r="A238" s="1">
        <v>72</v>
      </c>
      <c r="B238" s="21" t="s">
        <v>83</v>
      </c>
      <c r="C238" s="24" t="str">
        <f t="shared" si="9"/>
        <v>21.1Viet</v>
      </c>
      <c r="D238" s="24" t="s">
        <v>316</v>
      </c>
      <c r="E238" s="21" t="s">
        <v>3</v>
      </c>
      <c r="F238" s="9" t="str">
        <f t="shared" si="10"/>
        <v/>
      </c>
      <c r="G238" s="5" t="str">
        <f t="shared" si="11"/>
        <v/>
      </c>
    </row>
    <row r="239" spans="1:8" x14ac:dyDescent="0.25">
      <c r="B239" s="21" t="s">
        <v>83</v>
      </c>
      <c r="C239" s="24" t="str">
        <f t="shared" si="9"/>
        <v>21.1Eng</v>
      </c>
      <c r="D239" s="27" t="s">
        <v>240</v>
      </c>
      <c r="E239" s="21" t="s">
        <v>4</v>
      </c>
      <c r="F239" s="9" t="str">
        <f t="shared" si="10"/>
        <v>https://docs.google.com/uc?export=download&amp;id=1dzER3l9AgHe6K2kR-bNByMFQh9S0Fq-3</v>
      </c>
      <c r="G239" s="5" t="str">
        <f t="shared" si="11"/>
        <v>1dzER3l9AgHe6K2kR-bNByMFQh9S0Fq-3</v>
      </c>
      <c r="H239" t="s">
        <v>477</v>
      </c>
    </row>
    <row r="240" spans="1:8" x14ac:dyDescent="0.25">
      <c r="B240" s="21" t="s">
        <v>83</v>
      </c>
      <c r="C240" s="24" t="str">
        <f t="shared" si="9"/>
        <v>21.1Phon</v>
      </c>
      <c r="D240" s="28" t="s">
        <v>241</v>
      </c>
      <c r="E240" s="21" t="s">
        <v>5</v>
      </c>
      <c r="F240" s="9" t="str">
        <f t="shared" si="10"/>
        <v/>
      </c>
      <c r="G240" s="5" t="str">
        <f t="shared" si="11"/>
        <v/>
      </c>
    </row>
    <row r="241" spans="1:8" x14ac:dyDescent="0.25">
      <c r="A241" s="1">
        <v>73</v>
      </c>
      <c r="B241" s="21" t="s">
        <v>84</v>
      </c>
      <c r="C241" s="24" t="str">
        <f t="shared" si="9"/>
        <v>21.2Viet</v>
      </c>
      <c r="D241" s="24" t="s">
        <v>317</v>
      </c>
      <c r="E241" s="21" t="s">
        <v>3</v>
      </c>
      <c r="F241" s="9" t="str">
        <f t="shared" si="10"/>
        <v/>
      </c>
      <c r="G241" s="5" t="str">
        <f t="shared" si="11"/>
        <v/>
      </c>
    </row>
    <row r="242" spans="1:8" x14ac:dyDescent="0.25">
      <c r="B242" s="21" t="s">
        <v>84</v>
      </c>
      <c r="C242" s="24" t="str">
        <f t="shared" si="9"/>
        <v>21.2Eng</v>
      </c>
      <c r="D242" s="27" t="s">
        <v>242</v>
      </c>
      <c r="E242" s="21" t="s">
        <v>4</v>
      </c>
      <c r="F242" s="9" t="str">
        <f t="shared" si="10"/>
        <v>https://docs.google.com/uc?export=download&amp;id=1a78ROLnR-yRyOHiNEDGKieaAEmm4KoOX</v>
      </c>
      <c r="G242" s="5" t="str">
        <f t="shared" si="11"/>
        <v>1a78ROLnR-yRyOHiNEDGKieaAEmm4KoOX</v>
      </c>
      <c r="H242" t="s">
        <v>478</v>
      </c>
    </row>
    <row r="243" spans="1:8" x14ac:dyDescent="0.25">
      <c r="B243" s="21" t="s">
        <v>84</v>
      </c>
      <c r="C243" s="24" t="str">
        <f t="shared" si="9"/>
        <v>21.2Phon</v>
      </c>
      <c r="D243" s="28" t="s">
        <v>243</v>
      </c>
      <c r="E243" s="21" t="s">
        <v>5</v>
      </c>
      <c r="F243" s="9" t="str">
        <f t="shared" si="10"/>
        <v/>
      </c>
      <c r="G243" s="5" t="str">
        <f t="shared" si="11"/>
        <v/>
      </c>
    </row>
    <row r="244" spans="1:8" x14ac:dyDescent="0.25">
      <c r="A244" s="1">
        <v>74</v>
      </c>
      <c r="B244" s="21" t="s">
        <v>85</v>
      </c>
      <c r="C244" s="24" t="str">
        <f t="shared" si="9"/>
        <v>21.3Viet</v>
      </c>
      <c r="D244" s="24" t="s">
        <v>318</v>
      </c>
      <c r="E244" s="21" t="s">
        <v>3</v>
      </c>
      <c r="F244" s="9" t="str">
        <f t="shared" si="10"/>
        <v/>
      </c>
      <c r="G244" s="5" t="str">
        <f t="shared" si="11"/>
        <v/>
      </c>
    </row>
    <row r="245" spans="1:8" x14ac:dyDescent="0.25">
      <c r="B245" s="21" t="s">
        <v>85</v>
      </c>
      <c r="C245" s="24" t="str">
        <f t="shared" si="9"/>
        <v>21.3Eng</v>
      </c>
      <c r="D245" s="27" t="s">
        <v>244</v>
      </c>
      <c r="E245" s="21" t="s">
        <v>4</v>
      </c>
      <c r="F245" s="9" t="str">
        <f t="shared" si="10"/>
        <v>https://docs.google.com/uc?export=download&amp;id=1eaZdpZBA6td_yM4J9TEMkVSya8B0M6o4</v>
      </c>
      <c r="G245" s="5" t="str">
        <f t="shared" si="11"/>
        <v>1eaZdpZBA6td_yM4J9TEMkVSya8B0M6o4</v>
      </c>
      <c r="H245" t="s">
        <v>479</v>
      </c>
    </row>
    <row r="246" spans="1:8" x14ac:dyDescent="0.25">
      <c r="B246" s="21" t="s">
        <v>85</v>
      </c>
      <c r="C246" s="24" t="str">
        <f t="shared" si="9"/>
        <v>21.3Phon</v>
      </c>
      <c r="D246" s="28" t="s">
        <v>245</v>
      </c>
      <c r="E246" s="21" t="s">
        <v>5</v>
      </c>
      <c r="F246" s="9" t="str">
        <f t="shared" si="10"/>
        <v/>
      </c>
      <c r="G246" s="5" t="str">
        <f t="shared" si="11"/>
        <v/>
      </c>
    </row>
    <row r="247" spans="1:8" x14ac:dyDescent="0.25">
      <c r="A247" s="1">
        <v>75</v>
      </c>
      <c r="B247" s="21" t="s">
        <v>86</v>
      </c>
      <c r="C247" s="24" t="str">
        <f t="shared" si="9"/>
        <v>21.4Viet</v>
      </c>
      <c r="D247" s="24" t="s">
        <v>319</v>
      </c>
      <c r="E247" s="21" t="s">
        <v>3</v>
      </c>
      <c r="F247" s="9" t="str">
        <f t="shared" si="10"/>
        <v/>
      </c>
      <c r="G247" s="5" t="str">
        <f t="shared" si="11"/>
        <v/>
      </c>
    </row>
    <row r="248" spans="1:8" x14ac:dyDescent="0.25">
      <c r="B248" s="21" t="s">
        <v>86</v>
      </c>
      <c r="C248" s="24" t="str">
        <f t="shared" si="9"/>
        <v>21.4Eng</v>
      </c>
      <c r="D248" s="27" t="s">
        <v>246</v>
      </c>
      <c r="E248" s="21" t="s">
        <v>4</v>
      </c>
      <c r="F248" s="9" t="str">
        <f t="shared" si="10"/>
        <v>https://docs.google.com/uc?export=download&amp;id=1xtl2XX3znPXq41oxGuxkE3jnD0AayY-U</v>
      </c>
      <c r="G248" s="5" t="str">
        <f t="shared" si="11"/>
        <v>1xtl2XX3znPXq41oxGuxkE3jnD0AayY-U</v>
      </c>
      <c r="H248" t="s">
        <v>480</v>
      </c>
    </row>
    <row r="249" spans="1:8" x14ac:dyDescent="0.25">
      <c r="B249" s="21" t="s">
        <v>86</v>
      </c>
      <c r="C249" s="24" t="str">
        <f t="shared" si="9"/>
        <v>21.4Phon</v>
      </c>
      <c r="D249" s="24" t="s">
        <v>247</v>
      </c>
      <c r="E249" s="21" t="s">
        <v>5</v>
      </c>
      <c r="F249" s="9" t="str">
        <f t="shared" si="10"/>
        <v/>
      </c>
      <c r="G249" s="5" t="str">
        <f t="shared" si="11"/>
        <v/>
      </c>
    </row>
  </sheetData>
  <autoFilter ref="A3:H249" xr:uid="{409C9D1B-A452-401C-9733-8750E50DAAFC}"/>
  <phoneticPr fontId="3" type="noConversion"/>
  <conditionalFormatting sqref="I1:I1048576">
    <cfRule type="duplicateValues" dxfId="5" priority="7"/>
  </conditionalFormatting>
  <conditionalFormatting sqref="H250:H1048576 H1:H6">
    <cfRule type="duplicateValues" dxfId="4" priority="10"/>
  </conditionalFormatting>
  <conditionalFormatting sqref="H7:H249">
    <cfRule type="duplicateValues" dxfId="3" priority="29"/>
  </conditionalFormatting>
  <conditionalFormatting sqref="A250:A1048576 A3:A6 B2 A1 A8 A11 A14 A18 A21 A24 A28 A31 A34 A37 A41 A44 A47 A50 A54 A57 A60 A64 A67 A70 A73 A77 A80 A83 A86 A90 A93 A96 A100 A103 A106 A110 A113 A116 A119 A123 A126 A129 A132 A136 A139 A142 A145 A148 A152 A155 A158 A161 A165 A168 A171 A174 A178 A181 A184 A188 A191 A194 A198 A201 A204 A208 A212 A216 A218 A221 A224 A228 A231 A234 A238 A241 A244 A247">
    <cfRule type="duplicateValues" dxfId="2" priority="1"/>
  </conditionalFormatting>
  <conditionalFormatting sqref="A7 A9:A10 A12:A13 A15:A17 A19:A20 A22:A23 A25:A27 A29:A30 A32:A33 A35:A36 A38:A40 A42:A43 A45:A46 A48:A49 A51:A53 A55:A56 A58:A59 A61:A63 A65:A66 A68:A69 A71:A72 A74:A76 A78:A79 A81:A82 A84:A85 A87:A89 A91:A92 A94:A95 A97:A99 A101:A102 A104:A105 A107:A109 A111:A112 A114:A115 A117:A118 A120:A122 A124:A125 A127:A128 A130:A131 A133:A135 A137:A138 A140:A141 A143:A144 A146:A147 A149:A151 A153:A154 A156:A157 A159:A160 A162:A164 A166:A167 A169:A170 A172:A173 A175:A177 A179:A180 A182:A183 A185:A187 A189:A190 A192:A193 A195:A197 A199:A200 A202:A203 A205:A207 A209:A211 A213:A215 A217 A219:A220 A222:A223 A225:A227 A229:A230 A232:A233 A235:A237 A239:A240 A242:A243 A245:A246 A248:A249">
    <cfRule type="duplicateValues" dxfId="1" priority="2"/>
  </conditionalFormatting>
  <hyperlinks>
    <hyperlink ref="H222" r:id="rId1" xr:uid="{56E633C2-B153-42C3-A16F-245E58BD1AAA}"/>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80291B-7D61-4F66-87A2-BCE4B8C6F943}">
  <dimension ref="B2:E7"/>
  <sheetViews>
    <sheetView tabSelected="1" workbookViewId="0">
      <selection activeCell="C7" sqref="C7"/>
    </sheetView>
  </sheetViews>
  <sheetFormatPr defaultRowHeight="13.8" x14ac:dyDescent="0.25"/>
  <cols>
    <col min="2" max="2" width="12.19921875" style="1" bestFit="1" customWidth="1"/>
    <col min="3" max="3" width="78.8984375" customWidth="1"/>
    <col min="5" max="5" width="74.296875" bestFit="1" customWidth="1"/>
  </cols>
  <sheetData>
    <row r="2" spans="2:5" x14ac:dyDescent="0.25">
      <c r="B2" s="2" t="s">
        <v>0</v>
      </c>
      <c r="C2" s="7" t="s">
        <v>9</v>
      </c>
      <c r="D2" s="1" t="s">
        <v>8</v>
      </c>
      <c r="E2" s="3" t="s">
        <v>10</v>
      </c>
    </row>
    <row r="3" spans="2:5" x14ac:dyDescent="0.25">
      <c r="B3" s="11" t="s">
        <v>48</v>
      </c>
      <c r="C3" s="9" t="str">
        <f>IF(D3="","","https://docs.google.com/uc?export=download&amp;id="&amp;D3)</f>
        <v>https://docs.google.com/uc?export=download&amp;id=1ZZdMGG18yVfo90onhAnTrYOuryrlhC80</v>
      </c>
      <c r="D3" s="10" t="str">
        <f t="shared" ref="D3:D6" si="0">IFERROR(LEFT(RIGHT(E3,LEN(E3)-32),LEN(RIGHT(E3,LEN(E3)-32))-17),"")</f>
        <v>1ZZdMGG18yVfo90onhAnTrYOuryrlhC80</v>
      </c>
      <c r="E3" s="10" t="s">
        <v>335</v>
      </c>
    </row>
    <row r="4" spans="2:5" x14ac:dyDescent="0.25">
      <c r="B4" s="11" t="s">
        <v>331</v>
      </c>
      <c r="C4" s="9" t="str">
        <f t="shared" ref="C4:C6" si="1">IF(D4="","","https://docs.google.com/uc?export=download&amp;id="&amp;D4)</f>
        <v>https://docs.google.com/uc?export=download&amp;id=1z5HXSMVRaPGcSmJJEWFVGBuRIwcQW97u</v>
      </c>
      <c r="D4" s="10" t="str">
        <f t="shared" si="0"/>
        <v>1z5HXSMVRaPGcSmJJEWFVGBuRIwcQW97u</v>
      </c>
      <c r="E4" s="10" t="s">
        <v>336</v>
      </c>
    </row>
    <row r="5" spans="2:5" x14ac:dyDescent="0.25">
      <c r="B5" s="11" t="s">
        <v>49</v>
      </c>
      <c r="C5" s="9" t="str">
        <f t="shared" si="1"/>
        <v>https://docs.google.com/uc?export=download&amp;id=1bwX6pGLQmxCU8FavAltdLv6E_d3Vkn9o</v>
      </c>
      <c r="D5" s="10" t="str">
        <f t="shared" si="0"/>
        <v>1bwX6pGLQmxCU8FavAltdLv6E_d3Vkn9o</v>
      </c>
      <c r="E5" s="10" t="s">
        <v>337</v>
      </c>
    </row>
    <row r="6" spans="2:5" x14ac:dyDescent="0.25">
      <c r="B6" s="11" t="s">
        <v>332</v>
      </c>
      <c r="C6" s="9" t="str">
        <f t="shared" si="1"/>
        <v>https://docs.google.com/uc?export=download&amp;id=1X0kc9SnUzzclVGABOwJww-c5yMXqWc2l</v>
      </c>
      <c r="D6" s="10" t="str">
        <f t="shared" si="0"/>
        <v>1X0kc9SnUzzclVGABOwJww-c5yMXqWc2l</v>
      </c>
      <c r="E6" s="10" t="s">
        <v>338</v>
      </c>
    </row>
    <row r="7" spans="2:5" x14ac:dyDescent="0.25">
      <c r="B7" s="11" t="s">
        <v>526</v>
      </c>
      <c r="C7" s="9" t="str">
        <f t="shared" ref="C7" si="2">IF(D7="","","https://docs.google.com/uc?export=download&amp;id="&amp;D7)</f>
        <v>https://docs.google.com/uc?export=download&amp;id=1M2k6e7nt2w_q4_1QuGCfHDEKs6MDaeAu</v>
      </c>
      <c r="D7" s="10" t="str">
        <f t="shared" ref="D7" si="3">IFERROR(LEFT(RIGHT(E7,LEN(E7)-32),LEN(RIGHT(E7,LEN(E7)-32))-17),"")</f>
        <v>1M2k6e7nt2w_q4_1QuGCfHDEKs6MDaeAu</v>
      </c>
      <c r="E7" s="10" t="s">
        <v>527</v>
      </c>
    </row>
  </sheetData>
  <phoneticPr fontId="3" type="noConversion"/>
  <pageMargins left="0.7" right="0.7" top="0.75" bottom="0.75" header="0.3" footer="0.3"/>
  <ignoredErrors>
    <ignoredError sqref="B5 B7" twoDigitTextYear="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71D948-479B-4B09-9139-09BEE512E2E7}">
  <dimension ref="B2:G19"/>
  <sheetViews>
    <sheetView topLeftCell="B1" workbookViewId="0">
      <selection activeCell="D22" sqref="D22"/>
    </sheetView>
  </sheetViews>
  <sheetFormatPr defaultRowHeight="13.8" x14ac:dyDescent="0.25"/>
  <cols>
    <col min="1" max="1" width="1.8984375" customWidth="1"/>
    <col min="2" max="2" width="11.3984375" bestFit="1" customWidth="1"/>
    <col min="3" max="3" width="11.3984375" customWidth="1"/>
    <col min="4" max="4" width="75.69921875" customWidth="1"/>
    <col min="5" max="5" width="8.796875" customWidth="1"/>
    <col min="6" max="6" width="34" customWidth="1"/>
  </cols>
  <sheetData>
    <row r="2" spans="2:7" x14ac:dyDescent="0.25">
      <c r="B2" s="2" t="s">
        <v>0</v>
      </c>
      <c r="C2" s="2"/>
      <c r="D2" s="7" t="s">
        <v>9</v>
      </c>
      <c r="E2" s="1" t="s">
        <v>8</v>
      </c>
      <c r="F2" s="3" t="s">
        <v>10</v>
      </c>
    </row>
    <row r="3" spans="2:7" x14ac:dyDescent="0.25">
      <c r="B3" s="11" t="s">
        <v>88</v>
      </c>
      <c r="C3" s="11"/>
      <c r="D3" s="9" t="str">
        <f>IF(E3="","","https://docs.google.com/uc?export=download&amp;id="&amp;E3)</f>
        <v>https://docs.google.com/uc?export=download&amp;id=1rnkrZgzGKWsh4ZfoAd_FuplwYgYY_E1U</v>
      </c>
      <c r="E3" s="10" t="str">
        <f t="shared" ref="E3:E19" si="0">IFERROR(LEFT(RIGHT(F3,LEN(F3)-32),LEN(RIGHT(F3,LEN(F3)-32))-17),"")</f>
        <v>1rnkrZgzGKWsh4ZfoAd_FuplwYgYY_E1U</v>
      </c>
      <c r="F3" s="10" t="s">
        <v>509</v>
      </c>
      <c r="G3" t="str">
        <f>"var "&amp;B3&amp;"="""&amp;D3&amp;""""</f>
        <v>var Woman="https://docs.google.com/uc?export=download&amp;id=1rnkrZgzGKWsh4ZfoAd_FuplwYgYY_E1U"</v>
      </c>
    </row>
    <row r="4" spans="2:7" x14ac:dyDescent="0.25">
      <c r="B4" s="11" t="s">
        <v>87</v>
      </c>
      <c r="C4" s="11"/>
      <c r="D4" s="9" t="str">
        <f>IF(E4="","","https://docs.google.com/uc?export=download&amp;id="&amp;E4)</f>
        <v>https://docs.google.com/uc?export=download&amp;id=1IRoMRsshQf-3OlKqKPNoWOshEnQumJp8</v>
      </c>
      <c r="E4" s="10" t="str">
        <f t="shared" si="0"/>
        <v>1IRoMRsshQf-3OlKqKPNoWOshEnQumJp8</v>
      </c>
      <c r="F4" s="10" t="s">
        <v>510</v>
      </c>
      <c r="G4" t="str">
        <f t="shared" ref="G4:G19" si="1">"var "&amp;B4&amp;"="""&amp;D4&amp;""""</f>
        <v>var Man="https://docs.google.com/uc?export=download&amp;id=1IRoMRsshQf-3OlKqKPNoWOshEnQumJp8"</v>
      </c>
    </row>
    <row r="5" spans="2:7" x14ac:dyDescent="0.25">
      <c r="B5" s="11" t="s">
        <v>494</v>
      </c>
      <c r="C5" s="29" t="s">
        <v>481</v>
      </c>
      <c r="D5" s="9" t="str">
        <f t="shared" ref="D5:D19" si="2">IF(E5="","","https://docs.google.com/uc?export=download&amp;id="&amp;E5)</f>
        <v>https://docs.google.com/uc?export=download&amp;id=1ARjCFfQLtAsXrJYhaxxlI0_8wtKSgkaK</v>
      </c>
      <c r="E5" s="10" t="str">
        <f t="shared" si="0"/>
        <v>1ARjCFfQLtAsXrJYhaxxlI0_8wtKSgkaK</v>
      </c>
      <c r="F5" s="10" t="s">
        <v>511</v>
      </c>
      <c r="G5" t="str">
        <f t="shared" si="1"/>
        <v>var Man_01="https://docs.google.com/uc?export=download&amp;id=1ARjCFfQLtAsXrJYhaxxlI0_8wtKSgkaK"</v>
      </c>
    </row>
    <row r="6" spans="2:7" x14ac:dyDescent="0.25">
      <c r="B6" s="11" t="s">
        <v>495</v>
      </c>
      <c r="C6" s="29" t="s">
        <v>482</v>
      </c>
      <c r="D6" s="9" t="str">
        <f t="shared" si="2"/>
        <v>https://docs.google.com/uc?export=download&amp;id=18OIlokL_Ypf0kd9Pb2Pk7B9SV4VAfzOq</v>
      </c>
      <c r="E6" s="10" t="str">
        <f t="shared" si="0"/>
        <v>18OIlokL_Ypf0kd9Pb2Pk7B9SV4VAfzOq</v>
      </c>
      <c r="F6" s="10" t="s">
        <v>512</v>
      </c>
      <c r="G6" t="str">
        <f t="shared" si="1"/>
        <v>var Man_02="https://docs.google.com/uc?export=download&amp;id=18OIlokL_Ypf0kd9Pb2Pk7B9SV4VAfzOq"</v>
      </c>
    </row>
    <row r="7" spans="2:7" x14ac:dyDescent="0.25">
      <c r="B7" s="11" t="s">
        <v>496</v>
      </c>
      <c r="C7" s="29" t="s">
        <v>483</v>
      </c>
      <c r="D7" s="9" t="str">
        <f t="shared" si="2"/>
        <v>https://docs.google.com/uc?export=download&amp;id=1U8yAtihPxEQFDFLXhZx1tQx5rsEWx2-I</v>
      </c>
      <c r="E7" s="10" t="str">
        <f t="shared" si="0"/>
        <v>1U8yAtihPxEQFDFLXhZx1tQx5rsEWx2-I</v>
      </c>
      <c r="F7" s="10" t="s">
        <v>513</v>
      </c>
      <c r="G7" t="str">
        <f t="shared" si="1"/>
        <v>var Man_03="https://docs.google.com/uc?export=download&amp;id=1U8yAtihPxEQFDFLXhZx1tQx5rsEWx2-I"</v>
      </c>
    </row>
    <row r="8" spans="2:7" x14ac:dyDescent="0.25">
      <c r="B8" s="11" t="s">
        <v>497</v>
      </c>
      <c r="C8" s="29" t="s">
        <v>484</v>
      </c>
      <c r="D8" s="9" t="str">
        <f t="shared" si="2"/>
        <v>https://docs.google.com/uc?export=download&amp;id=1OiabGRSfr7nPI_-OYVpmCXbor_6gtLg4</v>
      </c>
      <c r="E8" s="10" t="str">
        <f t="shared" si="0"/>
        <v>1OiabGRSfr7nPI_-OYVpmCXbor_6gtLg4</v>
      </c>
      <c r="F8" s="10" t="s">
        <v>514</v>
      </c>
      <c r="G8" t="str">
        <f t="shared" si="1"/>
        <v>var Man_04="https://docs.google.com/uc?export=download&amp;id=1OiabGRSfr7nPI_-OYVpmCXbor_6gtLg4"</v>
      </c>
    </row>
    <row r="9" spans="2:7" x14ac:dyDescent="0.25">
      <c r="B9" s="11" t="s">
        <v>498</v>
      </c>
      <c r="C9" s="29" t="s">
        <v>145</v>
      </c>
      <c r="D9" s="9" t="str">
        <f t="shared" si="2"/>
        <v>https://docs.google.com/uc?export=download&amp;id=1VogOhpIHAXlNqfB9gn9E4iwR95jwMDcL</v>
      </c>
      <c r="E9" s="10" t="str">
        <f t="shared" si="0"/>
        <v>1VogOhpIHAXlNqfB9gn9E4iwR95jwMDcL</v>
      </c>
      <c r="F9" s="10" t="s">
        <v>515</v>
      </c>
      <c r="G9" t="str">
        <f t="shared" si="1"/>
        <v>var Man_05="https://docs.google.com/uc?export=download&amp;id=1VogOhpIHAXlNqfB9gn9E4iwR95jwMDcL"</v>
      </c>
    </row>
    <row r="10" spans="2:7" x14ac:dyDescent="0.25">
      <c r="B10" s="11" t="s">
        <v>499</v>
      </c>
      <c r="C10" s="29" t="s">
        <v>485</v>
      </c>
      <c r="D10" s="9" t="str">
        <f t="shared" si="2"/>
        <v>https://docs.google.com/uc?export=download&amp;id=1SegxPfljaDh7YlB-oUibsUWYGJf1bq71</v>
      </c>
      <c r="E10" s="10" t="str">
        <f t="shared" si="0"/>
        <v>1SegxPfljaDh7YlB-oUibsUWYGJf1bq71</v>
      </c>
      <c r="F10" s="10" t="s">
        <v>516</v>
      </c>
      <c r="G10" t="str">
        <f t="shared" si="1"/>
        <v>var Man_06="https://docs.google.com/uc?export=download&amp;id=1SegxPfljaDh7YlB-oUibsUWYGJf1bq71"</v>
      </c>
    </row>
    <row r="11" spans="2:7" x14ac:dyDescent="0.25">
      <c r="B11" s="11" t="s">
        <v>500</v>
      </c>
      <c r="C11" s="29" t="s">
        <v>109</v>
      </c>
      <c r="D11" s="9" t="str">
        <f t="shared" si="2"/>
        <v>https://docs.google.com/uc?export=download&amp;id=1f5c9Aukq6Zp5QX7WWbldt7ijgjC1tOrl</v>
      </c>
      <c r="E11" s="10" t="str">
        <f t="shared" si="0"/>
        <v>1f5c9Aukq6Zp5QX7WWbldt7ijgjC1tOrl</v>
      </c>
      <c r="F11" s="10" t="s">
        <v>517</v>
      </c>
      <c r="G11" t="str">
        <f t="shared" si="1"/>
        <v>var Man_07="https://docs.google.com/uc?export=download&amp;id=1f5c9Aukq6Zp5QX7WWbldt7ijgjC1tOrl"</v>
      </c>
    </row>
    <row r="12" spans="2:7" x14ac:dyDescent="0.25">
      <c r="B12" s="11" t="s">
        <v>501</v>
      </c>
      <c r="C12" s="29" t="s">
        <v>486</v>
      </c>
      <c r="D12" s="9" t="str">
        <f t="shared" si="2"/>
        <v>https://docs.google.com/uc?export=download&amp;id=1flH1KfEmwA2RKRC_O7kAzTUwM_OXvFQm</v>
      </c>
      <c r="E12" s="10" t="str">
        <f t="shared" si="0"/>
        <v>1flH1KfEmwA2RKRC_O7kAzTUwM_OXvFQm</v>
      </c>
      <c r="F12" s="10" t="s">
        <v>518</v>
      </c>
      <c r="G12" t="str">
        <f t="shared" si="1"/>
        <v>var Man_08="https://docs.google.com/uc?export=download&amp;id=1flH1KfEmwA2RKRC_O7kAzTUwM_OXvFQm"</v>
      </c>
    </row>
    <row r="13" spans="2:7" x14ac:dyDescent="0.25">
      <c r="B13" s="11" t="s">
        <v>502</v>
      </c>
      <c r="C13" s="29" t="s">
        <v>487</v>
      </c>
      <c r="D13" s="9" t="str">
        <f t="shared" si="2"/>
        <v>https://docs.google.com/uc?export=download&amp;id=1Qmq_IgGi8Hxt-vz7ZX4F7Q6NfSlQ_hbA</v>
      </c>
      <c r="E13" s="10" t="str">
        <f t="shared" si="0"/>
        <v>1Qmq_IgGi8Hxt-vz7ZX4F7Q6NfSlQ_hbA</v>
      </c>
      <c r="F13" s="10" t="s">
        <v>519</v>
      </c>
      <c r="G13" t="str">
        <f t="shared" si="1"/>
        <v>var Man_09="https://docs.google.com/uc?export=download&amp;id=1Qmq_IgGi8Hxt-vz7ZX4F7Q6NfSlQ_hbA"</v>
      </c>
    </row>
    <row r="14" spans="2:7" x14ac:dyDescent="0.25">
      <c r="B14" s="11" t="s">
        <v>503</v>
      </c>
      <c r="C14" s="29" t="s">
        <v>488</v>
      </c>
      <c r="D14" s="9" t="str">
        <f t="shared" si="2"/>
        <v>https://docs.google.com/uc?export=download&amp;id=1AaqzPkHBzS5kSmpKn1DNq1Nta9rq0LE6</v>
      </c>
      <c r="E14" s="10" t="str">
        <f t="shared" si="0"/>
        <v>1AaqzPkHBzS5kSmpKn1DNq1Nta9rq0LE6</v>
      </c>
      <c r="F14" s="10" t="s">
        <v>520</v>
      </c>
      <c r="G14" t="str">
        <f t="shared" si="1"/>
        <v>var Man_10="https://docs.google.com/uc?export=download&amp;id=1AaqzPkHBzS5kSmpKn1DNq1Nta9rq0LE6"</v>
      </c>
    </row>
    <row r="15" spans="2:7" x14ac:dyDescent="0.25">
      <c r="B15" s="11" t="s">
        <v>504</v>
      </c>
      <c r="C15" s="29" t="s">
        <v>489</v>
      </c>
      <c r="D15" s="9" t="str">
        <f t="shared" si="2"/>
        <v>https://docs.google.com/uc?export=download&amp;id=1tVCy1Jeos1g99jAgojFikj4-lZ-Q8RIu</v>
      </c>
      <c r="E15" s="10" t="str">
        <f t="shared" si="0"/>
        <v>1tVCy1Jeos1g99jAgojFikj4-lZ-Q8RIu</v>
      </c>
      <c r="F15" s="10" t="s">
        <v>521</v>
      </c>
      <c r="G15" t="str">
        <f t="shared" si="1"/>
        <v>var Man_11="https://docs.google.com/uc?export=download&amp;id=1tVCy1Jeos1g99jAgojFikj4-lZ-Q8RIu"</v>
      </c>
    </row>
    <row r="16" spans="2:7" x14ac:dyDescent="0.25">
      <c r="B16" s="11" t="s">
        <v>505</v>
      </c>
      <c r="C16" s="29" t="s">
        <v>490</v>
      </c>
      <c r="D16" s="9" t="str">
        <f t="shared" si="2"/>
        <v>https://docs.google.com/uc?export=download&amp;id=1koIXL8qrd_kpsIOviWJKoyH-1rDUfu5C</v>
      </c>
      <c r="E16" s="10" t="str">
        <f t="shared" si="0"/>
        <v>1koIXL8qrd_kpsIOviWJKoyH-1rDUfu5C</v>
      </c>
      <c r="F16" s="10" t="s">
        <v>522</v>
      </c>
      <c r="G16" t="str">
        <f t="shared" si="1"/>
        <v>var Man_12="https://docs.google.com/uc?export=download&amp;id=1koIXL8qrd_kpsIOviWJKoyH-1rDUfu5C"</v>
      </c>
    </row>
    <row r="17" spans="2:7" x14ac:dyDescent="0.25">
      <c r="B17" s="11" t="s">
        <v>506</v>
      </c>
      <c r="C17" s="29" t="s">
        <v>491</v>
      </c>
      <c r="D17" s="9" t="str">
        <f t="shared" si="2"/>
        <v>https://docs.google.com/uc?export=download&amp;id=13I5u0DDVSYiDsmslz8jOvI_TYM4CkMak</v>
      </c>
      <c r="E17" s="10" t="str">
        <f t="shared" si="0"/>
        <v>13I5u0DDVSYiDsmslz8jOvI_TYM4CkMak</v>
      </c>
      <c r="F17" s="10" t="s">
        <v>523</v>
      </c>
      <c r="G17" t="str">
        <f t="shared" si="1"/>
        <v>var Man_13="https://docs.google.com/uc?export=download&amp;id=13I5u0DDVSYiDsmslz8jOvI_TYM4CkMak"</v>
      </c>
    </row>
    <row r="18" spans="2:7" x14ac:dyDescent="0.25">
      <c r="B18" s="11" t="s">
        <v>507</v>
      </c>
      <c r="C18" s="29" t="s">
        <v>492</v>
      </c>
      <c r="D18" s="9" t="str">
        <f t="shared" si="2"/>
        <v>https://docs.google.com/uc?export=download&amp;id=1rDp8eVMVnwA40Qza9VxKBzlT_i9onTPe</v>
      </c>
      <c r="E18" s="10" t="str">
        <f t="shared" si="0"/>
        <v>1rDp8eVMVnwA40Qza9VxKBzlT_i9onTPe</v>
      </c>
      <c r="F18" s="10" t="s">
        <v>524</v>
      </c>
      <c r="G18" t="str">
        <f t="shared" si="1"/>
        <v>var Man_14="https://docs.google.com/uc?export=download&amp;id=1rDp8eVMVnwA40Qza9VxKBzlT_i9onTPe"</v>
      </c>
    </row>
    <row r="19" spans="2:7" x14ac:dyDescent="0.25">
      <c r="B19" s="11" t="s">
        <v>508</v>
      </c>
      <c r="C19" s="29" t="s">
        <v>493</v>
      </c>
      <c r="D19" s="9" t="str">
        <f t="shared" si="2"/>
        <v>https://docs.google.com/uc?export=download&amp;id=1V2DxEk-RqREkbDD4qSRzxsw8s8-oCXQO</v>
      </c>
      <c r="E19" s="10" t="str">
        <f t="shared" si="0"/>
        <v>1V2DxEk-RqREkbDD4qSRzxsw8s8-oCXQO</v>
      </c>
      <c r="F19" t="s">
        <v>525</v>
      </c>
      <c r="G19" t="str">
        <f t="shared" si="1"/>
        <v>var Man_15="https://docs.google.com/uc?export=download&amp;id=1V2DxEk-RqREkbDD4qSRzxsw8s8-oCXQO"</v>
      </c>
    </row>
  </sheetData>
  <phoneticPr fontId="3" type="noConversion"/>
  <hyperlinks>
    <hyperlink ref="F11" r:id="rId1" xr:uid="{E4CA5327-65DD-4692-A3E5-41316BF1070B}"/>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0055BF-F702-4B6A-BC96-7718E75F032C}">
  <dimension ref="A1:J295"/>
  <sheetViews>
    <sheetView topLeftCell="C24" zoomScale="86" zoomScaleNormal="86" workbookViewId="0">
      <selection activeCell="E51" sqref="E51:F51"/>
    </sheetView>
  </sheetViews>
  <sheetFormatPr defaultRowHeight="13.8" x14ac:dyDescent="0.25"/>
  <cols>
    <col min="1" max="1" width="4.796875" hidden="1" customWidth="1"/>
    <col min="2" max="2" width="6.796875" hidden="1" customWidth="1"/>
    <col min="3" max="3" width="7.09765625" style="1" customWidth="1"/>
    <col min="4" max="4" width="7.09765625" customWidth="1"/>
    <col min="5" max="5" width="71.8984375" customWidth="1"/>
    <col min="6" max="6" width="68.8984375" bestFit="1" customWidth="1"/>
  </cols>
  <sheetData>
    <row r="1" spans="1:10" ht="17.399999999999999" customHeight="1" x14ac:dyDescent="0.25">
      <c r="B1" t="s">
        <v>6</v>
      </c>
      <c r="C1" s="17">
        <v>1</v>
      </c>
      <c r="D1" s="3"/>
    </row>
    <row r="2" spans="1:10" x14ac:dyDescent="0.25">
      <c r="B2" t="s">
        <v>7</v>
      </c>
      <c r="C2" s="17">
        <v>49</v>
      </c>
      <c r="D2" s="3"/>
    </row>
    <row r="3" spans="1:10" x14ac:dyDescent="0.25">
      <c r="C3" s="18" t="s">
        <v>1</v>
      </c>
      <c r="D3" s="4" t="s">
        <v>1</v>
      </c>
      <c r="E3" s="4" t="s">
        <v>3</v>
      </c>
      <c r="F3" s="4" t="s">
        <v>4</v>
      </c>
    </row>
    <row r="4" spans="1:10" x14ac:dyDescent="0.25">
      <c r="A4">
        <f>C1</f>
        <v>1</v>
      </c>
      <c r="B4">
        <f t="shared" ref="B4:B67" ca="1" si="0">IF(A4="","",RANDBETWEEN($C$1,$C$2))</f>
        <v>9</v>
      </c>
      <c r="C4" s="1">
        <f ca="1">IFERROR($C$1-1+_xlfn.RANK.EQ(B4,$B$4:$B$78)+COUNTIF(B$4:$B4,B4)-1,"")</f>
        <v>37</v>
      </c>
      <c r="D4" s="1" t="str">
        <f ca="1">IFERROR(VLOOKUP(C4,'The IT Life'!A:B,2,0),"")</f>
        <v>11.1</v>
      </c>
      <c r="E4" t="str">
        <f ca="1">IFERROR(VLOOKUP(D4&amp;"Viet",'The IT Life'!C:D,2,0),"")</f>
        <v>Video mới của ban nhạc tôi yêu thích được đăng tải lên youtube.</v>
      </c>
      <c r="F4" t="str">
        <f ca="1">IFERROR(VLOOKUP(D4&amp;"Eng",'The IT Life'!C:D,2,0),"")</f>
        <v>A new video of my favorite band has been uploaded onto youtube.</v>
      </c>
    </row>
    <row r="5" spans="1:10" x14ac:dyDescent="0.25">
      <c r="A5">
        <f>IFERROR(IF(A4+1&gt;$C$2,"",A4+1),"")</f>
        <v>2</v>
      </c>
      <c r="B5">
        <f t="shared" ca="1" si="0"/>
        <v>38</v>
      </c>
      <c r="C5" s="1">
        <f ca="1">IFERROR($C$1-1+_xlfn.RANK.EQ(B5,$B$4:$B$78)+COUNTIF(B$4:$B5,B5)-1,"")</f>
        <v>7</v>
      </c>
      <c r="D5" s="1" t="str">
        <f ca="1">IFERROR(VLOOKUP(C5,'The IT Life'!A:B,2,0),"")</f>
        <v>2.3</v>
      </c>
      <c r="E5" t="str">
        <f ca="1">IFERROR(VLOOKUP(D5&amp;"Viet",'The IT Life'!C:D,2,0),"")</f>
        <v>Tôi sạc pin điện thoại của mình 2 lần 1 ngày.</v>
      </c>
      <c r="F5" t="str">
        <f ca="1">IFERROR(VLOOKUP(D5&amp;"Eng",'The IT Life'!C:D,2,0),"")</f>
        <v>I recharge my cell phone twice a day.</v>
      </c>
    </row>
    <row r="6" spans="1:10" x14ac:dyDescent="0.25">
      <c r="A6">
        <f t="shared" ref="A6:A69" si="1">IFERROR(IF(A5+1&gt;$C$2,"",A5+1),"")</f>
        <v>3</v>
      </c>
      <c r="B6">
        <f t="shared" ca="1" si="0"/>
        <v>32</v>
      </c>
      <c r="C6" s="1">
        <f ca="1">IFERROR($C$1-1+_xlfn.RANK.EQ(B6,$B$4:$B$78)+COUNTIF(B$4:$B6,B6)-1,"")</f>
        <v>18</v>
      </c>
      <c r="D6" s="1" t="str">
        <f ca="1">IFERROR(VLOOKUP(C6,'The IT Life'!A:B,2,0),"")</f>
        <v>5.3</v>
      </c>
      <c r="E6" t="str">
        <f ca="1">IFERROR(VLOOKUP(D6&amp;"Viet",'The IT Life'!C:D,2,0),"")</f>
        <v>Tôi trả lời một bình luận.</v>
      </c>
      <c r="F6" t="str">
        <f ca="1">IFERROR(VLOOKUP(D6&amp;"Eng",'The IT Life'!C:D,2,0),"")</f>
        <v>I respond to a comment.</v>
      </c>
    </row>
    <row r="7" spans="1:10" x14ac:dyDescent="0.25">
      <c r="A7">
        <f t="shared" si="1"/>
        <v>4</v>
      </c>
      <c r="B7">
        <f t="shared" ca="1" si="0"/>
        <v>48</v>
      </c>
      <c r="C7" s="1">
        <f ca="1">IFERROR($C$1-1+_xlfn.RANK.EQ(B7,$B$4:$B$78)+COUNTIF(B$4:$B7,B7)-1,"")</f>
        <v>3</v>
      </c>
      <c r="D7" s="1" t="str">
        <f ca="1">IFERROR(VLOOKUP(C7,'The IT Life'!A:B,2,0),"")</f>
        <v>1.3</v>
      </c>
      <c r="E7" t="str">
        <f ca="1">IFERROR(VLOOKUP(D7&amp;"Viet",'The IT Life'!C:D,2,0),"")</f>
        <v>Tôi chỉnh điện thoại sang chế độ ban đêm.</v>
      </c>
      <c r="F7" t="str">
        <f ca="1">IFERROR(VLOOKUP(D7&amp;"Eng",'The IT Life'!C:D,2,0),"")</f>
        <v>I set my cell phone to night mode.</v>
      </c>
    </row>
    <row r="8" spans="1:10" x14ac:dyDescent="0.25">
      <c r="A8">
        <f t="shared" si="1"/>
        <v>5</v>
      </c>
      <c r="B8">
        <f t="shared" ca="1" si="0"/>
        <v>15</v>
      </c>
      <c r="C8" s="1">
        <f ca="1">IFERROR($C$1-1+_xlfn.RANK.EQ(B8,$B$4:$B$78)+COUNTIF(B$4:$B8,B8)-1,"")</f>
        <v>31</v>
      </c>
      <c r="D8" s="1" t="str">
        <f ca="1">IFERROR(VLOOKUP(C8,'The IT Life'!A:B,2,0),"")</f>
        <v>9.2</v>
      </c>
      <c r="E8" t="str">
        <f ca="1">IFERROR(VLOOKUP(D8&amp;"Viet",'The IT Life'!C:D,2,0),"")</f>
        <v>Youtube quá nặng để lướt.</v>
      </c>
      <c r="F8" t="str">
        <f ca="1">IFERROR(VLOOKUP(D8&amp;"Eng",'The IT Life'!C:D,2,0),"")</f>
        <v>Youtube is too heavy to browse.</v>
      </c>
    </row>
    <row r="9" spans="1:10" x14ac:dyDescent="0.25">
      <c r="A9">
        <f t="shared" si="1"/>
        <v>6</v>
      </c>
      <c r="B9">
        <f t="shared" ca="1" si="0"/>
        <v>26</v>
      </c>
      <c r="C9" s="1">
        <f ca="1">IFERROR($C$1-1+_xlfn.RANK.EQ(B9,$B$4:$B$78)+COUNTIF(B$4:$B9,B9)-1,"")</f>
        <v>25</v>
      </c>
      <c r="D9" s="1" t="str">
        <f ca="1">IFERROR(VLOOKUP(C9,'The IT Life'!A:B,2,0),"")</f>
        <v>7.3</v>
      </c>
      <c r="E9" t="str">
        <f ca="1">IFERROR(VLOOKUP(D9&amp;"Viet",'The IT Life'!C:D,2,0),"")</f>
        <v>Tôi dùng điện thoại để kết nối internet.</v>
      </c>
      <c r="F9" t="str">
        <f ca="1">IFERROR(VLOOKUP(D9&amp;"Eng",'The IT Life'!C:D,2,0),"")</f>
        <v>I use my phone to access the internet.</v>
      </c>
    </row>
    <row r="10" spans="1:10" x14ac:dyDescent="0.25">
      <c r="A10">
        <f t="shared" si="1"/>
        <v>7</v>
      </c>
      <c r="B10">
        <f t="shared" ca="1" si="0"/>
        <v>22</v>
      </c>
      <c r="C10" s="1">
        <f ca="1">IFERROR($C$1-1+_xlfn.RANK.EQ(B10,$B$4:$B$78)+COUNTIF(B$4:$B10,B10)-1,"")</f>
        <v>27</v>
      </c>
      <c r="D10" s="1" t="str">
        <f ca="1">IFERROR(VLOOKUP(C10,'The IT Life'!A:B,2,0),"")</f>
        <v>8.1</v>
      </c>
      <c r="E10" t="str">
        <f ca="1">IFERROR(VLOOKUP(D10&amp;"Viet",'The IT Life'!C:D,2,0),"")</f>
        <v>Điện thoại của tôi đang nằm ngoài vùng phủ sóng do tôi đang ở trong tầng hầm.</v>
      </c>
      <c r="F10" t="str">
        <f ca="1">IFERROR(VLOOKUP(D10&amp;"Eng",'The IT Life'!C:D,2,0),"")</f>
        <v>My cell phone is out of service now because I’m in the basement.</v>
      </c>
    </row>
    <row r="11" spans="1:10" x14ac:dyDescent="0.25">
      <c r="A11">
        <f t="shared" si="1"/>
        <v>8</v>
      </c>
      <c r="B11">
        <f t="shared" ca="1" si="0"/>
        <v>33</v>
      </c>
      <c r="C11" s="1">
        <f ca="1">IFERROR($C$1-1+_xlfn.RANK.EQ(B11,$B$4:$B$78)+COUNTIF(B$4:$B11,B11)-1,"")</f>
        <v>17</v>
      </c>
      <c r="D11" s="1" t="str">
        <f ca="1">IFERROR(VLOOKUP(C11,'The IT Life'!A:B,2,0),"")</f>
        <v>5.2</v>
      </c>
      <c r="E11" t="str">
        <f ca="1">IFERROR(VLOOKUP(D11&amp;"Viet",'The IT Life'!C:D,2,0),"")</f>
        <v>Tôi trả lời một email.</v>
      </c>
      <c r="F11" t="str">
        <f ca="1">IFERROR(VLOOKUP(D11&amp;"Eng",'The IT Life'!C:D,2,0),"")</f>
        <v>I respond to an email.</v>
      </c>
    </row>
    <row r="12" spans="1:10" x14ac:dyDescent="0.25">
      <c r="A12">
        <f t="shared" si="1"/>
        <v>9</v>
      </c>
      <c r="B12">
        <f t="shared" ca="1" si="0"/>
        <v>28</v>
      </c>
      <c r="C12" s="1">
        <f ca="1">IFERROR($C$1-1+_xlfn.RANK.EQ(B12,$B$4:$B$78)+COUNTIF(B$4:$B12,B12)-1,"")</f>
        <v>23</v>
      </c>
      <c r="D12" s="1" t="str">
        <f ca="1">IFERROR(VLOOKUP(C12,'The IT Life'!A:B,2,0),"")</f>
        <v>7.1</v>
      </c>
      <c r="E12" t="str">
        <f ca="1">IFERROR(VLOOKUP(D12&amp;"Viet",'The IT Life'!C:D,2,0),"")</f>
        <v>Tôi dùng điện thoại để gọi điện.</v>
      </c>
      <c r="F12" t="str">
        <f ca="1">IFERROR(VLOOKUP(D12&amp;"Eng",'The IT Life'!C:D,2,0),"")</f>
        <v>I use my phone to make a phone call.</v>
      </c>
      <c r="J12" s="19"/>
    </row>
    <row r="13" spans="1:10" x14ac:dyDescent="0.25">
      <c r="A13">
        <f t="shared" si="1"/>
        <v>10</v>
      </c>
      <c r="B13">
        <f t="shared" ca="1" si="0"/>
        <v>18</v>
      </c>
      <c r="C13" s="1">
        <f ca="1">IFERROR($C$1-1+_xlfn.RANK.EQ(B13,$B$4:$B$78)+COUNTIF(B$4:$B13,B13)-1,"")</f>
        <v>29</v>
      </c>
      <c r="D13" s="1" t="str">
        <f ca="1">IFERROR(VLOOKUP(C13,'The IT Life'!A:B,2,0),"")</f>
        <v>8.3</v>
      </c>
      <c r="E13" t="str">
        <f ca="1">IFERROR(VLOOKUP(D13&amp;"Viet",'The IT Life'!C:D,2,0),"")</f>
        <v>Điện thoại của tôi đang nằm ngoài vùng phủ sóng do tôi đang ở trong rừng.</v>
      </c>
      <c r="F13" t="str">
        <f ca="1">IFERROR(VLOOKUP(D13&amp;"Eng",'The IT Life'!C:D,2,0),"")</f>
        <v>My cell phone is out of service now because I am in the forest.</v>
      </c>
      <c r="J13" s="19" t="s">
        <v>453</v>
      </c>
    </row>
    <row r="14" spans="1:10" x14ac:dyDescent="0.25">
      <c r="A14">
        <f t="shared" si="1"/>
        <v>11</v>
      </c>
      <c r="B14">
        <f t="shared" ca="1" si="0"/>
        <v>5</v>
      </c>
      <c r="C14" s="1">
        <f ca="1">IFERROR($C$1-1+_xlfn.RANK.EQ(B14,$B$4:$B$78)+COUNTIF(B$4:$B14,B14)-1,"")</f>
        <v>41</v>
      </c>
      <c r="D14" s="1" t="str">
        <f ca="1">IFERROR(VLOOKUP(C14,'The IT Life'!A:B,2,0),"")</f>
        <v>12.1</v>
      </c>
      <c r="E14" t="str">
        <f ca="1">IFERROR(VLOOKUP(D14&amp;"Viet",'The IT Life'!C:D,2,0),"")</f>
        <v>Tôi có thể làm việc thông qua facebook.</v>
      </c>
      <c r="F14" t="str">
        <f ca="1">IFERROR(VLOOKUP(D14&amp;"Eng",'The IT Life'!C:D,2,0),"")</f>
        <v>I can work via facebook.</v>
      </c>
    </row>
    <row r="15" spans="1:10" x14ac:dyDescent="0.25">
      <c r="A15">
        <f t="shared" si="1"/>
        <v>12</v>
      </c>
      <c r="B15">
        <f t="shared" ca="1" si="0"/>
        <v>49</v>
      </c>
      <c r="C15" s="1">
        <f ca="1">IFERROR($C$1-1+_xlfn.RANK.EQ(B15,$B$4:$B$78)+COUNTIF(B$4:$B15,B15)-1,"")</f>
        <v>1</v>
      </c>
      <c r="D15" s="1" t="str">
        <f ca="1">IFERROR(VLOOKUP(C15,'The IT Life'!A:B,2,0),"")</f>
        <v>1.1</v>
      </c>
      <c r="E15" t="str">
        <f ca="1">IFERROR(VLOOKUP(D15&amp;"Viet",'The IT Life'!C:D,2,0),"")</f>
        <v>Tôi chỉnh điện thoại sang chế độ yên lặng.</v>
      </c>
      <c r="F15" t="str">
        <f ca="1">IFERROR(VLOOKUP(D15&amp;"Eng",'The IT Life'!C:D,2,0),"")</f>
        <v>I set my cell phone to silent mode.</v>
      </c>
      <c r="J15" t="s">
        <v>454</v>
      </c>
    </row>
    <row r="16" spans="1:10" x14ac:dyDescent="0.25">
      <c r="A16">
        <f t="shared" si="1"/>
        <v>13</v>
      </c>
      <c r="B16">
        <f t="shared" ca="1" si="0"/>
        <v>35</v>
      </c>
      <c r="C16" s="1">
        <f ca="1">IFERROR($C$1-1+_xlfn.RANK.EQ(B16,$B$4:$B$78)+COUNTIF(B$4:$B16,B16)-1,"")</f>
        <v>13</v>
      </c>
      <c r="D16" s="1" t="str">
        <f ca="1">IFERROR(VLOOKUP(C16,'The IT Life'!A:B,2,0),"")</f>
        <v>4.2</v>
      </c>
      <c r="E16" t="str">
        <f ca="1">IFERROR(VLOOKUP(D16&amp;"Viet",'The IT Life'!C:D,2,0),"")</f>
        <v>Tôi quay phim bằng camera điện thoại rồi gửi đi.</v>
      </c>
      <c r="F16" t="str">
        <f ca="1">IFERROR(VLOOKUP(D16&amp;"Eng",'The IT Life'!C:D,2,0),"")</f>
        <v>I record a video with my cell phone and send it.</v>
      </c>
    </row>
    <row r="17" spans="1:6" x14ac:dyDescent="0.25">
      <c r="A17">
        <f t="shared" si="1"/>
        <v>14</v>
      </c>
      <c r="B17">
        <f t="shared" ca="1" si="0"/>
        <v>38</v>
      </c>
      <c r="C17" s="1">
        <f ca="1">IFERROR($C$1-1+_xlfn.RANK.EQ(B17,$B$4:$B$78)+COUNTIF(B$4:$B17,B17)-1,"")</f>
        <v>8</v>
      </c>
      <c r="D17" s="1" t="str">
        <f ca="1">IFERROR(VLOOKUP(C17,'The IT Life'!A:B,2,0),"")</f>
        <v>3.1</v>
      </c>
      <c r="E17" t="str">
        <f ca="1">IFERROR(VLOOKUP(D17&amp;"Viet",'The IT Life'!C:D,2,0),"")</f>
        <v>Tôi kết nối máy in với máy tính.</v>
      </c>
      <c r="F17" t="str">
        <f ca="1">IFERROR(VLOOKUP(D17&amp;"Eng",'The IT Life'!C:D,2,0),"")</f>
        <v>I connect the printer to the computer.</v>
      </c>
    </row>
    <row r="18" spans="1:6" ht="12.6" customHeight="1" x14ac:dyDescent="0.25">
      <c r="A18">
        <f t="shared" si="1"/>
        <v>15</v>
      </c>
      <c r="B18">
        <f t="shared" ca="1" si="0"/>
        <v>45</v>
      </c>
      <c r="C18" s="1">
        <f ca="1">IFERROR($C$1-1+_xlfn.RANK.EQ(B18,$B$4:$B$78)+COUNTIF(B$4:$B18,B18)-1,"")</f>
        <v>4</v>
      </c>
      <c r="D18" s="1" t="str">
        <f ca="1">IFERROR(VLOOKUP(C18,'The IT Life'!A:B,2,0),"")</f>
        <v>1.4</v>
      </c>
      <c r="E18" t="str">
        <f ca="1">IFERROR(VLOOKUP(D18&amp;"Viet",'The IT Life'!C:D,2,0),"")</f>
        <v>Tôi chỉnh điện thoại sang chế độ phòng họp.</v>
      </c>
      <c r="F18" t="str">
        <f ca="1">IFERROR(VLOOKUP(D18&amp;"Eng",'The IT Life'!C:D,2,0),"")</f>
        <v>I set my cell phone to meeting mode.</v>
      </c>
    </row>
    <row r="19" spans="1:6" x14ac:dyDescent="0.25">
      <c r="A19">
        <f t="shared" si="1"/>
        <v>16</v>
      </c>
      <c r="B19">
        <f t="shared" ca="1" si="0"/>
        <v>49</v>
      </c>
      <c r="C19" s="1">
        <f ca="1">IFERROR($C$1-1+_xlfn.RANK.EQ(B19,$B$4:$B$78)+COUNTIF(B$4:$B19,B19)-1,"")</f>
        <v>2</v>
      </c>
      <c r="D19" s="1" t="str">
        <f ca="1">IFERROR(VLOOKUP(C19,'The IT Life'!A:B,2,0),"")</f>
        <v>1.2</v>
      </c>
      <c r="E19" t="str">
        <f ca="1">IFERROR(VLOOKUP(D19&amp;"Viet",'The IT Life'!C:D,2,0),"")</f>
        <v>Tôi chỉnh điện thoại sang chế độ máy bay.</v>
      </c>
      <c r="F19" t="str">
        <f ca="1">IFERROR(VLOOKUP(D19&amp;"Eng",'The IT Life'!C:D,2,0),"")</f>
        <v>I set my cell phone to airplane mode.</v>
      </c>
    </row>
    <row r="20" spans="1:6" x14ac:dyDescent="0.25">
      <c r="A20">
        <f t="shared" si="1"/>
        <v>17</v>
      </c>
      <c r="B20">
        <f t="shared" ca="1" si="0"/>
        <v>29</v>
      </c>
      <c r="C20" s="1">
        <f ca="1">IFERROR($C$1-1+_xlfn.RANK.EQ(B20,$B$4:$B$78)+COUNTIF(B$4:$B20,B20)-1,"")</f>
        <v>22</v>
      </c>
      <c r="D20" s="1" t="str">
        <f ca="1">IFERROR(VLOOKUP(C20,'The IT Life'!A:B,2,0),"")</f>
        <v>6.4</v>
      </c>
      <c r="E20" t="str">
        <f ca="1">IFERROR(VLOOKUP(D20&amp;"Viet",'The IT Life'!C:D,2,0),"")</f>
        <v>Tôi đặt một đường link trong phần mô tả của mình.</v>
      </c>
      <c r="F20" t="str">
        <f ca="1">IFERROR(VLOOKUP(D20&amp;"Eng",'The IT Life'!C:D,2,0),"")</f>
        <v>I put a link in my description.</v>
      </c>
    </row>
    <row r="21" spans="1:6" x14ac:dyDescent="0.25">
      <c r="A21">
        <f t="shared" si="1"/>
        <v>18</v>
      </c>
      <c r="B21">
        <f t="shared" ca="1" si="0"/>
        <v>32</v>
      </c>
      <c r="C21" s="1">
        <f ca="1">IFERROR($C$1-1+_xlfn.RANK.EQ(B21,$B$4:$B$78)+COUNTIF(B$4:$B21,B21)-1,"")</f>
        <v>19</v>
      </c>
      <c r="D21" s="1" t="str">
        <f ca="1">IFERROR(VLOOKUP(C21,'The IT Life'!A:B,2,0),"")</f>
        <v>6.1</v>
      </c>
      <c r="E21" t="str">
        <f ca="1">IFERROR(VLOOKUP(D21&amp;"Viet",'The IT Life'!C:D,2,0),"")</f>
        <v>Tôi đặt một đường link trong bài đăng của mình.</v>
      </c>
      <c r="F21" t="str">
        <f ca="1">IFERROR(VLOOKUP(D21&amp;"Eng",'The IT Life'!C:D,2,0),"")</f>
        <v>I put a link in my post.</v>
      </c>
    </row>
    <row r="22" spans="1:6" x14ac:dyDescent="0.25">
      <c r="A22">
        <f t="shared" si="1"/>
        <v>19</v>
      </c>
      <c r="B22">
        <f t="shared" ca="1" si="0"/>
        <v>37</v>
      </c>
      <c r="C22" s="1">
        <f ca="1">IFERROR($C$1-1+_xlfn.RANK.EQ(B22,$B$4:$B$78)+COUNTIF(B$4:$B22,B22)-1,"")</f>
        <v>10</v>
      </c>
      <c r="D22" s="1" t="str">
        <f ca="1">IFERROR(VLOOKUP(C22,'The IT Life'!A:B,2,0),"")</f>
        <v>3.3</v>
      </c>
      <c r="E22" t="str">
        <f ca="1">IFERROR(VLOOKUP(D22&amp;"Viet",'The IT Life'!C:D,2,0),"")</f>
        <v>Tôi kết nối điện thoại với máy tính.</v>
      </c>
      <c r="F22" t="str">
        <f ca="1">IFERROR(VLOOKUP(D22&amp;"Eng",'The IT Life'!C:D,2,0),"")</f>
        <v>I connect my smartphone to the computer.</v>
      </c>
    </row>
    <row r="23" spans="1:6" x14ac:dyDescent="0.25">
      <c r="A23">
        <f t="shared" si="1"/>
        <v>20</v>
      </c>
      <c r="B23">
        <f t="shared" ca="1" si="0"/>
        <v>32</v>
      </c>
      <c r="C23" s="1">
        <f ca="1">IFERROR($C$1-1+_xlfn.RANK.EQ(B23,$B$4:$B$78)+COUNTIF(B$4:$B23,B23)-1,"")</f>
        <v>20</v>
      </c>
      <c r="D23" s="1" t="str">
        <f ca="1">IFERROR(VLOOKUP(C23,'The IT Life'!A:B,2,0),"")</f>
        <v>6.2</v>
      </c>
      <c r="E23" t="str">
        <f ca="1">IFERROR(VLOOKUP(D23&amp;"Viet",'The IT Life'!C:D,2,0),"")</f>
        <v>Tôi đặt một đường link trong hình ảnh của mình.</v>
      </c>
      <c r="F23" t="str">
        <f ca="1">IFERROR(VLOOKUP(D23&amp;"Eng",'The IT Life'!C:D,2,0),"")</f>
        <v>I put a link in my image.</v>
      </c>
    </row>
    <row r="24" spans="1:6" x14ac:dyDescent="0.25">
      <c r="A24">
        <f t="shared" si="1"/>
        <v>21</v>
      </c>
      <c r="B24">
        <f t="shared" ca="1" si="0"/>
        <v>2</v>
      </c>
      <c r="C24" s="1">
        <f ca="1">IFERROR($C$1-1+_xlfn.RANK.EQ(B24,$B$4:$B$78)+COUNTIF(B$4:$B24,B24)-1,"")</f>
        <v>46</v>
      </c>
      <c r="D24" s="1" t="str">
        <f ca="1">IFERROR(VLOOKUP(C24,'The IT Life'!A:B,2,0),"")</f>
        <v>13.1</v>
      </c>
      <c r="E24" t="str">
        <f ca="1">IFERROR(VLOOKUP(D24&amp;"Viet",'The IT Life'!C:D,2,0),"")</f>
        <v>Công nghệ làm cho đời sống của tôi dễ dàng hơn.</v>
      </c>
      <c r="F24" t="str">
        <f ca="1">IFERROR(VLOOKUP(D24&amp;"Eng",'The IT Life'!C:D,2,0),"")</f>
        <v>Technology has made my life easier.</v>
      </c>
    </row>
    <row r="25" spans="1:6" x14ac:dyDescent="0.25">
      <c r="A25">
        <f t="shared" si="1"/>
        <v>22</v>
      </c>
      <c r="B25">
        <f t="shared" ca="1" si="0"/>
        <v>35</v>
      </c>
      <c r="C25" s="1">
        <f ca="1">IFERROR($C$1-1+_xlfn.RANK.EQ(B25,$B$4:$B$78)+COUNTIF(B$4:$B25,B25)-1,"")</f>
        <v>14</v>
      </c>
      <c r="D25" s="1" t="str">
        <f ca="1">IFERROR(VLOOKUP(C25,'The IT Life'!A:B,2,0),"")</f>
        <v>4.3</v>
      </c>
      <c r="E25" t="str">
        <f ca="1">IFERROR(VLOOKUP(D25&amp;"Viet",'The IT Life'!C:D,2,0),"")</f>
        <v>Tôi đánh một tin nhắn bằng điện thoại rồi gửi đi.</v>
      </c>
      <c r="F25" t="str">
        <f ca="1">IFERROR(VLOOKUP(D25&amp;"Eng",'The IT Life'!C:D,2,0),"")</f>
        <v>I text a message with my cell phone and send it.</v>
      </c>
    </row>
    <row r="26" spans="1:6" x14ac:dyDescent="0.25">
      <c r="A26">
        <f t="shared" si="1"/>
        <v>23</v>
      </c>
      <c r="B26">
        <f t="shared" ca="1" si="0"/>
        <v>3</v>
      </c>
      <c r="C26" s="1">
        <f ca="1">IFERROR($C$1-1+_xlfn.RANK.EQ(B26,$B$4:$B$78)+COUNTIF(B$4:$B26,B26)-1,"")</f>
        <v>45</v>
      </c>
      <c r="D26" s="1" t="str">
        <f ca="1">IFERROR(VLOOKUP(C26,'The IT Life'!A:B,2,0),"")</f>
        <v>12.5</v>
      </c>
      <c r="E26" t="str">
        <f ca="1">IFERROR(VLOOKUP(D26&amp;"Viet",'The IT Life'!C:D,2,0),"")</f>
        <v>Tôi có thể cập nhật tin tức và sự kiện đang diễn ra thông qua facebook.</v>
      </c>
      <c r="F26" t="str">
        <f ca="1">IFERROR(VLOOKUP(D26&amp;"Eng",'The IT Life'!C:D,2,0),"")</f>
        <v>I stay up-to-date with news and current events via facebook.</v>
      </c>
    </row>
    <row r="27" spans="1:6" x14ac:dyDescent="0.25">
      <c r="A27">
        <f t="shared" si="1"/>
        <v>24</v>
      </c>
      <c r="B27">
        <f t="shared" ca="1" si="0"/>
        <v>21</v>
      </c>
      <c r="C27" s="1">
        <f ca="1">IFERROR($C$1-1+_xlfn.RANK.EQ(B27,$B$4:$B$78)+COUNTIF(B$4:$B27,B27)-1,"")</f>
        <v>28</v>
      </c>
      <c r="D27" s="1" t="str">
        <f ca="1">IFERROR(VLOOKUP(C27,'The IT Life'!A:B,2,0),"")</f>
        <v>8.2</v>
      </c>
      <c r="E27" t="str">
        <f ca="1">IFERROR(VLOOKUP(D27&amp;"Viet",'The IT Life'!C:D,2,0),"")</f>
        <v>Điện thoại của tôi đang nằm ngoài vùng phủ sóng do tôi đang bật chế độ máy bay.</v>
      </c>
      <c r="F27" t="str">
        <f ca="1">IFERROR(VLOOKUP(D27&amp;"Eng",'The IT Life'!C:D,2,0),"")</f>
        <v>My cell phone is out of service now because I turn on the airplane mode.</v>
      </c>
    </row>
    <row r="28" spans="1:6" x14ac:dyDescent="0.25">
      <c r="A28">
        <f t="shared" si="1"/>
        <v>25</v>
      </c>
      <c r="B28">
        <f t="shared" ca="1" si="0"/>
        <v>34</v>
      </c>
      <c r="C28" s="1">
        <f ca="1">IFERROR($C$1-1+_xlfn.RANK.EQ(B28,$B$4:$B$78)+COUNTIF(B$4:$B28,B28)-1,"")</f>
        <v>16</v>
      </c>
      <c r="D28" s="1" t="str">
        <f ca="1">IFERROR(VLOOKUP(C28,'The IT Life'!A:B,2,0),"")</f>
        <v>5.1</v>
      </c>
      <c r="E28" t="str">
        <f ca="1">IFERROR(VLOOKUP(D28&amp;"Viet",'The IT Life'!C:D,2,0),"")</f>
        <v>Tôi trả lời một tin nhắn.</v>
      </c>
      <c r="F28" t="str">
        <f ca="1">IFERROR(VLOOKUP(D28&amp;"Eng",'The IT Life'!C:D,2,0),"")</f>
        <v>I respond to a message.</v>
      </c>
    </row>
    <row r="29" spans="1:6" x14ac:dyDescent="0.25">
      <c r="A29">
        <f t="shared" si="1"/>
        <v>26</v>
      </c>
      <c r="B29">
        <f t="shared" ca="1" si="0"/>
        <v>8</v>
      </c>
      <c r="C29" s="1">
        <f ca="1">IFERROR($C$1-1+_xlfn.RANK.EQ(B29,$B$4:$B$78)+COUNTIF(B$4:$B29,B29)-1,"")</f>
        <v>39</v>
      </c>
      <c r="D29" s="1" t="str">
        <f ca="1">IFERROR(VLOOKUP(C29,'The IT Life'!A:B,2,0),"")</f>
        <v>11.3</v>
      </c>
      <c r="E29" t="str">
        <f ca="1">IFERROR(VLOOKUP(D29&amp;"Viet",'The IT Life'!C:D,2,0),"")</f>
        <v>Hình ảnh của Mỹ Tâm được đăng tải trên fanpage của cô ấy.</v>
      </c>
      <c r="F29" t="str">
        <f ca="1">IFERROR(VLOOKUP(D29&amp;"Eng",'The IT Life'!C:D,2,0),"")</f>
        <v>My Tam’s photos have been uploaded on her fanpage.</v>
      </c>
    </row>
    <row r="30" spans="1:6" x14ac:dyDescent="0.25">
      <c r="A30">
        <f t="shared" si="1"/>
        <v>27</v>
      </c>
      <c r="B30">
        <f t="shared" ca="1" si="0"/>
        <v>25</v>
      </c>
      <c r="C30" s="1">
        <f ca="1">IFERROR($C$1-1+_xlfn.RANK.EQ(B30,$B$4:$B$78)+COUNTIF(B$4:$B30,B30)-1,"")</f>
        <v>26</v>
      </c>
      <c r="D30" s="1" t="str">
        <f ca="1">IFERROR(VLOOKUP(C30,'The IT Life'!A:B,2,0),"")</f>
        <v>7.4</v>
      </c>
      <c r="E30" t="str">
        <f ca="1">IFERROR(VLOOKUP(D30&amp;"Viet",'The IT Life'!C:D,2,0),"")</f>
        <v>Tôi dùng điện thoại để gửi tin nhắn.</v>
      </c>
      <c r="F30" t="str">
        <f ca="1">IFERROR(VLOOKUP(D30&amp;"Eng",'The IT Life'!C:D,2,0),"")</f>
        <v>I use my phone to send messages.</v>
      </c>
    </row>
    <row r="31" spans="1:6" x14ac:dyDescent="0.25">
      <c r="A31">
        <f t="shared" si="1"/>
        <v>28</v>
      </c>
      <c r="B31">
        <f t="shared" ca="1" si="0"/>
        <v>7</v>
      </c>
      <c r="C31" s="1">
        <f ca="1">IFERROR($C$1-1+_xlfn.RANK.EQ(B31,$B$4:$B$78)+COUNTIF(B$4:$B31,B31)-1,"")</f>
        <v>40</v>
      </c>
      <c r="D31" s="1" t="str">
        <f ca="1">IFERROR(VLOOKUP(C31,'The IT Life'!A:B,2,0),"")</f>
        <v>11.4</v>
      </c>
      <c r="E31" t="str">
        <f ca="1">IFERROR(VLOOKUP(D31&amp;"Viet",'The IT Life'!C:D,2,0),"")</f>
        <v>Hình của tôi đã được đăng tải trên facebook.</v>
      </c>
      <c r="F31" t="str">
        <f ca="1">IFERROR(VLOOKUP(D31&amp;"Eng",'The IT Life'!C:D,2,0),"")</f>
        <v>My photo has been uploaded on facebook.</v>
      </c>
    </row>
    <row r="32" spans="1:6" x14ac:dyDescent="0.25">
      <c r="A32">
        <f t="shared" si="1"/>
        <v>29</v>
      </c>
      <c r="B32">
        <f t="shared" ca="1" si="0"/>
        <v>5</v>
      </c>
      <c r="C32" s="1">
        <f ca="1">IFERROR($C$1-1+_xlfn.RANK.EQ(B32,$B$4:$B$78)+COUNTIF(B$4:$B32,B32)-1,"")</f>
        <v>42</v>
      </c>
      <c r="D32" s="1" t="str">
        <f ca="1">IFERROR(VLOOKUP(C32,'The IT Life'!A:B,2,0),"")</f>
        <v>12.2</v>
      </c>
      <c r="E32" t="str">
        <f ca="1">IFERROR(VLOOKUP(D32&amp;"Viet",'The IT Life'!C:D,2,0),"")</f>
        <v>Tôi có thể học thông qua facebook.</v>
      </c>
      <c r="F32" t="str">
        <f ca="1">IFERROR(VLOOKUP(D32&amp;"Eng",'The IT Life'!C:D,2,0),"")</f>
        <v>I can study via facebook.</v>
      </c>
    </row>
    <row r="33" spans="1:6" x14ac:dyDescent="0.25">
      <c r="A33">
        <f t="shared" si="1"/>
        <v>30</v>
      </c>
      <c r="B33">
        <f t="shared" ca="1" si="0"/>
        <v>35</v>
      </c>
      <c r="C33" s="1">
        <f ca="1">IFERROR($C$1-1+_xlfn.RANK.EQ(B33,$B$4:$B$78)+COUNTIF(B$4:$B33,B33)-1,"")</f>
        <v>15</v>
      </c>
      <c r="D33" s="1" t="str">
        <f ca="1">IFERROR(VLOOKUP(C33,'The IT Life'!A:B,2,0),"")</f>
        <v>4.4</v>
      </c>
      <c r="E33" t="str">
        <f ca="1">IFERROR(VLOOKUP(D33&amp;"Viet",'The IT Life'!C:D,2,0),"")</f>
        <v>Tôi thu âm bằng điện thoại rồi gửi đi.</v>
      </c>
      <c r="F33" t="str">
        <f ca="1">IFERROR(VLOOKUP(D33&amp;"Eng",'The IT Life'!C:D,2,0),"")</f>
        <v>I record with my cell phone and send it.</v>
      </c>
    </row>
    <row r="34" spans="1:6" x14ac:dyDescent="0.25">
      <c r="A34">
        <f t="shared" si="1"/>
        <v>31</v>
      </c>
      <c r="B34">
        <f t="shared" ca="1" si="0"/>
        <v>10</v>
      </c>
      <c r="C34" s="1">
        <f ca="1">IFERROR($C$1-1+_xlfn.RANK.EQ(B34,$B$4:$B$78)+COUNTIF(B$4:$B34,B34)-1,"")</f>
        <v>36</v>
      </c>
      <c r="D34" s="1" t="str">
        <f ca="1">IFERROR(VLOOKUP(C34,'The IT Life'!A:B,2,0),"")</f>
        <v>10.4</v>
      </c>
      <c r="E34" t="str">
        <f ca="1">IFERROR(VLOOKUP(D34&amp;"Viet",'The IT Life'!C:D,2,0),"")</f>
        <v>Tôi đã cập nhật hình mới sau chuyến đi chơi.</v>
      </c>
      <c r="F34" t="str">
        <f ca="1">IFERROR(VLOOKUP(D34&amp;"Eng",'The IT Life'!C:D,2,0),"")</f>
        <v>I’ve updated my photos after my trip.</v>
      </c>
    </row>
    <row r="35" spans="1:6" x14ac:dyDescent="0.25">
      <c r="A35">
        <f t="shared" si="1"/>
        <v>32</v>
      </c>
      <c r="B35">
        <f t="shared" ca="1" si="0"/>
        <v>30</v>
      </c>
      <c r="C35" s="1">
        <f ca="1">IFERROR($C$1-1+_xlfn.RANK.EQ(B35,$B$4:$B$78)+COUNTIF(B$4:$B35,B35)-1,"")</f>
        <v>21</v>
      </c>
      <c r="D35" s="1" t="str">
        <f ca="1">IFERROR(VLOOKUP(C35,'The IT Life'!A:B,2,0),"")</f>
        <v>6.3</v>
      </c>
      <c r="E35" t="str">
        <f ca="1">IFERROR(VLOOKUP(D35&amp;"Viet",'The IT Life'!C:D,2,0),"")</f>
        <v>Tôi đặt một đường link trong email của mình.</v>
      </c>
      <c r="F35" t="str">
        <f ca="1">IFERROR(VLOOKUP(D35&amp;"Eng",'The IT Life'!C:D,2,0),"")</f>
        <v>I put a link in my email.</v>
      </c>
    </row>
    <row r="36" spans="1:6" x14ac:dyDescent="0.25">
      <c r="A36">
        <f t="shared" si="1"/>
        <v>33</v>
      </c>
      <c r="B36">
        <f t="shared" ca="1" si="0"/>
        <v>9</v>
      </c>
      <c r="C36" s="1">
        <f ca="1">IFERROR($C$1-1+_xlfn.RANK.EQ(B36,$B$4:$B$78)+COUNTIF(B$4:$B36,B36)-1,"")</f>
        <v>38</v>
      </c>
      <c r="D36" s="1" t="str">
        <f ca="1">IFERROR(VLOOKUP(C36,'The IT Life'!A:B,2,0),"")</f>
        <v>11.2</v>
      </c>
      <c r="E36" t="str">
        <f ca="1">IFERROR(VLOOKUP(D36&amp;"Viet",'The IT Life'!C:D,2,0),"")</f>
        <v>Video mới của cô ấy được đăng tải lên facebook.</v>
      </c>
      <c r="F36" t="str">
        <f ca="1">IFERROR(VLOOKUP(D36&amp;"Eng",'The IT Life'!C:D,2,0),"")</f>
        <v>Her new video has been uploaded on facebook.</v>
      </c>
    </row>
    <row r="37" spans="1:6" x14ac:dyDescent="0.25">
      <c r="A37">
        <f t="shared" si="1"/>
        <v>34</v>
      </c>
      <c r="B37">
        <f t="shared" ca="1" si="0"/>
        <v>13</v>
      </c>
      <c r="C37" s="1">
        <f ca="1">IFERROR($C$1-1+_xlfn.RANK.EQ(B37,$B$4:$B$78)+COUNTIF(B$4:$B37,B37)-1,"")</f>
        <v>34</v>
      </c>
      <c r="D37" s="1" t="str">
        <f ca="1">IFERROR(VLOOKUP(C37,'The IT Life'!A:B,2,0),"")</f>
        <v>10.2</v>
      </c>
      <c r="E37" t="str">
        <f ca="1">IFERROR(VLOOKUP(D37&amp;"Viet",'The IT Life'!C:D,2,0),"")</f>
        <v>Tôi đã cập nhật trang này trong suốt chuyến công tác.</v>
      </c>
      <c r="F37" t="str">
        <f ca="1">IFERROR(VLOOKUP(D37&amp;"Eng",'The IT Life'!C:D,2,0),"")</f>
        <v>I’ve updated this page during my business trip.</v>
      </c>
    </row>
    <row r="38" spans="1:6" x14ac:dyDescent="0.25">
      <c r="A38">
        <f t="shared" si="1"/>
        <v>35</v>
      </c>
      <c r="B38">
        <f t="shared" ca="1" si="0"/>
        <v>28</v>
      </c>
      <c r="C38" s="1">
        <f ca="1">IFERROR($C$1-1+_xlfn.RANK.EQ(B38,$B$4:$B$78)+COUNTIF(B$4:$B38,B38)-1,"")</f>
        <v>24</v>
      </c>
      <c r="D38" s="1" t="str">
        <f ca="1">IFERROR(VLOOKUP(C38,'The IT Life'!A:B,2,0),"")</f>
        <v>7.2</v>
      </c>
      <c r="E38" t="str">
        <f ca="1">IFERROR(VLOOKUP(D38&amp;"Viet",'The IT Life'!C:D,2,0),"")</f>
        <v>Tôi dùng điện thoại để chụp hình.</v>
      </c>
      <c r="F38" t="str">
        <f ca="1">IFERROR(VLOOKUP(D38&amp;"Eng",'The IT Life'!C:D,2,0),"")</f>
        <v>I use my phone to take photos.</v>
      </c>
    </row>
    <row r="39" spans="1:6" x14ac:dyDescent="0.25">
      <c r="A39">
        <f t="shared" si="1"/>
        <v>36</v>
      </c>
      <c r="B39">
        <f t="shared" ca="1" si="0"/>
        <v>12</v>
      </c>
      <c r="C39" s="1">
        <f ca="1">IFERROR($C$1-1+_xlfn.RANK.EQ(B39,$B$4:$B$78)+COUNTIF(B$4:$B39,B39)-1,"")</f>
        <v>35</v>
      </c>
      <c r="D39" s="1" t="str">
        <f ca="1">IFERROR(VLOOKUP(C39,'The IT Life'!A:B,2,0),"")</f>
        <v>10.3</v>
      </c>
      <c r="E39" t="str">
        <f ca="1">IFERROR(VLOOKUP(D39&amp;"Viet",'The IT Life'!C:D,2,0),"")</f>
        <v>Tôi đã cập nhật hình ảnh đại diện mới trên facebook.</v>
      </c>
      <c r="F39" t="str">
        <f ca="1">IFERROR(VLOOKUP(D39&amp;"Eng",'The IT Life'!C:D,2,0),"")</f>
        <v>I’ve updated my new profile picture on facebook.</v>
      </c>
    </row>
    <row r="40" spans="1:6" x14ac:dyDescent="0.25">
      <c r="A40">
        <f t="shared" si="1"/>
        <v>37</v>
      </c>
      <c r="B40">
        <f t="shared" ca="1" si="0"/>
        <v>16</v>
      </c>
      <c r="C40" s="1">
        <f ca="1">IFERROR($C$1-1+_xlfn.RANK.EQ(B40,$B$4:$B$78)+COUNTIF(B$4:$B40,B40)-1,"")</f>
        <v>30</v>
      </c>
      <c r="D40" s="1" t="str">
        <f ca="1">IFERROR(VLOOKUP(C40,'The IT Life'!A:B,2,0),"")</f>
        <v>9.1</v>
      </c>
      <c r="E40" t="str">
        <f ca="1">IFERROR(VLOOKUP(D40&amp;"Viet",'The IT Life'!C:D,2,0),"")</f>
        <v>Trang web này quá nặng để lướt.</v>
      </c>
      <c r="F40" t="str">
        <f ca="1">IFERROR(VLOOKUP(D40&amp;"Eng",'The IT Life'!C:D,2,0),"")</f>
        <v>This site is too heavy to browse.</v>
      </c>
    </row>
    <row r="41" spans="1:6" x14ac:dyDescent="0.25">
      <c r="A41">
        <f t="shared" si="1"/>
        <v>38</v>
      </c>
      <c r="B41">
        <f t="shared" ca="1" si="0"/>
        <v>38</v>
      </c>
      <c r="C41" s="1">
        <f ca="1">IFERROR($C$1-1+_xlfn.RANK.EQ(B41,$B$4:$B$78)+COUNTIF(B$4:$B41,B41)-1,"")</f>
        <v>9</v>
      </c>
      <c r="D41" s="1" t="str">
        <f ca="1">IFERROR(VLOOKUP(C41,'The IT Life'!A:B,2,0),"")</f>
        <v>3.2</v>
      </c>
      <c r="E41" t="str">
        <f ca="1">IFERROR(VLOOKUP(D41&amp;"Viet",'The IT Life'!C:D,2,0),"")</f>
        <v>Tôi kết nối điện thoại với cái loa bluetooth.</v>
      </c>
      <c r="F41" t="str">
        <f ca="1">IFERROR(VLOOKUP(D41&amp;"Eng",'The IT Life'!C:D,2,0),"")</f>
        <v>I connect my smartphone to the bluetooth speaker.</v>
      </c>
    </row>
    <row r="42" spans="1:6" x14ac:dyDescent="0.25">
      <c r="A42">
        <f t="shared" si="1"/>
        <v>39</v>
      </c>
      <c r="B42">
        <f t="shared" ca="1" si="0"/>
        <v>15</v>
      </c>
      <c r="C42" s="1">
        <f ca="1">IFERROR($C$1-1+_xlfn.RANK.EQ(B42,$B$4:$B$78)+COUNTIF(B$4:$B42,B42)-1,"")</f>
        <v>32</v>
      </c>
      <c r="D42" s="1" t="str">
        <f ca="1">IFERROR(VLOOKUP(C42,'The IT Life'!A:B,2,0),"")</f>
        <v>9.3</v>
      </c>
      <c r="E42" t="str">
        <f ca="1">IFERROR(VLOOKUP(D42&amp;"Viet",'The IT Life'!C:D,2,0),"")</f>
        <v>Trang nhạc này quá nặng để lướt.</v>
      </c>
      <c r="F42" t="str">
        <f ca="1">IFERROR(VLOOKUP(D42&amp;"Eng",'The IT Life'!C:D,2,0),"")</f>
        <v>This music site is too heavy to browse.</v>
      </c>
    </row>
    <row r="43" spans="1:6" x14ac:dyDescent="0.25">
      <c r="A43">
        <f t="shared" si="1"/>
        <v>40</v>
      </c>
      <c r="B43">
        <f t="shared" ca="1" si="0"/>
        <v>1</v>
      </c>
      <c r="C43" s="1">
        <f ca="1">IFERROR($C$1-1+_xlfn.RANK.EQ(B43,$B$4:$B$78)+COUNTIF(B$4:$B43,B43)-1,"")</f>
        <v>49</v>
      </c>
      <c r="D43" s="1" t="str">
        <f ca="1">IFERROR(VLOOKUP(C43,'The IT Life'!A:B,2,0),"")</f>
        <v>13.4</v>
      </c>
      <c r="E43" t="str">
        <f ca="1">IFERROR(VLOOKUP(D43&amp;"Viet",'The IT Life'!C:D,2,0),"")</f>
        <v>Công nghệ làm cho đời sống của tôi thoải mái hơn.</v>
      </c>
      <c r="F43" t="str">
        <f ca="1">IFERROR(VLOOKUP(D43&amp;"Eng",'The IT Life'!C:D,2,0),"")</f>
        <v>Technology has made my life more comfortable.</v>
      </c>
    </row>
    <row r="44" spans="1:6" x14ac:dyDescent="0.25">
      <c r="A44">
        <f t="shared" si="1"/>
        <v>41</v>
      </c>
      <c r="B44">
        <f t="shared" ca="1" si="0"/>
        <v>4</v>
      </c>
      <c r="C44" s="1">
        <f ca="1">IFERROR($C$1-1+_xlfn.RANK.EQ(B44,$B$4:$B$78)+COUNTIF(B$4:$B44,B44)-1,"")</f>
        <v>44</v>
      </c>
      <c r="D44" s="1" t="str">
        <f ca="1">IFERROR(VLOOKUP(C44,'The IT Life'!A:B,2,0),"")</f>
        <v>12.4</v>
      </c>
      <c r="E44" t="str">
        <f ca="1">IFERROR(VLOOKUP(D44&amp;"Viet",'The IT Life'!C:D,2,0),"")</f>
        <v>Tôi có thể kết nối với bạn bè thông qua facebook.</v>
      </c>
      <c r="F44" t="str">
        <f ca="1">IFERROR(VLOOKUP(D44&amp;"Eng",'The IT Life'!C:D,2,0),"")</f>
        <v>I can connect with my friends via facebook.</v>
      </c>
    </row>
    <row r="45" spans="1:6" x14ac:dyDescent="0.25">
      <c r="A45">
        <f t="shared" si="1"/>
        <v>42</v>
      </c>
      <c r="B45">
        <f t="shared" ca="1" si="0"/>
        <v>37</v>
      </c>
      <c r="C45" s="1">
        <f ca="1">IFERROR($C$1-1+_xlfn.RANK.EQ(B45,$B$4:$B$78)+COUNTIF(B$4:$B45,B45)-1,"")</f>
        <v>11</v>
      </c>
      <c r="D45" s="1" t="str">
        <f ca="1">IFERROR(VLOOKUP(C45,'The IT Life'!A:B,2,0),"")</f>
        <v>3.4</v>
      </c>
      <c r="E45" t="str">
        <f ca="1">IFERROR(VLOOKUP(D45&amp;"Viet",'The IT Life'!C:D,2,0),"")</f>
        <v>Tôi kết nối điện thoại với wifi.</v>
      </c>
      <c r="F45" t="str">
        <f ca="1">IFERROR(VLOOKUP(D45&amp;"Eng",'The IT Life'!C:D,2,0),"")</f>
        <v>I connect my smartphone to wifi.</v>
      </c>
    </row>
    <row r="46" spans="1:6" x14ac:dyDescent="0.25">
      <c r="A46">
        <f t="shared" si="1"/>
        <v>43</v>
      </c>
      <c r="B46">
        <f t="shared" ca="1" si="0"/>
        <v>2</v>
      </c>
      <c r="C46" s="1">
        <f ca="1">IFERROR($C$1-1+_xlfn.RANK.EQ(B46,$B$4:$B$78)+COUNTIF(B$4:$B46,B46)-1,"")</f>
        <v>47</v>
      </c>
      <c r="D46" s="1" t="str">
        <f ca="1">IFERROR(VLOOKUP(C46,'The IT Life'!A:B,2,0),"")</f>
        <v>13.2</v>
      </c>
      <c r="E46" t="str">
        <f ca="1">IFERROR(VLOOKUP(D46&amp;"Viet",'The IT Life'!C:D,2,0),"")</f>
        <v>Công nghệ làm cho đời sống của tôi tiện lợi hơn.</v>
      </c>
      <c r="F46" t="str">
        <f ca="1">IFERROR(VLOOKUP(D46&amp;"Eng",'The IT Life'!C:D,2,0),"")</f>
        <v>Technology has made my life more convenient.</v>
      </c>
    </row>
    <row r="47" spans="1:6" x14ac:dyDescent="0.25">
      <c r="A47">
        <f t="shared" si="1"/>
        <v>44</v>
      </c>
      <c r="B47">
        <f t="shared" ca="1" si="0"/>
        <v>14</v>
      </c>
      <c r="C47" s="1">
        <f ca="1">IFERROR($C$1-1+_xlfn.RANK.EQ(B47,$B$4:$B$78)+COUNTIF(B$4:$B47,B47)-1,"")</f>
        <v>33</v>
      </c>
      <c r="D47" s="1" t="str">
        <f ca="1">IFERROR(VLOOKUP(C47,'The IT Life'!A:B,2,0),"")</f>
        <v>10.1</v>
      </c>
      <c r="E47" t="str">
        <f ca="1">IFERROR(VLOOKUP(D47&amp;"Viet",'The IT Life'!C:D,2,0),"")</f>
        <v>Tôi đã cập nhật trạng thái trên facebook.</v>
      </c>
      <c r="F47" t="str">
        <f ca="1">IFERROR(VLOOKUP(D47&amp;"Eng",'The IT Life'!C:D,2,0),"")</f>
        <v>I’ve updated a status on facebook.</v>
      </c>
    </row>
    <row r="48" spans="1:6" x14ac:dyDescent="0.25">
      <c r="A48">
        <f t="shared" si="1"/>
        <v>45</v>
      </c>
      <c r="B48">
        <f t="shared" ca="1" si="0"/>
        <v>43</v>
      </c>
      <c r="C48" s="1">
        <f ca="1">IFERROR($C$1-1+_xlfn.RANK.EQ(B48,$B$4:$B$78)+COUNTIF(B$4:$B48,B48)-1,"")</f>
        <v>5</v>
      </c>
      <c r="D48" s="1" t="str">
        <f ca="1">IFERROR(VLOOKUP(C48,'The IT Life'!A:B,2,0),"")</f>
        <v>2.1</v>
      </c>
      <c r="E48" t="str">
        <f ca="1">IFERROR(VLOOKUP(D48&amp;"Viet",'The IT Life'!C:D,2,0),"")</f>
        <v>Tôi sạc pin điện thoại của mình.</v>
      </c>
      <c r="F48" t="str">
        <f ca="1">IFERROR(VLOOKUP(D48&amp;"Eng",'The IT Life'!C:D,2,0),"")</f>
        <v>I recharge my cell phone.</v>
      </c>
    </row>
    <row r="49" spans="1:6" x14ac:dyDescent="0.25">
      <c r="A49">
        <f t="shared" si="1"/>
        <v>46</v>
      </c>
      <c r="B49">
        <f t="shared" ca="1" si="0"/>
        <v>2</v>
      </c>
      <c r="C49" s="1">
        <f ca="1">IFERROR($C$1-1+_xlfn.RANK.EQ(B49,$B$4:$B$78)+COUNTIF(B$4:$B49,B49)-1,"")</f>
        <v>48</v>
      </c>
      <c r="D49" s="1" t="str">
        <f ca="1">IFERROR(VLOOKUP(C49,'The IT Life'!A:B,2,0),"")</f>
        <v>13.3</v>
      </c>
      <c r="E49" t="str">
        <f ca="1">IFERROR(VLOOKUP(D49&amp;"Viet",'The IT Life'!C:D,2,0),"")</f>
        <v>Công nghệ làm cho đời sống của tôi thú vị hơn.</v>
      </c>
      <c r="F49" t="str">
        <f ca="1">IFERROR(VLOOKUP(D49&amp;"Eng",'The IT Life'!C:D,2,0),"")</f>
        <v>Technology has made my life more enjoyable.</v>
      </c>
    </row>
    <row r="50" spans="1:6" x14ac:dyDescent="0.25">
      <c r="A50">
        <f t="shared" si="1"/>
        <v>47</v>
      </c>
      <c r="B50">
        <f t="shared" ca="1" si="0"/>
        <v>5</v>
      </c>
      <c r="C50" s="1">
        <f ca="1">IFERROR($C$1-1+_xlfn.RANK.EQ(B50,$B$4:$B$78)+COUNTIF(B$4:$B50,B50)-1,"")</f>
        <v>43</v>
      </c>
      <c r="D50" s="1" t="str">
        <f ca="1">IFERROR(VLOOKUP(C50,'The IT Life'!A:B,2,0),"")</f>
        <v>12.3</v>
      </c>
      <c r="E50" t="str">
        <f ca="1">IFERROR(VLOOKUP(D50&amp;"Viet",'The IT Life'!C:D,2,0),"")</f>
        <v>Tôi có thể mua sắm online thông qua facebook.</v>
      </c>
      <c r="F50" t="str">
        <f ca="1">IFERROR(VLOOKUP(D50&amp;"Eng",'The IT Life'!C:D,2,0),"")</f>
        <v>I can go shopping online via facebook.</v>
      </c>
    </row>
    <row r="51" spans="1:6" x14ac:dyDescent="0.25">
      <c r="A51">
        <f t="shared" si="1"/>
        <v>48</v>
      </c>
      <c r="B51">
        <f t="shared" ca="1" si="0"/>
        <v>42</v>
      </c>
      <c r="C51" s="1">
        <f ca="1">IFERROR($C$1-1+_xlfn.RANK.EQ(B51,$B$4:$B$78)+COUNTIF(B$4:$B51,B51)-1,"")</f>
        <v>6</v>
      </c>
      <c r="D51" s="1" t="str">
        <f ca="1">IFERROR(VLOOKUP(C51,'The IT Life'!A:B,2,0),"")</f>
        <v>2.2</v>
      </c>
      <c r="E51" t="str">
        <f ca="1">IFERROR(VLOOKUP(D51&amp;"Viet",'The IT Life'!C:D,2,0),"")</f>
        <v>Tôi sạc điện thoại ở đây được không?</v>
      </c>
      <c r="F51" t="str">
        <f ca="1">IFERROR(VLOOKUP(D51&amp;"Eng",'The IT Life'!C:D,2,0),"")</f>
        <v>Can I recharge my cell phone here?</v>
      </c>
    </row>
    <row r="52" spans="1:6" x14ac:dyDescent="0.25">
      <c r="A52">
        <f t="shared" si="1"/>
        <v>49</v>
      </c>
      <c r="B52">
        <f t="shared" ca="1" si="0"/>
        <v>37</v>
      </c>
      <c r="C52" s="1">
        <f ca="1">IFERROR($C$1-1+_xlfn.RANK.EQ(B52,$B$4:$B$78)+COUNTIF(B$4:$B52,B52)-1,"")</f>
        <v>12</v>
      </c>
      <c r="D52" s="1" t="str">
        <f ca="1">IFERROR(VLOOKUP(C52,'The IT Life'!A:B,2,0),"")</f>
        <v>4.1</v>
      </c>
      <c r="E52" t="str">
        <f ca="1">IFERROR(VLOOKUP(D52&amp;"Viet",'The IT Life'!C:D,2,0),"")</f>
        <v>Tôi chụp hình bằng camera điện thoại rồi gửi đi.</v>
      </c>
      <c r="F52" t="str">
        <f ca="1">IFERROR(VLOOKUP(D52&amp;"Eng",'The IT Life'!C:D,2,0),"")</f>
        <v>I take a photo with my cell phone camera and send it.</v>
      </c>
    </row>
    <row r="53" spans="1:6" x14ac:dyDescent="0.25">
      <c r="A53" t="str">
        <f t="shared" si="1"/>
        <v/>
      </c>
      <c r="B53" t="str">
        <f t="shared" ca="1" si="0"/>
        <v/>
      </c>
      <c r="C53" s="1" t="str">
        <f ca="1">IFERROR($C$1-1+_xlfn.RANK.EQ(B53,$B$4:$B$78)+COUNTIF(B$4:$B53,B53)-1,"")</f>
        <v/>
      </c>
      <c r="D53" s="1" t="str">
        <f ca="1">IFERROR(VLOOKUP(C53,'The IT Life'!A:B,2,0),"")</f>
        <v/>
      </c>
      <c r="E53" t="str">
        <f ca="1">IFERROR(VLOOKUP(D53&amp;"Viet",'The IT Life'!C:D,2,0),"")</f>
        <v/>
      </c>
      <c r="F53" t="str">
        <f ca="1">IFERROR(VLOOKUP(D53&amp;"Eng",'The IT Life'!C:D,2,0),"")</f>
        <v/>
      </c>
    </row>
    <row r="54" spans="1:6" x14ac:dyDescent="0.25">
      <c r="A54" t="str">
        <f t="shared" si="1"/>
        <v/>
      </c>
      <c r="B54" t="str">
        <f t="shared" ca="1" si="0"/>
        <v/>
      </c>
      <c r="C54" s="1" t="str">
        <f ca="1">IFERROR($C$1-1+_xlfn.RANK.EQ(B54,$B$4:$B$78)+COUNTIF(B$4:$B54,B54)-1,"")</f>
        <v/>
      </c>
      <c r="D54" s="1" t="str">
        <f ca="1">IFERROR(VLOOKUP(C54,'The IT Life'!A:B,2,0),"")</f>
        <v/>
      </c>
      <c r="E54" t="str">
        <f ca="1">IFERROR(VLOOKUP(D54&amp;"Viet",'The IT Life'!C:D,2,0),"")</f>
        <v/>
      </c>
      <c r="F54" t="str">
        <f ca="1">IFERROR(VLOOKUP(D54&amp;"Eng",'The IT Life'!C:D,2,0),"")</f>
        <v/>
      </c>
    </row>
    <row r="55" spans="1:6" x14ac:dyDescent="0.25">
      <c r="A55" t="str">
        <f t="shared" si="1"/>
        <v/>
      </c>
      <c r="B55" t="str">
        <f t="shared" ca="1" si="0"/>
        <v/>
      </c>
      <c r="C55" s="1" t="str">
        <f ca="1">IFERROR($C$1-1+_xlfn.RANK.EQ(B55,$B$4:$B$78)+COUNTIF(B$4:$B55,B55)-1,"")</f>
        <v/>
      </c>
      <c r="D55" s="1" t="str">
        <f ca="1">IFERROR(VLOOKUP(C55,'The IT Life'!A:B,2,0),"")</f>
        <v/>
      </c>
      <c r="E55" t="str">
        <f ca="1">IFERROR(VLOOKUP(D55&amp;"Viet",'The IT Life'!C:D,2,0),"")</f>
        <v/>
      </c>
      <c r="F55" t="str">
        <f ca="1">IFERROR(VLOOKUP(D55&amp;"Eng",'The IT Life'!C:D,2,0),"")</f>
        <v/>
      </c>
    </row>
    <row r="56" spans="1:6" x14ac:dyDescent="0.25">
      <c r="A56" t="str">
        <f t="shared" si="1"/>
        <v/>
      </c>
      <c r="B56" t="str">
        <f t="shared" ca="1" si="0"/>
        <v/>
      </c>
      <c r="C56" s="1" t="str">
        <f ca="1">IFERROR($C$1-1+_xlfn.RANK.EQ(B56,$B$4:$B$78)+COUNTIF(B$4:$B56,B56)-1,"")</f>
        <v/>
      </c>
      <c r="D56" s="1" t="str">
        <f ca="1">IFERROR(VLOOKUP(C56,'The IT Life'!A:B,2,0),"")</f>
        <v/>
      </c>
      <c r="E56" t="str">
        <f ca="1">IFERROR(VLOOKUP(D56&amp;"Viet",'The IT Life'!C:D,2,0),"")</f>
        <v/>
      </c>
      <c r="F56" t="str">
        <f ca="1">IFERROR(VLOOKUP(D56&amp;"Eng",'The IT Life'!C:D,2,0),"")</f>
        <v/>
      </c>
    </row>
    <row r="57" spans="1:6" x14ac:dyDescent="0.25">
      <c r="A57" t="str">
        <f t="shared" si="1"/>
        <v/>
      </c>
      <c r="B57" t="str">
        <f t="shared" ca="1" si="0"/>
        <v/>
      </c>
      <c r="C57" s="1" t="str">
        <f ca="1">IFERROR($C$1-1+_xlfn.RANK.EQ(B57,$B$4:$B$78)+COUNTIF(B$4:$B57,B57)-1,"")</f>
        <v/>
      </c>
      <c r="D57" s="1" t="str">
        <f ca="1">IFERROR(VLOOKUP(C57,'The IT Life'!A:B,2,0),"")</f>
        <v/>
      </c>
      <c r="E57" t="str">
        <f ca="1">IFERROR(VLOOKUP(D57&amp;"Viet",'The IT Life'!C:D,2,0),"")</f>
        <v/>
      </c>
      <c r="F57" t="str">
        <f ca="1">IFERROR(VLOOKUP(D57&amp;"Eng",'The IT Life'!C:D,2,0),"")</f>
        <v/>
      </c>
    </row>
    <row r="58" spans="1:6" x14ac:dyDescent="0.25">
      <c r="A58" t="str">
        <f t="shared" si="1"/>
        <v/>
      </c>
      <c r="B58" t="str">
        <f t="shared" ca="1" si="0"/>
        <v/>
      </c>
      <c r="C58" s="1" t="str">
        <f ca="1">IFERROR($C$1-1+_xlfn.RANK.EQ(B58,$B$4:$B$78)+COUNTIF(B$4:$B58,B58)-1,"")</f>
        <v/>
      </c>
      <c r="D58" s="1" t="str">
        <f ca="1">IFERROR(VLOOKUP(C58,'The IT Life'!A:B,2,0),"")</f>
        <v/>
      </c>
      <c r="E58" t="str">
        <f ca="1">IFERROR(VLOOKUP(D58&amp;"Viet",'The IT Life'!C:D,2,0),"")</f>
        <v/>
      </c>
      <c r="F58" t="str">
        <f ca="1">IFERROR(VLOOKUP(D58&amp;"Eng",'The IT Life'!C:D,2,0),"")</f>
        <v/>
      </c>
    </row>
    <row r="59" spans="1:6" x14ac:dyDescent="0.25">
      <c r="A59" t="str">
        <f t="shared" si="1"/>
        <v/>
      </c>
      <c r="B59" t="str">
        <f t="shared" ca="1" si="0"/>
        <v/>
      </c>
      <c r="C59" s="1" t="str">
        <f ca="1">IFERROR($C$1-1+_xlfn.RANK.EQ(B59,$B$4:$B$78)+COUNTIF(B$4:$B59,B59)-1,"")</f>
        <v/>
      </c>
      <c r="D59" s="1" t="str">
        <f ca="1">IFERROR(VLOOKUP(C59,'The IT Life'!A:B,2,0),"")</f>
        <v/>
      </c>
      <c r="E59" t="str">
        <f ca="1">IFERROR(VLOOKUP(D59&amp;"Viet",'The IT Life'!C:D,2,0),"")</f>
        <v/>
      </c>
      <c r="F59" t="str">
        <f ca="1">IFERROR(VLOOKUP(D59&amp;"Eng",'The IT Life'!C:D,2,0),"")</f>
        <v/>
      </c>
    </row>
    <row r="60" spans="1:6" x14ac:dyDescent="0.25">
      <c r="A60" t="str">
        <f t="shared" si="1"/>
        <v/>
      </c>
      <c r="B60" t="str">
        <f t="shared" ca="1" si="0"/>
        <v/>
      </c>
      <c r="C60" s="1" t="str">
        <f ca="1">IFERROR($C$1-1+_xlfn.RANK.EQ(B60,$B$4:$B$78)+COUNTIF(B$4:$B60,B60)-1,"")</f>
        <v/>
      </c>
      <c r="D60" s="1" t="str">
        <f ca="1">IFERROR(VLOOKUP(C60,'The IT Life'!A:B,2,0),"")</f>
        <v/>
      </c>
      <c r="E60" t="str">
        <f ca="1">IFERROR(VLOOKUP(D60&amp;"Viet",'The IT Life'!C:D,2,0),"")</f>
        <v/>
      </c>
      <c r="F60" t="str">
        <f ca="1">IFERROR(VLOOKUP(D60&amp;"Eng",'The IT Life'!C:D,2,0),"")</f>
        <v/>
      </c>
    </row>
    <row r="61" spans="1:6" x14ac:dyDescent="0.25">
      <c r="A61" t="str">
        <f t="shared" si="1"/>
        <v/>
      </c>
      <c r="B61" t="str">
        <f t="shared" ca="1" si="0"/>
        <v/>
      </c>
      <c r="C61" s="1" t="str">
        <f ca="1">IFERROR($C$1-1+_xlfn.RANK.EQ(B61,$B$4:$B$78)+COUNTIF(B$4:$B61,B61)-1,"")</f>
        <v/>
      </c>
      <c r="D61" s="1" t="str">
        <f ca="1">IFERROR(VLOOKUP(C61,'The IT Life'!A:B,2,0),"")</f>
        <v/>
      </c>
      <c r="E61" t="str">
        <f ca="1">IFERROR(VLOOKUP(D61&amp;"Viet",'The IT Life'!C:D,2,0),"")</f>
        <v/>
      </c>
      <c r="F61" t="str">
        <f ca="1">IFERROR(VLOOKUP(D61&amp;"Eng",'The IT Life'!C:D,2,0),"")</f>
        <v/>
      </c>
    </row>
    <row r="62" spans="1:6" x14ac:dyDescent="0.25">
      <c r="A62" t="str">
        <f t="shared" si="1"/>
        <v/>
      </c>
      <c r="B62" t="str">
        <f t="shared" ca="1" si="0"/>
        <v/>
      </c>
      <c r="C62" s="1" t="str">
        <f ca="1">IFERROR($C$1-1+_xlfn.RANK.EQ(B62,$B$4:$B$78)+COUNTIF(B$4:$B62,B62)-1,"")</f>
        <v/>
      </c>
      <c r="D62" s="1" t="str">
        <f ca="1">IFERROR(VLOOKUP(C62,'The IT Life'!A:B,2,0),"")</f>
        <v/>
      </c>
      <c r="E62" t="str">
        <f ca="1">IFERROR(VLOOKUP(D62&amp;"Viet",'The IT Life'!C:D,2,0),"")</f>
        <v/>
      </c>
      <c r="F62" t="str">
        <f ca="1">IFERROR(VLOOKUP(D62&amp;"Eng",'The IT Life'!C:D,2,0),"")</f>
        <v/>
      </c>
    </row>
    <row r="63" spans="1:6" x14ac:dyDescent="0.25">
      <c r="A63" t="str">
        <f t="shared" si="1"/>
        <v/>
      </c>
      <c r="B63" t="str">
        <f t="shared" ca="1" si="0"/>
        <v/>
      </c>
      <c r="C63" s="1" t="str">
        <f ca="1">IFERROR($C$1-1+_xlfn.RANK.EQ(B63,$B$4:$B$78)+COUNTIF(B$4:$B63,B63)-1,"")</f>
        <v/>
      </c>
      <c r="D63" s="1" t="str">
        <f ca="1">IFERROR(VLOOKUP(C63,'The IT Life'!A:B,2,0),"")</f>
        <v/>
      </c>
      <c r="E63" t="str">
        <f ca="1">IFERROR(VLOOKUP(D63&amp;"Viet",'The IT Life'!C:D,2,0),"")</f>
        <v/>
      </c>
      <c r="F63" t="str">
        <f ca="1">IFERROR(VLOOKUP(D63&amp;"Eng",'The IT Life'!C:D,2,0),"")</f>
        <v/>
      </c>
    </row>
    <row r="64" spans="1:6" x14ac:dyDescent="0.25">
      <c r="A64" t="str">
        <f t="shared" si="1"/>
        <v/>
      </c>
      <c r="B64" t="str">
        <f t="shared" ca="1" si="0"/>
        <v/>
      </c>
      <c r="C64" s="1" t="str">
        <f ca="1">IFERROR($C$1-1+_xlfn.RANK.EQ(B64,$B$4:$B$78)+COUNTIF(B$4:$B64,B64)-1,"")</f>
        <v/>
      </c>
      <c r="D64" s="1" t="str">
        <f ca="1">IFERROR(VLOOKUP(C64,'The IT Life'!A:B,2,0),"")</f>
        <v/>
      </c>
      <c r="E64" t="str">
        <f ca="1">IFERROR(VLOOKUP(D64&amp;"Viet",'The IT Life'!C:D,2,0),"")</f>
        <v/>
      </c>
      <c r="F64" t="str">
        <f ca="1">IFERROR(VLOOKUP(D64&amp;"Eng",'The IT Life'!C:D,2,0),"")</f>
        <v/>
      </c>
    </row>
    <row r="65" spans="1:6" x14ac:dyDescent="0.25">
      <c r="A65" t="str">
        <f t="shared" si="1"/>
        <v/>
      </c>
      <c r="B65" t="str">
        <f t="shared" ca="1" si="0"/>
        <v/>
      </c>
      <c r="C65" s="1" t="str">
        <f ca="1">IFERROR($C$1-1+_xlfn.RANK.EQ(B65,$B$4:$B$78)+COUNTIF(B$4:$B65,B65)-1,"")</f>
        <v/>
      </c>
      <c r="D65" s="1" t="str">
        <f ca="1">IFERROR(VLOOKUP(C65,'The IT Life'!A:B,2,0),"")</f>
        <v/>
      </c>
      <c r="E65" t="str">
        <f ca="1">IFERROR(VLOOKUP(D65&amp;"Viet",'The IT Life'!C:D,2,0),"")</f>
        <v/>
      </c>
      <c r="F65" t="str">
        <f ca="1">IFERROR(VLOOKUP(D65&amp;"Eng",'The IT Life'!C:D,2,0),"")</f>
        <v/>
      </c>
    </row>
    <row r="66" spans="1:6" x14ac:dyDescent="0.25">
      <c r="A66" t="str">
        <f t="shared" si="1"/>
        <v/>
      </c>
      <c r="B66" t="str">
        <f t="shared" ca="1" si="0"/>
        <v/>
      </c>
      <c r="C66" s="1" t="str">
        <f ca="1">IFERROR($C$1-1+_xlfn.RANK.EQ(B66,$B$4:$B$78)+COUNTIF(B$4:$B66,B66)-1,"")</f>
        <v/>
      </c>
      <c r="D66" s="1" t="str">
        <f ca="1">IFERROR(VLOOKUP(C66,'The IT Life'!A:B,2,0),"")</f>
        <v/>
      </c>
      <c r="E66" t="str">
        <f ca="1">IFERROR(VLOOKUP(D66&amp;"Viet",'The IT Life'!C:D,2,0),"")</f>
        <v/>
      </c>
      <c r="F66" t="str">
        <f ca="1">IFERROR(VLOOKUP(D66&amp;"Eng",'The IT Life'!C:D,2,0),"")</f>
        <v/>
      </c>
    </row>
    <row r="67" spans="1:6" x14ac:dyDescent="0.25">
      <c r="A67" t="str">
        <f t="shared" si="1"/>
        <v/>
      </c>
      <c r="B67" t="str">
        <f t="shared" ca="1" si="0"/>
        <v/>
      </c>
      <c r="C67" s="1" t="str">
        <f ca="1">IFERROR($C$1-1+_xlfn.RANK.EQ(B67,$B$4:$B$78)+COUNTIF(B$4:$B67,B67)-1,"")</f>
        <v/>
      </c>
      <c r="D67" s="1" t="str">
        <f ca="1">IFERROR(VLOOKUP(C67,'The IT Life'!A:B,2,0),"")</f>
        <v/>
      </c>
      <c r="E67" t="str">
        <f ca="1">IFERROR(VLOOKUP(D67&amp;"Viet",'The IT Life'!C:D,2,0),"")</f>
        <v/>
      </c>
      <c r="F67" t="str">
        <f ca="1">IFERROR(VLOOKUP(D67&amp;"Eng",'The IT Life'!C:D,2,0),"")</f>
        <v/>
      </c>
    </row>
    <row r="68" spans="1:6" x14ac:dyDescent="0.25">
      <c r="A68" t="str">
        <f t="shared" si="1"/>
        <v/>
      </c>
      <c r="B68" t="str">
        <f t="shared" ref="B68:B131" ca="1" si="2">IF(A68="","",RANDBETWEEN($C$1,$C$2))</f>
        <v/>
      </c>
      <c r="C68" s="1" t="str">
        <f ca="1">IFERROR($C$1-1+_xlfn.RANK.EQ(B68,$B$4:$B$78)+COUNTIF(B$4:$B68,B68)-1,"")</f>
        <v/>
      </c>
      <c r="D68" s="1" t="str">
        <f ca="1">IFERROR(VLOOKUP(C68,'The IT Life'!A:B,2,0),"")</f>
        <v/>
      </c>
      <c r="E68" t="str">
        <f ca="1">IFERROR(VLOOKUP(D68&amp;"Viet",'The IT Life'!C:D,2,0),"")</f>
        <v/>
      </c>
      <c r="F68" t="str">
        <f ca="1">IFERROR(VLOOKUP(D68&amp;"Eng",'The IT Life'!C:D,2,0),"")</f>
        <v/>
      </c>
    </row>
    <row r="69" spans="1:6" x14ac:dyDescent="0.25">
      <c r="A69" t="str">
        <f t="shared" si="1"/>
        <v/>
      </c>
      <c r="B69" t="str">
        <f t="shared" ca="1" si="2"/>
        <v/>
      </c>
      <c r="C69" s="1" t="str">
        <f ca="1">IFERROR($C$1-1+_xlfn.RANK.EQ(B69,$B$4:$B$78)+COUNTIF(B$4:$B69,B69)-1,"")</f>
        <v/>
      </c>
      <c r="D69" s="1" t="str">
        <f ca="1">IFERROR(VLOOKUP(C69,'The IT Life'!A:B,2,0),"")</f>
        <v/>
      </c>
      <c r="E69" t="str">
        <f ca="1">IFERROR(VLOOKUP(D69&amp;"Viet",'The IT Life'!C:D,2,0),"")</f>
        <v/>
      </c>
      <c r="F69" t="str">
        <f ca="1">IFERROR(VLOOKUP(D69&amp;"Eng",'The IT Life'!C:D,2,0),"")</f>
        <v/>
      </c>
    </row>
    <row r="70" spans="1:6" x14ac:dyDescent="0.25">
      <c r="A70" t="str">
        <f t="shared" ref="A70:A133" si="3">IFERROR(IF(A69+1&gt;$C$2,"",A69+1),"")</f>
        <v/>
      </c>
      <c r="B70" t="str">
        <f t="shared" ca="1" si="2"/>
        <v/>
      </c>
      <c r="C70" s="1" t="str">
        <f ca="1">IFERROR($C$1-1+_xlfn.RANK.EQ(B70,$B$4:$B$78)+COUNTIF(B$4:$B70,B70)-1,"")</f>
        <v/>
      </c>
      <c r="D70" s="1" t="str">
        <f ca="1">IFERROR(VLOOKUP(C70,'The IT Life'!A:B,2,0),"")</f>
        <v/>
      </c>
      <c r="E70" t="str">
        <f ca="1">IFERROR(VLOOKUP(D70&amp;"Viet",'The IT Life'!C:D,2,0),"")</f>
        <v/>
      </c>
      <c r="F70" t="str">
        <f ca="1">IFERROR(VLOOKUP(D70&amp;"Eng",'The IT Life'!C:D,2,0),"")</f>
        <v/>
      </c>
    </row>
    <row r="71" spans="1:6" x14ac:dyDescent="0.25">
      <c r="A71" t="str">
        <f t="shared" si="3"/>
        <v/>
      </c>
      <c r="B71" t="str">
        <f t="shared" ca="1" si="2"/>
        <v/>
      </c>
      <c r="C71" s="1" t="str">
        <f ca="1">IFERROR($C$1-1+_xlfn.RANK.EQ(B71,$B$4:$B$78)+COUNTIF(B$4:$B71,B71)-1,"")</f>
        <v/>
      </c>
      <c r="D71" s="1" t="str">
        <f ca="1">IFERROR(VLOOKUP(C71,'The IT Life'!A:B,2,0),"")</f>
        <v/>
      </c>
      <c r="E71" t="str">
        <f ca="1">IFERROR(VLOOKUP(D71&amp;"Viet",'The IT Life'!C:D,2,0),"")</f>
        <v/>
      </c>
      <c r="F71" t="str">
        <f ca="1">IFERROR(VLOOKUP(D71&amp;"Eng",'The IT Life'!C:D,2,0),"")</f>
        <v/>
      </c>
    </row>
    <row r="72" spans="1:6" x14ac:dyDescent="0.25">
      <c r="A72" t="str">
        <f t="shared" si="3"/>
        <v/>
      </c>
      <c r="B72" t="str">
        <f t="shared" ca="1" si="2"/>
        <v/>
      </c>
      <c r="C72" s="1" t="str">
        <f ca="1">IFERROR($C$1-1+_xlfn.RANK.EQ(B72,$B$4:$B$78)+COUNTIF(B$4:$B72,B72)-1,"")</f>
        <v/>
      </c>
      <c r="D72" s="1" t="str">
        <f ca="1">IFERROR(VLOOKUP(C72,'The IT Life'!A:B,2,0),"")</f>
        <v/>
      </c>
      <c r="E72" t="str">
        <f ca="1">IFERROR(VLOOKUP(D72&amp;"Viet",'The IT Life'!C:D,2,0),"")</f>
        <v/>
      </c>
      <c r="F72" t="str">
        <f ca="1">IFERROR(VLOOKUP(D72&amp;"Eng",'The IT Life'!C:D,2,0),"")</f>
        <v/>
      </c>
    </row>
    <row r="73" spans="1:6" x14ac:dyDescent="0.25">
      <c r="A73" t="str">
        <f t="shared" si="3"/>
        <v/>
      </c>
      <c r="B73" t="str">
        <f t="shared" ca="1" si="2"/>
        <v/>
      </c>
      <c r="C73" s="1" t="str">
        <f ca="1">IFERROR($C$1-1+_xlfn.RANK.EQ(B73,$B$4:$B$78)+COUNTIF(B$4:$B73,B73)-1,"")</f>
        <v/>
      </c>
      <c r="D73" s="1" t="str">
        <f ca="1">IFERROR(VLOOKUP(C73,'The IT Life'!A:B,2,0),"")</f>
        <v/>
      </c>
    </row>
    <row r="74" spans="1:6" x14ac:dyDescent="0.25">
      <c r="A74" t="str">
        <f t="shared" si="3"/>
        <v/>
      </c>
      <c r="B74" t="str">
        <f t="shared" ca="1" si="2"/>
        <v/>
      </c>
      <c r="C74" s="1" t="str">
        <f ca="1">IFERROR($C$1-1+_xlfn.RANK.EQ(B74,$B$4:$B$78)+COUNTIF(B$4:$B74,B74)-1,"")</f>
        <v/>
      </c>
      <c r="D74" s="1" t="str">
        <f ca="1">IFERROR(VLOOKUP(C74,'The IT Life'!A:B,2,0),"")</f>
        <v/>
      </c>
    </row>
    <row r="75" spans="1:6" x14ac:dyDescent="0.25">
      <c r="A75" t="str">
        <f t="shared" si="3"/>
        <v/>
      </c>
      <c r="B75" t="str">
        <f t="shared" ca="1" si="2"/>
        <v/>
      </c>
      <c r="C75" s="1" t="str">
        <f ca="1">IFERROR($C$1-1+_xlfn.RANK.EQ(B75,$B$4:$B$78)+COUNTIF(B$4:$B75,B75)-1,"")</f>
        <v/>
      </c>
      <c r="D75" s="1" t="str">
        <f ca="1">IFERROR(VLOOKUP(C75,'The IT Life'!A:B,2,0),"")</f>
        <v/>
      </c>
    </row>
    <row r="76" spans="1:6" x14ac:dyDescent="0.25">
      <c r="A76" t="str">
        <f t="shared" si="3"/>
        <v/>
      </c>
      <c r="B76" t="str">
        <f t="shared" ca="1" si="2"/>
        <v/>
      </c>
      <c r="C76" s="1" t="str">
        <f ca="1">IFERROR($C$1-1+_xlfn.RANK.EQ(B76,$B$4:$B$78)+COUNTIF(B$4:$B76,B76)-1,"")</f>
        <v/>
      </c>
      <c r="D76" s="1" t="str">
        <f ca="1">IFERROR(VLOOKUP(C76,'The IT Life'!A:B,2,0),"")</f>
        <v/>
      </c>
    </row>
    <row r="77" spans="1:6" x14ac:dyDescent="0.25">
      <c r="A77" t="str">
        <f t="shared" si="3"/>
        <v/>
      </c>
      <c r="B77" t="str">
        <f t="shared" ca="1" si="2"/>
        <v/>
      </c>
      <c r="C77" s="1" t="str">
        <f ca="1">IFERROR($C$1-1+_xlfn.RANK.EQ(B77,$B$4:$B$78)+COUNTIF(B$4:$B77,B77)-1,"")</f>
        <v/>
      </c>
      <c r="D77" s="1" t="str">
        <f ca="1">IFERROR(VLOOKUP(C77,'The IT Life'!A:B,2,0),"")</f>
        <v/>
      </c>
    </row>
    <row r="78" spans="1:6" x14ac:dyDescent="0.25">
      <c r="A78" t="str">
        <f t="shared" si="3"/>
        <v/>
      </c>
      <c r="B78" t="str">
        <f t="shared" ca="1" si="2"/>
        <v/>
      </c>
      <c r="C78" s="1" t="str">
        <f ca="1">IFERROR($C$1-1+_xlfn.RANK.EQ(B78,$B$4:$B$78)+COUNTIF(B$4:$B78,B78)-1,"")</f>
        <v/>
      </c>
      <c r="D78" s="1" t="str">
        <f ca="1">IFERROR(VLOOKUP(C78,'The IT Life'!A:B,2,0),"")</f>
        <v/>
      </c>
    </row>
    <row r="79" spans="1:6" x14ac:dyDescent="0.25">
      <c r="A79" t="str">
        <f t="shared" si="3"/>
        <v/>
      </c>
      <c r="B79" t="str">
        <f t="shared" ca="1" si="2"/>
        <v/>
      </c>
      <c r="C79" s="1" t="str">
        <f ca="1">IFERROR($C$1-1+_xlfn.RANK.EQ(B79,$B$4:$B$78)+COUNTIF(B$4:$B79,B79)-1,"")</f>
        <v/>
      </c>
      <c r="D79" s="1" t="str">
        <f ca="1">IFERROR(VLOOKUP(C79,'The IT Life'!A:B,2,0),"")</f>
        <v/>
      </c>
    </row>
    <row r="80" spans="1:6" x14ac:dyDescent="0.25">
      <c r="A80" t="str">
        <f t="shared" si="3"/>
        <v/>
      </c>
      <c r="B80" t="str">
        <f t="shared" ca="1" si="2"/>
        <v/>
      </c>
      <c r="C80" s="1" t="str">
        <f ca="1">IFERROR($C$1-1+_xlfn.RANK.EQ(B80,$B$4:$B$78)+COUNTIF(B$4:$B80,B80)-1,"")</f>
        <v/>
      </c>
      <c r="D80" s="1" t="str">
        <f ca="1">IFERROR(VLOOKUP(C80,'The IT Life'!A:B,2,0),"")</f>
        <v/>
      </c>
    </row>
    <row r="81" spans="1:4" x14ac:dyDescent="0.25">
      <c r="A81" t="str">
        <f t="shared" si="3"/>
        <v/>
      </c>
      <c r="B81" t="str">
        <f t="shared" ca="1" si="2"/>
        <v/>
      </c>
      <c r="C81" s="1" t="str">
        <f ca="1">IFERROR($C$1-1+_xlfn.RANK.EQ(B81,$B$4:$B$78)+COUNTIF(B$4:$B81,B81)-1,"")</f>
        <v/>
      </c>
      <c r="D81" s="1" t="str">
        <f ca="1">IFERROR(VLOOKUP(C81,'The IT Life'!A:B,2,0),"")</f>
        <v/>
      </c>
    </row>
    <row r="82" spans="1:4" x14ac:dyDescent="0.25">
      <c r="A82" t="str">
        <f t="shared" si="3"/>
        <v/>
      </c>
      <c r="B82" t="str">
        <f t="shared" ca="1" si="2"/>
        <v/>
      </c>
      <c r="C82" s="1" t="str">
        <f ca="1">IFERROR($C$1-1+_xlfn.RANK.EQ(B82,$B$4:$B$78)+COUNTIF(B$4:$B82,B82)-1,"")</f>
        <v/>
      </c>
      <c r="D82" s="1" t="str">
        <f ca="1">IFERROR(VLOOKUP(C82,'The IT Life'!A:B,2,0),"")</f>
        <v/>
      </c>
    </row>
    <row r="83" spans="1:4" x14ac:dyDescent="0.25">
      <c r="A83" t="str">
        <f t="shared" si="3"/>
        <v/>
      </c>
      <c r="B83" t="str">
        <f t="shared" ca="1" si="2"/>
        <v/>
      </c>
      <c r="C83" s="1" t="str">
        <f ca="1">IFERROR($C$1-1+_xlfn.RANK.EQ(B83,$B$4:$B$78)+COUNTIF(B$4:$B83,B83)-1,"")</f>
        <v/>
      </c>
      <c r="D83" s="1" t="str">
        <f ca="1">IFERROR(VLOOKUP(C83,'The IT Life'!A:B,2,0),"")</f>
        <v/>
      </c>
    </row>
    <row r="84" spans="1:4" x14ac:dyDescent="0.25">
      <c r="A84" t="str">
        <f t="shared" si="3"/>
        <v/>
      </c>
      <c r="B84" t="str">
        <f t="shared" ca="1" si="2"/>
        <v/>
      </c>
      <c r="C84" s="1" t="str">
        <f ca="1">IFERROR($C$1-1+_xlfn.RANK.EQ(B84,$B$4:$B$78)+COUNTIF(B$4:$B84,B84)-1,"")</f>
        <v/>
      </c>
      <c r="D84" s="1" t="str">
        <f ca="1">IFERROR(VLOOKUP(C84,'The IT Life'!A:B,2,0),"")</f>
        <v/>
      </c>
    </row>
    <row r="85" spans="1:4" x14ac:dyDescent="0.25">
      <c r="A85" t="str">
        <f t="shared" si="3"/>
        <v/>
      </c>
      <c r="B85" t="str">
        <f t="shared" ca="1" si="2"/>
        <v/>
      </c>
      <c r="C85" s="1" t="str">
        <f ca="1">IFERROR($C$1-1+_xlfn.RANK.EQ(B85,$B$4:$B$78)+COUNTIF(B$4:$B85,B85)-1,"")</f>
        <v/>
      </c>
      <c r="D85" s="1" t="str">
        <f ca="1">IFERROR(VLOOKUP(C85,'The IT Life'!A:B,2,0),"")</f>
        <v/>
      </c>
    </row>
    <row r="86" spans="1:4" x14ac:dyDescent="0.25">
      <c r="A86" t="str">
        <f t="shared" si="3"/>
        <v/>
      </c>
      <c r="B86" t="str">
        <f t="shared" ca="1" si="2"/>
        <v/>
      </c>
      <c r="C86" s="1" t="str">
        <f ca="1">IFERROR($C$1-1+_xlfn.RANK.EQ(B86,$B$4:$B$78)+COUNTIF(B$4:$B86,B86)-1,"")</f>
        <v/>
      </c>
      <c r="D86" s="1" t="str">
        <f ca="1">IFERROR(VLOOKUP(C86,'The IT Life'!A:B,2,0),"")</f>
        <v/>
      </c>
    </row>
    <row r="87" spans="1:4" x14ac:dyDescent="0.25">
      <c r="A87" t="str">
        <f t="shared" si="3"/>
        <v/>
      </c>
      <c r="B87" t="str">
        <f t="shared" ca="1" si="2"/>
        <v/>
      </c>
      <c r="C87" s="1" t="str">
        <f ca="1">IFERROR($C$1-1+_xlfn.RANK.EQ(B87,$B$4:$B$78)+COUNTIF(B$4:$B87,B87)-1,"")</f>
        <v/>
      </c>
      <c r="D87" s="1" t="str">
        <f ca="1">IFERROR(VLOOKUP(C87,'The IT Life'!A:B,2,0),"")</f>
        <v/>
      </c>
    </row>
    <row r="88" spans="1:4" x14ac:dyDescent="0.25">
      <c r="A88" t="str">
        <f t="shared" si="3"/>
        <v/>
      </c>
      <c r="B88" t="str">
        <f t="shared" ca="1" si="2"/>
        <v/>
      </c>
      <c r="C88" s="1" t="str">
        <f ca="1">IFERROR($C$1-1+_xlfn.RANK.EQ(B88,$B$4:$B$78)+COUNTIF(B$4:$B88,B88)-1,"")</f>
        <v/>
      </c>
      <c r="D88" s="1" t="str">
        <f ca="1">IFERROR(VLOOKUP(C88,'The IT Life'!A:B,2,0),"")</f>
        <v/>
      </c>
    </row>
    <row r="89" spans="1:4" x14ac:dyDescent="0.25">
      <c r="A89" t="str">
        <f t="shared" si="3"/>
        <v/>
      </c>
      <c r="B89" t="str">
        <f t="shared" ca="1" si="2"/>
        <v/>
      </c>
      <c r="C89" s="1" t="str">
        <f ca="1">IFERROR($C$1-1+_xlfn.RANK.EQ(B89,$B$4:$B$78)+COUNTIF(B$4:$B89,B89)-1,"")</f>
        <v/>
      </c>
      <c r="D89" s="1" t="str">
        <f ca="1">IFERROR(VLOOKUP(C89,'The IT Life'!A:B,2,0),"")</f>
        <v/>
      </c>
    </row>
    <row r="90" spans="1:4" x14ac:dyDescent="0.25">
      <c r="A90" t="str">
        <f t="shared" si="3"/>
        <v/>
      </c>
      <c r="B90" t="str">
        <f t="shared" ca="1" si="2"/>
        <v/>
      </c>
      <c r="C90" s="1" t="str">
        <f ca="1">IFERROR($C$1-1+_xlfn.RANK.EQ(B90,$B$4:$B$78)+COUNTIF(B$4:$B90,B90)-1,"")</f>
        <v/>
      </c>
      <c r="D90" s="1" t="str">
        <f ca="1">IFERROR(VLOOKUP(C90,'The IT Life'!A:B,2,0),"")</f>
        <v/>
      </c>
    </row>
    <row r="91" spans="1:4" x14ac:dyDescent="0.25">
      <c r="A91" t="str">
        <f t="shared" si="3"/>
        <v/>
      </c>
      <c r="B91" t="str">
        <f t="shared" ca="1" si="2"/>
        <v/>
      </c>
      <c r="C91" s="1" t="str">
        <f ca="1">IFERROR($C$1-1+_xlfn.RANK.EQ(B91,$B$4:$B$78)+COUNTIF(B$4:$B91,B91)-1,"")</f>
        <v/>
      </c>
      <c r="D91" s="1" t="str">
        <f ca="1">IFERROR(VLOOKUP(C91,'The IT Life'!A:B,2,0),"")</f>
        <v/>
      </c>
    </row>
    <row r="92" spans="1:4" x14ac:dyDescent="0.25">
      <c r="A92" t="str">
        <f t="shared" si="3"/>
        <v/>
      </c>
      <c r="B92" t="str">
        <f t="shared" ca="1" si="2"/>
        <v/>
      </c>
      <c r="C92" s="1" t="str">
        <f ca="1">IFERROR($C$1-1+_xlfn.RANK.EQ(B92,$B$4:$B$78)+COUNTIF(B$4:$B92,B92)-1,"")</f>
        <v/>
      </c>
      <c r="D92" s="1" t="str">
        <f ca="1">IFERROR(VLOOKUP(C92,'The IT Life'!A:B,2,0),"")</f>
        <v/>
      </c>
    </row>
    <row r="93" spans="1:4" x14ac:dyDescent="0.25">
      <c r="A93" t="str">
        <f t="shared" si="3"/>
        <v/>
      </c>
      <c r="B93" t="str">
        <f t="shared" ca="1" si="2"/>
        <v/>
      </c>
      <c r="C93" s="1" t="str">
        <f ca="1">IFERROR($C$1-1+_xlfn.RANK.EQ(B93,$B$4:$B$78)+COUNTIF(B$4:$B93,B93)-1,"")</f>
        <v/>
      </c>
      <c r="D93" s="1" t="str">
        <f ca="1">IFERROR(VLOOKUP(C93,'The IT Life'!A:B,2,0),"")</f>
        <v/>
      </c>
    </row>
    <row r="94" spans="1:4" x14ac:dyDescent="0.25">
      <c r="A94" t="str">
        <f t="shared" si="3"/>
        <v/>
      </c>
      <c r="B94" t="str">
        <f t="shared" ca="1" si="2"/>
        <v/>
      </c>
      <c r="C94" s="1" t="str">
        <f ca="1">IFERROR($C$1-1+_xlfn.RANK.EQ(B94,$B$4:$B$78)+COUNTIF(B$4:$B94,B94)-1,"")</f>
        <v/>
      </c>
      <c r="D94" s="1" t="str">
        <f ca="1">IFERROR(VLOOKUP(C94,'The IT Life'!A:B,2,0),"")</f>
        <v/>
      </c>
    </row>
    <row r="95" spans="1:4" x14ac:dyDescent="0.25">
      <c r="A95" t="str">
        <f t="shared" si="3"/>
        <v/>
      </c>
      <c r="B95" t="str">
        <f t="shared" ca="1" si="2"/>
        <v/>
      </c>
      <c r="C95" s="1" t="str">
        <f ca="1">IFERROR($C$1-1+_xlfn.RANK.EQ(B95,$B$4:$B$78)+COUNTIF(B$4:$B95,B95)-1,"")</f>
        <v/>
      </c>
      <c r="D95" s="1" t="str">
        <f ca="1">IFERROR(VLOOKUP(C95,'The IT Life'!A:B,2,0),"")</f>
        <v/>
      </c>
    </row>
    <row r="96" spans="1:4" x14ac:dyDescent="0.25">
      <c r="A96" t="str">
        <f t="shared" si="3"/>
        <v/>
      </c>
      <c r="B96" t="str">
        <f t="shared" ca="1" si="2"/>
        <v/>
      </c>
      <c r="C96" s="1" t="str">
        <f ca="1">IFERROR($C$1-1+_xlfn.RANK.EQ(B96,$B$4:$B$78)+COUNTIF(B$4:$B96,B96)-1,"")</f>
        <v/>
      </c>
      <c r="D96" s="1" t="str">
        <f ca="1">IFERROR(VLOOKUP(C96,'The IT Life'!A:B,2,0),"")</f>
        <v/>
      </c>
    </row>
    <row r="97" spans="1:4" x14ac:dyDescent="0.25">
      <c r="A97" t="str">
        <f t="shared" si="3"/>
        <v/>
      </c>
      <c r="B97" t="str">
        <f t="shared" ca="1" si="2"/>
        <v/>
      </c>
      <c r="C97" s="1" t="str">
        <f ca="1">IFERROR($C$1-1+_xlfn.RANK.EQ(B97,$B$4:$B$78)+COUNTIF(B$4:$B97,B97)-1,"")</f>
        <v/>
      </c>
      <c r="D97" s="1" t="str">
        <f ca="1">IFERROR(VLOOKUP(C97,'The IT Life'!A:B,2,0),"")</f>
        <v/>
      </c>
    </row>
    <row r="98" spans="1:4" x14ac:dyDescent="0.25">
      <c r="A98" t="str">
        <f t="shared" si="3"/>
        <v/>
      </c>
      <c r="B98" t="str">
        <f t="shared" ca="1" si="2"/>
        <v/>
      </c>
      <c r="C98" s="1" t="str">
        <f ca="1">IFERROR($C$1-1+_xlfn.RANK.EQ(B98,$B$4:$B$78)+COUNTIF(B$4:$B98,B98)-1,"")</f>
        <v/>
      </c>
      <c r="D98" s="1" t="str">
        <f ca="1">IFERROR(VLOOKUP(C98,'The IT Life'!A:B,2,0),"")</f>
        <v/>
      </c>
    </row>
    <row r="99" spans="1:4" x14ac:dyDescent="0.25">
      <c r="A99" t="str">
        <f t="shared" si="3"/>
        <v/>
      </c>
      <c r="B99" t="str">
        <f t="shared" ca="1" si="2"/>
        <v/>
      </c>
      <c r="C99" s="1" t="str">
        <f ca="1">IFERROR($C$1-1+_xlfn.RANK.EQ(B99,$B$4:$B$78)+COUNTIF(B$4:$B99,B99)-1,"")</f>
        <v/>
      </c>
      <c r="D99" s="1" t="str">
        <f ca="1">IFERROR(VLOOKUP(C99,'The IT Life'!A:B,2,0),"")</f>
        <v/>
      </c>
    </row>
    <row r="100" spans="1:4" x14ac:dyDescent="0.25">
      <c r="A100" t="str">
        <f t="shared" si="3"/>
        <v/>
      </c>
      <c r="B100" t="str">
        <f t="shared" ca="1" si="2"/>
        <v/>
      </c>
      <c r="C100" s="1" t="str">
        <f ca="1">IFERROR($C$1-1+_xlfn.RANK.EQ(B100,$B$4:$B$78)+COUNTIF(B$4:$B100,B100)-1,"")</f>
        <v/>
      </c>
      <c r="D100" s="1" t="str">
        <f ca="1">IFERROR(VLOOKUP(C100,'The IT Life'!A:B,2,0),"")</f>
        <v/>
      </c>
    </row>
    <row r="101" spans="1:4" x14ac:dyDescent="0.25">
      <c r="A101" t="str">
        <f t="shared" si="3"/>
        <v/>
      </c>
      <c r="B101" t="str">
        <f t="shared" ca="1" si="2"/>
        <v/>
      </c>
      <c r="C101" s="1" t="str">
        <f ca="1">IFERROR($C$1-1+_xlfn.RANK.EQ(B101,$B$4:$B$78)+COUNTIF(B$4:$B101,B101)-1,"")</f>
        <v/>
      </c>
      <c r="D101" s="1" t="str">
        <f ca="1">IFERROR(VLOOKUP(C101,'The IT Life'!A:B,2,0),"")</f>
        <v/>
      </c>
    </row>
    <row r="102" spans="1:4" x14ac:dyDescent="0.25">
      <c r="A102" t="str">
        <f t="shared" si="3"/>
        <v/>
      </c>
      <c r="B102" t="str">
        <f t="shared" ca="1" si="2"/>
        <v/>
      </c>
      <c r="C102" s="1" t="str">
        <f ca="1">IFERROR($C$1-1+_xlfn.RANK.EQ(B102,$B$4:$B$78)+COUNTIF(B$4:$B102,B102)-1,"")</f>
        <v/>
      </c>
      <c r="D102" s="1" t="str">
        <f ca="1">IFERROR(VLOOKUP(C102,'The IT Life'!A:B,2,0),"")</f>
        <v/>
      </c>
    </row>
    <row r="103" spans="1:4" x14ac:dyDescent="0.25">
      <c r="A103" t="str">
        <f t="shared" si="3"/>
        <v/>
      </c>
      <c r="B103" t="str">
        <f t="shared" ca="1" si="2"/>
        <v/>
      </c>
      <c r="C103" s="1" t="str">
        <f ca="1">IFERROR($C$1-1+_xlfn.RANK.EQ(B103,$B$4:$B$78)+COUNTIF(B$4:$B103,B103)-1,"")</f>
        <v/>
      </c>
      <c r="D103" s="1" t="str">
        <f ca="1">IFERROR(VLOOKUP(C103,'The IT Life'!A:B,2,0),"")</f>
        <v/>
      </c>
    </row>
    <row r="104" spans="1:4" x14ac:dyDescent="0.25">
      <c r="A104" t="str">
        <f t="shared" si="3"/>
        <v/>
      </c>
      <c r="B104" t="str">
        <f t="shared" ca="1" si="2"/>
        <v/>
      </c>
      <c r="C104" s="1" t="str">
        <f ca="1">IFERROR($C$1-1+_xlfn.RANK.EQ(B104,$B$4:$B$78)+COUNTIF(B$4:$B104,B104)-1,"")</f>
        <v/>
      </c>
      <c r="D104" s="1" t="str">
        <f ca="1">IFERROR(VLOOKUP(C104,'The IT Life'!A:B,2,0),"")</f>
        <v/>
      </c>
    </row>
    <row r="105" spans="1:4" x14ac:dyDescent="0.25">
      <c r="A105" t="str">
        <f t="shared" si="3"/>
        <v/>
      </c>
      <c r="B105" t="str">
        <f t="shared" ca="1" si="2"/>
        <v/>
      </c>
      <c r="C105" s="1" t="str">
        <f ca="1">IFERROR($C$1-1+_xlfn.RANK.EQ(B105,$B$4:$B$78)+COUNTIF(B$4:$B105,B105)-1,"")</f>
        <v/>
      </c>
      <c r="D105" s="1" t="str">
        <f ca="1">IFERROR(VLOOKUP(C105,'The IT Life'!A:B,2,0),"")</f>
        <v/>
      </c>
    </row>
    <row r="106" spans="1:4" x14ac:dyDescent="0.25">
      <c r="A106" t="str">
        <f t="shared" si="3"/>
        <v/>
      </c>
      <c r="B106" t="str">
        <f t="shared" ca="1" si="2"/>
        <v/>
      </c>
      <c r="C106" s="1" t="str">
        <f ca="1">IFERROR($C$1-1+_xlfn.RANK.EQ(B106,$B$4:$B$78)+COUNTIF(B$4:$B106,B106)-1,"")</f>
        <v/>
      </c>
      <c r="D106" s="1" t="str">
        <f ca="1">IFERROR(VLOOKUP(C106,'The IT Life'!A:B,2,0),"")</f>
        <v/>
      </c>
    </row>
    <row r="107" spans="1:4" x14ac:dyDescent="0.25">
      <c r="A107" t="str">
        <f t="shared" si="3"/>
        <v/>
      </c>
      <c r="B107" t="str">
        <f t="shared" ca="1" si="2"/>
        <v/>
      </c>
      <c r="C107" s="1" t="str">
        <f ca="1">IFERROR($C$1-1+_xlfn.RANK.EQ(B107,$B$4:$B$78)+COUNTIF(B$4:$B107,B107)-1,"")</f>
        <v/>
      </c>
      <c r="D107" s="1" t="str">
        <f ca="1">IFERROR(VLOOKUP(C107,'The IT Life'!A:B,2,0),"")</f>
        <v/>
      </c>
    </row>
    <row r="108" spans="1:4" x14ac:dyDescent="0.25">
      <c r="A108" t="str">
        <f t="shared" si="3"/>
        <v/>
      </c>
      <c r="B108" t="str">
        <f t="shared" ca="1" si="2"/>
        <v/>
      </c>
      <c r="C108" s="1" t="str">
        <f ca="1">IFERROR($C$1-1+_xlfn.RANK.EQ(B108,$B$4:$B$78)+COUNTIF(B$4:$B108,B108)-1,"")</f>
        <v/>
      </c>
      <c r="D108" s="1" t="str">
        <f ca="1">IFERROR(VLOOKUP(C108,'The IT Life'!A:B,2,0),"")</f>
        <v/>
      </c>
    </row>
    <row r="109" spans="1:4" x14ac:dyDescent="0.25">
      <c r="A109" t="str">
        <f t="shared" si="3"/>
        <v/>
      </c>
      <c r="B109" t="str">
        <f t="shared" ca="1" si="2"/>
        <v/>
      </c>
      <c r="C109" s="1" t="str">
        <f ca="1">IFERROR($C$1-1+_xlfn.RANK.EQ(B109,$B$4:$B$78)+COUNTIF(B$4:$B109,B109)-1,"")</f>
        <v/>
      </c>
      <c r="D109" s="1" t="str">
        <f ca="1">IFERROR(VLOOKUP(C109,'The IT Life'!A:B,2,0),"")</f>
        <v/>
      </c>
    </row>
    <row r="110" spans="1:4" x14ac:dyDescent="0.25">
      <c r="A110" t="str">
        <f t="shared" si="3"/>
        <v/>
      </c>
      <c r="B110" t="str">
        <f t="shared" ca="1" si="2"/>
        <v/>
      </c>
      <c r="C110" s="1" t="str">
        <f ca="1">IFERROR($C$1-1+_xlfn.RANK.EQ(B110,$B$4:$B$78)+COUNTIF(B$4:$B110,B110)-1,"")</f>
        <v/>
      </c>
      <c r="D110" s="1" t="str">
        <f ca="1">IFERROR(VLOOKUP(C110,'The IT Life'!A:B,2,0),"")</f>
        <v/>
      </c>
    </row>
    <row r="111" spans="1:4" x14ac:dyDescent="0.25">
      <c r="A111" t="str">
        <f t="shared" si="3"/>
        <v/>
      </c>
      <c r="B111" t="str">
        <f t="shared" ca="1" si="2"/>
        <v/>
      </c>
      <c r="C111" s="1" t="str">
        <f ca="1">IFERROR($C$1-1+_xlfn.RANK.EQ(B111,$B$4:$B$78)+COUNTIF(B$4:$B111,B111)-1,"")</f>
        <v/>
      </c>
      <c r="D111" s="1" t="str">
        <f ca="1">IFERROR(VLOOKUP(C111,'The IT Life'!A:B,2,0),"")</f>
        <v/>
      </c>
    </row>
    <row r="112" spans="1:4" x14ac:dyDescent="0.25">
      <c r="A112" t="str">
        <f t="shared" si="3"/>
        <v/>
      </c>
      <c r="B112" t="str">
        <f t="shared" ca="1" si="2"/>
        <v/>
      </c>
      <c r="C112" s="1" t="str">
        <f ca="1">IFERROR($C$1-1+_xlfn.RANK.EQ(B112,$B$4:$B$78)+COUNTIF(B$4:$B112,B112)-1,"")</f>
        <v/>
      </c>
      <c r="D112" s="1" t="str">
        <f ca="1">IFERROR(VLOOKUP(C112,'The IT Life'!A:B,2,0),"")</f>
        <v/>
      </c>
    </row>
    <row r="113" spans="1:4" x14ac:dyDescent="0.25">
      <c r="A113" t="str">
        <f t="shared" si="3"/>
        <v/>
      </c>
      <c r="B113" t="str">
        <f t="shared" ca="1" si="2"/>
        <v/>
      </c>
      <c r="C113" s="1" t="str">
        <f ca="1">IFERROR($C$1-1+_xlfn.RANK.EQ(B113,$B$4:$B$78)+COUNTIF(B$4:$B113,B113)-1,"")</f>
        <v/>
      </c>
      <c r="D113" s="1" t="str">
        <f ca="1">IFERROR(VLOOKUP(C113,'The IT Life'!A:B,2,0),"")</f>
        <v/>
      </c>
    </row>
    <row r="114" spans="1:4" x14ac:dyDescent="0.25">
      <c r="A114" t="str">
        <f t="shared" si="3"/>
        <v/>
      </c>
      <c r="B114" t="str">
        <f t="shared" ca="1" si="2"/>
        <v/>
      </c>
      <c r="C114" s="1" t="str">
        <f ca="1">IFERROR($C$1-1+_xlfn.RANK.EQ(B114,$B$4:$B$78)+COUNTIF(B$4:$B114,B114)-1,"")</f>
        <v/>
      </c>
      <c r="D114" s="1" t="str">
        <f ca="1">IFERROR(VLOOKUP(C114,'The IT Life'!A:B,2,0),"")</f>
        <v/>
      </c>
    </row>
    <row r="115" spans="1:4" x14ac:dyDescent="0.25">
      <c r="A115" t="str">
        <f t="shared" si="3"/>
        <v/>
      </c>
      <c r="B115" t="str">
        <f t="shared" ca="1" si="2"/>
        <v/>
      </c>
      <c r="C115" s="1" t="str">
        <f ca="1">IFERROR($C$1-1+_xlfn.RANK.EQ(B115,$B$4:$B$78)+COUNTIF(B$4:$B115,B115)-1,"")</f>
        <v/>
      </c>
      <c r="D115" s="1" t="str">
        <f ca="1">IFERROR(VLOOKUP(C115,'The IT Life'!A:B,2,0),"")</f>
        <v/>
      </c>
    </row>
    <row r="116" spans="1:4" x14ac:dyDescent="0.25">
      <c r="A116" t="str">
        <f t="shared" si="3"/>
        <v/>
      </c>
      <c r="B116" t="str">
        <f t="shared" ca="1" si="2"/>
        <v/>
      </c>
      <c r="C116" s="1" t="str">
        <f ca="1">IFERROR($C$1-1+_xlfn.RANK.EQ(B116,$B$4:$B$78)+COUNTIF(B$4:$B116,B116)-1,"")</f>
        <v/>
      </c>
      <c r="D116" s="1" t="str">
        <f ca="1">IFERROR(VLOOKUP(C116,'The IT Life'!A:B,2,0),"")</f>
        <v/>
      </c>
    </row>
    <row r="117" spans="1:4" x14ac:dyDescent="0.25">
      <c r="A117" t="str">
        <f t="shared" si="3"/>
        <v/>
      </c>
      <c r="B117" t="str">
        <f t="shared" ca="1" si="2"/>
        <v/>
      </c>
      <c r="C117" s="1" t="str">
        <f ca="1">IFERROR($C$1-1+_xlfn.RANK.EQ(B117,$B$4:$B$78)+COUNTIF(B$4:$B117,B117)-1,"")</f>
        <v/>
      </c>
      <c r="D117" s="1" t="str">
        <f ca="1">IFERROR(VLOOKUP(C117,'The IT Life'!A:B,2,0),"")</f>
        <v/>
      </c>
    </row>
    <row r="118" spans="1:4" x14ac:dyDescent="0.25">
      <c r="A118" t="str">
        <f t="shared" si="3"/>
        <v/>
      </c>
      <c r="B118" t="str">
        <f t="shared" ca="1" si="2"/>
        <v/>
      </c>
      <c r="C118" s="1" t="str">
        <f ca="1">IFERROR($C$1-1+_xlfn.RANK.EQ(B118,$B$4:$B$78)+COUNTIF(B$4:$B118,B118)-1,"")</f>
        <v/>
      </c>
      <c r="D118" s="1" t="str">
        <f ca="1">IFERROR(VLOOKUP(C118,'The IT Life'!A:B,2,0),"")</f>
        <v/>
      </c>
    </row>
    <row r="119" spans="1:4" x14ac:dyDescent="0.25">
      <c r="A119" t="str">
        <f t="shared" si="3"/>
        <v/>
      </c>
      <c r="B119" t="str">
        <f t="shared" ca="1" si="2"/>
        <v/>
      </c>
      <c r="C119" s="1" t="str">
        <f ca="1">IFERROR($C$1-1+_xlfn.RANK.EQ(B119,$B$4:$B$78)+COUNTIF(B$4:$B119,B119)-1,"")</f>
        <v/>
      </c>
      <c r="D119" s="1" t="str">
        <f ca="1">IFERROR(VLOOKUP(C119,'The IT Life'!A:B,2,0),"")</f>
        <v/>
      </c>
    </row>
    <row r="120" spans="1:4" x14ac:dyDescent="0.25">
      <c r="A120" t="str">
        <f t="shared" si="3"/>
        <v/>
      </c>
      <c r="B120" t="str">
        <f t="shared" ca="1" si="2"/>
        <v/>
      </c>
      <c r="C120" s="1" t="str">
        <f ca="1">IFERROR($C$1-1+_xlfn.RANK.EQ(B120,$B$4:$B$78)+COUNTIF(B$4:$B120,B120)-1,"")</f>
        <v/>
      </c>
      <c r="D120" s="1" t="str">
        <f ca="1">IFERROR(VLOOKUP(C120,'The IT Life'!A:B,2,0),"")</f>
        <v/>
      </c>
    </row>
    <row r="121" spans="1:4" x14ac:dyDescent="0.25">
      <c r="A121" t="str">
        <f t="shared" si="3"/>
        <v/>
      </c>
      <c r="B121" t="str">
        <f t="shared" ca="1" si="2"/>
        <v/>
      </c>
      <c r="C121" s="1" t="str">
        <f ca="1">IFERROR($C$1-1+_xlfn.RANK.EQ(B121,$B$4:$B$78)+COUNTIF(B$4:$B121,B121)-1,"")</f>
        <v/>
      </c>
      <c r="D121" s="1" t="str">
        <f ca="1">IFERROR(VLOOKUP(C121,'The IT Life'!A:B,2,0),"")</f>
        <v/>
      </c>
    </row>
    <row r="122" spans="1:4" x14ac:dyDescent="0.25">
      <c r="A122" t="str">
        <f t="shared" si="3"/>
        <v/>
      </c>
      <c r="B122" t="str">
        <f t="shared" ca="1" si="2"/>
        <v/>
      </c>
      <c r="C122" s="1" t="str">
        <f ca="1">IFERROR($C$1-1+_xlfn.RANK.EQ(B122,$B$4:$B$78)+COUNTIF(B$4:$B122,B122)-1,"")</f>
        <v/>
      </c>
      <c r="D122" s="1" t="str">
        <f ca="1">IFERROR(VLOOKUP(C122,'The IT Life'!A:B,2,0),"")</f>
        <v/>
      </c>
    </row>
    <row r="123" spans="1:4" x14ac:dyDescent="0.25">
      <c r="A123" t="str">
        <f t="shared" si="3"/>
        <v/>
      </c>
      <c r="B123" t="str">
        <f t="shared" ca="1" si="2"/>
        <v/>
      </c>
      <c r="C123" s="1" t="str">
        <f ca="1">IFERROR($C$1-1+_xlfn.RANK.EQ(B123,$B$4:$B$78)+COUNTIF(B$4:$B123,B123)-1,"")</f>
        <v/>
      </c>
      <c r="D123" s="1" t="str">
        <f ca="1">IFERROR(VLOOKUP(C123,'The IT Life'!A:B,2,0),"")</f>
        <v/>
      </c>
    </row>
    <row r="124" spans="1:4" x14ac:dyDescent="0.25">
      <c r="A124" t="str">
        <f t="shared" si="3"/>
        <v/>
      </c>
      <c r="B124" t="str">
        <f t="shared" ca="1" si="2"/>
        <v/>
      </c>
      <c r="C124" s="1" t="str">
        <f ca="1">IFERROR($C$1-1+_xlfn.RANK.EQ(B124,$B$4:$B$78)+COUNTIF(B$4:$B124,B124)-1,"")</f>
        <v/>
      </c>
      <c r="D124" s="1" t="str">
        <f ca="1">IFERROR(VLOOKUP(C124,'The IT Life'!A:B,2,0),"")</f>
        <v/>
      </c>
    </row>
    <row r="125" spans="1:4" x14ac:dyDescent="0.25">
      <c r="A125" t="str">
        <f t="shared" si="3"/>
        <v/>
      </c>
      <c r="B125" t="str">
        <f t="shared" ca="1" si="2"/>
        <v/>
      </c>
      <c r="C125" s="1" t="str">
        <f ca="1">IFERROR($C$1-1+_xlfn.RANK.EQ(B125,$B$4:$B$78)+COUNTIF(B$4:$B125,B125)-1,"")</f>
        <v/>
      </c>
      <c r="D125" s="1" t="str">
        <f ca="1">IFERROR(VLOOKUP(C125,'The IT Life'!A:B,2,0),"")</f>
        <v/>
      </c>
    </row>
    <row r="126" spans="1:4" x14ac:dyDescent="0.25">
      <c r="A126" t="str">
        <f t="shared" si="3"/>
        <v/>
      </c>
      <c r="B126" t="str">
        <f t="shared" ca="1" si="2"/>
        <v/>
      </c>
      <c r="C126" s="1" t="str">
        <f ca="1">IFERROR($C$1-1+_xlfn.RANK.EQ(B126,$B$4:$B$78)+COUNTIF(B$4:$B126,B126)-1,"")</f>
        <v/>
      </c>
      <c r="D126" s="1" t="str">
        <f ca="1">IFERROR(VLOOKUP(C126,'The IT Life'!A:B,2,0),"")</f>
        <v/>
      </c>
    </row>
    <row r="127" spans="1:4" x14ac:dyDescent="0.25">
      <c r="A127" t="str">
        <f t="shared" si="3"/>
        <v/>
      </c>
      <c r="B127" t="str">
        <f t="shared" ca="1" si="2"/>
        <v/>
      </c>
      <c r="C127" s="1" t="str">
        <f ca="1">IFERROR($C$1-1+_xlfn.RANK.EQ(B127,$B$4:$B$78)+COUNTIF(B$4:$B127,B127)-1,"")</f>
        <v/>
      </c>
      <c r="D127" s="1" t="str">
        <f ca="1">IFERROR(VLOOKUP(C127,'The IT Life'!A:B,2,0),"")</f>
        <v/>
      </c>
    </row>
    <row r="128" spans="1:4" x14ac:dyDescent="0.25">
      <c r="A128" t="str">
        <f t="shared" si="3"/>
        <v/>
      </c>
      <c r="B128" t="str">
        <f t="shared" ca="1" si="2"/>
        <v/>
      </c>
      <c r="C128" s="1" t="str">
        <f ca="1">IFERROR($C$1-1+_xlfn.RANK.EQ(B128,$B$4:$B$78)+COUNTIF(B$4:$B128,B128)-1,"")</f>
        <v/>
      </c>
      <c r="D128" s="1" t="str">
        <f ca="1">IFERROR(VLOOKUP(C128,'The IT Life'!A:B,2,0),"")</f>
        <v/>
      </c>
    </row>
    <row r="129" spans="1:4" x14ac:dyDescent="0.25">
      <c r="A129" t="str">
        <f t="shared" si="3"/>
        <v/>
      </c>
      <c r="B129" t="str">
        <f t="shared" ca="1" si="2"/>
        <v/>
      </c>
      <c r="C129" s="1" t="str">
        <f ca="1">IFERROR($C$1-1+_xlfn.RANK.EQ(B129,$B$4:$B$78)+COUNTIF(B$4:$B129,B129)-1,"")</f>
        <v/>
      </c>
      <c r="D129" s="1" t="str">
        <f ca="1">IFERROR(VLOOKUP(C129,'The IT Life'!A:B,2,0),"")</f>
        <v/>
      </c>
    </row>
    <row r="130" spans="1:4" x14ac:dyDescent="0.25">
      <c r="A130" t="str">
        <f t="shared" si="3"/>
        <v/>
      </c>
      <c r="B130" t="str">
        <f t="shared" ca="1" si="2"/>
        <v/>
      </c>
      <c r="C130" s="1" t="str">
        <f ca="1">IFERROR($C$1-1+_xlfn.RANK.EQ(B130,$B$4:$B$78)+COUNTIF(B$4:$B130,B130)-1,"")</f>
        <v/>
      </c>
      <c r="D130" s="1" t="str">
        <f ca="1">IFERROR(VLOOKUP(C130,'The IT Life'!A:B,2,0),"")</f>
        <v/>
      </c>
    </row>
    <row r="131" spans="1:4" x14ac:dyDescent="0.25">
      <c r="A131" t="str">
        <f t="shared" si="3"/>
        <v/>
      </c>
      <c r="B131" t="str">
        <f t="shared" ca="1" si="2"/>
        <v/>
      </c>
      <c r="C131" s="1" t="str">
        <f ca="1">IFERROR($C$1-1+_xlfn.RANK.EQ(B131,$B$4:$B$78)+COUNTIF(B$4:$B131,B131)-1,"")</f>
        <v/>
      </c>
      <c r="D131" s="1" t="str">
        <f ca="1">IFERROR(VLOOKUP(C131,'The IT Life'!A:B,2,0),"")</f>
        <v/>
      </c>
    </row>
    <row r="132" spans="1:4" x14ac:dyDescent="0.25">
      <c r="A132" t="str">
        <f t="shared" si="3"/>
        <v/>
      </c>
      <c r="B132" t="str">
        <f t="shared" ref="B132:B195" ca="1" si="4">IF(A132="","",RANDBETWEEN($C$1,$C$2))</f>
        <v/>
      </c>
      <c r="C132" s="1" t="str">
        <f ca="1">IFERROR($C$1-1+_xlfn.RANK.EQ(B132,$B$4:$B$78)+COUNTIF(B$4:$B132,B132)-1,"")</f>
        <v/>
      </c>
      <c r="D132" s="1" t="str">
        <f ca="1">IFERROR(VLOOKUP(C132,'The IT Life'!A:B,2,0),"")</f>
        <v/>
      </c>
    </row>
    <row r="133" spans="1:4" x14ac:dyDescent="0.25">
      <c r="A133" t="str">
        <f t="shared" si="3"/>
        <v/>
      </c>
      <c r="B133" t="str">
        <f t="shared" ca="1" si="4"/>
        <v/>
      </c>
      <c r="C133" s="1" t="str">
        <f ca="1">IFERROR($C$1-1+_xlfn.RANK.EQ(B133,$B$4:$B$78)+COUNTIF(B$4:$B133,B133)-1,"")</f>
        <v/>
      </c>
      <c r="D133" s="1" t="str">
        <f ca="1">IFERROR(VLOOKUP(C133,'The IT Life'!A:B,2,0),"")</f>
        <v/>
      </c>
    </row>
    <row r="134" spans="1:4" x14ac:dyDescent="0.25">
      <c r="A134" t="str">
        <f t="shared" ref="A134:A197" si="5">IFERROR(IF(A133+1&gt;$C$2,"",A133+1),"")</f>
        <v/>
      </c>
      <c r="B134" t="str">
        <f t="shared" ca="1" si="4"/>
        <v/>
      </c>
      <c r="C134" s="1" t="str">
        <f ca="1">IFERROR($C$1-1+_xlfn.RANK.EQ(B134,$B$4:$B$78)+COUNTIF(B$4:$B134,B134)-1,"")</f>
        <v/>
      </c>
      <c r="D134" s="1" t="str">
        <f ca="1">IFERROR(VLOOKUP(C134,'The IT Life'!A:B,2,0),"")</f>
        <v/>
      </c>
    </row>
    <row r="135" spans="1:4" x14ac:dyDescent="0.25">
      <c r="A135" t="str">
        <f t="shared" si="5"/>
        <v/>
      </c>
      <c r="B135" t="str">
        <f t="shared" ca="1" si="4"/>
        <v/>
      </c>
      <c r="C135" s="1" t="str">
        <f ca="1">IFERROR($C$1-1+_xlfn.RANK.EQ(B135,$B$4:$B$78)+COUNTIF(B$4:$B135,B135)-1,"")</f>
        <v/>
      </c>
      <c r="D135" s="1" t="str">
        <f ca="1">IFERROR(VLOOKUP(C135,'The IT Life'!A:B,2,0),"")</f>
        <v/>
      </c>
    </row>
    <row r="136" spans="1:4" x14ac:dyDescent="0.25">
      <c r="A136" t="str">
        <f t="shared" si="5"/>
        <v/>
      </c>
      <c r="B136" t="str">
        <f t="shared" ca="1" si="4"/>
        <v/>
      </c>
      <c r="C136" s="1" t="str">
        <f ca="1">IFERROR($C$1-1+_xlfn.RANK.EQ(B136,$B$4:$B$78)+COUNTIF(B$4:$B136,B136)-1,"")</f>
        <v/>
      </c>
      <c r="D136" s="1" t="str">
        <f ca="1">IFERROR(VLOOKUP(C136,'The IT Life'!A:B,2,0),"")</f>
        <v/>
      </c>
    </row>
    <row r="137" spans="1:4" x14ac:dyDescent="0.25">
      <c r="A137" t="str">
        <f t="shared" si="5"/>
        <v/>
      </c>
      <c r="B137" t="str">
        <f t="shared" ca="1" si="4"/>
        <v/>
      </c>
      <c r="C137" s="1" t="str">
        <f ca="1">IFERROR($C$1-1+_xlfn.RANK.EQ(B137,$B$4:$B$78)+COUNTIF(B$4:$B137,B137)-1,"")</f>
        <v/>
      </c>
      <c r="D137" s="1" t="str">
        <f ca="1">IFERROR(VLOOKUP(C137,'The IT Life'!A:B,2,0),"")</f>
        <v/>
      </c>
    </row>
    <row r="138" spans="1:4" x14ac:dyDescent="0.25">
      <c r="A138" t="str">
        <f t="shared" si="5"/>
        <v/>
      </c>
      <c r="B138" t="str">
        <f t="shared" ca="1" si="4"/>
        <v/>
      </c>
      <c r="C138" s="1" t="str">
        <f ca="1">IFERROR($C$1-1+_xlfn.RANK.EQ(B138,$B$4:$B$78)+COUNTIF(B$4:$B138,B138)-1,"")</f>
        <v/>
      </c>
      <c r="D138" s="1" t="str">
        <f ca="1">IFERROR(VLOOKUP(C138,'The IT Life'!A:B,2,0),"")</f>
        <v/>
      </c>
    </row>
    <row r="139" spans="1:4" x14ac:dyDescent="0.25">
      <c r="A139" t="str">
        <f t="shared" si="5"/>
        <v/>
      </c>
      <c r="B139" t="str">
        <f t="shared" ca="1" si="4"/>
        <v/>
      </c>
      <c r="C139" s="1" t="str">
        <f ca="1">IFERROR($C$1-1+_xlfn.RANK.EQ(B139,$B$4:$B$78)+COUNTIF(B$4:$B139,B139)-1,"")</f>
        <v/>
      </c>
      <c r="D139" s="1" t="str">
        <f ca="1">IFERROR(VLOOKUP(C139,'The IT Life'!A:B,2,0),"")</f>
        <v/>
      </c>
    </row>
    <row r="140" spans="1:4" x14ac:dyDescent="0.25">
      <c r="A140" t="str">
        <f t="shared" si="5"/>
        <v/>
      </c>
      <c r="B140" t="str">
        <f t="shared" ca="1" si="4"/>
        <v/>
      </c>
      <c r="C140" s="1" t="str">
        <f ca="1">IFERROR($C$1-1+_xlfn.RANK.EQ(B140,$B$4:$B$78)+COUNTIF(B$4:$B140,B140)-1,"")</f>
        <v/>
      </c>
      <c r="D140" s="1" t="str">
        <f ca="1">IFERROR(VLOOKUP(C140,'The IT Life'!A:B,2,0),"")</f>
        <v/>
      </c>
    </row>
    <row r="141" spans="1:4" x14ac:dyDescent="0.25">
      <c r="A141" t="str">
        <f t="shared" si="5"/>
        <v/>
      </c>
      <c r="B141" t="str">
        <f t="shared" ca="1" si="4"/>
        <v/>
      </c>
      <c r="C141" s="1" t="str">
        <f ca="1">IFERROR($C$1-1+_xlfn.RANK.EQ(B141,$B$4:$B$78)+COUNTIF(B$4:$B141,B141)-1,"")</f>
        <v/>
      </c>
      <c r="D141" s="1" t="str">
        <f ca="1">IFERROR(VLOOKUP(C141,'The IT Life'!A:B,2,0),"")</f>
        <v/>
      </c>
    </row>
    <row r="142" spans="1:4" x14ac:dyDescent="0.25">
      <c r="A142" t="str">
        <f t="shared" si="5"/>
        <v/>
      </c>
      <c r="B142" t="str">
        <f t="shared" ca="1" si="4"/>
        <v/>
      </c>
      <c r="C142" s="1" t="str">
        <f ca="1">IFERROR($C$1-1+_xlfn.RANK.EQ(B142,$B$4:$B$78)+COUNTIF(B$4:$B142,B142)-1,"")</f>
        <v/>
      </c>
      <c r="D142" s="1" t="str">
        <f ca="1">IFERROR(VLOOKUP(C142,'The IT Life'!A:B,2,0),"")</f>
        <v/>
      </c>
    </row>
    <row r="143" spans="1:4" x14ac:dyDescent="0.25">
      <c r="A143" t="str">
        <f t="shared" si="5"/>
        <v/>
      </c>
      <c r="B143" t="str">
        <f t="shared" ca="1" si="4"/>
        <v/>
      </c>
      <c r="D143" s="1"/>
    </row>
    <row r="144" spans="1:4" x14ac:dyDescent="0.25">
      <c r="A144" t="str">
        <f t="shared" si="5"/>
        <v/>
      </c>
      <c r="B144" t="str">
        <f t="shared" ca="1" si="4"/>
        <v/>
      </c>
      <c r="D144" s="1"/>
    </row>
    <row r="145" spans="1:4" x14ac:dyDescent="0.25">
      <c r="A145" t="str">
        <f t="shared" si="5"/>
        <v/>
      </c>
      <c r="B145" t="str">
        <f t="shared" ca="1" si="4"/>
        <v/>
      </c>
      <c r="D145" s="1"/>
    </row>
    <row r="146" spans="1:4" x14ac:dyDescent="0.25">
      <c r="A146" t="str">
        <f t="shared" si="5"/>
        <v/>
      </c>
      <c r="B146" t="str">
        <f t="shared" ca="1" si="4"/>
        <v/>
      </c>
      <c r="D146" s="1"/>
    </row>
    <row r="147" spans="1:4" x14ac:dyDescent="0.25">
      <c r="A147" t="str">
        <f t="shared" si="5"/>
        <v/>
      </c>
      <c r="B147" t="str">
        <f t="shared" ca="1" si="4"/>
        <v/>
      </c>
      <c r="D147" s="1"/>
    </row>
    <row r="148" spans="1:4" x14ac:dyDescent="0.25">
      <c r="A148" t="str">
        <f t="shared" si="5"/>
        <v/>
      </c>
      <c r="B148" t="str">
        <f t="shared" ca="1" si="4"/>
        <v/>
      </c>
      <c r="D148" s="1"/>
    </row>
    <row r="149" spans="1:4" x14ac:dyDescent="0.25">
      <c r="A149" t="str">
        <f t="shared" si="5"/>
        <v/>
      </c>
      <c r="B149" t="str">
        <f t="shared" ca="1" si="4"/>
        <v/>
      </c>
      <c r="D149" s="1"/>
    </row>
    <row r="150" spans="1:4" x14ac:dyDescent="0.25">
      <c r="A150" t="str">
        <f t="shared" si="5"/>
        <v/>
      </c>
      <c r="B150" t="str">
        <f t="shared" ca="1" si="4"/>
        <v/>
      </c>
      <c r="D150" s="1"/>
    </row>
    <row r="151" spans="1:4" x14ac:dyDescent="0.25">
      <c r="A151" t="str">
        <f t="shared" si="5"/>
        <v/>
      </c>
      <c r="B151" t="str">
        <f t="shared" ca="1" si="4"/>
        <v/>
      </c>
      <c r="D151" s="1"/>
    </row>
    <row r="152" spans="1:4" x14ac:dyDescent="0.25">
      <c r="A152" t="str">
        <f t="shared" si="5"/>
        <v/>
      </c>
      <c r="B152" t="str">
        <f t="shared" ca="1" si="4"/>
        <v/>
      </c>
      <c r="D152" s="1"/>
    </row>
    <row r="153" spans="1:4" x14ac:dyDescent="0.25">
      <c r="A153" t="str">
        <f t="shared" si="5"/>
        <v/>
      </c>
      <c r="B153" t="str">
        <f t="shared" ca="1" si="4"/>
        <v/>
      </c>
      <c r="D153" s="1"/>
    </row>
    <row r="154" spans="1:4" x14ac:dyDescent="0.25">
      <c r="A154" t="str">
        <f t="shared" si="5"/>
        <v/>
      </c>
      <c r="B154" t="str">
        <f t="shared" ca="1" si="4"/>
        <v/>
      </c>
      <c r="D154" s="1"/>
    </row>
    <row r="155" spans="1:4" x14ac:dyDescent="0.25">
      <c r="A155" t="str">
        <f t="shared" si="5"/>
        <v/>
      </c>
      <c r="B155" t="str">
        <f t="shared" ca="1" si="4"/>
        <v/>
      </c>
      <c r="D155" s="1"/>
    </row>
    <row r="156" spans="1:4" x14ac:dyDescent="0.25">
      <c r="A156" t="str">
        <f t="shared" si="5"/>
        <v/>
      </c>
      <c r="B156" t="str">
        <f t="shared" ca="1" si="4"/>
        <v/>
      </c>
      <c r="D156" s="1"/>
    </row>
    <row r="157" spans="1:4" x14ac:dyDescent="0.25">
      <c r="A157" t="str">
        <f t="shared" si="5"/>
        <v/>
      </c>
      <c r="B157" t="str">
        <f t="shared" ca="1" si="4"/>
        <v/>
      </c>
      <c r="D157" s="1"/>
    </row>
    <row r="158" spans="1:4" x14ac:dyDescent="0.25">
      <c r="A158" t="str">
        <f t="shared" si="5"/>
        <v/>
      </c>
      <c r="B158" t="str">
        <f t="shared" ca="1" si="4"/>
        <v/>
      </c>
      <c r="D158" s="1"/>
    </row>
    <row r="159" spans="1:4" x14ac:dyDescent="0.25">
      <c r="A159" t="str">
        <f t="shared" si="5"/>
        <v/>
      </c>
      <c r="B159" t="str">
        <f t="shared" ca="1" si="4"/>
        <v/>
      </c>
      <c r="D159" s="1"/>
    </row>
    <row r="160" spans="1:4" x14ac:dyDescent="0.25">
      <c r="A160" t="str">
        <f t="shared" si="5"/>
        <v/>
      </c>
      <c r="B160" t="str">
        <f t="shared" ca="1" si="4"/>
        <v/>
      </c>
      <c r="D160" s="1"/>
    </row>
    <row r="161" spans="1:4" x14ac:dyDescent="0.25">
      <c r="A161" t="str">
        <f t="shared" si="5"/>
        <v/>
      </c>
      <c r="B161" t="str">
        <f t="shared" ca="1" si="4"/>
        <v/>
      </c>
      <c r="D161" s="1"/>
    </row>
    <row r="162" spans="1:4" x14ac:dyDescent="0.25">
      <c r="A162" t="str">
        <f t="shared" si="5"/>
        <v/>
      </c>
      <c r="B162" t="str">
        <f t="shared" ca="1" si="4"/>
        <v/>
      </c>
      <c r="D162" s="1"/>
    </row>
    <row r="163" spans="1:4" x14ac:dyDescent="0.25">
      <c r="A163" t="str">
        <f t="shared" si="5"/>
        <v/>
      </c>
      <c r="B163" t="str">
        <f t="shared" ca="1" si="4"/>
        <v/>
      </c>
      <c r="D163" s="1"/>
    </row>
    <row r="164" spans="1:4" x14ac:dyDescent="0.25">
      <c r="A164" t="str">
        <f t="shared" si="5"/>
        <v/>
      </c>
      <c r="B164" t="str">
        <f t="shared" ca="1" si="4"/>
        <v/>
      </c>
      <c r="D164" s="1"/>
    </row>
    <row r="165" spans="1:4" x14ac:dyDescent="0.25">
      <c r="A165" t="str">
        <f t="shared" si="5"/>
        <v/>
      </c>
      <c r="B165" t="str">
        <f t="shared" ca="1" si="4"/>
        <v/>
      </c>
      <c r="D165" s="1"/>
    </row>
    <row r="166" spans="1:4" x14ac:dyDescent="0.25">
      <c r="A166" t="str">
        <f t="shared" si="5"/>
        <v/>
      </c>
      <c r="B166" t="str">
        <f t="shared" ca="1" si="4"/>
        <v/>
      </c>
      <c r="D166" s="1"/>
    </row>
    <row r="167" spans="1:4" x14ac:dyDescent="0.25">
      <c r="A167" t="str">
        <f t="shared" si="5"/>
        <v/>
      </c>
      <c r="B167" t="str">
        <f t="shared" ca="1" si="4"/>
        <v/>
      </c>
      <c r="D167" s="1"/>
    </row>
    <row r="168" spans="1:4" x14ac:dyDescent="0.25">
      <c r="A168" t="str">
        <f t="shared" si="5"/>
        <v/>
      </c>
      <c r="B168" t="str">
        <f t="shared" ca="1" si="4"/>
        <v/>
      </c>
      <c r="D168" s="1"/>
    </row>
    <row r="169" spans="1:4" x14ac:dyDescent="0.25">
      <c r="A169" t="str">
        <f t="shared" si="5"/>
        <v/>
      </c>
      <c r="B169" t="str">
        <f t="shared" ca="1" si="4"/>
        <v/>
      </c>
      <c r="D169" s="1"/>
    </row>
    <row r="170" spans="1:4" x14ac:dyDescent="0.25">
      <c r="A170" t="str">
        <f t="shared" si="5"/>
        <v/>
      </c>
      <c r="B170" t="str">
        <f t="shared" ca="1" si="4"/>
        <v/>
      </c>
      <c r="D170" s="1"/>
    </row>
    <row r="171" spans="1:4" x14ac:dyDescent="0.25">
      <c r="A171" t="str">
        <f t="shared" si="5"/>
        <v/>
      </c>
      <c r="B171" t="str">
        <f t="shared" ca="1" si="4"/>
        <v/>
      </c>
      <c r="D171" s="1"/>
    </row>
    <row r="172" spans="1:4" x14ac:dyDescent="0.25">
      <c r="A172" t="str">
        <f t="shared" si="5"/>
        <v/>
      </c>
      <c r="B172" t="str">
        <f t="shared" ca="1" si="4"/>
        <v/>
      </c>
      <c r="D172" s="1"/>
    </row>
    <row r="173" spans="1:4" x14ac:dyDescent="0.25">
      <c r="A173" t="str">
        <f t="shared" si="5"/>
        <v/>
      </c>
      <c r="B173" t="str">
        <f t="shared" ca="1" si="4"/>
        <v/>
      </c>
      <c r="D173" s="1"/>
    </row>
    <row r="174" spans="1:4" x14ac:dyDescent="0.25">
      <c r="A174" t="str">
        <f t="shared" si="5"/>
        <v/>
      </c>
      <c r="B174" t="str">
        <f t="shared" ca="1" si="4"/>
        <v/>
      </c>
      <c r="D174" s="1"/>
    </row>
    <row r="175" spans="1:4" x14ac:dyDescent="0.25">
      <c r="A175" t="str">
        <f t="shared" si="5"/>
        <v/>
      </c>
      <c r="B175" t="str">
        <f t="shared" ca="1" si="4"/>
        <v/>
      </c>
      <c r="D175" s="1"/>
    </row>
    <row r="176" spans="1:4" x14ac:dyDescent="0.25">
      <c r="A176" t="str">
        <f t="shared" si="5"/>
        <v/>
      </c>
      <c r="B176" t="str">
        <f t="shared" ca="1" si="4"/>
        <v/>
      </c>
      <c r="D176" s="1"/>
    </row>
    <row r="177" spans="1:4" x14ac:dyDescent="0.25">
      <c r="A177" t="str">
        <f t="shared" si="5"/>
        <v/>
      </c>
      <c r="B177" t="str">
        <f t="shared" ca="1" si="4"/>
        <v/>
      </c>
      <c r="D177" s="1"/>
    </row>
    <row r="178" spans="1:4" x14ac:dyDescent="0.25">
      <c r="A178" t="str">
        <f t="shared" si="5"/>
        <v/>
      </c>
      <c r="B178" t="str">
        <f t="shared" ca="1" si="4"/>
        <v/>
      </c>
      <c r="D178" s="1"/>
    </row>
    <row r="179" spans="1:4" x14ac:dyDescent="0.25">
      <c r="A179" t="str">
        <f t="shared" si="5"/>
        <v/>
      </c>
      <c r="B179" t="str">
        <f t="shared" ca="1" si="4"/>
        <v/>
      </c>
      <c r="D179" s="1"/>
    </row>
    <row r="180" spans="1:4" x14ac:dyDescent="0.25">
      <c r="A180" t="str">
        <f t="shared" si="5"/>
        <v/>
      </c>
      <c r="B180" t="str">
        <f t="shared" ca="1" si="4"/>
        <v/>
      </c>
      <c r="D180" s="1"/>
    </row>
    <row r="181" spans="1:4" x14ac:dyDescent="0.25">
      <c r="A181" t="str">
        <f t="shared" si="5"/>
        <v/>
      </c>
      <c r="B181" t="str">
        <f t="shared" ca="1" si="4"/>
        <v/>
      </c>
      <c r="D181" s="1"/>
    </row>
    <row r="182" spans="1:4" x14ac:dyDescent="0.25">
      <c r="A182" t="str">
        <f t="shared" si="5"/>
        <v/>
      </c>
      <c r="B182" t="str">
        <f t="shared" ca="1" si="4"/>
        <v/>
      </c>
      <c r="D182" s="1"/>
    </row>
    <row r="183" spans="1:4" x14ac:dyDescent="0.25">
      <c r="A183" t="str">
        <f t="shared" si="5"/>
        <v/>
      </c>
      <c r="B183" t="str">
        <f t="shared" ca="1" si="4"/>
        <v/>
      </c>
      <c r="D183" s="1"/>
    </row>
    <row r="184" spans="1:4" x14ac:dyDescent="0.25">
      <c r="A184" t="str">
        <f t="shared" si="5"/>
        <v/>
      </c>
      <c r="B184" t="str">
        <f t="shared" ca="1" si="4"/>
        <v/>
      </c>
      <c r="D184" s="1"/>
    </row>
    <row r="185" spans="1:4" x14ac:dyDescent="0.25">
      <c r="A185" t="str">
        <f t="shared" si="5"/>
        <v/>
      </c>
      <c r="B185" t="str">
        <f t="shared" ca="1" si="4"/>
        <v/>
      </c>
      <c r="D185" s="1"/>
    </row>
    <row r="186" spans="1:4" x14ac:dyDescent="0.25">
      <c r="A186" t="str">
        <f t="shared" si="5"/>
        <v/>
      </c>
      <c r="B186" t="str">
        <f t="shared" ca="1" si="4"/>
        <v/>
      </c>
      <c r="D186" s="1"/>
    </row>
    <row r="187" spans="1:4" x14ac:dyDescent="0.25">
      <c r="A187" t="str">
        <f t="shared" si="5"/>
        <v/>
      </c>
      <c r="B187" t="str">
        <f t="shared" ca="1" si="4"/>
        <v/>
      </c>
      <c r="D187" s="1"/>
    </row>
    <row r="188" spans="1:4" x14ac:dyDescent="0.25">
      <c r="A188" t="str">
        <f t="shared" si="5"/>
        <v/>
      </c>
      <c r="B188" t="str">
        <f t="shared" ca="1" si="4"/>
        <v/>
      </c>
      <c r="D188" s="1"/>
    </row>
    <row r="189" spans="1:4" x14ac:dyDescent="0.25">
      <c r="A189" t="str">
        <f t="shared" si="5"/>
        <v/>
      </c>
      <c r="B189" t="str">
        <f t="shared" ca="1" si="4"/>
        <v/>
      </c>
      <c r="D189" s="1"/>
    </row>
    <row r="190" spans="1:4" x14ac:dyDescent="0.25">
      <c r="A190" t="str">
        <f t="shared" si="5"/>
        <v/>
      </c>
      <c r="B190" t="str">
        <f t="shared" ca="1" si="4"/>
        <v/>
      </c>
      <c r="D190" s="1"/>
    </row>
    <row r="191" spans="1:4" x14ac:dyDescent="0.25">
      <c r="A191" t="str">
        <f t="shared" si="5"/>
        <v/>
      </c>
      <c r="B191" t="str">
        <f t="shared" ca="1" si="4"/>
        <v/>
      </c>
      <c r="D191" s="1"/>
    </row>
    <row r="192" spans="1:4" x14ac:dyDescent="0.25">
      <c r="A192" t="str">
        <f t="shared" si="5"/>
        <v/>
      </c>
      <c r="B192" t="str">
        <f t="shared" ca="1" si="4"/>
        <v/>
      </c>
      <c r="D192" s="1"/>
    </row>
    <row r="193" spans="1:4" x14ac:dyDescent="0.25">
      <c r="A193" t="str">
        <f t="shared" si="5"/>
        <v/>
      </c>
      <c r="B193" t="str">
        <f t="shared" ca="1" si="4"/>
        <v/>
      </c>
      <c r="D193" s="1"/>
    </row>
    <row r="194" spans="1:4" x14ac:dyDescent="0.25">
      <c r="A194" t="str">
        <f t="shared" si="5"/>
        <v/>
      </c>
      <c r="B194" t="str">
        <f t="shared" ca="1" si="4"/>
        <v/>
      </c>
      <c r="D194" s="1"/>
    </row>
    <row r="195" spans="1:4" x14ac:dyDescent="0.25">
      <c r="A195" t="str">
        <f t="shared" si="5"/>
        <v/>
      </c>
      <c r="B195" t="str">
        <f t="shared" ca="1" si="4"/>
        <v/>
      </c>
      <c r="D195" s="1"/>
    </row>
    <row r="196" spans="1:4" x14ac:dyDescent="0.25">
      <c r="A196" t="str">
        <f t="shared" si="5"/>
        <v/>
      </c>
      <c r="B196" t="str">
        <f t="shared" ref="B196:B259" ca="1" si="6">IF(A196="","",RANDBETWEEN($C$1,$C$2))</f>
        <v/>
      </c>
      <c r="D196" s="1"/>
    </row>
    <row r="197" spans="1:4" x14ac:dyDescent="0.25">
      <c r="A197" t="str">
        <f t="shared" si="5"/>
        <v/>
      </c>
      <c r="B197" t="str">
        <f t="shared" ca="1" si="6"/>
        <v/>
      </c>
      <c r="D197" s="1"/>
    </row>
    <row r="198" spans="1:4" x14ac:dyDescent="0.25">
      <c r="A198" t="str">
        <f t="shared" ref="A198:A261" si="7">IFERROR(IF(A197+1&gt;$C$2,"",A197+1),"")</f>
        <v/>
      </c>
      <c r="B198" t="str">
        <f t="shared" ca="1" si="6"/>
        <v/>
      </c>
      <c r="D198" s="1"/>
    </row>
    <row r="199" spans="1:4" x14ac:dyDescent="0.25">
      <c r="A199" t="str">
        <f t="shared" si="7"/>
        <v/>
      </c>
      <c r="B199" t="str">
        <f t="shared" ca="1" si="6"/>
        <v/>
      </c>
      <c r="D199" s="1"/>
    </row>
    <row r="200" spans="1:4" x14ac:dyDescent="0.25">
      <c r="A200" t="str">
        <f t="shared" si="7"/>
        <v/>
      </c>
      <c r="B200" t="str">
        <f t="shared" ca="1" si="6"/>
        <v/>
      </c>
      <c r="D200" s="1"/>
    </row>
    <row r="201" spans="1:4" x14ac:dyDescent="0.25">
      <c r="A201" t="str">
        <f t="shared" si="7"/>
        <v/>
      </c>
      <c r="B201" t="str">
        <f t="shared" ca="1" si="6"/>
        <v/>
      </c>
      <c r="D201" s="1"/>
    </row>
    <row r="202" spans="1:4" x14ac:dyDescent="0.25">
      <c r="A202" t="str">
        <f t="shared" si="7"/>
        <v/>
      </c>
      <c r="B202" t="str">
        <f t="shared" ca="1" si="6"/>
        <v/>
      </c>
      <c r="D202" s="1"/>
    </row>
    <row r="203" spans="1:4" x14ac:dyDescent="0.25">
      <c r="A203" t="str">
        <f t="shared" si="7"/>
        <v/>
      </c>
      <c r="B203" t="str">
        <f t="shared" ca="1" si="6"/>
        <v/>
      </c>
      <c r="D203" s="1"/>
    </row>
    <row r="204" spans="1:4" x14ac:dyDescent="0.25">
      <c r="A204" t="str">
        <f t="shared" si="7"/>
        <v/>
      </c>
      <c r="B204" t="str">
        <f t="shared" ca="1" si="6"/>
        <v/>
      </c>
      <c r="D204" s="1"/>
    </row>
    <row r="205" spans="1:4" x14ac:dyDescent="0.25">
      <c r="A205" t="str">
        <f t="shared" si="7"/>
        <v/>
      </c>
      <c r="B205" t="str">
        <f t="shared" ca="1" si="6"/>
        <v/>
      </c>
      <c r="D205" s="1"/>
    </row>
    <row r="206" spans="1:4" x14ac:dyDescent="0.25">
      <c r="A206" t="str">
        <f t="shared" si="7"/>
        <v/>
      </c>
      <c r="B206" t="str">
        <f t="shared" ca="1" si="6"/>
        <v/>
      </c>
      <c r="D206" s="1"/>
    </row>
    <row r="207" spans="1:4" x14ac:dyDescent="0.25">
      <c r="A207" t="str">
        <f t="shared" si="7"/>
        <v/>
      </c>
      <c r="B207" t="str">
        <f t="shared" ca="1" si="6"/>
        <v/>
      </c>
      <c r="D207" s="1"/>
    </row>
    <row r="208" spans="1:4" x14ac:dyDescent="0.25">
      <c r="A208" t="str">
        <f t="shared" si="7"/>
        <v/>
      </c>
      <c r="B208" t="str">
        <f t="shared" ca="1" si="6"/>
        <v/>
      </c>
      <c r="D208" s="1"/>
    </row>
    <row r="209" spans="1:4" x14ac:dyDescent="0.25">
      <c r="A209" t="str">
        <f t="shared" si="7"/>
        <v/>
      </c>
      <c r="B209" t="str">
        <f t="shared" ca="1" si="6"/>
        <v/>
      </c>
      <c r="D209" s="1"/>
    </row>
    <row r="210" spans="1:4" x14ac:dyDescent="0.25">
      <c r="A210" t="str">
        <f t="shared" si="7"/>
        <v/>
      </c>
      <c r="B210" t="str">
        <f t="shared" ca="1" si="6"/>
        <v/>
      </c>
      <c r="D210" s="1"/>
    </row>
    <row r="211" spans="1:4" x14ac:dyDescent="0.25">
      <c r="A211" t="str">
        <f t="shared" si="7"/>
        <v/>
      </c>
      <c r="B211" t="str">
        <f t="shared" ca="1" si="6"/>
        <v/>
      </c>
      <c r="D211" s="1"/>
    </row>
    <row r="212" spans="1:4" x14ac:dyDescent="0.25">
      <c r="A212" t="str">
        <f t="shared" si="7"/>
        <v/>
      </c>
      <c r="B212" t="str">
        <f t="shared" ca="1" si="6"/>
        <v/>
      </c>
      <c r="D212" s="1"/>
    </row>
    <row r="213" spans="1:4" x14ac:dyDescent="0.25">
      <c r="A213" t="str">
        <f t="shared" si="7"/>
        <v/>
      </c>
      <c r="B213" t="str">
        <f t="shared" ca="1" si="6"/>
        <v/>
      </c>
      <c r="D213" s="1"/>
    </row>
    <row r="214" spans="1:4" x14ac:dyDescent="0.25">
      <c r="A214" t="str">
        <f t="shared" si="7"/>
        <v/>
      </c>
      <c r="B214" t="str">
        <f t="shared" ca="1" si="6"/>
        <v/>
      </c>
      <c r="D214" s="1"/>
    </row>
    <row r="215" spans="1:4" x14ac:dyDescent="0.25">
      <c r="A215" t="str">
        <f t="shared" si="7"/>
        <v/>
      </c>
      <c r="B215" t="str">
        <f t="shared" ca="1" si="6"/>
        <v/>
      </c>
      <c r="D215" s="1"/>
    </row>
    <row r="216" spans="1:4" x14ac:dyDescent="0.25">
      <c r="A216" t="str">
        <f t="shared" si="7"/>
        <v/>
      </c>
      <c r="B216" t="str">
        <f t="shared" ca="1" si="6"/>
        <v/>
      </c>
      <c r="D216" s="1"/>
    </row>
    <row r="217" spans="1:4" x14ac:dyDescent="0.25">
      <c r="A217" t="str">
        <f t="shared" si="7"/>
        <v/>
      </c>
      <c r="B217" t="str">
        <f t="shared" ca="1" si="6"/>
        <v/>
      </c>
      <c r="D217" s="1"/>
    </row>
    <row r="218" spans="1:4" x14ac:dyDescent="0.25">
      <c r="A218" t="str">
        <f t="shared" si="7"/>
        <v/>
      </c>
      <c r="B218" t="str">
        <f t="shared" ca="1" si="6"/>
        <v/>
      </c>
      <c r="D218" s="1"/>
    </row>
    <row r="219" spans="1:4" x14ac:dyDescent="0.25">
      <c r="A219" t="str">
        <f t="shared" si="7"/>
        <v/>
      </c>
      <c r="B219" t="str">
        <f t="shared" ca="1" si="6"/>
        <v/>
      </c>
      <c r="D219" s="1"/>
    </row>
    <row r="220" spans="1:4" x14ac:dyDescent="0.25">
      <c r="A220" t="str">
        <f t="shared" si="7"/>
        <v/>
      </c>
      <c r="B220" t="str">
        <f t="shared" ca="1" si="6"/>
        <v/>
      </c>
      <c r="D220" s="1"/>
    </row>
    <row r="221" spans="1:4" x14ac:dyDescent="0.25">
      <c r="A221" t="str">
        <f t="shared" si="7"/>
        <v/>
      </c>
      <c r="B221" t="str">
        <f t="shared" ca="1" si="6"/>
        <v/>
      </c>
      <c r="D221" s="1"/>
    </row>
    <row r="222" spans="1:4" x14ac:dyDescent="0.25">
      <c r="A222" t="str">
        <f t="shared" si="7"/>
        <v/>
      </c>
      <c r="B222" t="str">
        <f t="shared" ca="1" si="6"/>
        <v/>
      </c>
      <c r="D222" s="1"/>
    </row>
    <row r="223" spans="1:4" x14ac:dyDescent="0.25">
      <c r="A223" t="str">
        <f t="shared" si="7"/>
        <v/>
      </c>
      <c r="B223" t="str">
        <f t="shared" ca="1" si="6"/>
        <v/>
      </c>
      <c r="D223" s="1"/>
    </row>
    <row r="224" spans="1:4" x14ac:dyDescent="0.25">
      <c r="A224" t="str">
        <f t="shared" si="7"/>
        <v/>
      </c>
      <c r="B224" t="str">
        <f t="shared" ca="1" si="6"/>
        <v/>
      </c>
      <c r="D224" s="1"/>
    </row>
    <row r="225" spans="1:4" x14ac:dyDescent="0.25">
      <c r="A225" t="str">
        <f t="shared" si="7"/>
        <v/>
      </c>
      <c r="B225" t="str">
        <f t="shared" ca="1" si="6"/>
        <v/>
      </c>
      <c r="D225" s="1"/>
    </row>
    <row r="226" spans="1:4" x14ac:dyDescent="0.25">
      <c r="A226" t="str">
        <f t="shared" si="7"/>
        <v/>
      </c>
      <c r="B226" t="str">
        <f t="shared" ca="1" si="6"/>
        <v/>
      </c>
      <c r="D226" s="1"/>
    </row>
    <row r="227" spans="1:4" x14ac:dyDescent="0.25">
      <c r="A227" t="str">
        <f t="shared" si="7"/>
        <v/>
      </c>
      <c r="B227" t="str">
        <f t="shared" ca="1" si="6"/>
        <v/>
      </c>
      <c r="D227" s="1"/>
    </row>
    <row r="228" spans="1:4" x14ac:dyDescent="0.25">
      <c r="A228" t="str">
        <f t="shared" si="7"/>
        <v/>
      </c>
      <c r="B228" t="str">
        <f t="shared" ca="1" si="6"/>
        <v/>
      </c>
      <c r="D228" s="1"/>
    </row>
    <row r="229" spans="1:4" x14ac:dyDescent="0.25">
      <c r="A229" t="str">
        <f t="shared" si="7"/>
        <v/>
      </c>
      <c r="B229" t="str">
        <f t="shared" ca="1" si="6"/>
        <v/>
      </c>
      <c r="D229" s="1"/>
    </row>
    <row r="230" spans="1:4" x14ac:dyDescent="0.25">
      <c r="A230" t="str">
        <f t="shared" si="7"/>
        <v/>
      </c>
      <c r="B230" t="str">
        <f t="shared" ca="1" si="6"/>
        <v/>
      </c>
      <c r="D230" s="1"/>
    </row>
    <row r="231" spans="1:4" x14ac:dyDescent="0.25">
      <c r="A231" t="str">
        <f t="shared" si="7"/>
        <v/>
      </c>
      <c r="B231" t="str">
        <f t="shared" ca="1" si="6"/>
        <v/>
      </c>
      <c r="D231" s="1"/>
    </row>
    <row r="232" spans="1:4" x14ac:dyDescent="0.25">
      <c r="A232" t="str">
        <f t="shared" si="7"/>
        <v/>
      </c>
      <c r="B232" t="str">
        <f t="shared" ca="1" si="6"/>
        <v/>
      </c>
      <c r="D232" s="1"/>
    </row>
    <row r="233" spans="1:4" x14ac:dyDescent="0.25">
      <c r="A233" t="str">
        <f t="shared" si="7"/>
        <v/>
      </c>
      <c r="B233" t="str">
        <f t="shared" ca="1" si="6"/>
        <v/>
      </c>
      <c r="D233" s="1"/>
    </row>
    <row r="234" spans="1:4" x14ac:dyDescent="0.25">
      <c r="A234" t="str">
        <f t="shared" si="7"/>
        <v/>
      </c>
      <c r="B234" t="str">
        <f t="shared" ca="1" si="6"/>
        <v/>
      </c>
      <c r="D234" s="1"/>
    </row>
    <row r="235" spans="1:4" x14ac:dyDescent="0.25">
      <c r="A235" t="str">
        <f t="shared" si="7"/>
        <v/>
      </c>
      <c r="B235" t="str">
        <f t="shared" ca="1" si="6"/>
        <v/>
      </c>
      <c r="D235" s="1"/>
    </row>
    <row r="236" spans="1:4" x14ac:dyDescent="0.25">
      <c r="A236" t="str">
        <f t="shared" si="7"/>
        <v/>
      </c>
      <c r="B236" t="str">
        <f t="shared" ca="1" si="6"/>
        <v/>
      </c>
      <c r="D236" s="1"/>
    </row>
    <row r="237" spans="1:4" x14ac:dyDescent="0.25">
      <c r="A237" t="str">
        <f t="shared" si="7"/>
        <v/>
      </c>
      <c r="B237" t="str">
        <f t="shared" ca="1" si="6"/>
        <v/>
      </c>
      <c r="D237" s="1"/>
    </row>
    <row r="238" spans="1:4" x14ac:dyDescent="0.25">
      <c r="A238" t="str">
        <f t="shared" si="7"/>
        <v/>
      </c>
      <c r="B238" t="str">
        <f t="shared" ca="1" si="6"/>
        <v/>
      </c>
      <c r="D238" s="1"/>
    </row>
    <row r="239" spans="1:4" x14ac:dyDescent="0.25">
      <c r="A239" t="str">
        <f t="shared" si="7"/>
        <v/>
      </c>
      <c r="B239" t="str">
        <f t="shared" ca="1" si="6"/>
        <v/>
      </c>
      <c r="D239" s="1"/>
    </row>
    <row r="240" spans="1:4" x14ac:dyDescent="0.25">
      <c r="A240" t="str">
        <f t="shared" si="7"/>
        <v/>
      </c>
      <c r="B240" t="str">
        <f t="shared" ca="1" si="6"/>
        <v/>
      </c>
      <c r="D240" s="1"/>
    </row>
    <row r="241" spans="1:4" x14ac:dyDescent="0.25">
      <c r="A241" t="str">
        <f t="shared" si="7"/>
        <v/>
      </c>
      <c r="B241" t="str">
        <f t="shared" ca="1" si="6"/>
        <v/>
      </c>
      <c r="D241" s="1"/>
    </row>
    <row r="242" spans="1:4" x14ac:dyDescent="0.25">
      <c r="A242" t="str">
        <f t="shared" si="7"/>
        <v/>
      </c>
      <c r="B242" t="str">
        <f t="shared" ca="1" si="6"/>
        <v/>
      </c>
      <c r="D242" s="1"/>
    </row>
    <row r="243" spans="1:4" x14ac:dyDescent="0.25">
      <c r="A243" t="str">
        <f t="shared" si="7"/>
        <v/>
      </c>
      <c r="B243" t="str">
        <f t="shared" ca="1" si="6"/>
        <v/>
      </c>
      <c r="D243" s="1"/>
    </row>
    <row r="244" spans="1:4" x14ac:dyDescent="0.25">
      <c r="A244" t="str">
        <f t="shared" si="7"/>
        <v/>
      </c>
      <c r="B244" t="str">
        <f t="shared" ca="1" si="6"/>
        <v/>
      </c>
      <c r="D244" s="1"/>
    </row>
    <row r="245" spans="1:4" x14ac:dyDescent="0.25">
      <c r="A245" t="str">
        <f t="shared" si="7"/>
        <v/>
      </c>
      <c r="B245" t="str">
        <f t="shared" ca="1" si="6"/>
        <v/>
      </c>
      <c r="D245" s="1"/>
    </row>
    <row r="246" spans="1:4" x14ac:dyDescent="0.25">
      <c r="A246" t="str">
        <f t="shared" si="7"/>
        <v/>
      </c>
      <c r="B246" t="str">
        <f t="shared" ca="1" si="6"/>
        <v/>
      </c>
      <c r="D246" s="1"/>
    </row>
    <row r="247" spans="1:4" x14ac:dyDescent="0.25">
      <c r="A247" t="str">
        <f t="shared" si="7"/>
        <v/>
      </c>
      <c r="B247" t="str">
        <f t="shared" ca="1" si="6"/>
        <v/>
      </c>
      <c r="D247" s="1"/>
    </row>
    <row r="248" spans="1:4" x14ac:dyDescent="0.25">
      <c r="A248" t="str">
        <f t="shared" si="7"/>
        <v/>
      </c>
      <c r="B248" t="str">
        <f t="shared" ca="1" si="6"/>
        <v/>
      </c>
      <c r="D248" s="1"/>
    </row>
    <row r="249" spans="1:4" x14ac:dyDescent="0.25">
      <c r="A249" t="str">
        <f t="shared" si="7"/>
        <v/>
      </c>
      <c r="B249" t="str">
        <f t="shared" ca="1" si="6"/>
        <v/>
      </c>
      <c r="D249" s="1"/>
    </row>
    <row r="250" spans="1:4" x14ac:dyDescent="0.25">
      <c r="A250" t="str">
        <f t="shared" si="7"/>
        <v/>
      </c>
      <c r="B250" t="str">
        <f t="shared" ca="1" si="6"/>
        <v/>
      </c>
      <c r="D250" s="1"/>
    </row>
    <row r="251" spans="1:4" x14ac:dyDescent="0.25">
      <c r="A251" t="str">
        <f t="shared" si="7"/>
        <v/>
      </c>
      <c r="B251" t="str">
        <f t="shared" ca="1" si="6"/>
        <v/>
      </c>
      <c r="D251" s="1"/>
    </row>
    <row r="252" spans="1:4" x14ac:dyDescent="0.25">
      <c r="A252" t="str">
        <f t="shared" si="7"/>
        <v/>
      </c>
      <c r="B252" t="str">
        <f t="shared" ca="1" si="6"/>
        <v/>
      </c>
      <c r="D252" s="1"/>
    </row>
    <row r="253" spans="1:4" x14ac:dyDescent="0.25">
      <c r="A253" t="str">
        <f t="shared" si="7"/>
        <v/>
      </c>
      <c r="B253" t="str">
        <f t="shared" ca="1" si="6"/>
        <v/>
      </c>
      <c r="D253" s="1"/>
    </row>
    <row r="254" spans="1:4" x14ac:dyDescent="0.25">
      <c r="A254" t="str">
        <f t="shared" si="7"/>
        <v/>
      </c>
      <c r="B254" t="str">
        <f t="shared" ca="1" si="6"/>
        <v/>
      </c>
      <c r="D254" s="1"/>
    </row>
    <row r="255" spans="1:4" x14ac:dyDescent="0.25">
      <c r="A255" t="str">
        <f t="shared" si="7"/>
        <v/>
      </c>
      <c r="B255" t="str">
        <f t="shared" ca="1" si="6"/>
        <v/>
      </c>
      <c r="D255" s="1"/>
    </row>
    <row r="256" spans="1:4" x14ac:dyDescent="0.25">
      <c r="A256" t="str">
        <f t="shared" si="7"/>
        <v/>
      </c>
      <c r="B256" t="str">
        <f t="shared" ca="1" si="6"/>
        <v/>
      </c>
      <c r="D256" s="1"/>
    </row>
    <row r="257" spans="1:4" x14ac:dyDescent="0.25">
      <c r="A257" t="str">
        <f t="shared" si="7"/>
        <v/>
      </c>
      <c r="B257" t="str">
        <f t="shared" ca="1" si="6"/>
        <v/>
      </c>
      <c r="D257" s="1"/>
    </row>
    <row r="258" spans="1:4" x14ac:dyDescent="0.25">
      <c r="A258" t="str">
        <f t="shared" si="7"/>
        <v/>
      </c>
      <c r="B258" t="str">
        <f t="shared" ca="1" si="6"/>
        <v/>
      </c>
      <c r="D258" s="1"/>
    </row>
    <row r="259" spans="1:4" x14ac:dyDescent="0.25">
      <c r="A259" t="str">
        <f t="shared" si="7"/>
        <v/>
      </c>
      <c r="B259" t="str">
        <f t="shared" ca="1" si="6"/>
        <v/>
      </c>
      <c r="D259" s="1"/>
    </row>
    <row r="260" spans="1:4" x14ac:dyDescent="0.25">
      <c r="A260" t="str">
        <f t="shared" si="7"/>
        <v/>
      </c>
      <c r="B260" t="str">
        <f t="shared" ref="B260:B295" ca="1" si="8">IF(A260="","",RANDBETWEEN($C$1,$C$2))</f>
        <v/>
      </c>
      <c r="D260" s="1"/>
    </row>
    <row r="261" spans="1:4" x14ac:dyDescent="0.25">
      <c r="A261" t="str">
        <f t="shared" si="7"/>
        <v/>
      </c>
      <c r="B261" t="str">
        <f t="shared" ca="1" si="8"/>
        <v/>
      </c>
      <c r="D261" s="1"/>
    </row>
    <row r="262" spans="1:4" x14ac:dyDescent="0.25">
      <c r="A262" t="str">
        <f t="shared" ref="A262:A295" si="9">IFERROR(IF(A261+1&gt;$C$2,"",A261+1),"")</f>
        <v/>
      </c>
      <c r="B262" t="str">
        <f t="shared" ca="1" si="8"/>
        <v/>
      </c>
      <c r="D262" s="1"/>
    </row>
    <row r="263" spans="1:4" x14ac:dyDescent="0.25">
      <c r="A263" t="str">
        <f t="shared" si="9"/>
        <v/>
      </c>
      <c r="B263" t="str">
        <f t="shared" ca="1" si="8"/>
        <v/>
      </c>
      <c r="D263" s="1"/>
    </row>
    <row r="264" spans="1:4" x14ac:dyDescent="0.25">
      <c r="A264" t="str">
        <f t="shared" si="9"/>
        <v/>
      </c>
      <c r="B264" t="str">
        <f t="shared" ca="1" si="8"/>
        <v/>
      </c>
      <c r="D264" s="1"/>
    </row>
    <row r="265" spans="1:4" x14ac:dyDescent="0.25">
      <c r="A265" t="str">
        <f t="shared" si="9"/>
        <v/>
      </c>
      <c r="B265" t="str">
        <f t="shared" ca="1" si="8"/>
        <v/>
      </c>
      <c r="D265" s="1"/>
    </row>
    <row r="266" spans="1:4" x14ac:dyDescent="0.25">
      <c r="A266" t="str">
        <f t="shared" si="9"/>
        <v/>
      </c>
      <c r="B266" t="str">
        <f t="shared" ca="1" si="8"/>
        <v/>
      </c>
      <c r="D266" s="1"/>
    </row>
    <row r="267" spans="1:4" x14ac:dyDescent="0.25">
      <c r="A267" t="str">
        <f t="shared" si="9"/>
        <v/>
      </c>
      <c r="B267" t="str">
        <f t="shared" ca="1" si="8"/>
        <v/>
      </c>
      <c r="D267" s="1"/>
    </row>
    <row r="268" spans="1:4" x14ac:dyDescent="0.25">
      <c r="A268" t="str">
        <f t="shared" si="9"/>
        <v/>
      </c>
      <c r="B268" t="str">
        <f t="shared" ca="1" si="8"/>
        <v/>
      </c>
      <c r="D268" s="1"/>
    </row>
    <row r="269" spans="1:4" x14ac:dyDescent="0.25">
      <c r="A269" t="str">
        <f t="shared" si="9"/>
        <v/>
      </c>
      <c r="B269" t="str">
        <f t="shared" ca="1" si="8"/>
        <v/>
      </c>
      <c r="D269" s="1"/>
    </row>
    <row r="270" spans="1:4" x14ac:dyDescent="0.25">
      <c r="A270" t="str">
        <f t="shared" si="9"/>
        <v/>
      </c>
      <c r="B270" t="str">
        <f t="shared" ca="1" si="8"/>
        <v/>
      </c>
      <c r="D270" s="1"/>
    </row>
    <row r="271" spans="1:4" x14ac:dyDescent="0.25">
      <c r="A271" t="str">
        <f t="shared" si="9"/>
        <v/>
      </c>
      <c r="B271" t="str">
        <f t="shared" ca="1" si="8"/>
        <v/>
      </c>
      <c r="D271" s="1"/>
    </row>
    <row r="272" spans="1:4" x14ac:dyDescent="0.25">
      <c r="A272" t="str">
        <f t="shared" si="9"/>
        <v/>
      </c>
      <c r="B272" t="str">
        <f t="shared" ca="1" si="8"/>
        <v/>
      </c>
      <c r="D272" s="1"/>
    </row>
    <row r="273" spans="1:4" x14ac:dyDescent="0.25">
      <c r="A273" t="str">
        <f t="shared" si="9"/>
        <v/>
      </c>
      <c r="B273" t="str">
        <f t="shared" ca="1" si="8"/>
        <v/>
      </c>
      <c r="D273" s="1"/>
    </row>
    <row r="274" spans="1:4" x14ac:dyDescent="0.25">
      <c r="A274" t="str">
        <f t="shared" si="9"/>
        <v/>
      </c>
      <c r="B274" t="str">
        <f t="shared" ca="1" si="8"/>
        <v/>
      </c>
      <c r="D274" s="1"/>
    </row>
    <row r="275" spans="1:4" x14ac:dyDescent="0.25">
      <c r="A275" t="str">
        <f t="shared" si="9"/>
        <v/>
      </c>
      <c r="B275" t="str">
        <f t="shared" ca="1" si="8"/>
        <v/>
      </c>
      <c r="D275" s="1"/>
    </row>
    <row r="276" spans="1:4" x14ac:dyDescent="0.25">
      <c r="A276" t="str">
        <f t="shared" si="9"/>
        <v/>
      </c>
      <c r="B276" t="str">
        <f t="shared" ca="1" si="8"/>
        <v/>
      </c>
      <c r="D276" s="1"/>
    </row>
    <row r="277" spans="1:4" x14ac:dyDescent="0.25">
      <c r="A277" t="str">
        <f t="shared" si="9"/>
        <v/>
      </c>
      <c r="B277" t="str">
        <f t="shared" ca="1" si="8"/>
        <v/>
      </c>
      <c r="D277" s="1"/>
    </row>
    <row r="278" spans="1:4" x14ac:dyDescent="0.25">
      <c r="A278" t="str">
        <f t="shared" si="9"/>
        <v/>
      </c>
      <c r="B278" t="str">
        <f t="shared" ca="1" si="8"/>
        <v/>
      </c>
      <c r="D278" s="1"/>
    </row>
    <row r="279" spans="1:4" x14ac:dyDescent="0.25">
      <c r="A279" t="str">
        <f t="shared" si="9"/>
        <v/>
      </c>
      <c r="B279" t="str">
        <f t="shared" ca="1" si="8"/>
        <v/>
      </c>
      <c r="D279" s="1"/>
    </row>
    <row r="280" spans="1:4" x14ac:dyDescent="0.25">
      <c r="A280" t="str">
        <f t="shared" si="9"/>
        <v/>
      </c>
      <c r="B280" t="str">
        <f t="shared" ca="1" si="8"/>
        <v/>
      </c>
      <c r="D280" s="1"/>
    </row>
    <row r="281" spans="1:4" x14ac:dyDescent="0.25">
      <c r="A281" t="str">
        <f t="shared" si="9"/>
        <v/>
      </c>
      <c r="B281" t="str">
        <f t="shared" ca="1" si="8"/>
        <v/>
      </c>
      <c r="D281" s="1"/>
    </row>
    <row r="282" spans="1:4" x14ac:dyDescent="0.25">
      <c r="A282" t="str">
        <f t="shared" si="9"/>
        <v/>
      </c>
      <c r="B282" t="str">
        <f t="shared" ca="1" si="8"/>
        <v/>
      </c>
      <c r="D282" s="1"/>
    </row>
    <row r="283" spans="1:4" x14ac:dyDescent="0.25">
      <c r="A283" t="str">
        <f t="shared" si="9"/>
        <v/>
      </c>
      <c r="B283" t="str">
        <f t="shared" ca="1" si="8"/>
        <v/>
      </c>
      <c r="D283" s="1"/>
    </row>
    <row r="284" spans="1:4" x14ac:dyDescent="0.25">
      <c r="A284" t="str">
        <f t="shared" si="9"/>
        <v/>
      </c>
      <c r="B284" t="str">
        <f t="shared" ca="1" si="8"/>
        <v/>
      </c>
      <c r="D284" s="1"/>
    </row>
    <row r="285" spans="1:4" x14ac:dyDescent="0.25">
      <c r="A285" t="str">
        <f t="shared" si="9"/>
        <v/>
      </c>
      <c r="B285" t="str">
        <f t="shared" ca="1" si="8"/>
        <v/>
      </c>
      <c r="D285" s="1"/>
    </row>
    <row r="286" spans="1:4" x14ac:dyDescent="0.25">
      <c r="A286" t="str">
        <f t="shared" si="9"/>
        <v/>
      </c>
      <c r="B286" t="str">
        <f t="shared" ca="1" si="8"/>
        <v/>
      </c>
      <c r="D286" s="1"/>
    </row>
    <row r="287" spans="1:4" x14ac:dyDescent="0.25">
      <c r="A287" t="str">
        <f t="shared" si="9"/>
        <v/>
      </c>
      <c r="B287" t="str">
        <f t="shared" ca="1" si="8"/>
        <v/>
      </c>
      <c r="D287" s="1"/>
    </row>
    <row r="288" spans="1:4" x14ac:dyDescent="0.25">
      <c r="A288" t="str">
        <f t="shared" si="9"/>
        <v/>
      </c>
      <c r="B288" t="str">
        <f t="shared" ca="1" si="8"/>
        <v/>
      </c>
      <c r="D288" s="1"/>
    </row>
    <row r="289" spans="1:4" x14ac:dyDescent="0.25">
      <c r="A289" t="str">
        <f t="shared" si="9"/>
        <v/>
      </c>
      <c r="B289" t="str">
        <f t="shared" ca="1" si="8"/>
        <v/>
      </c>
      <c r="D289" s="1"/>
    </row>
    <row r="290" spans="1:4" x14ac:dyDescent="0.25">
      <c r="A290" t="str">
        <f t="shared" si="9"/>
        <v/>
      </c>
      <c r="B290" t="str">
        <f t="shared" ca="1" si="8"/>
        <v/>
      </c>
      <c r="D290" s="1"/>
    </row>
    <row r="291" spans="1:4" x14ac:dyDescent="0.25">
      <c r="A291" t="str">
        <f t="shared" si="9"/>
        <v/>
      </c>
      <c r="B291" t="str">
        <f t="shared" ca="1" si="8"/>
        <v/>
      </c>
      <c r="D291" s="1"/>
    </row>
    <row r="292" spans="1:4" x14ac:dyDescent="0.25">
      <c r="A292" t="str">
        <f t="shared" si="9"/>
        <v/>
      </c>
      <c r="B292" t="str">
        <f t="shared" ca="1" si="8"/>
        <v/>
      </c>
      <c r="D292" s="1"/>
    </row>
    <row r="293" spans="1:4" x14ac:dyDescent="0.25">
      <c r="A293" t="str">
        <f t="shared" si="9"/>
        <v/>
      </c>
      <c r="B293" t="str">
        <f t="shared" ca="1" si="8"/>
        <v/>
      </c>
      <c r="D293" s="1"/>
    </row>
    <row r="294" spans="1:4" x14ac:dyDescent="0.25">
      <c r="A294" t="str">
        <f t="shared" si="9"/>
        <v/>
      </c>
      <c r="B294" t="str">
        <f t="shared" ca="1" si="8"/>
        <v/>
      </c>
      <c r="D294" s="1"/>
    </row>
    <row r="295" spans="1:4" x14ac:dyDescent="0.25">
      <c r="A295" t="str">
        <f t="shared" si="9"/>
        <v/>
      </c>
      <c r="B295" t="str">
        <f t="shared" ca="1" si="8"/>
        <v/>
      </c>
      <c r="D295" s="1"/>
    </row>
  </sheetData>
  <autoFilter ref="B3:F295" xr:uid="{510055BF-F702-4B6A-BC96-7718E75F032C}">
    <sortState xmlns:xlrd2="http://schemas.microsoft.com/office/spreadsheetml/2017/richdata2" ref="B4:F295">
      <sortCondition ref="C3:C72"/>
    </sortState>
  </autoFilter>
  <conditionalFormatting sqref="C296:D1048576">
    <cfRule type="duplicateValues" dxfId="0" priority="1"/>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FEFE1B-A582-4851-A850-E4BF4217E78E}">
  <dimension ref="A1:L32"/>
  <sheetViews>
    <sheetView topLeftCell="A2" zoomScale="91" zoomScaleNormal="91" workbookViewId="0">
      <selection activeCell="N17" sqref="N17"/>
    </sheetView>
  </sheetViews>
  <sheetFormatPr defaultRowHeight="13.8" x14ac:dyDescent="0.25"/>
  <cols>
    <col min="1" max="1" width="8.796875" style="1"/>
    <col min="2" max="2" width="67.296875" customWidth="1"/>
  </cols>
  <sheetData>
    <row r="1" spans="1:12" x14ac:dyDescent="0.25">
      <c r="A1" s="1" t="s">
        <v>395</v>
      </c>
      <c r="B1" t="s">
        <v>396</v>
      </c>
    </row>
    <row r="2" spans="1:12" x14ac:dyDescent="0.25">
      <c r="A2" s="1">
        <v>1</v>
      </c>
      <c r="B2" t="s">
        <v>177</v>
      </c>
    </row>
    <row r="3" spans="1:12" x14ac:dyDescent="0.25">
      <c r="A3" s="1">
        <v>2</v>
      </c>
      <c r="B3" t="s">
        <v>181</v>
      </c>
    </row>
    <row r="4" spans="1:12" x14ac:dyDescent="0.25">
      <c r="A4" s="1">
        <v>3</v>
      </c>
      <c r="B4" t="s">
        <v>200</v>
      </c>
    </row>
    <row r="5" spans="1:12" x14ac:dyDescent="0.25">
      <c r="A5" s="1">
        <v>4</v>
      </c>
      <c r="B5" t="s">
        <v>186</v>
      </c>
    </row>
    <row r="6" spans="1:12" x14ac:dyDescent="0.25">
      <c r="A6" s="1">
        <v>5</v>
      </c>
      <c r="B6" t="s">
        <v>190</v>
      </c>
    </row>
    <row r="7" spans="1:12" x14ac:dyDescent="0.25">
      <c r="A7" s="1">
        <v>6</v>
      </c>
      <c r="B7" t="s">
        <v>175</v>
      </c>
    </row>
    <row r="8" spans="1:12" x14ac:dyDescent="0.25">
      <c r="A8" s="1">
        <v>7</v>
      </c>
      <c r="B8" t="s">
        <v>196</v>
      </c>
    </row>
    <row r="9" spans="1:12" x14ac:dyDescent="0.25">
      <c r="A9" s="1">
        <v>8</v>
      </c>
      <c r="B9" t="s">
        <v>179</v>
      </c>
    </row>
    <row r="10" spans="1:12" x14ac:dyDescent="0.25">
      <c r="A10" s="1">
        <v>9</v>
      </c>
      <c r="B10" t="s">
        <v>323</v>
      </c>
    </row>
    <row r="11" spans="1:12" x14ac:dyDescent="0.25">
      <c r="A11" s="1">
        <v>10</v>
      </c>
      <c r="B11" t="s">
        <v>198</v>
      </c>
    </row>
    <row r="12" spans="1:12" x14ac:dyDescent="0.25">
      <c r="A12" s="1">
        <v>11</v>
      </c>
      <c r="B12" t="s">
        <v>194</v>
      </c>
    </row>
    <row r="13" spans="1:12" x14ac:dyDescent="0.25">
      <c r="A13" s="1">
        <v>12</v>
      </c>
      <c r="B13" t="s">
        <v>97</v>
      </c>
    </row>
    <row r="14" spans="1:12" x14ac:dyDescent="0.25">
      <c r="A14" s="1">
        <v>13</v>
      </c>
      <c r="B14" t="s">
        <v>173</v>
      </c>
    </row>
    <row r="15" spans="1:12" x14ac:dyDescent="0.25">
      <c r="A15" s="1">
        <v>14</v>
      </c>
      <c r="B15" t="s">
        <v>183</v>
      </c>
      <c r="L15">
        <v>3</v>
      </c>
    </row>
    <row r="16" spans="1:12" x14ac:dyDescent="0.25">
      <c r="A16" s="1">
        <v>15</v>
      </c>
      <c r="B16" t="s">
        <v>171</v>
      </c>
    </row>
    <row r="17" spans="1:2" x14ac:dyDescent="0.25">
      <c r="A17" s="1">
        <v>16</v>
      </c>
      <c r="B17" t="s">
        <v>188</v>
      </c>
    </row>
    <row r="18" spans="1:2" x14ac:dyDescent="0.25">
      <c r="A18" s="1">
        <v>17</v>
      </c>
      <c r="B18" t="s">
        <v>192</v>
      </c>
    </row>
    <row r="19" spans="1:2" x14ac:dyDescent="0.25">
      <c r="A19" s="1">
        <v>18</v>
      </c>
      <c r="B19" t="s">
        <v>202</v>
      </c>
    </row>
    <row r="20" spans="1:2" x14ac:dyDescent="0.25">
      <c r="A20" s="1">
        <v>19</v>
      </c>
      <c r="B20" s="3" t="s">
        <v>200</v>
      </c>
    </row>
    <row r="21" spans="1:2" x14ac:dyDescent="0.25">
      <c r="A21" s="1">
        <v>20</v>
      </c>
      <c r="B21" t="s">
        <v>209</v>
      </c>
    </row>
    <row r="22" spans="1:2" x14ac:dyDescent="0.25">
      <c r="A22" s="1">
        <v>21</v>
      </c>
      <c r="B22" t="s">
        <v>204</v>
      </c>
    </row>
    <row r="23" spans="1:2" x14ac:dyDescent="0.25">
      <c r="A23" s="1">
        <v>22</v>
      </c>
      <c r="B23" t="s">
        <v>211</v>
      </c>
    </row>
    <row r="24" spans="1:2" x14ac:dyDescent="0.25">
      <c r="A24" s="1">
        <v>23</v>
      </c>
      <c r="B24" t="s">
        <v>202</v>
      </c>
    </row>
    <row r="25" spans="1:2" x14ac:dyDescent="0.25">
      <c r="A25" s="1">
        <v>24</v>
      </c>
      <c r="B25" t="s">
        <v>205</v>
      </c>
    </row>
    <row r="26" spans="1:2" x14ac:dyDescent="0.25">
      <c r="A26" s="1">
        <v>25</v>
      </c>
      <c r="B26" t="s">
        <v>207</v>
      </c>
    </row>
    <row r="27" spans="1:2" x14ac:dyDescent="0.25">
      <c r="A27" s="1">
        <v>26</v>
      </c>
      <c r="B27" t="s">
        <v>198</v>
      </c>
    </row>
    <row r="28" spans="1:2" x14ac:dyDescent="0.25">
      <c r="A28" s="1">
        <v>27</v>
      </c>
      <c r="B28" t="s">
        <v>215</v>
      </c>
    </row>
    <row r="29" spans="1:2" x14ac:dyDescent="0.25">
      <c r="A29" s="1">
        <v>28</v>
      </c>
      <c r="B29" t="s">
        <v>196</v>
      </c>
    </row>
    <row r="30" spans="1:2" x14ac:dyDescent="0.25">
      <c r="A30" s="1">
        <v>29</v>
      </c>
      <c r="B30" t="s">
        <v>208</v>
      </c>
    </row>
    <row r="31" spans="1:2" x14ac:dyDescent="0.25">
      <c r="A31" s="1">
        <v>30</v>
      </c>
      <c r="B31" t="s">
        <v>213</v>
      </c>
    </row>
    <row r="32" spans="1:2" x14ac:dyDescent="0.25">
      <c r="A32" s="1">
        <v>31</v>
      </c>
      <c r="B32" t="s">
        <v>206</v>
      </c>
    </row>
  </sheetData>
  <autoFilter ref="A1:C1" xr:uid="{F0FEFE1B-A582-4851-A850-E4BF4217E78E}">
    <sortState xmlns:xlrd2="http://schemas.microsoft.com/office/spreadsheetml/2017/richdata2" ref="A2:C31">
      <sortCondition ref="A1"/>
    </sortState>
  </autoFilter>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162ABE-6FCA-44AB-B853-3E83EE9EB5B9}">
  <dimension ref="B1:B22"/>
  <sheetViews>
    <sheetView workbookViewId="0">
      <selection activeCell="B28" sqref="B28"/>
    </sheetView>
  </sheetViews>
  <sheetFormatPr defaultRowHeight="13.8" x14ac:dyDescent="0.25"/>
  <cols>
    <col min="2" max="2" width="115.19921875" customWidth="1"/>
  </cols>
  <sheetData>
    <row r="1" spans="2:2" x14ac:dyDescent="0.25">
      <c r="B1" s="13" t="s">
        <v>403</v>
      </c>
    </row>
    <row r="2" spans="2:2" x14ac:dyDescent="0.25">
      <c r="B2" t="s">
        <v>440</v>
      </c>
    </row>
    <row r="3" spans="2:2" x14ac:dyDescent="0.25">
      <c r="B3" t="s">
        <v>441</v>
      </c>
    </row>
    <row r="4" spans="2:2" x14ac:dyDescent="0.25">
      <c r="B4" t="s">
        <v>442</v>
      </c>
    </row>
    <row r="5" spans="2:2" x14ac:dyDescent="0.25">
      <c r="B5" t="s">
        <v>456</v>
      </c>
    </row>
    <row r="6" spans="2:2" x14ac:dyDescent="0.25">
      <c r="B6" t="s">
        <v>443</v>
      </c>
    </row>
    <row r="7" spans="2:2" x14ac:dyDescent="0.25">
      <c r="B7" t="s">
        <v>444</v>
      </c>
    </row>
    <row r="8" spans="2:2" x14ac:dyDescent="0.25">
      <c r="B8" t="s">
        <v>445</v>
      </c>
    </row>
    <row r="9" spans="2:2" x14ac:dyDescent="0.25">
      <c r="B9" s="3" t="s">
        <v>446</v>
      </c>
    </row>
    <row r="10" spans="2:2" x14ac:dyDescent="0.25">
      <c r="B10" t="s">
        <v>447</v>
      </c>
    </row>
    <row r="11" spans="2:2" x14ac:dyDescent="0.25">
      <c r="B11" s="3" t="s">
        <v>448</v>
      </c>
    </row>
    <row r="12" spans="2:2" x14ac:dyDescent="0.25">
      <c r="B12" s="3" t="s">
        <v>449</v>
      </c>
    </row>
    <row r="13" spans="2:2" x14ac:dyDescent="0.25">
      <c r="B13" t="s">
        <v>455</v>
      </c>
    </row>
    <row r="14" spans="2:2" x14ac:dyDescent="0.25">
      <c r="B14" t="s">
        <v>450</v>
      </c>
    </row>
    <row r="15" spans="2:2" x14ac:dyDescent="0.25">
      <c r="B15" t="s">
        <v>451</v>
      </c>
    </row>
    <row r="16" spans="2:2" x14ac:dyDescent="0.25">
      <c r="B16" t="s">
        <v>452</v>
      </c>
    </row>
    <row r="17" spans="2:2" s="20" customFormat="1" x14ac:dyDescent="0.25">
      <c r="B17" s="20" t="s">
        <v>397</v>
      </c>
    </row>
    <row r="18" spans="2:2" x14ac:dyDescent="0.25">
      <c r="B18" t="s">
        <v>398</v>
      </c>
    </row>
    <row r="19" spans="2:2" x14ac:dyDescent="0.25">
      <c r="B19" t="s">
        <v>399</v>
      </c>
    </row>
    <row r="20" spans="2:2" x14ac:dyDescent="0.25">
      <c r="B20" t="s">
        <v>400</v>
      </c>
    </row>
    <row r="21" spans="2:2" x14ac:dyDescent="0.25">
      <c r="B21" t="s">
        <v>401</v>
      </c>
    </row>
    <row r="22" spans="2:2" x14ac:dyDescent="0.25">
      <c r="B22" t="s">
        <v>402</v>
      </c>
    </row>
  </sheetData>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800BA7-4913-4962-973C-093E6DBC3753}">
  <dimension ref="A1:A36"/>
  <sheetViews>
    <sheetView topLeftCell="A3" zoomScale="87" zoomScaleNormal="87" workbookViewId="0">
      <selection activeCell="A35" sqref="A35"/>
    </sheetView>
  </sheetViews>
  <sheetFormatPr defaultRowHeight="13.8" x14ac:dyDescent="0.25"/>
  <cols>
    <col min="1" max="1" width="134.09765625" bestFit="1" customWidth="1"/>
  </cols>
  <sheetData>
    <row r="1" spans="1:1" x14ac:dyDescent="0.25">
      <c r="A1" s="13" t="s">
        <v>439</v>
      </c>
    </row>
    <row r="2" spans="1:1" x14ac:dyDescent="0.25">
      <c r="A2" t="s">
        <v>404</v>
      </c>
    </row>
    <row r="3" spans="1:1" x14ac:dyDescent="0.25">
      <c r="A3" t="s">
        <v>405</v>
      </c>
    </row>
    <row r="4" spans="1:1" x14ac:dyDescent="0.25">
      <c r="A4" t="s">
        <v>406</v>
      </c>
    </row>
    <row r="5" spans="1:1" x14ac:dyDescent="0.25">
      <c r="A5" t="s">
        <v>407</v>
      </c>
    </row>
    <row r="6" spans="1:1" x14ac:dyDescent="0.25">
      <c r="A6" t="s">
        <v>408</v>
      </c>
    </row>
    <row r="7" spans="1:1" x14ac:dyDescent="0.25">
      <c r="A7" t="s">
        <v>409</v>
      </c>
    </row>
    <row r="8" spans="1:1" x14ac:dyDescent="0.25">
      <c r="A8" t="s">
        <v>410</v>
      </c>
    </row>
    <row r="9" spans="1:1" x14ac:dyDescent="0.25">
      <c r="A9" t="s">
        <v>411</v>
      </c>
    </row>
    <row r="10" spans="1:1" x14ac:dyDescent="0.25">
      <c r="A10" t="s">
        <v>412</v>
      </c>
    </row>
    <row r="11" spans="1:1" x14ac:dyDescent="0.25">
      <c r="A11" t="s">
        <v>413</v>
      </c>
    </row>
    <row r="12" spans="1:1" x14ac:dyDescent="0.25">
      <c r="A12" t="s">
        <v>414</v>
      </c>
    </row>
    <row r="13" spans="1:1" x14ac:dyDescent="0.25">
      <c r="A13" t="s">
        <v>415</v>
      </c>
    </row>
    <row r="14" spans="1:1" x14ac:dyDescent="0.25">
      <c r="A14" t="s">
        <v>416</v>
      </c>
    </row>
    <row r="15" spans="1:1" x14ac:dyDescent="0.25">
      <c r="A15" t="s">
        <v>417</v>
      </c>
    </row>
    <row r="16" spans="1:1" x14ac:dyDescent="0.25">
      <c r="A16" t="s">
        <v>418</v>
      </c>
    </row>
    <row r="17" spans="1:1" x14ac:dyDescent="0.25">
      <c r="A17" t="s">
        <v>419</v>
      </c>
    </row>
    <row r="18" spans="1:1" x14ac:dyDescent="0.25">
      <c r="A18" t="s">
        <v>420</v>
      </c>
    </row>
    <row r="19" spans="1:1" x14ac:dyDescent="0.25">
      <c r="A19" t="s">
        <v>421</v>
      </c>
    </row>
    <row r="20" spans="1:1" x14ac:dyDescent="0.25">
      <c r="A20" t="s">
        <v>422</v>
      </c>
    </row>
    <row r="21" spans="1:1" x14ac:dyDescent="0.25">
      <c r="A21" t="s">
        <v>423</v>
      </c>
    </row>
    <row r="22" spans="1:1" x14ac:dyDescent="0.25">
      <c r="A22" t="s">
        <v>424</v>
      </c>
    </row>
    <row r="23" spans="1:1" x14ac:dyDescent="0.25">
      <c r="A23" t="s">
        <v>425</v>
      </c>
    </row>
    <row r="24" spans="1:1" x14ac:dyDescent="0.25">
      <c r="A24" t="s">
        <v>426</v>
      </c>
    </row>
    <row r="25" spans="1:1" x14ac:dyDescent="0.25">
      <c r="A25" t="s">
        <v>427</v>
      </c>
    </row>
    <row r="26" spans="1:1" x14ac:dyDescent="0.25">
      <c r="A26" s="3" t="s">
        <v>428</v>
      </c>
    </row>
    <row r="27" spans="1:1" x14ac:dyDescent="0.25">
      <c r="A27" s="3" t="s">
        <v>429</v>
      </c>
    </row>
    <row r="28" spans="1:1" x14ac:dyDescent="0.25">
      <c r="A28" s="3" t="s">
        <v>430</v>
      </c>
    </row>
    <row r="29" spans="1:1" x14ac:dyDescent="0.25">
      <c r="A29" t="s">
        <v>431</v>
      </c>
    </row>
    <row r="30" spans="1:1" x14ac:dyDescent="0.25">
      <c r="A30" t="s">
        <v>432</v>
      </c>
    </row>
    <row r="31" spans="1:1" x14ac:dyDescent="0.25">
      <c r="A31" t="s">
        <v>433</v>
      </c>
    </row>
    <row r="32" spans="1:1" x14ac:dyDescent="0.25">
      <c r="A32" s="3" t="s">
        <v>434</v>
      </c>
    </row>
    <row r="33" spans="1:1" x14ac:dyDescent="0.25">
      <c r="A33" s="3" t="s">
        <v>435</v>
      </c>
    </row>
    <row r="34" spans="1:1" x14ac:dyDescent="0.25">
      <c r="A34" t="s">
        <v>436</v>
      </c>
    </row>
    <row r="35" spans="1:1" x14ac:dyDescent="0.25">
      <c r="A35" s="3" t="s">
        <v>437</v>
      </c>
    </row>
    <row r="36" spans="1:1" x14ac:dyDescent="0.25">
      <c r="A36" t="s">
        <v>438</v>
      </c>
    </row>
  </sheetData>
  <autoFilter ref="A1:A36" xr:uid="{FF800BA7-4913-4962-973C-093E6DBC3753}"/>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The IT Life</vt:lpstr>
      <vt:lpstr>Viet</vt:lpstr>
      <vt:lpstr>Sum</vt:lpstr>
      <vt:lpstr>Ramdom</vt:lpstr>
      <vt:lpstr>Sheet1</vt:lpstr>
      <vt:lpstr>4</vt:lpstr>
      <vt:lpstr>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2023-04-28T06:54:49Z</dcterms:created>
  <dcterms:modified xsi:type="dcterms:W3CDTF">2023-06-10T16:33:40Z</dcterms:modified>
</cp:coreProperties>
</file>